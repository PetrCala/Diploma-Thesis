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4E740E2B-480A-4B59-8444-FFA7291D8ED3}"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data_set!$A$1:$CX$1116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57" i="12" l="1"/>
  <c r="I8" i="10"/>
  <c r="J8" i="10" s="1"/>
  <c r="K8" i="10" s="1"/>
  <c r="I9" i="10"/>
  <c r="J9" i="10" s="1"/>
  <c r="K9" i="10" s="1"/>
  <c r="I10" i="10"/>
  <c r="J10" i="10"/>
  <c r="K10" i="10" s="1"/>
  <c r="I11" i="10"/>
  <c r="J11" i="10" s="1"/>
  <c r="K11" i="10" s="1"/>
  <c r="I12" i="10"/>
  <c r="J12" i="10" s="1"/>
  <c r="K12" i="10" s="1"/>
  <c r="I13" i="10"/>
  <c r="J13" i="10" s="1"/>
  <c r="K13" i="10" s="1"/>
  <c r="I14" i="10"/>
  <c r="J14" i="10"/>
  <c r="K14" i="10" s="1"/>
  <c r="I15" i="10"/>
  <c r="J15" i="10"/>
  <c r="K15" i="10"/>
  <c r="I16" i="10"/>
  <c r="J16" i="10" s="1"/>
  <c r="K16" i="10" s="1"/>
  <c r="I17" i="10"/>
  <c r="J17" i="10" s="1"/>
  <c r="K17" i="10" s="1"/>
  <c r="I18" i="10"/>
  <c r="J18" i="10"/>
  <c r="K18" i="10" s="1"/>
  <c r="I19" i="10"/>
  <c r="J19" i="10" s="1"/>
  <c r="K19" i="10" s="1"/>
  <c r="I20" i="10"/>
  <c r="J20" i="10" s="1"/>
  <c r="K20" i="10" s="1"/>
  <c r="I21" i="10"/>
  <c r="J21" i="10" s="1"/>
  <c r="K21" i="10" s="1"/>
  <c r="I22" i="10"/>
  <c r="J22" i="10"/>
  <c r="K22" i="10" s="1"/>
  <c r="I23" i="10"/>
  <c r="J23" i="10"/>
  <c r="K23" i="10"/>
  <c r="I24" i="10"/>
  <c r="J24" i="10" s="1"/>
  <c r="K24" i="10" s="1"/>
  <c r="I25" i="10"/>
  <c r="J25" i="10" s="1"/>
  <c r="K25" i="10" s="1"/>
  <c r="I26" i="10"/>
  <c r="J26" i="10"/>
  <c r="K26" i="10" s="1"/>
  <c r="I27" i="10"/>
  <c r="J27" i="10" s="1"/>
  <c r="K27" i="10" s="1"/>
  <c r="I28" i="10"/>
  <c r="J28" i="10" s="1"/>
  <c r="K28" i="10" s="1"/>
  <c r="I29" i="10"/>
  <c r="J29" i="10" s="1"/>
  <c r="K29" i="10" s="1"/>
  <c r="I30" i="10"/>
  <c r="J30" i="10"/>
  <c r="K30" i="10" s="1"/>
  <c r="I31" i="10"/>
  <c r="J31" i="10"/>
  <c r="K31" i="10"/>
  <c r="I32" i="10"/>
  <c r="J32" i="10" s="1"/>
  <c r="K32" i="10" s="1"/>
  <c r="I33" i="10"/>
  <c r="J33" i="10" s="1"/>
  <c r="K33" i="10" s="1"/>
  <c r="I34" i="10"/>
  <c r="J34" i="10"/>
  <c r="K34" i="10" s="1"/>
  <c r="I35" i="10"/>
  <c r="J35" i="10" s="1"/>
  <c r="K35" i="10" s="1"/>
  <c r="I36" i="10"/>
  <c r="J36" i="10" s="1"/>
  <c r="K36" i="10" s="1"/>
  <c r="I37" i="10"/>
  <c r="J37" i="10" s="1"/>
  <c r="K37" i="10" s="1"/>
  <c r="I38" i="10"/>
  <c r="J38" i="10"/>
  <c r="K38" i="10" s="1"/>
  <c r="I39" i="10"/>
  <c r="J39" i="10"/>
  <c r="K39" i="10"/>
  <c r="I40" i="10"/>
  <c r="J40" i="10" s="1"/>
  <c r="K40" i="10" s="1"/>
  <c r="I41" i="10"/>
  <c r="J41" i="10" s="1"/>
  <c r="K41" i="10" s="1"/>
  <c r="I42" i="10"/>
  <c r="J42" i="10"/>
  <c r="K42" i="10" s="1"/>
  <c r="I43" i="10"/>
  <c r="J43" i="10" s="1"/>
  <c r="K43" i="10" s="1"/>
  <c r="I44" i="10"/>
  <c r="J44" i="10" s="1"/>
  <c r="K44" i="10" s="1"/>
  <c r="I45" i="10"/>
  <c r="J45" i="10" s="1"/>
  <c r="K45" i="10" s="1"/>
  <c r="I46" i="10"/>
  <c r="J46" i="10"/>
  <c r="K46" i="10" s="1"/>
  <c r="I47" i="10"/>
  <c r="J47" i="10"/>
  <c r="K47" i="10"/>
  <c r="I48" i="10"/>
  <c r="J48" i="10" s="1"/>
  <c r="K48" i="10" s="1"/>
  <c r="I49" i="10"/>
  <c r="J49" i="10" s="1"/>
  <c r="K49" i="10" s="1"/>
  <c r="I50" i="10"/>
  <c r="J50" i="10"/>
  <c r="K50" i="10" s="1"/>
  <c r="I51" i="10"/>
  <c r="J51" i="10" s="1"/>
  <c r="K51" i="10" s="1"/>
  <c r="I52" i="10"/>
  <c r="J52" i="10" s="1"/>
  <c r="K52" i="10" s="1"/>
  <c r="I53" i="10"/>
  <c r="J53" i="10" s="1"/>
  <c r="K53" i="10" s="1"/>
  <c r="I54" i="10"/>
  <c r="J54" i="10"/>
  <c r="K54" i="10" s="1"/>
  <c r="I55" i="10"/>
  <c r="J55" i="10"/>
  <c r="K55" i="10"/>
  <c r="I56" i="10"/>
  <c r="J56" i="10" s="1"/>
  <c r="K56" i="10" s="1"/>
  <c r="I57" i="10"/>
  <c r="J57" i="10" s="1"/>
  <c r="K57" i="10" s="1"/>
  <c r="I58" i="10"/>
  <c r="J58" i="10"/>
  <c r="K58" i="10" s="1"/>
  <c r="I59" i="10"/>
  <c r="J59" i="10" s="1"/>
  <c r="K59" i="10" s="1"/>
  <c r="I60" i="10"/>
  <c r="J60" i="10" s="1"/>
  <c r="K60" i="10" s="1"/>
  <c r="I61" i="10"/>
  <c r="J61" i="10" s="1"/>
  <c r="K61" i="10" s="1"/>
  <c r="I62" i="10"/>
  <c r="J62" i="10"/>
  <c r="K62" i="10" s="1"/>
  <c r="I63" i="10"/>
  <c r="J63" i="10"/>
  <c r="K63" i="10"/>
  <c r="I64" i="10"/>
  <c r="J64" i="10" s="1"/>
  <c r="K64" i="10" s="1"/>
  <c r="I65" i="10"/>
  <c r="J65" i="10" s="1"/>
  <c r="K65" i="10" s="1"/>
  <c r="I66" i="10"/>
  <c r="J66" i="10"/>
  <c r="K66" i="10" s="1"/>
  <c r="I67" i="10"/>
  <c r="J67" i="10" s="1"/>
  <c r="K67" i="10" s="1"/>
  <c r="I68" i="10"/>
  <c r="J68" i="10" s="1"/>
  <c r="K68" i="10" s="1"/>
  <c r="I69" i="10"/>
  <c r="J69" i="10" s="1"/>
  <c r="K69" i="10" s="1"/>
  <c r="I70" i="10"/>
  <c r="J70" i="10"/>
  <c r="K70" i="10" s="1"/>
  <c r="I71" i="10"/>
  <c r="J71" i="10"/>
  <c r="K71" i="10"/>
  <c r="I72" i="10"/>
  <c r="J72" i="10" s="1"/>
  <c r="K72" i="10" s="1"/>
  <c r="I73" i="10"/>
  <c r="J73" i="10" s="1"/>
  <c r="K73" i="10" s="1"/>
  <c r="I74" i="10"/>
  <c r="J74" i="10"/>
  <c r="K74" i="10" s="1"/>
  <c r="I75" i="10"/>
  <c r="J75" i="10" s="1"/>
  <c r="K75" i="10" s="1"/>
  <c r="I76" i="10"/>
  <c r="J76" i="10" s="1"/>
  <c r="K76" i="10" s="1"/>
  <c r="I77" i="10"/>
  <c r="J77" i="10" s="1"/>
  <c r="K77" i="10" s="1"/>
  <c r="I78" i="10"/>
  <c r="J78" i="10"/>
  <c r="K78" i="10" s="1"/>
  <c r="I79" i="10"/>
  <c r="J79" i="10"/>
  <c r="K79" i="10"/>
  <c r="I80" i="10"/>
  <c r="J80" i="10" s="1"/>
  <c r="K80" i="10" s="1"/>
  <c r="I81" i="10"/>
  <c r="J81" i="10" s="1"/>
  <c r="K81" i="10" s="1"/>
  <c r="I82" i="10"/>
  <c r="J82" i="10"/>
  <c r="K82" i="10" s="1"/>
  <c r="I83" i="10"/>
  <c r="J83" i="10" s="1"/>
  <c r="K83" i="10" s="1"/>
  <c r="I84" i="10"/>
  <c r="J84" i="10" s="1"/>
  <c r="K84" i="10" s="1"/>
  <c r="I85" i="10"/>
  <c r="J85" i="10" s="1"/>
  <c r="K85" i="10" s="1"/>
  <c r="I86" i="10"/>
  <c r="J86" i="10"/>
  <c r="K86" i="10" s="1"/>
  <c r="I87" i="10"/>
  <c r="J87" i="10"/>
  <c r="K87" i="10"/>
  <c r="I88" i="10"/>
  <c r="J88" i="10" s="1"/>
  <c r="K88" i="10" s="1"/>
  <c r="I89" i="10"/>
  <c r="J89" i="10" s="1"/>
  <c r="K89" i="10" s="1"/>
  <c r="I90" i="10"/>
  <c r="J90" i="10"/>
  <c r="K90" i="10" s="1"/>
  <c r="I91" i="10"/>
  <c r="J91" i="10" s="1"/>
  <c r="K91" i="10" s="1"/>
  <c r="I92" i="10"/>
  <c r="J92" i="10" s="1"/>
  <c r="K92" i="10" s="1"/>
  <c r="I93" i="10"/>
  <c r="J93" i="10" s="1"/>
  <c r="K93" i="10" s="1"/>
  <c r="I94" i="10"/>
  <c r="J94" i="10"/>
  <c r="K94" i="10" s="1"/>
  <c r="I95" i="10"/>
  <c r="J95" i="10"/>
  <c r="K95" i="10"/>
  <c r="I96" i="10"/>
  <c r="J96" i="10" s="1"/>
  <c r="K96" i="10" s="1"/>
  <c r="I97" i="10"/>
  <c r="J97" i="10" s="1"/>
  <c r="K97" i="10" s="1"/>
  <c r="I98" i="10"/>
  <c r="J98" i="10"/>
  <c r="K98" i="10" s="1"/>
  <c r="I99" i="10"/>
  <c r="J99" i="10" s="1"/>
  <c r="K99" i="10" s="1"/>
  <c r="I100" i="10"/>
  <c r="J100" i="10" s="1"/>
  <c r="K100" i="10" s="1"/>
  <c r="I101" i="10"/>
  <c r="J101" i="10" s="1"/>
  <c r="K101" i="10" s="1"/>
  <c r="I102" i="10"/>
  <c r="J102" i="10"/>
  <c r="K102" i="10" s="1"/>
  <c r="I103" i="10"/>
  <c r="J103" i="10"/>
  <c r="K103" i="10"/>
  <c r="I104" i="10"/>
  <c r="J104" i="10" s="1"/>
  <c r="K104" i="10" s="1"/>
  <c r="I105" i="10"/>
  <c r="J105" i="10" s="1"/>
  <c r="K105" i="10" s="1"/>
  <c r="I106" i="10"/>
  <c r="J106" i="10"/>
  <c r="K106" i="10" s="1"/>
  <c r="I107" i="10"/>
  <c r="J107" i="10" s="1"/>
  <c r="K107" i="10" s="1"/>
  <c r="I108" i="10"/>
  <c r="J108" i="10" s="1"/>
  <c r="K108" i="10" s="1"/>
  <c r="I109" i="10"/>
  <c r="J109" i="10" s="1"/>
  <c r="K109" i="10" s="1"/>
  <c r="I110" i="10"/>
  <c r="J110" i="10"/>
  <c r="K110" i="10" s="1"/>
  <c r="I111" i="10"/>
  <c r="J111" i="10"/>
  <c r="K111" i="10"/>
  <c r="I112" i="10"/>
  <c r="J112" i="10" s="1"/>
  <c r="K112" i="10" s="1"/>
  <c r="I113" i="10"/>
  <c r="J113" i="10" s="1"/>
  <c r="K113" i="10" s="1"/>
  <c r="I114" i="10"/>
  <c r="J114" i="10"/>
  <c r="K114" i="10" s="1"/>
  <c r="I115" i="10"/>
  <c r="J115" i="10" s="1"/>
  <c r="K115" i="10" s="1"/>
  <c r="I116" i="10"/>
  <c r="J116" i="10" s="1"/>
  <c r="K116" i="10" s="1"/>
  <c r="I117" i="10"/>
  <c r="J117" i="10" s="1"/>
  <c r="K117" i="10" s="1"/>
  <c r="I118" i="10"/>
  <c r="J118" i="10"/>
  <c r="K118" i="10" s="1"/>
  <c r="I119" i="10"/>
  <c r="J119" i="10"/>
  <c r="K119" i="10"/>
  <c r="I120" i="10"/>
  <c r="J120" i="10" s="1"/>
  <c r="K120" i="10" s="1"/>
  <c r="I121" i="10"/>
  <c r="J121" i="10" s="1"/>
  <c r="K121" i="10" s="1"/>
  <c r="I122" i="10"/>
  <c r="J122" i="10"/>
  <c r="K122" i="10" s="1"/>
  <c r="I123" i="10"/>
  <c r="J123" i="10" s="1"/>
  <c r="K123" i="10" s="1"/>
  <c r="I124" i="10"/>
  <c r="J124" i="10" s="1"/>
  <c r="K124" i="10" s="1"/>
  <c r="I125" i="10"/>
  <c r="J125" i="10" s="1"/>
  <c r="K125" i="10" s="1"/>
  <c r="I126" i="10"/>
  <c r="J126" i="10"/>
  <c r="K126" i="10" s="1"/>
  <c r="I127" i="10"/>
  <c r="J127" i="10"/>
  <c r="K127" i="10"/>
  <c r="I128" i="10"/>
  <c r="J128" i="10" s="1"/>
  <c r="K128" i="10" s="1"/>
  <c r="I129" i="10"/>
  <c r="J129" i="10" s="1"/>
  <c r="K129" i="10" s="1"/>
  <c r="I130" i="10"/>
  <c r="J130" i="10"/>
  <c r="K130" i="10" s="1"/>
  <c r="I131" i="10"/>
  <c r="J131" i="10" s="1"/>
  <c r="K131" i="10" s="1"/>
  <c r="I132" i="10"/>
  <c r="J132" i="10" s="1"/>
  <c r="K132" i="10" s="1"/>
  <c r="I133" i="10"/>
  <c r="J133" i="10" s="1"/>
  <c r="K133" i="10" s="1"/>
  <c r="I134" i="10"/>
  <c r="J134" i="10"/>
  <c r="K134" i="10" s="1"/>
  <c r="I135" i="10"/>
  <c r="J135" i="10"/>
  <c r="K135" i="10"/>
  <c r="I136" i="10"/>
  <c r="J136" i="10" s="1"/>
  <c r="K136" i="10" s="1"/>
  <c r="I137" i="10"/>
  <c r="J137" i="10" s="1"/>
  <c r="K137" i="10" s="1"/>
  <c r="I138" i="10"/>
  <c r="J138" i="10"/>
  <c r="K138" i="10" s="1"/>
  <c r="I139" i="10"/>
  <c r="J139" i="10" s="1"/>
  <c r="K139" i="10" s="1"/>
  <c r="I140" i="10"/>
  <c r="J140" i="10" s="1"/>
  <c r="K140" i="10" s="1"/>
  <c r="I141" i="10"/>
  <c r="J141" i="10" s="1"/>
  <c r="K141" i="10" s="1"/>
  <c r="I142" i="10"/>
  <c r="J142" i="10"/>
  <c r="K142" i="10" s="1"/>
  <c r="I143" i="10"/>
  <c r="J143" i="10"/>
  <c r="K143" i="10"/>
  <c r="I144" i="10"/>
  <c r="J144" i="10" s="1"/>
  <c r="K144" i="10" s="1"/>
  <c r="I145" i="10"/>
  <c r="J145" i="10" s="1"/>
  <c r="K145" i="10" s="1"/>
  <c r="I146" i="10"/>
  <c r="J146" i="10"/>
  <c r="K146" i="10" s="1"/>
  <c r="I147" i="10"/>
  <c r="J147" i="10" s="1"/>
  <c r="K147" i="10" s="1"/>
  <c r="I148" i="10"/>
  <c r="J148" i="10" s="1"/>
  <c r="K148" i="10" s="1"/>
  <c r="I149" i="10"/>
  <c r="J149" i="10" s="1"/>
  <c r="K149" i="10" s="1"/>
  <c r="I150" i="10"/>
  <c r="J150" i="10"/>
  <c r="K150" i="10" s="1"/>
  <c r="I151" i="10"/>
  <c r="J151" i="10"/>
  <c r="K151" i="10"/>
  <c r="I152" i="10"/>
  <c r="J152" i="10" s="1"/>
  <c r="K152" i="10" s="1"/>
  <c r="I153" i="10"/>
  <c r="J153" i="10" s="1"/>
  <c r="K153" i="10" s="1"/>
  <c r="I154" i="10"/>
  <c r="J154" i="10"/>
  <c r="K154" i="10" s="1"/>
  <c r="I155" i="10"/>
  <c r="J155" i="10" s="1"/>
  <c r="K155" i="10" s="1"/>
  <c r="I156" i="10"/>
  <c r="J156" i="10" s="1"/>
  <c r="K156" i="10" s="1"/>
  <c r="I157" i="10"/>
  <c r="J157" i="10" s="1"/>
  <c r="K157" i="10" s="1"/>
  <c r="I158" i="10"/>
  <c r="J158" i="10"/>
  <c r="K158" i="10" s="1"/>
  <c r="I159" i="10"/>
  <c r="J159" i="10"/>
  <c r="K159" i="10"/>
  <c r="I160" i="10"/>
  <c r="J160" i="10" s="1"/>
  <c r="K160" i="10" s="1"/>
  <c r="I161" i="10"/>
  <c r="J161" i="10" s="1"/>
  <c r="K161" i="10" s="1"/>
  <c r="I162" i="10"/>
  <c r="J162" i="10"/>
  <c r="K162" i="10" s="1"/>
  <c r="I163" i="10"/>
  <c r="J163" i="10" s="1"/>
  <c r="K163" i="10" s="1"/>
  <c r="I164" i="10"/>
  <c r="J164" i="10" s="1"/>
  <c r="K164" i="10" s="1"/>
  <c r="I165" i="10"/>
  <c r="J165" i="10" s="1"/>
  <c r="K165" i="10" s="1"/>
  <c r="I166" i="10"/>
  <c r="J166" i="10"/>
  <c r="K166" i="10" s="1"/>
  <c r="I167" i="10"/>
  <c r="J167" i="10"/>
  <c r="K167" i="10"/>
  <c r="I168" i="10"/>
  <c r="J168" i="10" s="1"/>
  <c r="K168" i="10" s="1"/>
  <c r="I169" i="10"/>
  <c r="J169" i="10" s="1"/>
  <c r="K169" i="10" s="1"/>
  <c r="I170" i="10"/>
  <c r="J170" i="10"/>
  <c r="K170" i="10" s="1"/>
  <c r="I171" i="10"/>
  <c r="J171" i="10" s="1"/>
  <c r="K171" i="10" s="1"/>
  <c r="I172" i="10"/>
  <c r="J172" i="10" s="1"/>
  <c r="K172" i="10" s="1"/>
  <c r="I173" i="10"/>
  <c r="J173" i="10" s="1"/>
  <c r="K173" i="10" s="1"/>
  <c r="I174" i="10"/>
  <c r="J174" i="10"/>
  <c r="K174" i="10" s="1"/>
  <c r="I175" i="10"/>
  <c r="J175" i="10"/>
  <c r="K175" i="10"/>
  <c r="I176" i="10"/>
  <c r="J176" i="10" s="1"/>
  <c r="K176" i="10" s="1"/>
  <c r="I177" i="10"/>
  <c r="J177" i="10" s="1"/>
  <c r="K177" i="10" s="1"/>
  <c r="I178" i="10"/>
  <c r="J178" i="10"/>
  <c r="K178" i="10" s="1"/>
  <c r="I179" i="10"/>
  <c r="J179" i="10" s="1"/>
  <c r="K179" i="10" s="1"/>
  <c r="I180" i="10"/>
  <c r="J180" i="10" s="1"/>
  <c r="K180" i="10" s="1"/>
  <c r="I181" i="10"/>
  <c r="J181" i="10" s="1"/>
  <c r="K181" i="10" s="1"/>
  <c r="I182" i="10"/>
  <c r="J182" i="10"/>
  <c r="K182" i="10" s="1"/>
  <c r="I183" i="10"/>
  <c r="J183" i="10"/>
  <c r="K183" i="10"/>
  <c r="I184" i="10"/>
  <c r="J184" i="10" s="1"/>
  <c r="K184" i="10" s="1"/>
  <c r="I185" i="10"/>
  <c r="J185" i="10" s="1"/>
  <c r="K185" i="10" s="1"/>
  <c r="I186" i="10"/>
  <c r="J186" i="10"/>
  <c r="K186" i="10" s="1"/>
  <c r="I187" i="10"/>
  <c r="J187" i="10" s="1"/>
  <c r="K187" i="10" s="1"/>
  <c r="I188" i="10"/>
  <c r="J188" i="10" s="1"/>
  <c r="K188" i="10" s="1"/>
  <c r="I189" i="10"/>
  <c r="J189" i="10" s="1"/>
  <c r="K189" i="10" s="1"/>
  <c r="I190" i="10"/>
  <c r="J190" i="10"/>
  <c r="K190" i="10" s="1"/>
  <c r="I191" i="10"/>
  <c r="J191" i="10"/>
  <c r="K191" i="10"/>
  <c r="I192" i="10"/>
  <c r="J192" i="10" s="1"/>
  <c r="K192" i="10" s="1"/>
  <c r="I193" i="10"/>
  <c r="J193" i="10" s="1"/>
  <c r="K193" i="10" s="1"/>
  <c r="I194" i="10"/>
  <c r="J194" i="10"/>
  <c r="K194" i="10" s="1"/>
  <c r="I195" i="10"/>
  <c r="J195" i="10" s="1"/>
  <c r="K195" i="10" s="1"/>
  <c r="I196" i="10"/>
  <c r="J196" i="10" s="1"/>
  <c r="K196" i="10" s="1"/>
  <c r="I197" i="10"/>
  <c r="J197" i="10" s="1"/>
  <c r="K197" i="10" s="1"/>
  <c r="I198" i="10"/>
  <c r="J198" i="10"/>
  <c r="K198" i="10" s="1"/>
  <c r="I199" i="10"/>
  <c r="J199" i="10"/>
  <c r="K199" i="10"/>
  <c r="I200" i="10"/>
  <c r="J200" i="10" s="1"/>
  <c r="K200" i="10" s="1"/>
  <c r="I201" i="10"/>
  <c r="J201" i="10" s="1"/>
  <c r="K201" i="10" s="1"/>
  <c r="I202" i="10"/>
  <c r="J202" i="10"/>
  <c r="K202" i="10" s="1"/>
  <c r="I203" i="10"/>
  <c r="J203" i="10" s="1"/>
  <c r="K203" i="10" s="1"/>
  <c r="I204" i="10"/>
  <c r="J204" i="10" s="1"/>
  <c r="K204" i="10" s="1"/>
  <c r="I205" i="10"/>
  <c r="J205" i="10" s="1"/>
  <c r="K205" i="10" s="1"/>
  <c r="I206" i="10"/>
  <c r="J206" i="10"/>
  <c r="K206" i="10" s="1"/>
  <c r="I207" i="10"/>
  <c r="J207" i="10"/>
  <c r="K207" i="10"/>
  <c r="I208" i="10"/>
  <c r="J208" i="10" s="1"/>
  <c r="K208" i="10" s="1"/>
  <c r="I209" i="10"/>
  <c r="J209" i="10" s="1"/>
  <c r="K209" i="10" s="1"/>
  <c r="I210" i="10"/>
  <c r="J210" i="10"/>
  <c r="K210" i="10" s="1"/>
  <c r="I211" i="10"/>
  <c r="J211" i="10" s="1"/>
  <c r="K211" i="10" s="1"/>
  <c r="I212" i="10"/>
  <c r="J212" i="10" s="1"/>
  <c r="K212" i="10" s="1"/>
  <c r="I213" i="10"/>
  <c r="J213" i="10" s="1"/>
  <c r="K213" i="10" s="1"/>
  <c r="I214" i="10"/>
  <c r="J214" i="10"/>
  <c r="K214" i="10" s="1"/>
  <c r="I215" i="10"/>
  <c r="J215" i="10"/>
  <c r="K215" i="10"/>
  <c r="I216" i="10"/>
  <c r="J216" i="10" s="1"/>
  <c r="K216" i="10" s="1"/>
  <c r="I217" i="10"/>
  <c r="J217" i="10" s="1"/>
  <c r="K217" i="10" s="1"/>
  <c r="I218" i="10"/>
  <c r="J218" i="10"/>
  <c r="K218" i="10" s="1"/>
  <c r="I219" i="10"/>
  <c r="J219" i="10" s="1"/>
  <c r="K219" i="10" s="1"/>
  <c r="I220" i="10"/>
  <c r="J220" i="10" s="1"/>
  <c r="K220" i="10" s="1"/>
  <c r="I221" i="10"/>
  <c r="J221" i="10" s="1"/>
  <c r="K221" i="10" s="1"/>
  <c r="I222" i="10"/>
  <c r="J222" i="10"/>
  <c r="K222" i="10" s="1"/>
  <c r="I223" i="10"/>
  <c r="J223" i="10"/>
  <c r="K223" i="10"/>
  <c r="I224" i="10"/>
  <c r="J224" i="10" s="1"/>
  <c r="K224" i="10" s="1"/>
  <c r="I225" i="10"/>
  <c r="J225" i="10" s="1"/>
  <c r="K225" i="10" s="1"/>
  <c r="I226" i="10"/>
  <c r="J226" i="10"/>
  <c r="K226" i="10" s="1"/>
  <c r="I227" i="10"/>
  <c r="J227" i="10" s="1"/>
  <c r="K227" i="10" s="1"/>
  <c r="I228" i="10"/>
  <c r="J228" i="10" s="1"/>
  <c r="K228" i="10" s="1"/>
  <c r="I229" i="10"/>
  <c r="J229" i="10" s="1"/>
  <c r="K229" i="10" s="1"/>
  <c r="I230" i="10"/>
  <c r="J230" i="10"/>
  <c r="K230" i="10" s="1"/>
  <c r="I231" i="10"/>
  <c r="J231" i="10"/>
  <c r="K231" i="10"/>
  <c r="I232" i="10"/>
  <c r="J232" i="10" s="1"/>
  <c r="K232" i="10" s="1"/>
  <c r="I233" i="10"/>
  <c r="J233" i="10" s="1"/>
  <c r="K233" i="10" s="1"/>
  <c r="I234" i="10"/>
  <c r="J234" i="10"/>
  <c r="K234" i="10" s="1"/>
  <c r="I235" i="10"/>
  <c r="J235" i="10" s="1"/>
  <c r="K235" i="10" s="1"/>
  <c r="I236" i="10"/>
  <c r="J236" i="10" s="1"/>
  <c r="K236" i="10" s="1"/>
  <c r="I237" i="10"/>
  <c r="J237" i="10" s="1"/>
  <c r="K237" i="10" s="1"/>
  <c r="I238" i="10"/>
  <c r="J238" i="10"/>
  <c r="K238" i="10" s="1"/>
  <c r="I239" i="10"/>
  <c r="J239" i="10"/>
  <c r="K239" i="10"/>
  <c r="I240" i="10"/>
  <c r="J240" i="10" s="1"/>
  <c r="K240" i="10" s="1"/>
  <c r="I241" i="10"/>
  <c r="J241" i="10" s="1"/>
  <c r="K241" i="10" s="1"/>
  <c r="I242" i="10"/>
  <c r="J242" i="10"/>
  <c r="K242" i="10" s="1"/>
  <c r="I243" i="10"/>
  <c r="J243" i="10" s="1"/>
  <c r="K243" i="10" s="1"/>
  <c r="I244" i="10"/>
  <c r="J244" i="10" s="1"/>
  <c r="K244" i="10" s="1"/>
  <c r="I245" i="10"/>
  <c r="J245" i="10" s="1"/>
  <c r="K245" i="10" s="1"/>
  <c r="I246" i="10"/>
  <c r="J246" i="10"/>
  <c r="K246" i="10" s="1"/>
  <c r="I247" i="10"/>
  <c r="J247" i="10"/>
  <c r="K247" i="10"/>
  <c r="I248" i="10"/>
  <c r="J248" i="10"/>
  <c r="K248" i="10" s="1"/>
  <c r="I249" i="10"/>
  <c r="J249" i="10" s="1"/>
  <c r="K249" i="10" s="1"/>
  <c r="I250" i="10"/>
  <c r="J250" i="10"/>
  <c r="K250" i="10" s="1"/>
  <c r="I251" i="10"/>
  <c r="J251" i="10" s="1"/>
  <c r="K251" i="10" s="1"/>
  <c r="I252" i="10"/>
  <c r="J252" i="10" s="1"/>
  <c r="K252" i="10" s="1"/>
  <c r="I253" i="10"/>
  <c r="J253" i="10" s="1"/>
  <c r="K253" i="10" s="1"/>
  <c r="I254" i="10"/>
  <c r="J254" i="10"/>
  <c r="K254" i="10" s="1"/>
  <c r="I255" i="10"/>
  <c r="J255" i="10"/>
  <c r="K255" i="10"/>
  <c r="I256" i="10"/>
  <c r="J256" i="10"/>
  <c r="K256" i="10" s="1"/>
  <c r="I257" i="10"/>
  <c r="J257" i="10" s="1"/>
  <c r="K257" i="10" s="1"/>
  <c r="I258" i="10"/>
  <c r="J258" i="10"/>
  <c r="K258" i="10" s="1"/>
  <c r="I259" i="10"/>
  <c r="J259" i="10" s="1"/>
  <c r="K259" i="10" s="1"/>
  <c r="I260" i="10"/>
  <c r="J260" i="10" s="1"/>
  <c r="K260" i="10" s="1"/>
  <c r="I261" i="10"/>
  <c r="J261" i="10" s="1"/>
  <c r="K261" i="10" s="1"/>
  <c r="I262" i="10"/>
  <c r="J262" i="10"/>
  <c r="K262" i="10" s="1"/>
  <c r="I263" i="10"/>
  <c r="J263" i="10"/>
  <c r="K263" i="10"/>
  <c r="I264" i="10"/>
  <c r="J264" i="10"/>
  <c r="K264" i="10" s="1"/>
  <c r="I265" i="10"/>
  <c r="J265" i="10" s="1"/>
  <c r="K265" i="10" s="1"/>
  <c r="I266" i="10"/>
  <c r="J266" i="10"/>
  <c r="K266" i="10" s="1"/>
  <c r="I267" i="10"/>
  <c r="J267" i="10" s="1"/>
  <c r="K267" i="10" s="1"/>
  <c r="I268" i="10"/>
  <c r="J268" i="10" s="1"/>
  <c r="K268" i="10" s="1"/>
  <c r="I269" i="10"/>
  <c r="J269" i="10" s="1"/>
  <c r="K269" i="10" s="1"/>
  <c r="I270" i="10"/>
  <c r="J270" i="10"/>
  <c r="K270" i="10" s="1"/>
  <c r="I271" i="10"/>
  <c r="J271" i="10"/>
  <c r="K271" i="10"/>
  <c r="I272" i="10"/>
  <c r="J272" i="10"/>
  <c r="K272" i="10" s="1"/>
  <c r="I273" i="10"/>
  <c r="J273" i="10" s="1"/>
  <c r="K273" i="10" s="1"/>
  <c r="I274" i="10"/>
  <c r="J274" i="10"/>
  <c r="K274" i="10" s="1"/>
  <c r="I275" i="10"/>
  <c r="J275" i="10" s="1"/>
  <c r="K275" i="10" s="1"/>
  <c r="I276" i="10"/>
  <c r="J276" i="10" s="1"/>
  <c r="K276" i="10" s="1"/>
  <c r="I277" i="10"/>
  <c r="J277" i="10" s="1"/>
  <c r="K277" i="10" s="1"/>
  <c r="I278" i="10"/>
  <c r="J278" i="10"/>
  <c r="K278" i="10" s="1"/>
  <c r="I279" i="10"/>
  <c r="J279" i="10"/>
  <c r="K279" i="10"/>
  <c r="I280" i="10"/>
  <c r="J280" i="10"/>
  <c r="K280" i="10" s="1"/>
  <c r="I281" i="10"/>
  <c r="J281" i="10" s="1"/>
  <c r="K281" i="10" s="1"/>
  <c r="I282" i="10"/>
  <c r="J282" i="10"/>
  <c r="K282" i="10" s="1"/>
  <c r="I283" i="10"/>
  <c r="J283" i="10" s="1"/>
  <c r="K283" i="10" s="1"/>
  <c r="I284" i="10"/>
  <c r="J284" i="10" s="1"/>
  <c r="K284" i="10" s="1"/>
  <c r="I285" i="10"/>
  <c r="J285" i="10" s="1"/>
  <c r="K285" i="10" s="1"/>
  <c r="I286" i="10"/>
  <c r="J286" i="10"/>
  <c r="K286" i="10" s="1"/>
  <c r="I287" i="10"/>
  <c r="J287" i="10"/>
  <c r="K287" i="10"/>
  <c r="I288" i="10"/>
  <c r="J288" i="10"/>
  <c r="K288" i="10" s="1"/>
  <c r="I289" i="10"/>
  <c r="J289" i="10" s="1"/>
  <c r="K289" i="10" s="1"/>
  <c r="I290" i="10"/>
  <c r="J290" i="10"/>
  <c r="K290" i="10" s="1"/>
  <c r="I291" i="10"/>
  <c r="J291" i="10" s="1"/>
  <c r="K291" i="10" s="1"/>
  <c r="I292" i="10"/>
  <c r="J292" i="10" s="1"/>
  <c r="K292" i="10" s="1"/>
  <c r="I293" i="10"/>
  <c r="J293" i="10" s="1"/>
  <c r="K293" i="10" s="1"/>
  <c r="I294" i="10"/>
  <c r="J294" i="10"/>
  <c r="K294" i="10" s="1"/>
  <c r="I295" i="10"/>
  <c r="J295" i="10"/>
  <c r="K295" i="10"/>
  <c r="I296" i="10"/>
  <c r="J296" i="10"/>
  <c r="K296" i="10" s="1"/>
  <c r="I297" i="10"/>
  <c r="J297" i="10" s="1"/>
  <c r="K297" i="10" s="1"/>
  <c r="I298" i="10"/>
  <c r="J298" i="10" s="1"/>
  <c r="K298" i="10" s="1"/>
  <c r="I299" i="10"/>
  <c r="J299" i="10" s="1"/>
  <c r="K299" i="10" s="1"/>
  <c r="I300" i="10"/>
  <c r="J300" i="10" s="1"/>
  <c r="K300" i="10" s="1"/>
  <c r="I301" i="10"/>
  <c r="J301" i="10" s="1"/>
  <c r="K301" i="10" s="1"/>
  <c r="I302" i="10"/>
  <c r="J302" i="10"/>
  <c r="K302" i="10" s="1"/>
  <c r="I303" i="10"/>
  <c r="J303" i="10"/>
  <c r="K303" i="10" s="1"/>
  <c r="I304" i="10"/>
  <c r="J304" i="10"/>
  <c r="K304" i="10" s="1"/>
  <c r="I305" i="10"/>
  <c r="J305" i="10" s="1"/>
  <c r="K305" i="10" s="1"/>
  <c r="I306" i="10"/>
  <c r="J306" i="10" s="1"/>
  <c r="K306" i="10" s="1"/>
  <c r="I307" i="10"/>
  <c r="J307" i="10" s="1"/>
  <c r="K307" i="10" s="1"/>
  <c r="I308" i="10"/>
  <c r="J308" i="10" s="1"/>
  <c r="K308" i="10"/>
  <c r="I309" i="10"/>
  <c r="J309" i="10" s="1"/>
  <c r="K309" i="10" s="1"/>
  <c r="I310" i="10"/>
  <c r="J310" i="10"/>
  <c r="K310" i="10" s="1"/>
  <c r="I311" i="10"/>
  <c r="J311" i="10"/>
  <c r="K311" i="10" s="1"/>
  <c r="I312" i="10"/>
  <c r="J312" i="10"/>
  <c r="K312" i="10" s="1"/>
  <c r="I313" i="10"/>
  <c r="J313" i="10" s="1"/>
  <c r="K313" i="10" s="1"/>
  <c r="I314" i="10"/>
  <c r="J314" i="10"/>
  <c r="K314" i="10" s="1"/>
  <c r="I315" i="10"/>
  <c r="J315" i="10" s="1"/>
  <c r="K315" i="10" s="1"/>
  <c r="I316" i="10"/>
  <c r="J316" i="10" s="1"/>
  <c r="K316" i="10" s="1"/>
  <c r="I317" i="10"/>
  <c r="J317" i="10" s="1"/>
  <c r="K317" i="10" s="1"/>
  <c r="I318" i="10"/>
  <c r="J318" i="10"/>
  <c r="K318" i="10" s="1"/>
  <c r="I319" i="10"/>
  <c r="J319" i="10"/>
  <c r="K319" i="10" s="1"/>
  <c r="I320" i="10"/>
  <c r="J320" i="10"/>
  <c r="K320" i="10" s="1"/>
  <c r="I321" i="10"/>
  <c r="J321" i="10" s="1"/>
  <c r="K321" i="10" s="1"/>
  <c r="I322" i="10"/>
  <c r="J322" i="10"/>
  <c r="K322" i="10" s="1"/>
  <c r="I323" i="10"/>
  <c r="J323" i="10" s="1"/>
  <c r="K323" i="10" s="1"/>
  <c r="I324" i="10"/>
  <c r="J324" i="10" s="1"/>
  <c r="K324" i="10" s="1"/>
  <c r="I325" i="10"/>
  <c r="J325" i="10" s="1"/>
  <c r="K325" i="10" s="1"/>
  <c r="I326" i="10"/>
  <c r="J326" i="10"/>
  <c r="K326" i="10" s="1"/>
  <c r="I327" i="10"/>
  <c r="J327" i="10"/>
  <c r="K327" i="10" s="1"/>
  <c r="I328" i="10"/>
  <c r="J328" i="10"/>
  <c r="K328" i="10" s="1"/>
  <c r="I329" i="10"/>
  <c r="J329" i="10" s="1"/>
  <c r="K329" i="10" s="1"/>
  <c r="I330" i="10"/>
  <c r="J330" i="10" s="1"/>
  <c r="K330" i="10" s="1"/>
  <c r="I331" i="10"/>
  <c r="J331" i="10" s="1"/>
  <c r="K331" i="10"/>
  <c r="I332" i="10"/>
  <c r="J332" i="10" s="1"/>
  <c r="K332" i="10" s="1"/>
  <c r="I333" i="10"/>
  <c r="J333" i="10" s="1"/>
  <c r="K333" i="10" s="1"/>
  <c r="I334" i="10"/>
  <c r="J334" i="10"/>
  <c r="K334" i="10" s="1"/>
  <c r="I335" i="10"/>
  <c r="J335" i="10"/>
  <c r="K335" i="10"/>
  <c r="I336" i="10"/>
  <c r="J336" i="10"/>
  <c r="K336" i="10" s="1"/>
  <c r="I337" i="10"/>
  <c r="J337" i="10" s="1"/>
  <c r="K337" i="10" s="1"/>
  <c r="I338" i="10"/>
  <c r="J338" i="10"/>
  <c r="K338" i="10" s="1"/>
  <c r="I339" i="10"/>
  <c r="J339" i="10" s="1"/>
  <c r="K339" i="10"/>
  <c r="I340" i="10"/>
  <c r="J340" i="10" s="1"/>
  <c r="K340" i="10" s="1"/>
  <c r="I341" i="10"/>
  <c r="J341" i="10" s="1"/>
  <c r="K341" i="10"/>
  <c r="I342" i="10"/>
  <c r="J342" i="10"/>
  <c r="K342" i="10" s="1"/>
  <c r="I343" i="10"/>
  <c r="J343" i="10"/>
  <c r="K343" i="10"/>
  <c r="I344" i="10"/>
  <c r="J344" i="10"/>
  <c r="K344" i="10" s="1"/>
  <c r="I345" i="10"/>
  <c r="J345" i="10" s="1"/>
  <c r="K345" i="10" s="1"/>
  <c r="I346" i="10"/>
  <c r="J346" i="10"/>
  <c r="K346" i="10" s="1"/>
  <c r="I347" i="10"/>
  <c r="J347" i="10"/>
  <c r="K347" i="10"/>
  <c r="I348" i="10"/>
  <c r="J348" i="10" s="1"/>
  <c r="K348" i="10" s="1"/>
  <c r="I349" i="10"/>
  <c r="J349" i="10"/>
  <c r="K349" i="10" s="1"/>
  <c r="I350" i="10"/>
  <c r="J350" i="10"/>
  <c r="K350" i="10" s="1"/>
  <c r="I351" i="10"/>
  <c r="J351" i="10"/>
  <c r="K351" i="10" s="1"/>
  <c r="I352" i="10"/>
  <c r="J352" i="10" s="1"/>
  <c r="K352" i="10" s="1"/>
  <c r="I353" i="10"/>
  <c r="J353" i="10" s="1"/>
  <c r="K353" i="10" s="1"/>
  <c r="I354" i="10"/>
  <c r="J354" i="10" s="1"/>
  <c r="K354" i="10" s="1"/>
  <c r="I355" i="10"/>
  <c r="J355" i="10"/>
  <c r="K355" i="10"/>
  <c r="I356" i="10"/>
  <c r="J356" i="10" s="1"/>
  <c r="K356" i="10" s="1"/>
  <c r="I357" i="10"/>
  <c r="J357" i="10"/>
  <c r="K357" i="10" s="1"/>
  <c r="I358" i="10"/>
  <c r="J358" i="10"/>
  <c r="K358" i="10" s="1"/>
  <c r="I359" i="10"/>
  <c r="J359" i="10"/>
  <c r="K359" i="10" s="1"/>
  <c r="I360" i="10"/>
  <c r="J360" i="10" s="1"/>
  <c r="K360" i="10" s="1"/>
  <c r="I361" i="10"/>
  <c r="J361" i="10" s="1"/>
  <c r="K361" i="10" s="1"/>
  <c r="I362" i="10"/>
  <c r="J362" i="10" s="1"/>
  <c r="K362" i="10" s="1"/>
  <c r="I363" i="10"/>
  <c r="J363" i="10"/>
  <c r="K363" i="10"/>
  <c r="I364" i="10"/>
  <c r="J364" i="10" s="1"/>
  <c r="K364" i="10" s="1"/>
  <c r="I365" i="10"/>
  <c r="J365" i="10"/>
  <c r="K365" i="10" s="1"/>
  <c r="I366" i="10"/>
  <c r="J366" i="10"/>
  <c r="K366" i="10" s="1"/>
  <c r="I367" i="10"/>
  <c r="J367" i="10"/>
  <c r="K367" i="10" s="1"/>
  <c r="I368" i="10"/>
  <c r="J368" i="10" s="1"/>
  <c r="K368" i="10" s="1"/>
  <c r="I369" i="10"/>
  <c r="J369" i="10" s="1"/>
  <c r="K369" i="10" s="1"/>
  <c r="I370" i="10"/>
  <c r="J370" i="10" s="1"/>
  <c r="K370" i="10" s="1"/>
  <c r="I371" i="10"/>
  <c r="J371" i="10"/>
  <c r="K371" i="10"/>
  <c r="I372" i="10"/>
  <c r="J372" i="10" s="1"/>
  <c r="K372" i="10" s="1"/>
  <c r="I373" i="10"/>
  <c r="J373" i="10"/>
  <c r="K373" i="10" s="1"/>
  <c r="I374" i="10"/>
  <c r="J374" i="10"/>
  <c r="K374" i="10" s="1"/>
  <c r="I375" i="10"/>
  <c r="J375" i="10"/>
  <c r="K375" i="10" s="1"/>
  <c r="I376" i="10"/>
  <c r="J376" i="10" s="1"/>
  <c r="K376" i="10" s="1"/>
  <c r="I377" i="10"/>
  <c r="J377" i="10" s="1"/>
  <c r="K377" i="10" s="1"/>
  <c r="I378" i="10"/>
  <c r="J378" i="10" s="1"/>
  <c r="K378" i="10" s="1"/>
  <c r="I379" i="10"/>
  <c r="J379" i="10"/>
  <c r="K379" i="10"/>
  <c r="I380" i="10"/>
  <c r="J380" i="10" s="1"/>
  <c r="K380" i="10" s="1"/>
  <c r="I381" i="10"/>
  <c r="J381" i="10"/>
  <c r="K381" i="10" s="1"/>
  <c r="I382" i="10"/>
  <c r="J382" i="10"/>
  <c r="K382" i="10" s="1"/>
  <c r="I383" i="10"/>
  <c r="J383" i="10"/>
  <c r="K383" i="10" s="1"/>
  <c r="I384" i="10"/>
  <c r="J384" i="10" s="1"/>
  <c r="K384" i="10" s="1"/>
  <c r="I385" i="10"/>
  <c r="J385" i="10" s="1"/>
  <c r="K385" i="10" s="1"/>
  <c r="I386" i="10"/>
  <c r="J386" i="10" s="1"/>
  <c r="K386" i="10" s="1"/>
  <c r="I387" i="10"/>
  <c r="J387" i="10"/>
  <c r="K387" i="10"/>
  <c r="I388" i="10"/>
  <c r="J388" i="10" s="1"/>
  <c r="K388" i="10" s="1"/>
  <c r="I389" i="10"/>
  <c r="J389" i="10"/>
  <c r="K389" i="10" s="1"/>
  <c r="I390" i="10"/>
  <c r="J390" i="10"/>
  <c r="K390" i="10" s="1"/>
  <c r="I391" i="10"/>
  <c r="J391" i="10"/>
  <c r="K391" i="10" s="1"/>
  <c r="I392" i="10"/>
  <c r="J392" i="10" s="1"/>
  <c r="K392" i="10" s="1"/>
  <c r="I393" i="10"/>
  <c r="J393" i="10" s="1"/>
  <c r="K393" i="10" s="1"/>
  <c r="I394" i="10"/>
  <c r="J394" i="10" s="1"/>
  <c r="K394" i="10" s="1"/>
  <c r="I395" i="10"/>
  <c r="J395" i="10"/>
  <c r="K395" i="10"/>
  <c r="I396" i="10"/>
  <c r="J396" i="10" s="1"/>
  <c r="K396" i="10" s="1"/>
  <c r="I397" i="10"/>
  <c r="J397" i="10"/>
  <c r="K397" i="10" s="1"/>
  <c r="I398" i="10"/>
  <c r="J398" i="10"/>
  <c r="K398" i="10" s="1"/>
  <c r="I399" i="10"/>
  <c r="J399" i="10"/>
  <c r="K399" i="10" s="1"/>
  <c r="I400" i="10"/>
  <c r="J400" i="10" s="1"/>
  <c r="K400" i="10" s="1"/>
  <c r="I401" i="10"/>
  <c r="J401" i="10" s="1"/>
  <c r="K401" i="10" s="1"/>
  <c r="I402" i="10"/>
  <c r="J402" i="10" s="1"/>
  <c r="K402" i="10" s="1"/>
  <c r="I403" i="10"/>
  <c r="J403" i="10"/>
  <c r="K403" i="10"/>
  <c r="I404" i="10"/>
  <c r="J404" i="10" s="1"/>
  <c r="K404" i="10" s="1"/>
  <c r="I405" i="10"/>
  <c r="J405" i="10"/>
  <c r="K405" i="10" s="1"/>
  <c r="I406" i="10"/>
  <c r="J406" i="10"/>
  <c r="K406" i="10" s="1"/>
  <c r="I407" i="10"/>
  <c r="J407" i="10"/>
  <c r="K407" i="10" s="1"/>
  <c r="I408" i="10"/>
  <c r="J408" i="10" s="1"/>
  <c r="K408" i="10" s="1"/>
  <c r="I409" i="10"/>
  <c r="J409" i="10" s="1"/>
  <c r="K409" i="10" s="1"/>
  <c r="I410" i="10"/>
  <c r="J410" i="10" s="1"/>
  <c r="K410" i="10" s="1"/>
  <c r="I411" i="10"/>
  <c r="J411" i="10"/>
  <c r="K411" i="10"/>
  <c r="I412" i="10"/>
  <c r="J412" i="10" s="1"/>
  <c r="K412" i="10" s="1"/>
  <c r="I413" i="10"/>
  <c r="J413" i="10"/>
  <c r="K413" i="10" s="1"/>
  <c r="I414" i="10"/>
  <c r="J414" i="10"/>
  <c r="K414" i="10" s="1"/>
  <c r="I415" i="10"/>
  <c r="J415" i="10"/>
  <c r="K415" i="10" s="1"/>
  <c r="I416" i="10"/>
  <c r="J416" i="10" s="1"/>
  <c r="K416" i="10" s="1"/>
  <c r="I417" i="10"/>
  <c r="J417" i="10" s="1"/>
  <c r="K417" i="10" s="1"/>
  <c r="I418" i="10"/>
  <c r="J418" i="10" s="1"/>
  <c r="K418" i="10" s="1"/>
  <c r="I419" i="10"/>
  <c r="J419" i="10"/>
  <c r="K419" i="10"/>
  <c r="I420" i="10"/>
  <c r="J420" i="10" s="1"/>
  <c r="K420" i="10" s="1"/>
  <c r="I421" i="10"/>
  <c r="J421" i="10"/>
  <c r="K421" i="10" s="1"/>
  <c r="I422" i="10"/>
  <c r="J422" i="10"/>
  <c r="K422" i="10" s="1"/>
  <c r="I423" i="10"/>
  <c r="J423" i="10"/>
  <c r="K423" i="10" s="1"/>
  <c r="I424" i="10"/>
  <c r="J424" i="10" s="1"/>
  <c r="K424" i="10" s="1"/>
  <c r="I425" i="10"/>
  <c r="J425" i="10" s="1"/>
  <c r="K425" i="10" s="1"/>
  <c r="I426" i="10"/>
  <c r="J426" i="10" s="1"/>
  <c r="K426" i="10" s="1"/>
  <c r="I427" i="10"/>
  <c r="J427" i="10"/>
  <c r="K427" i="10"/>
  <c r="I428" i="10"/>
  <c r="J428" i="10" s="1"/>
  <c r="K428" i="10" s="1"/>
  <c r="I429" i="10"/>
  <c r="J429" i="10"/>
  <c r="K429" i="10" s="1"/>
  <c r="I430" i="10"/>
  <c r="J430" i="10"/>
  <c r="K430" i="10" s="1"/>
  <c r="I431" i="10"/>
  <c r="J431" i="10"/>
  <c r="K431" i="10" s="1"/>
  <c r="I432" i="10"/>
  <c r="J432" i="10" s="1"/>
  <c r="K432" i="10" s="1"/>
  <c r="I433" i="10"/>
  <c r="J433" i="10" s="1"/>
  <c r="K433" i="10" s="1"/>
  <c r="I434" i="10"/>
  <c r="J434" i="10" s="1"/>
  <c r="K434" i="10" s="1"/>
  <c r="I435" i="10"/>
  <c r="J435" i="10"/>
  <c r="K435" i="10"/>
  <c r="I436" i="10"/>
  <c r="J436" i="10" s="1"/>
  <c r="K436" i="10" s="1"/>
  <c r="I437" i="10"/>
  <c r="J437" i="10"/>
  <c r="K437" i="10" s="1"/>
  <c r="I438" i="10"/>
  <c r="J438" i="10"/>
  <c r="K438" i="10" s="1"/>
  <c r="I439" i="10"/>
  <c r="J439" i="10"/>
  <c r="K439" i="10" s="1"/>
  <c r="I440" i="10"/>
  <c r="J440" i="10" s="1"/>
  <c r="K440" i="10" s="1"/>
  <c r="I441" i="10"/>
  <c r="J441" i="10" s="1"/>
  <c r="K441" i="10" s="1"/>
  <c r="I442" i="10"/>
  <c r="J442" i="10" s="1"/>
  <c r="K442" i="10" s="1"/>
  <c r="I443" i="10"/>
  <c r="J443" i="10"/>
  <c r="K443" i="10"/>
  <c r="I444" i="10"/>
  <c r="J444" i="10" s="1"/>
  <c r="K444" i="10" s="1"/>
  <c r="I445" i="10"/>
  <c r="J445" i="10"/>
  <c r="K445" i="10" s="1"/>
  <c r="I446" i="10"/>
  <c r="J446" i="10"/>
  <c r="K446" i="10" s="1"/>
  <c r="I447" i="10"/>
  <c r="J447" i="10"/>
  <c r="K447" i="10" s="1"/>
  <c r="I448" i="10"/>
  <c r="J448" i="10" s="1"/>
  <c r="K448" i="10" s="1"/>
  <c r="I449" i="10"/>
  <c r="J449" i="10" s="1"/>
  <c r="K449" i="10" s="1"/>
  <c r="I450" i="10"/>
  <c r="J450" i="10" s="1"/>
  <c r="K450" i="10" s="1"/>
  <c r="I451" i="10"/>
  <c r="J451" i="10"/>
  <c r="K451" i="10"/>
  <c r="I452" i="10"/>
  <c r="J452" i="10" s="1"/>
  <c r="K452" i="10" s="1"/>
  <c r="I453" i="10"/>
  <c r="J453" i="10"/>
  <c r="K453" i="10" s="1"/>
  <c r="I454" i="10"/>
  <c r="J454" i="10"/>
  <c r="K454" i="10" s="1"/>
  <c r="I455" i="10"/>
  <c r="J455" i="10"/>
  <c r="K455" i="10" s="1"/>
  <c r="I456" i="10"/>
  <c r="J456" i="10" s="1"/>
  <c r="K456" i="10" s="1"/>
  <c r="I457" i="10"/>
  <c r="J457" i="10" s="1"/>
  <c r="K457" i="10" s="1"/>
  <c r="I458" i="10"/>
  <c r="J458" i="10" s="1"/>
  <c r="K458" i="10" s="1"/>
  <c r="I459" i="10"/>
  <c r="J459" i="10"/>
  <c r="K459" i="10"/>
  <c r="I460" i="10"/>
  <c r="J460" i="10" s="1"/>
  <c r="K460" i="10" s="1"/>
  <c r="I461" i="10"/>
  <c r="J461" i="10"/>
  <c r="K461" i="10" s="1"/>
  <c r="I462" i="10"/>
  <c r="J462" i="10"/>
  <c r="K462" i="10" s="1"/>
  <c r="I463" i="10"/>
  <c r="J463" i="10"/>
  <c r="K463" i="10" s="1"/>
  <c r="I464" i="10"/>
  <c r="J464" i="10" s="1"/>
  <c r="K464" i="10" s="1"/>
  <c r="I465" i="10"/>
  <c r="J465" i="10" s="1"/>
  <c r="K465" i="10" s="1"/>
  <c r="I466" i="10"/>
  <c r="J466" i="10" s="1"/>
  <c r="K466" i="10" s="1"/>
  <c r="I467" i="10"/>
  <c r="J467" i="10"/>
  <c r="K467" i="10"/>
  <c r="I468" i="10"/>
  <c r="J468" i="10" s="1"/>
  <c r="K468" i="10" s="1"/>
  <c r="I469" i="10"/>
  <c r="J469" i="10"/>
  <c r="K469" i="10" s="1"/>
  <c r="I470" i="10"/>
  <c r="J470" i="10"/>
  <c r="K470" i="10" s="1"/>
  <c r="I471" i="10"/>
  <c r="J471" i="10"/>
  <c r="K471" i="10" s="1"/>
  <c r="I472" i="10"/>
  <c r="J472" i="10" s="1"/>
  <c r="K472" i="10" s="1"/>
  <c r="I473" i="10"/>
  <c r="J473" i="10" s="1"/>
  <c r="K473" i="10" s="1"/>
  <c r="I474" i="10"/>
  <c r="J474" i="10" s="1"/>
  <c r="K474" i="10" s="1"/>
  <c r="I475" i="10"/>
  <c r="J475" i="10"/>
  <c r="K475" i="10"/>
  <c r="I476" i="10"/>
  <c r="J476" i="10" s="1"/>
  <c r="K476" i="10" s="1"/>
  <c r="I477" i="10"/>
  <c r="J477" i="10"/>
  <c r="K477" i="10" s="1"/>
  <c r="I478" i="10"/>
  <c r="J478" i="10"/>
  <c r="K478" i="10" s="1"/>
  <c r="I479" i="10"/>
  <c r="J479" i="10"/>
  <c r="K479" i="10" s="1"/>
  <c r="I480" i="10"/>
  <c r="J480" i="10" s="1"/>
  <c r="K480" i="10" s="1"/>
  <c r="I481" i="10"/>
  <c r="J481" i="10" s="1"/>
  <c r="K481" i="10" s="1"/>
  <c r="I482" i="10"/>
  <c r="J482" i="10" s="1"/>
  <c r="K482" i="10" s="1"/>
  <c r="I483" i="10"/>
  <c r="J483" i="10"/>
  <c r="K483" i="10"/>
  <c r="I484" i="10"/>
  <c r="J484" i="10" s="1"/>
  <c r="K484" i="10" s="1"/>
  <c r="I485" i="10"/>
  <c r="J485" i="10"/>
  <c r="K485" i="10" s="1"/>
  <c r="I486" i="10"/>
  <c r="J486" i="10"/>
  <c r="K486" i="10" s="1"/>
  <c r="I487" i="10"/>
  <c r="J487" i="10"/>
  <c r="K487" i="10" s="1"/>
  <c r="I488" i="10"/>
  <c r="J488" i="10" s="1"/>
  <c r="K488" i="10" s="1"/>
  <c r="I489" i="10"/>
  <c r="J489" i="10" s="1"/>
  <c r="K489" i="10" s="1"/>
  <c r="I490" i="10"/>
  <c r="J490" i="10" s="1"/>
  <c r="K490" i="10" s="1"/>
  <c r="I491" i="10"/>
  <c r="J491" i="10"/>
  <c r="K491" i="10"/>
  <c r="I492" i="10"/>
  <c r="J492" i="10" s="1"/>
  <c r="K492" i="10" s="1"/>
  <c r="I493" i="10"/>
  <c r="J493" i="10"/>
  <c r="K493" i="10" s="1"/>
  <c r="I494" i="10"/>
  <c r="J494" i="10"/>
  <c r="K494" i="10" s="1"/>
  <c r="I495" i="10"/>
  <c r="J495" i="10"/>
  <c r="K495" i="10" s="1"/>
  <c r="I496" i="10"/>
  <c r="J496" i="10" s="1"/>
  <c r="K496" i="10" s="1"/>
  <c r="I497" i="10"/>
  <c r="J497" i="10"/>
  <c r="K497" i="10" s="1"/>
  <c r="I498" i="10"/>
  <c r="J498" i="10" s="1"/>
  <c r="K498" i="10" s="1"/>
  <c r="I499" i="10"/>
  <c r="J499" i="10"/>
  <c r="K499" i="10"/>
  <c r="I500" i="10"/>
  <c r="J500" i="10" s="1"/>
  <c r="K500" i="10" s="1"/>
  <c r="I501" i="10"/>
  <c r="J501" i="10"/>
  <c r="K501" i="10" s="1"/>
  <c r="I502" i="10"/>
  <c r="J502" i="10"/>
  <c r="K502" i="10"/>
  <c r="I503" i="10"/>
  <c r="J503" i="10"/>
  <c r="K503" i="10" s="1"/>
  <c r="I504" i="10"/>
  <c r="J504" i="10" s="1"/>
  <c r="K504" i="10" s="1"/>
  <c r="I505" i="10"/>
  <c r="J505" i="10"/>
  <c r="K505" i="10" s="1"/>
  <c r="I506" i="10"/>
  <c r="J506" i="10" s="1"/>
  <c r="K506" i="10" s="1"/>
  <c r="I507" i="10"/>
  <c r="J507" i="10"/>
  <c r="K507" i="10"/>
  <c r="I508" i="10"/>
  <c r="J508" i="10" s="1"/>
  <c r="K508" i="10" s="1"/>
  <c r="I509" i="10"/>
  <c r="J509" i="10"/>
  <c r="K509" i="10" s="1"/>
  <c r="I510" i="10"/>
  <c r="J510" i="10"/>
  <c r="K510" i="10"/>
  <c r="I511" i="10"/>
  <c r="J511" i="10"/>
  <c r="K511" i="10" s="1"/>
  <c r="I512" i="10"/>
  <c r="J512" i="10" s="1"/>
  <c r="K512" i="10" s="1"/>
  <c r="I513" i="10"/>
  <c r="J513" i="10" s="1"/>
  <c r="K513" i="10" s="1"/>
  <c r="I514" i="10"/>
  <c r="J514" i="10" s="1"/>
  <c r="K514" i="10" s="1"/>
  <c r="I515" i="10"/>
  <c r="J515" i="10"/>
  <c r="K515" i="10"/>
  <c r="I516" i="10"/>
  <c r="J516" i="10" s="1"/>
  <c r="K516" i="10" s="1"/>
  <c r="I517" i="10"/>
  <c r="J517" i="10"/>
  <c r="K517" i="10" s="1"/>
  <c r="I518" i="10"/>
  <c r="J518" i="10"/>
  <c r="K518" i="10"/>
  <c r="I519" i="10"/>
  <c r="J519" i="10"/>
  <c r="K519" i="10" s="1"/>
  <c r="I520" i="10"/>
  <c r="J520" i="10" s="1"/>
  <c r="K520" i="10" s="1"/>
  <c r="I521" i="10"/>
  <c r="J521" i="10"/>
  <c r="K521" i="10" s="1"/>
  <c r="I522" i="10"/>
  <c r="J522" i="10" s="1"/>
  <c r="K522" i="10" s="1"/>
  <c r="I523" i="10"/>
  <c r="J523" i="10"/>
  <c r="K523" i="10"/>
  <c r="I524" i="10"/>
  <c r="J524" i="10" s="1"/>
  <c r="K524" i="10" s="1"/>
  <c r="I525" i="10"/>
  <c r="J525" i="10"/>
  <c r="K525" i="10" s="1"/>
  <c r="I526" i="10"/>
  <c r="J526" i="10"/>
  <c r="K526" i="10"/>
  <c r="I527" i="10"/>
  <c r="J527" i="10"/>
  <c r="K527" i="10" s="1"/>
  <c r="I528" i="10"/>
  <c r="J528" i="10" s="1"/>
  <c r="K528" i="10" s="1"/>
  <c r="I529" i="10"/>
  <c r="J529" i="10" s="1"/>
  <c r="K529" i="10" s="1"/>
  <c r="I530" i="10"/>
  <c r="J530" i="10" s="1"/>
  <c r="K530" i="10" s="1"/>
  <c r="I531" i="10"/>
  <c r="J531" i="10"/>
  <c r="K531" i="10"/>
  <c r="I532" i="10"/>
  <c r="J532" i="10" s="1"/>
  <c r="K532" i="10" s="1"/>
  <c r="I533" i="10"/>
  <c r="J533" i="10"/>
  <c r="K533" i="10" s="1"/>
  <c r="I534" i="10"/>
  <c r="J534" i="10"/>
  <c r="K534" i="10" s="1"/>
  <c r="I535" i="10"/>
  <c r="J535" i="10"/>
  <c r="K535" i="10" s="1"/>
  <c r="I536" i="10"/>
  <c r="J536" i="10" s="1"/>
  <c r="K536" i="10" s="1"/>
  <c r="I537" i="10"/>
  <c r="J537" i="10" s="1"/>
  <c r="K537" i="10" s="1"/>
  <c r="I538" i="10"/>
  <c r="J538" i="10" s="1"/>
  <c r="K538" i="10" s="1"/>
  <c r="I539" i="10"/>
  <c r="J539" i="10"/>
  <c r="K539" i="10"/>
  <c r="I540" i="10"/>
  <c r="J540" i="10" s="1"/>
  <c r="K540" i="10" s="1"/>
  <c r="I541" i="10"/>
  <c r="J541" i="10"/>
  <c r="K541" i="10" s="1"/>
  <c r="I542" i="10"/>
  <c r="J542" i="10"/>
  <c r="K542" i="10"/>
  <c r="I543" i="10"/>
  <c r="J543" i="10"/>
  <c r="K543" i="10" s="1"/>
  <c r="I544" i="10"/>
  <c r="J544" i="10" s="1"/>
  <c r="K544" i="10" s="1"/>
  <c r="I545" i="10"/>
  <c r="J545" i="10"/>
  <c r="K545" i="10" s="1"/>
  <c r="I546" i="10"/>
  <c r="J546" i="10" s="1"/>
  <c r="K546" i="10" s="1"/>
  <c r="I547" i="10"/>
  <c r="J547" i="10"/>
  <c r="K547" i="10"/>
  <c r="I548" i="10"/>
  <c r="J548" i="10" s="1"/>
  <c r="K548" i="10" s="1"/>
  <c r="I549" i="10"/>
  <c r="J549" i="10"/>
  <c r="K549" i="10" s="1"/>
  <c r="I550" i="10"/>
  <c r="J550" i="10"/>
  <c r="K550" i="10" s="1"/>
  <c r="I551" i="10"/>
  <c r="J551" i="10"/>
  <c r="K551" i="10" s="1"/>
  <c r="I552" i="10"/>
  <c r="J552" i="10" s="1"/>
  <c r="K552" i="10" s="1"/>
  <c r="I553" i="10"/>
  <c r="J553" i="10"/>
  <c r="K553" i="10" s="1"/>
  <c r="I554" i="10"/>
  <c r="J554" i="10" s="1"/>
  <c r="K554" i="10" s="1"/>
  <c r="I555" i="10"/>
  <c r="J555" i="10"/>
  <c r="K555" i="10"/>
  <c r="I556" i="10"/>
  <c r="J556" i="10" s="1"/>
  <c r="K556" i="10" s="1"/>
  <c r="I557" i="10"/>
  <c r="J557" i="10"/>
  <c r="K557" i="10" s="1"/>
  <c r="I558" i="10"/>
  <c r="J558" i="10"/>
  <c r="K558" i="10"/>
  <c r="I559" i="10"/>
  <c r="J559" i="10"/>
  <c r="K559" i="10" s="1"/>
  <c r="I560" i="10"/>
  <c r="J560" i="10" s="1"/>
  <c r="K560" i="10" s="1"/>
  <c r="I561" i="10"/>
  <c r="J561" i="10"/>
  <c r="K561" i="10" s="1"/>
  <c r="I562" i="10"/>
  <c r="J562" i="10" s="1"/>
  <c r="K562" i="10" s="1"/>
  <c r="I563" i="10"/>
  <c r="J563" i="10"/>
  <c r="K563" i="10"/>
  <c r="I564" i="10"/>
  <c r="J564" i="10" s="1"/>
  <c r="K564" i="10" s="1"/>
  <c r="I565" i="10"/>
  <c r="J565" i="10"/>
  <c r="K565" i="10" s="1"/>
  <c r="I566" i="10"/>
  <c r="J566" i="10"/>
  <c r="K566" i="10"/>
  <c r="I567" i="10"/>
  <c r="J567" i="10"/>
  <c r="K567" i="10" s="1"/>
  <c r="I568" i="10"/>
  <c r="J568" i="10" s="1"/>
  <c r="K568" i="10" s="1"/>
  <c r="I569" i="10"/>
  <c r="J569" i="10"/>
  <c r="K569" i="10" s="1"/>
  <c r="I570" i="10"/>
  <c r="J570" i="10" s="1"/>
  <c r="K570" i="10" s="1"/>
  <c r="I571" i="10"/>
  <c r="J571" i="10"/>
  <c r="K571" i="10"/>
  <c r="I572" i="10"/>
  <c r="J572" i="10" s="1"/>
  <c r="K572" i="10" s="1"/>
  <c r="I573" i="10"/>
  <c r="J573" i="10"/>
  <c r="K573" i="10" s="1"/>
  <c r="I574" i="10"/>
  <c r="J574" i="10"/>
  <c r="K574" i="10"/>
  <c r="I575" i="10"/>
  <c r="J575" i="10"/>
  <c r="K575" i="10" s="1"/>
  <c r="I576" i="10"/>
  <c r="J576" i="10" s="1"/>
  <c r="K576" i="10" s="1"/>
  <c r="I577" i="10"/>
  <c r="J577" i="10" s="1"/>
  <c r="K577" i="10" s="1"/>
  <c r="I578" i="10"/>
  <c r="J578" i="10" s="1"/>
  <c r="K578" i="10" s="1"/>
  <c r="I579" i="10"/>
  <c r="J579" i="10"/>
  <c r="K579" i="10"/>
  <c r="I580" i="10"/>
  <c r="J580" i="10" s="1"/>
  <c r="K580" i="10" s="1"/>
  <c r="I581" i="10"/>
  <c r="J581" i="10"/>
  <c r="K581" i="10" s="1"/>
  <c r="I582" i="10"/>
  <c r="J582" i="10"/>
  <c r="K582" i="10"/>
  <c r="I583" i="10"/>
  <c r="J583" i="10"/>
  <c r="K583" i="10" s="1"/>
  <c r="I584" i="10"/>
  <c r="J584" i="10" s="1"/>
  <c r="K584" i="10" s="1"/>
  <c r="I585" i="10"/>
  <c r="J585" i="10"/>
  <c r="K585" i="10" s="1"/>
  <c r="I586" i="10"/>
  <c r="J586" i="10" s="1"/>
  <c r="K586" i="10" s="1"/>
  <c r="I587" i="10"/>
  <c r="J587" i="10"/>
  <c r="K587" i="10"/>
  <c r="I588" i="10"/>
  <c r="J588" i="10" s="1"/>
  <c r="K588" i="10" s="1"/>
  <c r="I589" i="10"/>
  <c r="J589" i="10"/>
  <c r="K589" i="10" s="1"/>
  <c r="I590" i="10"/>
  <c r="J590" i="10"/>
  <c r="K590" i="10"/>
  <c r="I591" i="10"/>
  <c r="J591" i="10" s="1"/>
  <c r="K591" i="10" s="1"/>
  <c r="I592" i="10"/>
  <c r="J592" i="10" s="1"/>
  <c r="K592" i="10" s="1"/>
  <c r="I593" i="10"/>
  <c r="J593" i="10"/>
  <c r="K593" i="10" s="1"/>
  <c r="I594" i="10"/>
  <c r="J594" i="10" s="1"/>
  <c r="K594" i="10" s="1"/>
  <c r="I595" i="10"/>
  <c r="J595" i="10"/>
  <c r="K595" i="10"/>
  <c r="I596" i="10"/>
  <c r="J596" i="10" s="1"/>
  <c r="K596" i="10" s="1"/>
  <c r="I597" i="10"/>
  <c r="J597" i="10"/>
  <c r="K597" i="10" s="1"/>
  <c r="I598" i="10"/>
  <c r="J598" i="10"/>
  <c r="K598" i="10"/>
  <c r="I599" i="10"/>
  <c r="J599" i="10" s="1"/>
  <c r="K599" i="10" s="1"/>
  <c r="I600" i="10"/>
  <c r="J600" i="10" s="1"/>
  <c r="K600" i="10" s="1"/>
  <c r="I601" i="10"/>
  <c r="J601" i="10" s="1"/>
  <c r="K601" i="10" s="1"/>
  <c r="I602" i="10"/>
  <c r="J602" i="10" s="1"/>
  <c r="K602" i="10"/>
  <c r="I603" i="10"/>
  <c r="J603" i="10"/>
  <c r="K603" i="10"/>
  <c r="I604" i="10"/>
  <c r="J604" i="10" s="1"/>
  <c r="K604" i="10" s="1"/>
  <c r="I605" i="10"/>
  <c r="J605" i="10"/>
  <c r="K605" i="10" s="1"/>
  <c r="I606" i="10"/>
  <c r="J606" i="10"/>
  <c r="K606" i="10"/>
  <c r="I607" i="10"/>
  <c r="J607" i="10" s="1"/>
  <c r="K607" i="10" s="1"/>
  <c r="I608" i="10"/>
  <c r="J608" i="10" s="1"/>
  <c r="K608" i="10" s="1"/>
  <c r="I609" i="10"/>
  <c r="J609" i="10"/>
  <c r="K609" i="10" s="1"/>
  <c r="I610" i="10"/>
  <c r="J610" i="10" s="1"/>
  <c r="K610" i="10"/>
  <c r="I611" i="10"/>
  <c r="J611" i="10"/>
  <c r="K611" i="10"/>
  <c r="I612" i="10"/>
  <c r="J612" i="10"/>
  <c r="K612" i="10" s="1"/>
  <c r="I613" i="10"/>
  <c r="J613" i="10"/>
  <c r="K613" i="10" s="1"/>
  <c r="I614" i="10"/>
  <c r="J614" i="10"/>
  <c r="K614" i="10"/>
  <c r="I615" i="10"/>
  <c r="J615" i="10" s="1"/>
  <c r="K615" i="10" s="1"/>
  <c r="I616" i="10"/>
  <c r="J616" i="10" s="1"/>
  <c r="K616" i="10" s="1"/>
  <c r="I617" i="10"/>
  <c r="J617" i="10" s="1"/>
  <c r="K617" i="10" s="1"/>
  <c r="I618" i="10"/>
  <c r="J618" i="10" s="1"/>
  <c r="K618" i="10"/>
  <c r="I619" i="10"/>
  <c r="J619" i="10"/>
  <c r="K619" i="10"/>
  <c r="I620" i="10"/>
  <c r="J620" i="10" s="1"/>
  <c r="K620" i="10" s="1"/>
  <c r="I621" i="10"/>
  <c r="J621" i="10"/>
  <c r="K621" i="10" s="1"/>
  <c r="I622" i="10"/>
  <c r="J622" i="10"/>
  <c r="K622" i="10"/>
  <c r="I623" i="10"/>
  <c r="J623" i="10" s="1"/>
  <c r="K623" i="10" s="1"/>
  <c r="I624" i="10"/>
  <c r="J624" i="10" s="1"/>
  <c r="K624" i="10" s="1"/>
  <c r="I625" i="10"/>
  <c r="J625" i="10"/>
  <c r="K625" i="10"/>
  <c r="I626" i="10"/>
  <c r="J626" i="10" s="1"/>
  <c r="K626" i="10"/>
  <c r="I627" i="10"/>
  <c r="J627" i="10"/>
  <c r="K627" i="10"/>
  <c r="I628" i="10"/>
  <c r="J628" i="10"/>
  <c r="K628" i="10" s="1"/>
  <c r="I629" i="10"/>
  <c r="J629" i="10"/>
  <c r="K629" i="10" s="1"/>
  <c r="I630" i="10"/>
  <c r="J630" i="10"/>
  <c r="K630" i="10" s="1"/>
  <c r="I631" i="10"/>
  <c r="J631" i="10" s="1"/>
  <c r="K631" i="10" s="1"/>
  <c r="I632" i="10"/>
  <c r="J632" i="10" s="1"/>
  <c r="K632" i="10" s="1"/>
  <c r="I633" i="10"/>
  <c r="J633" i="10"/>
  <c r="K633" i="10"/>
  <c r="I634" i="10"/>
  <c r="J634" i="10" s="1"/>
  <c r="K634" i="10" s="1"/>
  <c r="I635" i="10"/>
  <c r="J635" i="10"/>
  <c r="K635" i="10"/>
  <c r="I636" i="10"/>
  <c r="J636" i="10"/>
  <c r="K636" i="10" s="1"/>
  <c r="I637" i="10"/>
  <c r="J637" i="10"/>
  <c r="K637" i="10" s="1"/>
  <c r="I638" i="10"/>
  <c r="J638" i="10"/>
  <c r="K638" i="10"/>
  <c r="I639" i="10"/>
  <c r="J639" i="10" s="1"/>
  <c r="K639" i="10" s="1"/>
  <c r="I640" i="10"/>
  <c r="J640" i="10" s="1"/>
  <c r="K640" i="10" s="1"/>
  <c r="I641" i="10"/>
  <c r="J641" i="10"/>
  <c r="K641" i="10"/>
  <c r="I642" i="10"/>
  <c r="J642" i="10" s="1"/>
  <c r="K642" i="10" s="1"/>
  <c r="I643" i="10"/>
  <c r="J643" i="10"/>
  <c r="K643" i="10"/>
  <c r="I644" i="10"/>
  <c r="J644" i="10"/>
  <c r="K644" i="10" s="1"/>
  <c r="I645" i="10"/>
  <c r="J645" i="10"/>
  <c r="K645" i="10" s="1"/>
  <c r="I646" i="10"/>
  <c r="J646" i="10"/>
  <c r="K646" i="10" s="1"/>
  <c r="I647" i="10"/>
  <c r="J647" i="10" s="1"/>
  <c r="K647" i="10" s="1"/>
  <c r="I648" i="10"/>
  <c r="J648" i="10" s="1"/>
  <c r="K648" i="10" s="1"/>
  <c r="I649" i="10"/>
  <c r="J649" i="10"/>
  <c r="K649" i="10"/>
  <c r="I650" i="10"/>
  <c r="J650" i="10" s="1"/>
  <c r="K650" i="10"/>
  <c r="I651" i="10"/>
  <c r="J651" i="10"/>
  <c r="K651" i="10"/>
  <c r="I652" i="10"/>
  <c r="J652" i="10"/>
  <c r="K652" i="10" s="1"/>
  <c r="I653" i="10"/>
  <c r="J653" i="10"/>
  <c r="K653" i="10" s="1"/>
  <c r="I654" i="10"/>
  <c r="J654" i="10"/>
  <c r="K654" i="10"/>
  <c r="I655" i="10"/>
  <c r="J655" i="10" s="1"/>
  <c r="K655" i="10" s="1"/>
  <c r="I656" i="10"/>
  <c r="J656" i="10" s="1"/>
  <c r="K656" i="10" s="1"/>
  <c r="I657" i="10"/>
  <c r="J657" i="10"/>
  <c r="K657" i="10" s="1"/>
  <c r="I658" i="10"/>
  <c r="J658" i="10"/>
  <c r="K658" i="10"/>
  <c r="I659" i="10"/>
  <c r="J659" i="10"/>
  <c r="K659" i="10"/>
  <c r="I660" i="10"/>
  <c r="J660" i="10" s="1"/>
  <c r="K660" i="10" s="1"/>
  <c r="I661" i="10"/>
  <c r="J661" i="10"/>
  <c r="K661" i="10" s="1"/>
  <c r="I662" i="10"/>
  <c r="J662" i="10"/>
  <c r="K662" i="10"/>
  <c r="I663" i="10"/>
  <c r="J663" i="10" s="1"/>
  <c r="K663" i="10" s="1"/>
  <c r="I664" i="10"/>
  <c r="J664" i="10" s="1"/>
  <c r="K664" i="10" s="1"/>
  <c r="I665" i="10"/>
  <c r="J665" i="10"/>
  <c r="K665" i="10" s="1"/>
  <c r="I666" i="10"/>
  <c r="J666" i="10"/>
  <c r="K666" i="10"/>
  <c r="I667" i="10"/>
  <c r="J667" i="10"/>
  <c r="K667" i="10"/>
  <c r="I668" i="10"/>
  <c r="J668" i="10" s="1"/>
  <c r="K668" i="10" s="1"/>
  <c r="I669" i="10"/>
  <c r="J669" i="10"/>
  <c r="K669" i="10" s="1"/>
  <c r="I670" i="10"/>
  <c r="J670" i="10"/>
  <c r="K670" i="10" s="1"/>
  <c r="I671" i="10"/>
  <c r="J671" i="10" s="1"/>
  <c r="K671" i="10" s="1"/>
  <c r="I672" i="10"/>
  <c r="J672" i="10" s="1"/>
  <c r="K672" i="10" s="1"/>
  <c r="I673" i="10"/>
  <c r="J673" i="10" s="1"/>
  <c r="K673" i="10" s="1"/>
  <c r="I674" i="10"/>
  <c r="J674" i="10"/>
  <c r="K674" i="10"/>
  <c r="I675" i="10"/>
  <c r="J675" i="10"/>
  <c r="K675" i="10"/>
  <c r="I676" i="10"/>
  <c r="J676" i="10"/>
  <c r="K676" i="10" s="1"/>
  <c r="I677" i="10"/>
  <c r="J677" i="10"/>
  <c r="K677" i="10" s="1"/>
  <c r="I678" i="10"/>
  <c r="J678" i="10"/>
  <c r="K678" i="10"/>
  <c r="I679" i="10"/>
  <c r="J679" i="10" s="1"/>
  <c r="K679" i="10" s="1"/>
  <c r="I680" i="10"/>
  <c r="J680" i="10" s="1"/>
  <c r="K680" i="10" s="1"/>
  <c r="I681" i="10"/>
  <c r="J681" i="10"/>
  <c r="K681" i="10"/>
  <c r="I682" i="10"/>
  <c r="J682" i="10"/>
  <c r="K682" i="10"/>
  <c r="I683" i="10"/>
  <c r="J683" i="10"/>
  <c r="K683" i="10"/>
  <c r="I684" i="10"/>
  <c r="J684" i="10"/>
  <c r="K684" i="10" s="1"/>
  <c r="I685" i="10"/>
  <c r="J685" i="10"/>
  <c r="K685" i="10" s="1"/>
  <c r="I686" i="10"/>
  <c r="J686" i="10"/>
  <c r="K686" i="10" s="1"/>
  <c r="I687" i="10"/>
  <c r="J687" i="10" s="1"/>
  <c r="K687" i="10" s="1"/>
  <c r="I688" i="10"/>
  <c r="J688" i="10" s="1"/>
  <c r="K688" i="10" s="1"/>
  <c r="I689" i="10"/>
  <c r="J689" i="10" s="1"/>
  <c r="K689" i="10" s="1"/>
  <c r="I690" i="10"/>
  <c r="J690" i="10"/>
  <c r="K690" i="10"/>
  <c r="I691" i="10"/>
  <c r="J691" i="10"/>
  <c r="K691" i="10"/>
  <c r="I692" i="10"/>
  <c r="J692" i="10" s="1"/>
  <c r="K692" i="10" s="1"/>
  <c r="I693" i="10"/>
  <c r="J693" i="10"/>
  <c r="K693" i="10" s="1"/>
  <c r="I694" i="10"/>
  <c r="J694" i="10"/>
  <c r="K694" i="10"/>
  <c r="I695" i="10"/>
  <c r="J695" i="10" s="1"/>
  <c r="K695" i="10" s="1"/>
  <c r="I696" i="10"/>
  <c r="J696" i="10" s="1"/>
  <c r="K696" i="10" s="1"/>
  <c r="I697" i="10"/>
  <c r="J697" i="10"/>
  <c r="K697" i="10" s="1"/>
  <c r="I698" i="10"/>
  <c r="J698" i="10"/>
  <c r="K698" i="10"/>
  <c r="I699" i="10"/>
  <c r="J699" i="10"/>
  <c r="K699" i="10"/>
  <c r="I700" i="10"/>
  <c r="J700" i="10" s="1"/>
  <c r="K700" i="10" s="1"/>
  <c r="I701" i="10"/>
  <c r="J701" i="10"/>
  <c r="K701" i="10" s="1"/>
  <c r="I702" i="10"/>
  <c r="J702" i="10"/>
  <c r="K702" i="10"/>
  <c r="I703" i="10"/>
  <c r="J703" i="10" s="1"/>
  <c r="K703" i="10" s="1"/>
  <c r="I704" i="10"/>
  <c r="J704" i="10" s="1"/>
  <c r="K704" i="10" s="1"/>
  <c r="I705" i="10"/>
  <c r="J705" i="10" s="1"/>
  <c r="K705" i="10" s="1"/>
  <c r="I706" i="10"/>
  <c r="J706" i="10"/>
  <c r="K706" i="10"/>
  <c r="I707" i="10"/>
  <c r="J707" i="10"/>
  <c r="K707" i="10"/>
  <c r="I708" i="10"/>
  <c r="J708" i="10"/>
  <c r="K708" i="10" s="1"/>
  <c r="I709" i="10"/>
  <c r="J709" i="10"/>
  <c r="K709" i="10" s="1"/>
  <c r="I710" i="10"/>
  <c r="J710" i="10" s="1"/>
  <c r="K710" i="10" s="1"/>
  <c r="I711" i="10"/>
  <c r="J711" i="10" s="1"/>
  <c r="K711" i="10" s="1"/>
  <c r="I712" i="10"/>
  <c r="J712" i="10" s="1"/>
  <c r="K712" i="10"/>
  <c r="I713" i="10"/>
  <c r="J713" i="10"/>
  <c r="K713" i="10" s="1"/>
  <c r="I714" i="10"/>
  <c r="J714" i="10"/>
  <c r="K714" i="10" s="1"/>
  <c r="I715" i="10"/>
  <c r="J715" i="10"/>
  <c r="K715" i="10"/>
  <c r="I716" i="10"/>
  <c r="J716" i="10" s="1"/>
  <c r="K716" i="10" s="1"/>
  <c r="I717" i="10"/>
  <c r="J717" i="10" s="1"/>
  <c r="K717" i="10" s="1"/>
  <c r="I718" i="10"/>
  <c r="J718" i="10"/>
  <c r="K718" i="10"/>
  <c r="I719" i="10"/>
  <c r="J719" i="10" s="1"/>
  <c r="K719" i="10" s="1"/>
  <c r="I720" i="10"/>
  <c r="J720" i="10" s="1"/>
  <c r="K720" i="10"/>
  <c r="I721" i="10"/>
  <c r="J721" i="10" s="1"/>
  <c r="K721" i="10" s="1"/>
  <c r="I722" i="10"/>
  <c r="J722" i="10"/>
  <c r="K722" i="10" s="1"/>
  <c r="I723" i="10"/>
  <c r="J723" i="10"/>
  <c r="K723" i="10" s="1"/>
  <c r="I724" i="10"/>
  <c r="J724" i="10"/>
  <c r="K724" i="10" s="1"/>
  <c r="I725" i="10"/>
  <c r="J725" i="10"/>
  <c r="K725" i="10" s="1"/>
  <c r="I726" i="10"/>
  <c r="J726" i="10" s="1"/>
  <c r="K726" i="10" s="1"/>
  <c r="I727" i="10"/>
  <c r="J727" i="10" s="1"/>
  <c r="K727" i="10" s="1"/>
  <c r="I728" i="10"/>
  <c r="J728" i="10" s="1"/>
  <c r="K728" i="10"/>
  <c r="I729" i="10"/>
  <c r="J729" i="10"/>
  <c r="K729" i="10" s="1"/>
  <c r="I730" i="10"/>
  <c r="J730" i="10"/>
  <c r="K730" i="10" s="1"/>
  <c r="I731" i="10"/>
  <c r="J731" i="10"/>
  <c r="K731" i="10"/>
  <c r="I732" i="10"/>
  <c r="J732" i="10" s="1"/>
  <c r="K732" i="10" s="1"/>
  <c r="I733" i="10"/>
  <c r="J733" i="10" s="1"/>
  <c r="K733" i="10" s="1"/>
  <c r="I734" i="10"/>
  <c r="J734" i="10"/>
  <c r="K734" i="10"/>
  <c r="I735" i="10"/>
  <c r="J735" i="10"/>
  <c r="K735" i="10"/>
  <c r="I736" i="10"/>
  <c r="J736" i="10"/>
  <c r="K736" i="10"/>
  <c r="I737" i="10"/>
  <c r="J737" i="10"/>
  <c r="K737" i="10" s="1"/>
  <c r="I738" i="10"/>
  <c r="J738" i="10"/>
  <c r="K738" i="10" s="1"/>
  <c r="I739" i="10"/>
  <c r="J739" i="10"/>
  <c r="K739" i="10"/>
  <c r="I740" i="10"/>
  <c r="J740" i="10" s="1"/>
  <c r="K740" i="10" s="1"/>
  <c r="I741" i="10"/>
  <c r="J741" i="10" s="1"/>
  <c r="K741" i="10" s="1"/>
  <c r="I742" i="10"/>
  <c r="J742" i="10"/>
  <c r="K742" i="10" s="1"/>
  <c r="I743" i="10"/>
  <c r="J743" i="10"/>
  <c r="K743" i="10"/>
  <c r="I744" i="10"/>
  <c r="J744" i="10"/>
  <c r="K744" i="10"/>
  <c r="I745" i="10"/>
  <c r="J745" i="10" s="1"/>
  <c r="K745" i="10" s="1"/>
  <c r="I746" i="10"/>
  <c r="J746" i="10"/>
  <c r="K746" i="10" s="1"/>
  <c r="I747" i="10"/>
  <c r="J747" i="10"/>
  <c r="K747" i="10"/>
  <c r="I748" i="10"/>
  <c r="J748" i="10" s="1"/>
  <c r="K748" i="10" s="1"/>
  <c r="I749" i="10"/>
  <c r="J749" i="10" s="1"/>
  <c r="K749" i="10" s="1"/>
  <c r="I750" i="10"/>
  <c r="J750" i="10"/>
  <c r="K750" i="10" s="1"/>
  <c r="I751" i="10"/>
  <c r="J751" i="10"/>
  <c r="K751" i="10"/>
  <c r="I752" i="10"/>
  <c r="J752" i="10"/>
  <c r="K752" i="10"/>
  <c r="I753" i="10"/>
  <c r="J753" i="10" s="1"/>
  <c r="K753" i="10" s="1"/>
  <c r="I754" i="10"/>
  <c r="J754" i="10"/>
  <c r="K754" i="10" s="1"/>
  <c r="I755" i="10"/>
  <c r="J755" i="10"/>
  <c r="K755" i="10"/>
  <c r="I756" i="10"/>
  <c r="J756" i="10" s="1"/>
  <c r="K756" i="10" s="1"/>
  <c r="I757" i="10"/>
  <c r="J757" i="10" s="1"/>
  <c r="K757" i="10" s="1"/>
  <c r="I758" i="10"/>
  <c r="J758" i="10"/>
  <c r="K758" i="10"/>
  <c r="I759" i="10"/>
  <c r="J759" i="10"/>
  <c r="K759" i="10"/>
  <c r="I760" i="10"/>
  <c r="J760" i="10"/>
  <c r="K760" i="10"/>
  <c r="I761" i="10"/>
  <c r="J761" i="10"/>
  <c r="K761" i="10" s="1"/>
  <c r="I762" i="10"/>
  <c r="J762" i="10"/>
  <c r="K762" i="10" s="1"/>
  <c r="I763" i="10"/>
  <c r="J763" i="10"/>
  <c r="K763" i="10"/>
  <c r="I764" i="10"/>
  <c r="J764" i="10" s="1"/>
  <c r="K764" i="10" s="1"/>
  <c r="I765" i="10"/>
  <c r="J765" i="10" s="1"/>
  <c r="K765" i="10" s="1"/>
  <c r="I766" i="10"/>
  <c r="J766" i="10"/>
  <c r="K766" i="10"/>
  <c r="I767" i="10"/>
  <c r="J767" i="10"/>
  <c r="K767" i="10"/>
  <c r="I768" i="10"/>
  <c r="J768" i="10"/>
  <c r="K768" i="10"/>
  <c r="I769" i="10"/>
  <c r="J769" i="10"/>
  <c r="K769" i="10" s="1"/>
  <c r="I770" i="10"/>
  <c r="J770" i="10"/>
  <c r="K770" i="10" s="1"/>
  <c r="I771" i="10"/>
  <c r="J771" i="10"/>
  <c r="K771" i="10"/>
  <c r="I772" i="10"/>
  <c r="J772" i="10" s="1"/>
  <c r="K772" i="10" s="1"/>
  <c r="I773" i="10"/>
  <c r="J773" i="10" s="1"/>
  <c r="K773" i="10" s="1"/>
  <c r="I774" i="10"/>
  <c r="J774" i="10"/>
  <c r="K774" i="10" s="1"/>
  <c r="I775" i="10"/>
  <c r="J775" i="10"/>
  <c r="K775" i="10"/>
  <c r="I776" i="10"/>
  <c r="J776" i="10"/>
  <c r="K776" i="10"/>
  <c r="I777" i="10"/>
  <c r="J777" i="10" s="1"/>
  <c r="K777" i="10" s="1"/>
  <c r="I778" i="10"/>
  <c r="J778" i="10"/>
  <c r="K778" i="10" s="1"/>
  <c r="I779" i="10"/>
  <c r="J779" i="10"/>
  <c r="K779" i="10"/>
  <c r="I780" i="10"/>
  <c r="J780" i="10" s="1"/>
  <c r="K780" i="10" s="1"/>
  <c r="I781" i="10"/>
  <c r="J781" i="10" s="1"/>
  <c r="K781" i="10" s="1"/>
  <c r="I782" i="10"/>
  <c r="J782" i="10"/>
  <c r="K782" i="10" s="1"/>
  <c r="I783" i="10"/>
  <c r="J783" i="10"/>
  <c r="K783" i="10"/>
  <c r="I784" i="10"/>
  <c r="J784" i="10"/>
  <c r="K784" i="10"/>
  <c r="I785" i="10"/>
  <c r="J785" i="10" s="1"/>
  <c r="K785" i="10" s="1"/>
  <c r="I786" i="10"/>
  <c r="J786" i="10"/>
  <c r="K786" i="10" s="1"/>
  <c r="I787" i="10"/>
  <c r="J787" i="10"/>
  <c r="K787" i="10"/>
  <c r="I788" i="10"/>
  <c r="J788" i="10" s="1"/>
  <c r="K788" i="10" s="1"/>
  <c r="I789" i="10"/>
  <c r="J789" i="10" s="1"/>
  <c r="K789" i="10" s="1"/>
  <c r="I790" i="10"/>
  <c r="J790" i="10"/>
  <c r="K790" i="10"/>
  <c r="I791" i="10"/>
  <c r="J791" i="10"/>
  <c r="K791" i="10"/>
  <c r="I792" i="10"/>
  <c r="J792" i="10"/>
  <c r="K792" i="10"/>
  <c r="I793" i="10"/>
  <c r="J793" i="10"/>
  <c r="K793" i="10" s="1"/>
  <c r="I794" i="10"/>
  <c r="J794" i="10"/>
  <c r="K794" i="10" s="1"/>
  <c r="I795" i="10"/>
  <c r="J795" i="10"/>
  <c r="K795" i="10"/>
  <c r="I796" i="10"/>
  <c r="J796" i="10" s="1"/>
  <c r="K796" i="10" s="1"/>
  <c r="I797" i="10"/>
  <c r="J797" i="10" s="1"/>
  <c r="K797" i="10" s="1"/>
  <c r="I798" i="10"/>
  <c r="J798" i="10"/>
  <c r="K798" i="10"/>
  <c r="I799" i="10"/>
  <c r="J799" i="10"/>
  <c r="K799" i="10"/>
  <c r="I800" i="10"/>
  <c r="J800" i="10"/>
  <c r="K800" i="10"/>
  <c r="I801" i="10"/>
  <c r="J801" i="10"/>
  <c r="K801" i="10" s="1"/>
  <c r="I802" i="10"/>
  <c r="J802" i="10"/>
  <c r="K802" i="10" s="1"/>
  <c r="I803" i="10"/>
  <c r="J803" i="10"/>
  <c r="K803" i="10"/>
  <c r="I804" i="10"/>
  <c r="J804" i="10" s="1"/>
  <c r="K804" i="10" s="1"/>
  <c r="I805" i="10"/>
  <c r="J805" i="10" s="1"/>
  <c r="K805" i="10" s="1"/>
  <c r="I806" i="10"/>
  <c r="J806" i="10" s="1"/>
  <c r="K806" i="10" s="1"/>
  <c r="I807" i="10"/>
  <c r="J807" i="10"/>
  <c r="K807" i="10"/>
  <c r="I808" i="10"/>
  <c r="J808" i="10"/>
  <c r="K808" i="10"/>
  <c r="I809" i="10"/>
  <c r="J809" i="10" s="1"/>
  <c r="K809" i="10" s="1"/>
  <c r="I810" i="10"/>
  <c r="J810" i="10"/>
  <c r="K810" i="10" s="1"/>
  <c r="I811" i="10"/>
  <c r="J811" i="10"/>
  <c r="K811" i="10"/>
  <c r="I812" i="10"/>
  <c r="J812" i="10" s="1"/>
  <c r="K812" i="10" s="1"/>
  <c r="I813" i="10"/>
  <c r="J813" i="10" s="1"/>
  <c r="K813" i="10" s="1"/>
  <c r="I814" i="10"/>
  <c r="J814" i="10" s="1"/>
  <c r="K814" i="10" s="1"/>
  <c r="I815" i="10"/>
  <c r="J815" i="10"/>
  <c r="K815" i="10"/>
  <c r="I816" i="10"/>
  <c r="J816" i="10"/>
  <c r="K816" i="10"/>
  <c r="I817" i="10"/>
  <c r="J817" i="10" s="1"/>
  <c r="K817" i="10" s="1"/>
  <c r="I818" i="10"/>
  <c r="J818" i="10"/>
  <c r="K818" i="10" s="1"/>
  <c r="I819" i="10"/>
  <c r="J819" i="10"/>
  <c r="K819" i="10" s="1"/>
  <c r="I820" i="10"/>
  <c r="J820" i="10" s="1"/>
  <c r="K820" i="10" s="1"/>
  <c r="I821" i="10"/>
  <c r="J821" i="10" s="1"/>
  <c r="K821" i="10" s="1"/>
  <c r="I822" i="10"/>
  <c r="J822" i="10" s="1"/>
  <c r="K822" i="10" s="1"/>
  <c r="I823" i="10"/>
  <c r="J823" i="10"/>
  <c r="K823" i="10"/>
  <c r="I824" i="10"/>
  <c r="J824" i="10"/>
  <c r="K824" i="10"/>
  <c r="I825" i="10"/>
  <c r="J825" i="10"/>
  <c r="K825" i="10" s="1"/>
  <c r="I826" i="10"/>
  <c r="J826" i="10"/>
  <c r="K826" i="10" s="1"/>
  <c r="I827" i="10"/>
  <c r="J827" i="10"/>
  <c r="K827" i="10" s="1"/>
  <c r="I828" i="10"/>
  <c r="J828" i="10" s="1"/>
  <c r="K828" i="10" s="1"/>
  <c r="I829" i="10"/>
  <c r="J829" i="10" s="1"/>
  <c r="K829" i="10" s="1"/>
  <c r="I830" i="10"/>
  <c r="J830" i="10"/>
  <c r="K830" i="10"/>
  <c r="I831" i="10"/>
  <c r="J831" i="10"/>
  <c r="K831" i="10"/>
  <c r="I832" i="10"/>
  <c r="J832" i="10"/>
  <c r="K832" i="10"/>
  <c r="I833" i="10"/>
  <c r="J833" i="10"/>
  <c r="K833" i="10" s="1"/>
  <c r="I834" i="10"/>
  <c r="J834" i="10"/>
  <c r="K834" i="10" s="1"/>
  <c r="I835" i="10"/>
  <c r="J835" i="10"/>
  <c r="K835" i="10" s="1"/>
  <c r="I836" i="10"/>
  <c r="J836" i="10" s="1"/>
  <c r="K836" i="10" s="1"/>
  <c r="I837" i="10"/>
  <c r="J837" i="10" s="1"/>
  <c r="K837" i="10" s="1"/>
  <c r="I838" i="10"/>
  <c r="J838" i="10" s="1"/>
  <c r="K838" i="10" s="1"/>
  <c r="I839" i="10"/>
  <c r="J839" i="10"/>
  <c r="K839" i="10"/>
  <c r="I840" i="10"/>
  <c r="J840" i="10"/>
  <c r="K840" i="10"/>
  <c r="I841" i="10"/>
  <c r="J841" i="10"/>
  <c r="K841" i="10" s="1"/>
  <c r="I842" i="10"/>
  <c r="J842" i="10"/>
  <c r="K842" i="10" s="1"/>
  <c r="I843" i="10"/>
  <c r="J843" i="10"/>
  <c r="K843" i="10"/>
  <c r="I844" i="10"/>
  <c r="J844" i="10" s="1"/>
  <c r="K844" i="10" s="1"/>
  <c r="I845" i="10"/>
  <c r="J845" i="10" s="1"/>
  <c r="K845" i="10" s="1"/>
  <c r="I846" i="10"/>
  <c r="J846" i="10" s="1"/>
  <c r="K846" i="10" s="1"/>
  <c r="I847" i="10"/>
  <c r="J847" i="10"/>
  <c r="K847" i="10"/>
  <c r="I848" i="10"/>
  <c r="J848" i="10"/>
  <c r="K848" i="10"/>
  <c r="I849" i="10"/>
  <c r="J849" i="10"/>
  <c r="K849" i="10" s="1"/>
  <c r="I850" i="10"/>
  <c r="J850" i="10"/>
  <c r="K850" i="10" s="1"/>
  <c r="I851" i="10"/>
  <c r="J851" i="10"/>
  <c r="K851" i="10" s="1"/>
  <c r="I852" i="10"/>
  <c r="J852" i="10" s="1"/>
  <c r="K852" i="10" s="1"/>
  <c r="I853" i="10"/>
  <c r="J853" i="10" s="1"/>
  <c r="K853" i="10" s="1"/>
  <c r="I854" i="10"/>
  <c r="J854" i="10" s="1"/>
  <c r="K854" i="10" s="1"/>
  <c r="I855" i="10"/>
  <c r="J855" i="10"/>
  <c r="K855" i="10"/>
  <c r="I856" i="10"/>
  <c r="J856" i="10"/>
  <c r="K856" i="10"/>
  <c r="I857" i="10"/>
  <c r="J857" i="10"/>
  <c r="K857" i="10" s="1"/>
  <c r="I858" i="10"/>
  <c r="J858" i="10"/>
  <c r="K858" i="10" s="1"/>
  <c r="I859" i="10"/>
  <c r="J859" i="10"/>
  <c r="K859" i="10" s="1"/>
  <c r="I860" i="10"/>
  <c r="J860" i="10" s="1"/>
  <c r="K860" i="10" s="1"/>
  <c r="I861" i="10"/>
  <c r="J861" i="10" s="1"/>
  <c r="K861" i="10" s="1"/>
  <c r="I862" i="10"/>
  <c r="J862" i="10"/>
  <c r="K862" i="10"/>
  <c r="I863" i="10"/>
  <c r="J863" i="10"/>
  <c r="K863" i="10"/>
  <c r="I864" i="10"/>
  <c r="J864" i="10"/>
  <c r="K864" i="10"/>
  <c r="I865" i="10"/>
  <c r="J865" i="10"/>
  <c r="K865" i="10" s="1"/>
  <c r="I866" i="10"/>
  <c r="J866" i="10"/>
  <c r="K866" i="10" s="1"/>
  <c r="I867" i="10"/>
  <c r="J867" i="10"/>
  <c r="K867" i="10" s="1"/>
  <c r="I868" i="10"/>
  <c r="J868" i="10" s="1"/>
  <c r="K868" i="10" s="1"/>
  <c r="I869" i="10"/>
  <c r="J869" i="10" s="1"/>
  <c r="K869" i="10" s="1"/>
  <c r="I870" i="10"/>
  <c r="J870" i="10" s="1"/>
  <c r="K870" i="10" s="1"/>
  <c r="I871" i="10"/>
  <c r="J871" i="10"/>
  <c r="K871" i="10"/>
  <c r="I872" i="10"/>
  <c r="J872" i="10"/>
  <c r="K872" i="10"/>
  <c r="I873" i="10"/>
  <c r="J873" i="10"/>
  <c r="K873" i="10" s="1"/>
  <c r="I874" i="10"/>
  <c r="J874" i="10"/>
  <c r="K874" i="10" s="1"/>
  <c r="I875" i="10"/>
  <c r="J875" i="10"/>
  <c r="K875" i="10"/>
  <c r="I876" i="10"/>
  <c r="J876" i="10" s="1"/>
  <c r="K876" i="10" s="1"/>
  <c r="I877" i="10"/>
  <c r="J877" i="10" s="1"/>
  <c r="K877" i="10" s="1"/>
  <c r="I878" i="10"/>
  <c r="J878" i="10" s="1"/>
  <c r="K878" i="10" s="1"/>
  <c r="I879" i="10"/>
  <c r="J879" i="10"/>
  <c r="K879" i="10"/>
  <c r="I880" i="10"/>
  <c r="J880" i="10"/>
  <c r="K880" i="10"/>
  <c r="I881" i="10"/>
  <c r="J881" i="10"/>
  <c r="K881" i="10" s="1"/>
  <c r="I882" i="10"/>
  <c r="J882" i="10"/>
  <c r="K882" i="10" s="1"/>
  <c r="I883" i="10"/>
  <c r="J883" i="10"/>
  <c r="K883" i="10" s="1"/>
  <c r="I884" i="10"/>
  <c r="J884" i="10" s="1"/>
  <c r="K884" i="10" s="1"/>
  <c r="I885" i="10"/>
  <c r="J885" i="10" s="1"/>
  <c r="K885" i="10" s="1"/>
  <c r="I886" i="10"/>
  <c r="J886" i="10" s="1"/>
  <c r="K886" i="10" s="1"/>
  <c r="I887" i="10"/>
  <c r="J887" i="10"/>
  <c r="K887" i="10"/>
  <c r="I888" i="10"/>
  <c r="J888" i="10"/>
  <c r="K888" i="10"/>
  <c r="I889" i="10"/>
  <c r="J889" i="10"/>
  <c r="K889" i="10" s="1"/>
  <c r="I890" i="10"/>
  <c r="J890" i="10"/>
  <c r="K890" i="10" s="1"/>
  <c r="I891" i="10"/>
  <c r="J891" i="10"/>
  <c r="K891" i="10" s="1"/>
  <c r="I892" i="10"/>
  <c r="J892" i="10" s="1"/>
  <c r="K892" i="10" s="1"/>
  <c r="I893" i="10"/>
  <c r="J893" i="10" s="1"/>
  <c r="K893" i="10" s="1"/>
  <c r="I894" i="10"/>
  <c r="J894" i="10"/>
  <c r="K894" i="10"/>
  <c r="I895" i="10"/>
  <c r="J895" i="10"/>
  <c r="K895" i="10"/>
  <c r="I896" i="10"/>
  <c r="J896" i="10"/>
  <c r="K896" i="10"/>
  <c r="I897" i="10"/>
  <c r="J897" i="10"/>
  <c r="K897" i="10" s="1"/>
  <c r="I898" i="10"/>
  <c r="J898" i="10"/>
  <c r="K898" i="10" s="1"/>
  <c r="I899" i="10"/>
  <c r="J899" i="10"/>
  <c r="K899" i="10" s="1"/>
  <c r="I900" i="10"/>
  <c r="J900" i="10" s="1"/>
  <c r="K900" i="10" s="1"/>
  <c r="I901" i="10"/>
  <c r="J901" i="10" s="1"/>
  <c r="K901" i="10" s="1"/>
  <c r="I902" i="10"/>
  <c r="J902" i="10" s="1"/>
  <c r="K902" i="10" s="1"/>
  <c r="I903" i="10"/>
  <c r="J903" i="10"/>
  <c r="K903" i="10"/>
  <c r="I904" i="10"/>
  <c r="J904" i="10"/>
  <c r="K904" i="10"/>
  <c r="I905" i="10"/>
  <c r="J905" i="10"/>
  <c r="K905" i="10" s="1"/>
  <c r="I906" i="10"/>
  <c r="J906" i="10"/>
  <c r="K906" i="10" s="1"/>
  <c r="I907" i="10"/>
  <c r="J907" i="10"/>
  <c r="K907" i="10"/>
  <c r="I908" i="10"/>
  <c r="J908" i="10" s="1"/>
  <c r="K908" i="10" s="1"/>
  <c r="I909" i="10"/>
  <c r="J909" i="10" s="1"/>
  <c r="K909" i="10" s="1"/>
  <c r="I910" i="10"/>
  <c r="J910" i="10" s="1"/>
  <c r="K910" i="10" s="1"/>
  <c r="I911" i="10"/>
  <c r="J911" i="10"/>
  <c r="K911" i="10"/>
  <c r="I912" i="10"/>
  <c r="J912" i="10"/>
  <c r="K912" i="10"/>
  <c r="I913" i="10"/>
  <c r="J913" i="10"/>
  <c r="K913" i="10" s="1"/>
  <c r="I914" i="10"/>
  <c r="J914" i="10"/>
  <c r="K914" i="10" s="1"/>
  <c r="I915" i="10"/>
  <c r="J915" i="10"/>
  <c r="K915" i="10" s="1"/>
  <c r="I916" i="10"/>
  <c r="J916" i="10" s="1"/>
  <c r="K916" i="10" s="1"/>
  <c r="I917" i="10"/>
  <c r="J917" i="10" s="1"/>
  <c r="K917" i="10" s="1"/>
  <c r="I918" i="10"/>
  <c r="J918" i="10" s="1"/>
  <c r="K918" i="10" s="1"/>
  <c r="I919" i="10"/>
  <c r="J919" i="10"/>
  <c r="K919" i="10"/>
  <c r="I920" i="10"/>
  <c r="J920" i="10"/>
  <c r="K920" i="10"/>
  <c r="I921" i="10"/>
  <c r="J921" i="10"/>
  <c r="K921" i="10" s="1"/>
  <c r="I922" i="10"/>
  <c r="J922" i="10"/>
  <c r="K922" i="10" s="1"/>
  <c r="I923" i="10"/>
  <c r="J923" i="10"/>
  <c r="K923" i="10" s="1"/>
  <c r="I924" i="10"/>
  <c r="J924" i="10" s="1"/>
  <c r="K924" i="10" s="1"/>
  <c r="I925" i="10"/>
  <c r="J925" i="10" s="1"/>
  <c r="K925" i="10"/>
  <c r="I926" i="10"/>
  <c r="J926" i="10" s="1"/>
  <c r="K926" i="10" s="1"/>
  <c r="I927" i="10"/>
  <c r="J927" i="10"/>
  <c r="K927" i="10" s="1"/>
  <c r="I928" i="10"/>
  <c r="J928" i="10"/>
  <c r="K928" i="10"/>
  <c r="I929" i="10"/>
  <c r="J929" i="10"/>
  <c r="K929" i="10" s="1"/>
  <c r="I930" i="10"/>
  <c r="J930" i="10"/>
  <c r="K930" i="10" s="1"/>
  <c r="I931" i="10"/>
  <c r="J931" i="10"/>
  <c r="K931" i="10"/>
  <c r="I932" i="10"/>
  <c r="J932" i="10" s="1"/>
  <c r="K932" i="10" s="1"/>
  <c r="I933" i="10"/>
  <c r="J933" i="10" s="1"/>
  <c r="K933" i="10" s="1"/>
  <c r="I934" i="10"/>
  <c r="J934" i="10" s="1"/>
  <c r="K934" i="10" s="1"/>
  <c r="I935" i="10"/>
  <c r="J935" i="10"/>
  <c r="K935" i="10" s="1"/>
  <c r="I936" i="10"/>
  <c r="J936" i="10"/>
  <c r="K936" i="10"/>
  <c r="I937" i="10"/>
  <c r="J937" i="10"/>
  <c r="K937" i="10" s="1"/>
  <c r="I938" i="10"/>
  <c r="J938" i="10"/>
  <c r="K938" i="10" s="1"/>
  <c r="I939" i="10"/>
  <c r="J939" i="10"/>
  <c r="K939" i="10" s="1"/>
  <c r="I940" i="10"/>
  <c r="J940" i="10" s="1"/>
  <c r="K940" i="10" s="1"/>
  <c r="I941" i="10"/>
  <c r="J941" i="10" s="1"/>
  <c r="K941" i="10"/>
  <c r="I942" i="10"/>
  <c r="J942" i="10" s="1"/>
  <c r="K942" i="10" s="1"/>
  <c r="I943" i="10"/>
  <c r="J943" i="10"/>
  <c r="K943" i="10" s="1"/>
  <c r="I944" i="10"/>
  <c r="J944" i="10"/>
  <c r="K944" i="10"/>
  <c r="I945" i="10"/>
  <c r="J945" i="10"/>
  <c r="K945" i="10" s="1"/>
  <c r="I946" i="10"/>
  <c r="J946" i="10"/>
  <c r="K946" i="10" s="1"/>
  <c r="I947" i="10"/>
  <c r="J947" i="10"/>
  <c r="K947" i="10"/>
  <c r="I948" i="10"/>
  <c r="J948" i="10" s="1"/>
  <c r="K948" i="10" s="1"/>
  <c r="I949" i="10"/>
  <c r="J949" i="10" s="1"/>
  <c r="K949" i="10" s="1"/>
  <c r="I950" i="10"/>
  <c r="J950" i="10" s="1"/>
  <c r="K950" i="10" s="1"/>
  <c r="I951" i="10"/>
  <c r="J951" i="10"/>
  <c r="K951" i="10" s="1"/>
  <c r="I952" i="10"/>
  <c r="J952" i="10"/>
  <c r="K952" i="10"/>
  <c r="I953" i="10"/>
  <c r="J953" i="10"/>
  <c r="K953" i="10" s="1"/>
  <c r="I954" i="10"/>
  <c r="J954" i="10"/>
  <c r="K954" i="10" s="1"/>
  <c r="I955" i="10"/>
  <c r="J955" i="10"/>
  <c r="K955" i="10" s="1"/>
  <c r="I956" i="10"/>
  <c r="J956" i="10" s="1"/>
  <c r="K956" i="10" s="1"/>
  <c r="I957" i="10"/>
  <c r="J957" i="10" s="1"/>
  <c r="K957" i="10"/>
  <c r="I958" i="10"/>
  <c r="J958" i="10" s="1"/>
  <c r="K958" i="10" s="1"/>
  <c r="I959" i="10"/>
  <c r="J959" i="10"/>
  <c r="K959" i="10" s="1"/>
  <c r="I960" i="10"/>
  <c r="J960" i="10"/>
  <c r="K960" i="10"/>
  <c r="I961" i="10"/>
  <c r="J961" i="10"/>
  <c r="K961" i="10" s="1"/>
  <c r="I962" i="10"/>
  <c r="J962" i="10"/>
  <c r="K962" i="10" s="1"/>
  <c r="I963" i="10"/>
  <c r="J963" i="10"/>
  <c r="K963" i="10"/>
  <c r="I964" i="10"/>
  <c r="J964" i="10" s="1"/>
  <c r="K964" i="10" s="1"/>
  <c r="I965" i="10"/>
  <c r="J965" i="10" s="1"/>
  <c r="K965" i="10" s="1"/>
  <c r="I966" i="10"/>
  <c r="J966" i="10" s="1"/>
  <c r="K966" i="10" s="1"/>
  <c r="I967" i="10"/>
  <c r="J967" i="10"/>
  <c r="K967" i="10" s="1"/>
  <c r="I968" i="10"/>
  <c r="J968" i="10"/>
  <c r="K968" i="10"/>
  <c r="I969" i="10"/>
  <c r="J969" i="10"/>
  <c r="K969" i="10" s="1"/>
  <c r="I970" i="10"/>
  <c r="J970" i="10"/>
  <c r="K970" i="10" s="1"/>
  <c r="I971" i="10"/>
  <c r="J971" i="10"/>
  <c r="K971" i="10" s="1"/>
  <c r="I972" i="10"/>
  <c r="J972" i="10" s="1"/>
  <c r="K972" i="10" s="1"/>
  <c r="I973" i="10"/>
  <c r="J973" i="10" s="1"/>
  <c r="K973" i="10"/>
  <c r="I974" i="10"/>
  <c r="J974" i="10" s="1"/>
  <c r="K974" i="10" s="1"/>
  <c r="I975" i="10"/>
  <c r="J975" i="10"/>
  <c r="K975" i="10" s="1"/>
  <c r="I976" i="10"/>
  <c r="J976" i="10"/>
  <c r="K976" i="10"/>
  <c r="I977" i="10"/>
  <c r="J977" i="10"/>
  <c r="K977" i="10" s="1"/>
  <c r="I978" i="10"/>
  <c r="J978" i="10"/>
  <c r="K978" i="10" s="1"/>
  <c r="I979" i="10"/>
  <c r="J979" i="10"/>
  <c r="K979" i="10"/>
  <c r="I980" i="10"/>
  <c r="J980" i="10" s="1"/>
  <c r="K980" i="10" s="1"/>
  <c r="I981" i="10"/>
  <c r="J981" i="10" s="1"/>
  <c r="K981" i="10" s="1"/>
  <c r="I982" i="10"/>
  <c r="J982" i="10" s="1"/>
  <c r="K982" i="10" s="1"/>
  <c r="I983" i="10"/>
  <c r="J983" i="10"/>
  <c r="K983" i="10" s="1"/>
  <c r="I984" i="10"/>
  <c r="J984" i="10"/>
  <c r="K984" i="10"/>
  <c r="I985" i="10"/>
  <c r="J985" i="10"/>
  <c r="K985" i="10" s="1"/>
  <c r="I986" i="10"/>
  <c r="J986" i="10"/>
  <c r="K986" i="10" s="1"/>
  <c r="I987" i="10"/>
  <c r="J987" i="10"/>
  <c r="K987" i="10" s="1"/>
  <c r="I988" i="10"/>
  <c r="J988" i="10" s="1"/>
  <c r="K988" i="10" s="1"/>
  <c r="I989" i="10"/>
  <c r="J989" i="10" s="1"/>
  <c r="K989" i="10"/>
  <c r="I990" i="10"/>
  <c r="J990" i="10" s="1"/>
  <c r="K990" i="10" s="1"/>
  <c r="I991" i="10"/>
  <c r="J991" i="10"/>
  <c r="K991" i="10" s="1"/>
  <c r="I992" i="10"/>
  <c r="J992" i="10"/>
  <c r="K992" i="10"/>
  <c r="I993" i="10"/>
  <c r="J993" i="10"/>
  <c r="K993" i="10" s="1"/>
  <c r="I994" i="10"/>
  <c r="J994" i="10"/>
  <c r="K994" i="10" s="1"/>
  <c r="I995" i="10"/>
  <c r="J995" i="10"/>
  <c r="K995" i="10"/>
  <c r="I996" i="10"/>
  <c r="J996" i="10" s="1"/>
  <c r="K996" i="10" s="1"/>
  <c r="I997" i="10"/>
  <c r="J997" i="10" s="1"/>
  <c r="K997" i="10" s="1"/>
  <c r="I998" i="10"/>
  <c r="J998" i="10" s="1"/>
  <c r="K998" i="10" s="1"/>
  <c r="I999" i="10"/>
  <c r="J999" i="10"/>
  <c r="K999" i="10" s="1"/>
  <c r="I1000" i="10"/>
  <c r="J1000" i="10"/>
  <c r="K1000" i="10"/>
  <c r="I1001" i="10"/>
  <c r="J1001" i="10"/>
  <c r="K1001" i="10" s="1"/>
  <c r="I1002" i="10"/>
  <c r="J1002" i="10"/>
  <c r="K1002" i="10" s="1"/>
  <c r="I1003" i="10"/>
  <c r="J1003" i="10"/>
  <c r="K1003" i="10" s="1"/>
  <c r="I1004" i="10"/>
  <c r="J1004" i="10" s="1"/>
  <c r="K1004" i="10" s="1"/>
  <c r="I1005" i="10"/>
  <c r="J1005" i="10" s="1"/>
  <c r="K1005" i="10"/>
  <c r="I1006" i="10"/>
  <c r="J1006" i="10" s="1"/>
  <c r="K1006" i="10" s="1"/>
  <c r="I1007" i="10"/>
  <c r="J1007" i="10"/>
  <c r="K1007" i="10" s="1"/>
  <c r="I1008" i="10"/>
  <c r="J1008" i="10"/>
  <c r="K1008" i="10"/>
  <c r="I1009" i="10"/>
  <c r="J1009" i="10"/>
  <c r="K1009" i="10" s="1"/>
  <c r="I1010" i="10"/>
  <c r="J1010" i="10" s="1"/>
  <c r="K1010" i="10" s="1"/>
  <c r="I1011" i="10"/>
  <c r="J1011" i="10"/>
  <c r="K1011" i="10" s="1"/>
  <c r="I1012" i="10"/>
  <c r="J1012" i="10" s="1"/>
  <c r="K1012" i="10" s="1"/>
  <c r="I1013" i="10"/>
  <c r="J1013" i="10"/>
  <c r="K1013" i="10"/>
  <c r="I1014" i="10"/>
  <c r="J1014" i="10" s="1"/>
  <c r="K1014" i="10" s="1"/>
  <c r="I1015" i="10"/>
  <c r="J1015" i="10"/>
  <c r="K1015" i="10" s="1"/>
  <c r="I1016" i="10"/>
  <c r="J1016" i="10"/>
  <c r="K1016" i="10"/>
  <c r="I1017" i="10"/>
  <c r="J1017" i="10"/>
  <c r="K1017" i="10" s="1"/>
  <c r="I1018" i="10"/>
  <c r="J1018" i="10" s="1"/>
  <c r="K1018" i="10" s="1"/>
  <c r="I1019" i="10"/>
  <c r="J1019" i="10"/>
  <c r="K1019" i="10" s="1"/>
  <c r="I1020" i="10"/>
  <c r="J1020" i="10" s="1"/>
  <c r="K1020" i="10" s="1"/>
  <c r="I1021" i="10"/>
  <c r="J1021" i="10"/>
  <c r="K1021" i="10"/>
  <c r="I1022" i="10"/>
  <c r="J1022" i="10" s="1"/>
  <c r="K1022" i="10" s="1"/>
  <c r="I1023" i="10"/>
  <c r="J1023" i="10"/>
  <c r="K1023" i="10" s="1"/>
  <c r="I1024" i="10"/>
  <c r="J1024" i="10"/>
  <c r="K1024" i="10"/>
  <c r="I1025" i="10"/>
  <c r="J1025" i="10"/>
  <c r="K1025" i="10" s="1"/>
  <c r="I1026" i="10"/>
  <c r="J1026" i="10" s="1"/>
  <c r="K1026" i="10" s="1"/>
  <c r="I1027" i="10"/>
  <c r="J1027" i="10"/>
  <c r="K1027" i="10" s="1"/>
  <c r="I1028" i="10"/>
  <c r="J1028" i="10" s="1"/>
  <c r="K1028" i="10" s="1"/>
  <c r="I1029" i="10"/>
  <c r="J1029" i="10"/>
  <c r="K1029" i="10"/>
  <c r="I1030" i="10"/>
  <c r="J1030" i="10" s="1"/>
  <c r="K1030" i="10" s="1"/>
  <c r="I1031" i="10"/>
  <c r="J1031" i="10"/>
  <c r="K1031" i="10" s="1"/>
  <c r="I1032" i="10"/>
  <c r="J1032" i="10"/>
  <c r="K1032" i="10"/>
  <c r="I1033" i="10"/>
  <c r="J1033" i="10"/>
  <c r="K1033" i="10" s="1"/>
  <c r="I1034" i="10"/>
  <c r="J1034" i="10" s="1"/>
  <c r="K1034" i="10" s="1"/>
  <c r="I1035" i="10"/>
  <c r="J1035" i="10"/>
  <c r="K1035" i="10" s="1"/>
  <c r="I1036" i="10"/>
  <c r="J1036" i="10" s="1"/>
  <c r="K1036" i="10" s="1"/>
  <c r="I1037" i="10"/>
  <c r="J1037" i="10"/>
  <c r="K1037" i="10"/>
  <c r="I1038" i="10"/>
  <c r="J1038" i="10" s="1"/>
  <c r="K1038" i="10" s="1"/>
  <c r="I1039" i="10"/>
  <c r="J1039" i="10"/>
  <c r="K1039" i="10" s="1"/>
  <c r="I1040" i="10"/>
  <c r="J1040" i="10"/>
  <c r="K1040" i="10"/>
  <c r="I1041" i="10"/>
  <c r="J1041" i="10"/>
  <c r="K1041" i="10" s="1"/>
  <c r="I1042" i="10"/>
  <c r="J1042" i="10" s="1"/>
  <c r="K1042" i="10" s="1"/>
  <c r="I1043" i="10"/>
  <c r="J1043" i="10"/>
  <c r="K1043" i="10" s="1"/>
  <c r="I1044" i="10"/>
  <c r="J1044" i="10" s="1"/>
  <c r="K1044" i="10" s="1"/>
  <c r="I1045" i="10"/>
  <c r="J1045" i="10"/>
  <c r="K1045" i="10"/>
  <c r="I1046" i="10"/>
  <c r="J1046" i="10" s="1"/>
  <c r="K1046" i="10" s="1"/>
  <c r="I1047" i="10"/>
  <c r="J1047" i="10"/>
  <c r="K1047" i="10" s="1"/>
  <c r="I1048" i="10"/>
  <c r="J1048" i="10"/>
  <c r="K1048" i="10"/>
  <c r="I1049" i="10"/>
  <c r="J1049" i="10"/>
  <c r="K1049" i="10" s="1"/>
  <c r="I1050" i="10"/>
  <c r="J1050" i="10" s="1"/>
  <c r="K1050" i="10" s="1"/>
  <c r="I1051" i="10"/>
  <c r="J1051" i="10"/>
  <c r="K1051" i="10" s="1"/>
  <c r="I1052" i="10"/>
  <c r="J1052" i="10" s="1"/>
  <c r="K1052" i="10" s="1"/>
  <c r="I1053" i="10"/>
  <c r="J1053" i="10"/>
  <c r="K1053" i="10"/>
  <c r="I1054" i="10"/>
  <c r="J1054" i="10" s="1"/>
  <c r="K1054" i="10" s="1"/>
  <c r="I1055" i="10"/>
  <c r="J1055" i="10"/>
  <c r="K1055" i="10" s="1"/>
  <c r="I1056" i="10"/>
  <c r="J1056" i="10"/>
  <c r="K1056" i="10"/>
  <c r="I1057" i="10"/>
  <c r="J1057" i="10"/>
  <c r="K1057" i="10" s="1"/>
  <c r="I1058" i="10"/>
  <c r="J1058" i="10" s="1"/>
  <c r="K1058" i="10" s="1"/>
  <c r="I1059" i="10"/>
  <c r="J1059" i="10"/>
  <c r="K1059" i="10" s="1"/>
  <c r="I1060" i="10"/>
  <c r="J1060" i="10" s="1"/>
  <c r="K1060" i="10" s="1"/>
  <c r="I1061" i="10"/>
  <c r="J1061" i="10"/>
  <c r="K1061" i="10"/>
  <c r="I1062" i="10"/>
  <c r="J1062" i="10" s="1"/>
  <c r="K1062" i="10" s="1"/>
  <c r="I1063" i="10"/>
  <c r="J1063" i="10"/>
  <c r="K1063" i="10" s="1"/>
  <c r="I1064" i="10"/>
  <c r="J1064" i="10"/>
  <c r="K1064" i="10"/>
  <c r="I1065" i="10"/>
  <c r="J1065" i="10"/>
  <c r="K1065" i="10" s="1"/>
  <c r="I1066" i="10"/>
  <c r="J1066" i="10" s="1"/>
  <c r="K1066" i="10" s="1"/>
  <c r="I1067" i="10"/>
  <c r="J1067" i="10"/>
  <c r="K1067" i="10" s="1"/>
  <c r="I1068" i="10"/>
  <c r="J1068" i="10" s="1"/>
  <c r="K1068" i="10" s="1"/>
  <c r="I1069" i="10"/>
  <c r="J1069" i="10"/>
  <c r="K1069" i="10"/>
  <c r="I1070" i="10"/>
  <c r="J1070" i="10" s="1"/>
  <c r="K1070" i="10" s="1"/>
  <c r="I1071" i="10"/>
  <c r="J1071" i="10"/>
  <c r="K1071" i="10" s="1"/>
  <c r="I1072" i="10"/>
  <c r="J1072" i="10"/>
  <c r="K1072" i="10"/>
  <c r="I1073" i="10"/>
  <c r="J1073" i="10"/>
  <c r="K1073" i="10" s="1"/>
  <c r="I1074" i="10"/>
  <c r="J1074" i="10" s="1"/>
  <c r="K1074" i="10" s="1"/>
  <c r="I1075" i="10"/>
  <c r="J1075" i="10"/>
  <c r="K1075" i="10" s="1"/>
  <c r="I1076" i="10"/>
  <c r="J1076" i="10" s="1"/>
  <c r="K1076" i="10" s="1"/>
  <c r="I1077" i="10"/>
  <c r="J1077" i="10"/>
  <c r="K1077" i="10"/>
  <c r="I1078" i="10"/>
  <c r="J1078" i="10" s="1"/>
  <c r="K1078" i="10" s="1"/>
  <c r="I1079" i="10"/>
  <c r="J1079" i="10"/>
  <c r="K1079" i="10" s="1"/>
  <c r="I1080" i="10"/>
  <c r="J1080" i="10"/>
  <c r="K1080" i="10"/>
  <c r="I1081" i="10"/>
  <c r="J1081" i="10"/>
  <c r="K1081" i="10" s="1"/>
  <c r="I1082" i="10"/>
  <c r="J1082" i="10" s="1"/>
  <c r="K1082" i="10" s="1"/>
  <c r="I1083" i="10"/>
  <c r="J1083" i="10"/>
  <c r="K1083" i="10" s="1"/>
  <c r="I1084" i="10"/>
  <c r="J1084" i="10" s="1"/>
  <c r="K1084" i="10" s="1"/>
  <c r="I1085" i="10"/>
  <c r="J1085" i="10"/>
  <c r="K1085" i="10"/>
  <c r="I1086" i="10"/>
  <c r="J1086" i="10" s="1"/>
  <c r="K1086" i="10" s="1"/>
  <c r="I1087" i="10"/>
  <c r="J1087" i="10"/>
  <c r="K1087" i="10" s="1"/>
  <c r="I1088" i="10"/>
  <c r="J1088" i="10"/>
  <c r="K1088" i="10"/>
  <c r="I1089" i="10"/>
  <c r="J1089" i="10"/>
  <c r="K1089" i="10" s="1"/>
  <c r="I1090" i="10"/>
  <c r="J1090" i="10" s="1"/>
  <c r="K1090" i="10" s="1"/>
  <c r="I1091" i="10"/>
  <c r="J1091" i="10"/>
  <c r="K1091" i="10" s="1"/>
  <c r="I1092" i="10"/>
  <c r="J1092" i="10" s="1"/>
  <c r="K1092" i="10" s="1"/>
  <c r="I1093" i="10"/>
  <c r="J1093" i="10"/>
  <c r="K1093" i="10"/>
  <c r="I1094" i="10"/>
  <c r="J1094" i="10" s="1"/>
  <c r="K1094" i="10" s="1"/>
  <c r="I1095" i="10"/>
  <c r="J1095" i="10"/>
  <c r="K1095" i="10" s="1"/>
  <c r="I1096" i="10"/>
  <c r="J1096" i="10"/>
  <c r="K1096" i="10"/>
  <c r="I1097" i="10"/>
  <c r="J1097" i="10"/>
  <c r="K1097" i="10" s="1"/>
  <c r="I1098" i="10"/>
  <c r="J1098" i="10" s="1"/>
  <c r="K1098" i="10" s="1"/>
  <c r="I1099" i="10"/>
  <c r="J1099" i="10"/>
  <c r="K1099" i="10" s="1"/>
  <c r="I1100" i="10"/>
  <c r="J1100" i="10" s="1"/>
  <c r="K1100" i="10" s="1"/>
  <c r="I1101" i="10"/>
  <c r="J1101" i="10"/>
  <c r="K1101" i="10"/>
  <c r="I1102" i="10"/>
  <c r="J1102" i="10" s="1"/>
  <c r="K1102" i="10" s="1"/>
  <c r="I1103" i="10"/>
  <c r="J1103" i="10"/>
  <c r="K1103" i="10" s="1"/>
  <c r="I1104" i="10"/>
  <c r="J1104" i="10" s="1"/>
  <c r="K1104" i="10" s="1"/>
  <c r="I1105" i="10"/>
  <c r="J1105" i="10"/>
  <c r="K1105" i="10" s="1"/>
  <c r="I1106" i="10"/>
  <c r="J1106" i="10" s="1"/>
  <c r="K1106" i="10" s="1"/>
  <c r="I1107" i="10"/>
  <c r="J1107" i="10"/>
  <c r="K1107" i="10" s="1"/>
  <c r="I1108" i="10"/>
  <c r="J1108" i="10" s="1"/>
  <c r="K1108" i="10" s="1"/>
  <c r="I1109" i="10"/>
  <c r="J1109" i="10"/>
  <c r="K1109" i="10"/>
  <c r="I1110" i="10"/>
  <c r="J1110" i="10" s="1"/>
  <c r="K1110" i="10" s="1"/>
  <c r="I1111" i="10"/>
  <c r="J1111" i="10"/>
  <c r="K1111" i="10" s="1"/>
  <c r="I1112" i="10"/>
  <c r="J1112" i="10"/>
  <c r="K1112" i="10"/>
  <c r="I1113" i="10"/>
  <c r="J1113" i="10"/>
  <c r="K1113" i="10" s="1"/>
  <c r="I1114" i="10"/>
  <c r="J1114" i="10" s="1"/>
  <c r="K1114" i="10" s="1"/>
  <c r="I1115" i="10"/>
  <c r="J1115" i="10"/>
  <c r="K1115" i="10" s="1"/>
  <c r="I1116" i="10"/>
  <c r="J1116" i="10" s="1"/>
  <c r="K1116" i="10" s="1"/>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E1102" i="10"/>
  <c r="AR1101" i="10"/>
  <c r="AM1101" i="10"/>
  <c r="V1101" i="10"/>
  <c r="U1101" i="10"/>
  <c r="H1101" i="10"/>
  <c r="E1101" i="10"/>
  <c r="G1101" i="10" s="1"/>
  <c r="AR1100" i="10"/>
  <c r="AM1100" i="10"/>
  <c r="V1100" i="10"/>
  <c r="U1100" i="10"/>
  <c r="H1100" i="10"/>
  <c r="G1100" i="10"/>
  <c r="E1100" i="10"/>
  <c r="AR1099" i="10"/>
  <c r="AM1099" i="10"/>
  <c r="V1099" i="10"/>
  <c r="U1099" i="10"/>
  <c r="G1099" i="10"/>
  <c r="E1099" i="10"/>
  <c r="H1099" i="10" s="1"/>
  <c r="AM1098" i="10"/>
  <c r="V1098" i="10"/>
  <c r="U1098" i="10"/>
  <c r="E1098" i="10"/>
  <c r="H1098" i="10" s="1"/>
  <c r="AM1097" i="10"/>
  <c r="V1097" i="10"/>
  <c r="U1097" i="10"/>
  <c r="E1097" i="10"/>
  <c r="AM1096" i="10"/>
  <c r="V1096" i="10"/>
  <c r="U1096" i="10"/>
  <c r="G1096" i="10"/>
  <c r="E1096" i="10"/>
  <c r="H1096" i="10" s="1"/>
  <c r="AM1095" i="10"/>
  <c r="V1095" i="10"/>
  <c r="U1095" i="10"/>
  <c r="H1095" i="10"/>
  <c r="G1095" i="10"/>
  <c r="E1095" i="10"/>
  <c r="AR1094" i="10"/>
  <c r="AM1094" i="10"/>
  <c r="V1094" i="10"/>
  <c r="U1094" i="10"/>
  <c r="H1094" i="10"/>
  <c r="G1094" i="10"/>
  <c r="E1094" i="10"/>
  <c r="AR1093" i="10"/>
  <c r="AM1093" i="10"/>
  <c r="V1093" i="10"/>
  <c r="U1093" i="10"/>
  <c r="G1093" i="10"/>
  <c r="E1093" i="10"/>
  <c r="H1093" i="10" s="1"/>
  <c r="AR1092" i="10"/>
  <c r="AM1092" i="10"/>
  <c r="V1092" i="10"/>
  <c r="U1092" i="10"/>
  <c r="E1092" i="10"/>
  <c r="AR1091" i="10"/>
  <c r="AM1091" i="10"/>
  <c r="V1091" i="10"/>
  <c r="U1091" i="10"/>
  <c r="H1091" i="10"/>
  <c r="G1091" i="10"/>
  <c r="E1091" i="10"/>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H1080" i="10"/>
  <c r="G1080" i="10"/>
  <c r="E1080" i="10"/>
  <c r="V1079" i="10"/>
  <c r="U1079" i="10"/>
  <c r="H1079" i="10"/>
  <c r="G1079" i="10"/>
  <c r="E1079" i="10"/>
  <c r="V1078" i="10"/>
  <c r="U1078" i="10"/>
  <c r="H1078" i="10"/>
  <c r="G1078" i="10"/>
  <c r="E1078" i="10"/>
  <c r="V1077" i="10"/>
  <c r="U1077" i="10"/>
  <c r="H1077" i="10"/>
  <c r="G1077" i="10"/>
  <c r="E1077" i="10"/>
  <c r="V1076" i="10"/>
  <c r="U1076" i="10"/>
  <c r="H1076" i="10"/>
  <c r="G1076" i="10"/>
  <c r="E1076" i="10"/>
  <c r="V1075" i="10"/>
  <c r="U1075" i="10"/>
  <c r="H1075" i="10"/>
  <c r="G1075" i="10"/>
  <c r="E1075" i="10"/>
  <c r="V1074" i="10"/>
  <c r="U1074" i="10"/>
  <c r="H1074" i="10"/>
  <c r="G1074" i="10"/>
  <c r="E1074" i="10"/>
  <c r="V1073" i="10"/>
  <c r="U1073" i="10"/>
  <c r="H1073" i="10"/>
  <c r="G1073" i="10"/>
  <c r="E1073" i="10"/>
  <c r="V1072" i="10"/>
  <c r="U1072" i="10"/>
  <c r="H1072" i="10"/>
  <c r="G1072" i="10"/>
  <c r="E1072" i="10"/>
  <c r="V1071" i="10"/>
  <c r="U1071" i="10"/>
  <c r="H1071" i="10"/>
  <c r="G1071" i="10"/>
  <c r="E1071" i="10"/>
  <c r="V1070" i="10"/>
  <c r="U1070" i="10"/>
  <c r="H1070" i="10"/>
  <c r="G1070" i="10"/>
  <c r="E1070" i="10"/>
  <c r="V1069" i="10"/>
  <c r="U1069" i="10"/>
  <c r="H1069" i="10"/>
  <c r="G1069" i="10"/>
  <c r="E1069" i="10"/>
  <c r="V1068" i="10"/>
  <c r="U1068" i="10"/>
  <c r="H1068" i="10"/>
  <c r="G1068" i="10"/>
  <c r="E1068" i="10"/>
  <c r="V1067" i="10"/>
  <c r="U1067" i="10"/>
  <c r="H1067" i="10"/>
  <c r="G1067" i="10"/>
  <c r="E1067" i="10"/>
  <c r="V1066" i="10"/>
  <c r="U1066" i="10"/>
  <c r="H1066" i="10"/>
  <c r="G1066" i="10"/>
  <c r="E1066" i="10"/>
  <c r="V1065" i="10"/>
  <c r="U1065" i="10"/>
  <c r="H1065" i="10"/>
  <c r="G1065" i="10"/>
  <c r="E1065" i="10"/>
  <c r="V1064" i="10"/>
  <c r="U1064" i="10"/>
  <c r="H1064" i="10"/>
  <c r="G1064" i="10"/>
  <c r="E1064" i="10"/>
  <c r="V1063" i="10"/>
  <c r="U1063" i="10"/>
  <c r="H1063" i="10"/>
  <c r="G1063" i="10"/>
  <c r="E1063" i="10"/>
  <c r="V1062" i="10"/>
  <c r="U1062" i="10"/>
  <c r="H1062" i="10"/>
  <c r="G1062" i="10"/>
  <c r="E1062" i="10"/>
  <c r="V1061" i="10"/>
  <c r="U1061" i="10"/>
  <c r="H1061" i="10"/>
  <c r="G1061" i="10"/>
  <c r="E1061" i="10"/>
  <c r="V1060" i="10"/>
  <c r="U1060" i="10"/>
  <c r="H1060" i="10"/>
  <c r="G1060" i="10"/>
  <c r="E1060" i="10"/>
  <c r="V1059" i="10"/>
  <c r="U1059" i="10"/>
  <c r="H1059" i="10"/>
  <c r="G1059" i="10"/>
  <c r="E1059" i="10"/>
  <c r="V1058" i="10"/>
  <c r="U1058" i="10"/>
  <c r="H1058" i="10"/>
  <c r="G1058" i="10"/>
  <c r="E1058" i="10"/>
  <c r="V1057" i="10"/>
  <c r="U1057" i="10"/>
  <c r="H1057" i="10"/>
  <c r="G1057" i="10"/>
  <c r="E1057" i="10"/>
  <c r="V1056" i="10"/>
  <c r="U1056" i="10"/>
  <c r="H1056" i="10"/>
  <c r="G1056" i="10"/>
  <c r="E1056" i="10"/>
  <c r="V1055" i="10"/>
  <c r="U1055" i="10"/>
  <c r="H1055" i="10"/>
  <c r="G1055" i="10"/>
  <c r="E1055" i="10"/>
  <c r="V1054" i="10"/>
  <c r="U1054" i="10"/>
  <c r="H1054" i="10"/>
  <c r="G1054" i="10"/>
  <c r="E1054" i="10"/>
  <c r="V1053" i="10"/>
  <c r="U1053" i="10"/>
  <c r="H1053" i="10"/>
  <c r="G1053" i="10"/>
  <c r="E1053" i="10"/>
  <c r="V1052" i="10"/>
  <c r="U1052" i="10"/>
  <c r="H1052" i="10"/>
  <c r="G1052" i="10"/>
  <c r="E1052" i="10"/>
  <c r="V1051" i="10"/>
  <c r="U1051" i="10"/>
  <c r="H1051" i="10"/>
  <c r="G1051" i="10"/>
  <c r="E1051" i="10"/>
  <c r="V1050" i="10"/>
  <c r="U1050" i="10"/>
  <c r="H1050" i="10"/>
  <c r="G1050" i="10"/>
  <c r="F1050" i="10"/>
  <c r="V1049" i="10"/>
  <c r="U1049" i="10"/>
  <c r="H1049" i="10"/>
  <c r="G1049" i="10"/>
  <c r="F1049" i="10"/>
  <c r="V1048" i="10"/>
  <c r="U1048" i="10"/>
  <c r="H1048" i="10"/>
  <c r="G1048" i="10"/>
  <c r="F1048" i="10"/>
  <c r="BL1047" i="10"/>
  <c r="V1047" i="10"/>
  <c r="U1047" i="10"/>
  <c r="E1047" i="10"/>
  <c r="BL1046" i="10"/>
  <c r="V1046" i="10"/>
  <c r="U1046" i="10"/>
  <c r="H1046" i="10"/>
  <c r="G1046" i="10"/>
  <c r="E1046" i="10"/>
  <c r="BL1045" i="10"/>
  <c r="V1045" i="10"/>
  <c r="U1045" i="10"/>
  <c r="H1045" i="10"/>
  <c r="E1045" i="10"/>
  <c r="G1045" i="10" s="1"/>
  <c r="BL1044" i="10"/>
  <c r="V1044" i="10"/>
  <c r="U1044" i="10"/>
  <c r="H1044" i="10"/>
  <c r="G1044" i="10"/>
  <c r="E1044" i="10"/>
  <c r="BL1043" i="10"/>
  <c r="V1043" i="10"/>
  <c r="U1043" i="10"/>
  <c r="E1043" i="10"/>
  <c r="H1043" i="10" s="1"/>
  <c r="BL1042" i="10"/>
  <c r="V1042" i="10"/>
  <c r="U1042" i="10"/>
  <c r="E1042" i="10"/>
  <c r="BL1041" i="10"/>
  <c r="V1041" i="10"/>
  <c r="U1041" i="10"/>
  <c r="G1041" i="10"/>
  <c r="E1041" i="10"/>
  <c r="H1041" i="10" s="1"/>
  <c r="BL1040" i="10"/>
  <c r="V1040" i="10"/>
  <c r="U1040" i="10"/>
  <c r="H1040" i="10"/>
  <c r="G1040" i="10"/>
  <c r="E1040" i="10"/>
  <c r="BL1039" i="10"/>
  <c r="V1039" i="10"/>
  <c r="U1039" i="10"/>
  <c r="E1039" i="10"/>
  <c r="G1039" i="10" s="1"/>
  <c r="BL1038" i="10"/>
  <c r="V1038" i="10"/>
  <c r="U1038" i="10"/>
  <c r="G1038" i="10"/>
  <c r="E1038" i="10"/>
  <c r="H1038" i="10" s="1"/>
  <c r="BL1037" i="10"/>
  <c r="V1037" i="10"/>
  <c r="U1037" i="10"/>
  <c r="H1037" i="10"/>
  <c r="E1037" i="10"/>
  <c r="G1037" i="10" s="1"/>
  <c r="BL1036" i="10"/>
  <c r="V1036" i="10"/>
  <c r="U1036" i="10"/>
  <c r="H1036" i="10"/>
  <c r="G1036" i="10"/>
  <c r="E1036" i="10"/>
  <c r="BL1035" i="10"/>
  <c r="V1035" i="10"/>
  <c r="U1035" i="10"/>
  <c r="E1035" i="10"/>
  <c r="H1035" i="10" s="1"/>
  <c r="BL1034" i="10"/>
  <c r="V1034" i="10"/>
  <c r="U1034" i="10"/>
  <c r="E1034" i="10"/>
  <c r="BL1033" i="10"/>
  <c r="V1033" i="10"/>
  <c r="U1033" i="10"/>
  <c r="E1033" i="10"/>
  <c r="H1033" i="10" s="1"/>
  <c r="BL1032" i="10"/>
  <c r="V1032" i="10"/>
  <c r="U1032" i="10"/>
  <c r="H1032" i="10"/>
  <c r="G1032" i="10"/>
  <c r="E1032" i="10"/>
  <c r="BL1031" i="10"/>
  <c r="V1031" i="10"/>
  <c r="U1031" i="10"/>
  <c r="H1031" i="10"/>
  <c r="E1031" i="10"/>
  <c r="G1031" i="10" s="1"/>
  <c r="BL1030" i="10"/>
  <c r="V1030" i="10"/>
  <c r="U1030" i="10"/>
  <c r="G1030" i="10"/>
  <c r="E1030" i="10"/>
  <c r="H1030" i="10" s="1"/>
  <c r="BL1029" i="10"/>
  <c r="V1029" i="10"/>
  <c r="U1029" i="10"/>
  <c r="H1029" i="10"/>
  <c r="E1029" i="10"/>
  <c r="G1029" i="10" s="1"/>
  <c r="BL1028" i="10"/>
  <c r="V1028" i="10"/>
  <c r="U1028" i="10"/>
  <c r="H1028" i="10"/>
  <c r="G1028" i="10"/>
  <c r="E1028" i="10"/>
  <c r="BL1027" i="10"/>
  <c r="V1027" i="10"/>
  <c r="U1027" i="10"/>
  <c r="E1027" i="10"/>
  <c r="H1027" i="10" s="1"/>
  <c r="BL1026" i="10"/>
  <c r="V1026" i="10"/>
  <c r="U1026" i="10"/>
  <c r="E1026" i="10"/>
  <c r="BL1025" i="10"/>
  <c r="V1025" i="10"/>
  <c r="U1025" i="10"/>
  <c r="G1025" i="10"/>
  <c r="E1025" i="10"/>
  <c r="H1025" i="10" s="1"/>
  <c r="BL1024" i="10"/>
  <c r="V1024" i="10"/>
  <c r="U1024" i="10"/>
  <c r="H1024" i="10"/>
  <c r="G1024" i="10"/>
  <c r="E1024" i="10"/>
  <c r="BL1023" i="10"/>
  <c r="AR1023" i="10"/>
  <c r="V1023" i="10"/>
  <c r="U1023" i="10"/>
  <c r="H1023" i="10"/>
  <c r="G1023" i="10"/>
  <c r="E1023" i="10"/>
  <c r="BL1022" i="10"/>
  <c r="AR1022" i="10"/>
  <c r="V1022" i="10"/>
  <c r="U1022" i="10"/>
  <c r="H1022" i="10"/>
  <c r="G1022" i="10"/>
  <c r="E1022" i="10"/>
  <c r="BL1021" i="10"/>
  <c r="AR1021" i="10"/>
  <c r="V1021" i="10"/>
  <c r="U1021" i="10"/>
  <c r="E1021" i="10"/>
  <c r="BL1020" i="10"/>
  <c r="AR1020" i="10"/>
  <c r="V1020" i="10"/>
  <c r="U1020" i="10"/>
  <c r="H1020" i="10"/>
  <c r="G1020" i="10"/>
  <c r="E1020" i="10"/>
  <c r="BL1019" i="10"/>
  <c r="AR1019" i="10"/>
  <c r="V1019" i="10"/>
  <c r="U1019" i="10"/>
  <c r="H1019" i="10"/>
  <c r="G1019" i="10"/>
  <c r="E1019" i="10"/>
  <c r="BL1018" i="10"/>
  <c r="AR1018" i="10"/>
  <c r="V1018" i="10"/>
  <c r="U1018" i="10"/>
  <c r="H1018" i="10"/>
  <c r="G1018" i="10"/>
  <c r="E1018" i="10"/>
  <c r="BL1017" i="10"/>
  <c r="AR1017" i="10"/>
  <c r="V1017" i="10"/>
  <c r="U1017" i="10"/>
  <c r="G1017" i="10"/>
  <c r="E1017" i="10"/>
  <c r="H1017" i="10" s="1"/>
  <c r="BL1016" i="10"/>
  <c r="AR1016" i="10"/>
  <c r="V1016" i="10"/>
  <c r="U1016" i="10"/>
  <c r="H1016" i="10"/>
  <c r="G1016" i="10"/>
  <c r="E1016" i="10"/>
  <c r="BL1015" i="10"/>
  <c r="AR1015" i="10"/>
  <c r="V1015" i="10"/>
  <c r="U1015" i="10"/>
  <c r="H1015" i="10"/>
  <c r="G1015" i="10"/>
  <c r="E1015" i="10"/>
  <c r="BL1014" i="10"/>
  <c r="AR1014" i="10"/>
  <c r="V1014" i="10"/>
  <c r="U1014" i="10"/>
  <c r="H1014" i="10"/>
  <c r="G1014" i="10"/>
  <c r="E1014" i="10"/>
  <c r="BL1013" i="10"/>
  <c r="AR1013" i="10"/>
  <c r="V1013" i="10"/>
  <c r="U1013" i="10"/>
  <c r="E1013" i="10"/>
  <c r="H1013" i="10" s="1"/>
  <c r="BL1012" i="10"/>
  <c r="AR1012" i="10"/>
  <c r="V1012" i="10"/>
  <c r="U1012" i="10"/>
  <c r="H1012" i="10"/>
  <c r="G1012" i="10"/>
  <c r="E1012" i="10"/>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L937" i="10"/>
  <c r="AS937" i="10"/>
  <c r="AR937" i="10"/>
  <c r="AM937" i="10"/>
  <c r="V937" i="10"/>
  <c r="U937" i="10"/>
  <c r="G937" i="10"/>
  <c r="E937" i="10"/>
  <c r="H937" i="10" s="1"/>
  <c r="BL936" i="10"/>
  <c r="AS936" i="10"/>
  <c r="AR936" i="10"/>
  <c r="AM936" i="10"/>
  <c r="V936" i="10"/>
  <c r="U936" i="10"/>
  <c r="G936" i="10"/>
  <c r="E936" i="10"/>
  <c r="H936" i="10" s="1"/>
  <c r="BL935" i="10"/>
  <c r="AS935" i="10"/>
  <c r="AR935" i="10"/>
  <c r="AM935" i="10"/>
  <c r="V935" i="10"/>
  <c r="U935" i="10"/>
  <c r="G935" i="10"/>
  <c r="E935" i="10"/>
  <c r="H935" i="10" s="1"/>
  <c r="BL934" i="10"/>
  <c r="AS934" i="10"/>
  <c r="AR934" i="10"/>
  <c r="AM934" i="10"/>
  <c r="V934" i="10"/>
  <c r="U934" i="10"/>
  <c r="E934" i="10"/>
  <c r="BL933" i="10"/>
  <c r="AS933" i="10"/>
  <c r="AR933" i="10"/>
  <c r="AM933" i="10"/>
  <c r="V933" i="10"/>
  <c r="U933" i="10"/>
  <c r="G933" i="10"/>
  <c r="E933" i="10"/>
  <c r="H933" i="10" s="1"/>
  <c r="BL932" i="10"/>
  <c r="AS932" i="10"/>
  <c r="AR932" i="10"/>
  <c r="AM932" i="10"/>
  <c r="V932" i="10"/>
  <c r="U932" i="10"/>
  <c r="E932" i="10"/>
  <c r="H932" i="10" s="1"/>
  <c r="BL931" i="10"/>
  <c r="AS931" i="10"/>
  <c r="AR931" i="10"/>
  <c r="AM931" i="10"/>
  <c r="V931" i="10"/>
  <c r="U931" i="10"/>
  <c r="G931" i="10"/>
  <c r="E931" i="10"/>
  <c r="H931" i="10" s="1"/>
  <c r="BL930" i="10"/>
  <c r="AS930" i="10"/>
  <c r="AR930" i="10"/>
  <c r="AM930" i="10"/>
  <c r="V930" i="10"/>
  <c r="U930" i="10"/>
  <c r="E930" i="10"/>
  <c r="H930" i="10" s="1"/>
  <c r="BL929" i="10"/>
  <c r="AS929" i="10"/>
  <c r="AR929" i="10"/>
  <c r="AM929" i="10"/>
  <c r="V929" i="10"/>
  <c r="U929" i="10"/>
  <c r="G929" i="10"/>
  <c r="E929" i="10"/>
  <c r="H929" i="10" s="1"/>
  <c r="BL928" i="10"/>
  <c r="AS928" i="10"/>
  <c r="AR928" i="10"/>
  <c r="AM928" i="10"/>
  <c r="V928" i="10"/>
  <c r="U928" i="10"/>
  <c r="E928" i="10"/>
  <c r="H928" i="10" s="1"/>
  <c r="BL927" i="10"/>
  <c r="AS927" i="10"/>
  <c r="AR927" i="10"/>
  <c r="AM927" i="10"/>
  <c r="V927" i="10"/>
  <c r="U927" i="10"/>
  <c r="G927" i="10"/>
  <c r="E927" i="10"/>
  <c r="H927" i="10" s="1"/>
  <c r="BL926" i="10"/>
  <c r="AS926" i="10"/>
  <c r="AR926" i="10"/>
  <c r="AM926" i="10"/>
  <c r="V926" i="10"/>
  <c r="U926" i="10"/>
  <c r="E926" i="10"/>
  <c r="H926" i="10" s="1"/>
  <c r="AL925" i="10"/>
  <c r="AK925" i="10"/>
  <c r="X925" i="10"/>
  <c r="V925" i="10"/>
  <c r="U925" i="10"/>
  <c r="E925" i="10"/>
  <c r="G925" i="10" s="1"/>
  <c r="AL924" i="10"/>
  <c r="AK924" i="10"/>
  <c r="X924" i="10"/>
  <c r="V924" i="10"/>
  <c r="U924" i="10"/>
  <c r="H924" i="10"/>
  <c r="G924" i="10"/>
  <c r="E924" i="10"/>
  <c r="AL923" i="10"/>
  <c r="AK923" i="10"/>
  <c r="X923" i="10"/>
  <c r="V923" i="10"/>
  <c r="U923" i="10"/>
  <c r="E923" i="10"/>
  <c r="AL922" i="10"/>
  <c r="AK922" i="10"/>
  <c r="X922" i="10"/>
  <c r="V922" i="10"/>
  <c r="U922" i="10"/>
  <c r="G922" i="10"/>
  <c r="E922" i="10"/>
  <c r="H922" i="10" s="1"/>
  <c r="AL921" i="10"/>
  <c r="AK921" i="10"/>
  <c r="X921" i="10"/>
  <c r="V921" i="10"/>
  <c r="U921" i="10"/>
  <c r="E921" i="10"/>
  <c r="G921" i="10" s="1"/>
  <c r="AL920" i="10"/>
  <c r="AK920" i="10"/>
  <c r="X920" i="10"/>
  <c r="V920" i="10"/>
  <c r="U920" i="10"/>
  <c r="H920" i="10"/>
  <c r="G920" i="10"/>
  <c r="E920" i="10"/>
  <c r="AR919" i="10"/>
  <c r="AL919" i="10"/>
  <c r="AK919" i="10"/>
  <c r="X919" i="10"/>
  <c r="V919" i="10"/>
  <c r="U919" i="10"/>
  <c r="H919" i="10"/>
  <c r="G919" i="10"/>
  <c r="E919" i="10"/>
  <c r="AR918" i="10"/>
  <c r="AL918" i="10"/>
  <c r="AK918" i="10"/>
  <c r="X918" i="10"/>
  <c r="V918" i="10"/>
  <c r="U918" i="10"/>
  <c r="H918" i="10"/>
  <c r="G918" i="10"/>
  <c r="E918" i="10"/>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L895" i="10"/>
  <c r="AR895" i="10"/>
  <c r="X895" i="10"/>
  <c r="W895" i="10"/>
  <c r="V895" i="10"/>
  <c r="U895" i="10"/>
  <c r="H895" i="10"/>
  <c r="G895" i="10"/>
  <c r="F895" i="10"/>
  <c r="AR894" i="10"/>
  <c r="V894" i="10"/>
  <c r="U894" i="10"/>
  <c r="H894" i="10"/>
  <c r="G894" i="10"/>
  <c r="F894" i="10"/>
  <c r="AR893" i="10"/>
  <c r="V893" i="10"/>
  <c r="U893" i="10"/>
  <c r="H893" i="10"/>
  <c r="G893" i="10"/>
  <c r="F893" i="10"/>
  <c r="BL892" i="10"/>
  <c r="AR892" i="10"/>
  <c r="X892" i="10"/>
  <c r="W892" i="10"/>
  <c r="V892" i="10"/>
  <c r="U892" i="10"/>
  <c r="H892" i="10"/>
  <c r="G892" i="10"/>
  <c r="F892" i="10"/>
  <c r="AR891" i="10"/>
  <c r="V891" i="10"/>
  <c r="U891" i="10"/>
  <c r="H891" i="10"/>
  <c r="G891" i="10"/>
  <c r="F891" i="10"/>
  <c r="AR890" i="10"/>
  <c r="V890" i="10"/>
  <c r="U890" i="10"/>
  <c r="H890" i="10"/>
  <c r="G890" i="10"/>
  <c r="F890" i="10"/>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E844" i="10"/>
  <c r="G844" i="10" s="1"/>
  <c r="X843" i="10"/>
  <c r="V843" i="10"/>
  <c r="U843" i="10"/>
  <c r="E843" i="10"/>
  <c r="H843" i="10" s="1"/>
  <c r="X842" i="10"/>
  <c r="V842" i="10"/>
  <c r="U842" i="10"/>
  <c r="H842" i="10"/>
  <c r="G842" i="10"/>
  <c r="E842" i="10"/>
  <c r="X841" i="10"/>
  <c r="V841" i="10"/>
  <c r="U841" i="10"/>
  <c r="H841" i="10"/>
  <c r="G841" i="10"/>
  <c r="E841" i="10"/>
  <c r="X840" i="10"/>
  <c r="V840" i="10"/>
  <c r="U840" i="10"/>
  <c r="H840" i="10"/>
  <c r="G840" i="10"/>
  <c r="E840" i="10"/>
  <c r="X839" i="10"/>
  <c r="V839" i="10"/>
  <c r="U839" i="10"/>
  <c r="E839" i="10"/>
  <c r="H839" i="10" s="1"/>
  <c r="X838" i="10"/>
  <c r="V838" i="10"/>
  <c r="U838" i="10"/>
  <c r="E838" i="10"/>
  <c r="X837" i="10"/>
  <c r="V837" i="10"/>
  <c r="U837" i="10"/>
  <c r="H837" i="10"/>
  <c r="G837" i="10"/>
  <c r="E837" i="10"/>
  <c r="AR836" i="10"/>
  <c r="W836" i="10"/>
  <c r="V836" i="10"/>
  <c r="U836" i="10"/>
  <c r="H836" i="10"/>
  <c r="G836" i="10"/>
  <c r="AR835" i="10"/>
  <c r="W835" i="10"/>
  <c r="V835" i="10"/>
  <c r="U835" i="10"/>
  <c r="H835" i="10"/>
  <c r="G835" i="10"/>
  <c r="AR834" i="10"/>
  <c r="W834" i="10"/>
  <c r="V834" i="10"/>
  <c r="U834" i="10"/>
  <c r="H834" i="10"/>
  <c r="G834" i="10"/>
  <c r="AR833" i="10"/>
  <c r="W833" i="10"/>
  <c r="V833" i="10"/>
  <c r="U833" i="10"/>
  <c r="H833" i="10"/>
  <c r="G833" i="10"/>
  <c r="AR832" i="10"/>
  <c r="W832" i="10"/>
  <c r="V832" i="10"/>
  <c r="U832" i="10"/>
  <c r="H832" i="10"/>
  <c r="G832" i="10"/>
  <c r="AR831" i="10"/>
  <c r="W831" i="10"/>
  <c r="V831" i="10"/>
  <c r="U831" i="10"/>
  <c r="H831" i="10"/>
  <c r="G831" i="10"/>
  <c r="AR830" i="10"/>
  <c r="W830" i="10"/>
  <c r="V830" i="10"/>
  <c r="U830" i="10"/>
  <c r="H830" i="10"/>
  <c r="G830" i="10"/>
  <c r="AR829" i="10"/>
  <c r="W829" i="10"/>
  <c r="V829" i="10"/>
  <c r="U829" i="10"/>
  <c r="H829" i="10"/>
  <c r="G829" i="10"/>
  <c r="AR828" i="10"/>
  <c r="W828" i="10"/>
  <c r="V828" i="10"/>
  <c r="U828" i="10"/>
  <c r="H828" i="10"/>
  <c r="G828" i="10"/>
  <c r="AR827" i="10"/>
  <c r="W827" i="10"/>
  <c r="V827" i="10"/>
  <c r="U827" i="10"/>
  <c r="H827" i="10"/>
  <c r="G827" i="10"/>
  <c r="AR826" i="10"/>
  <c r="W826" i="10"/>
  <c r="V826" i="10"/>
  <c r="U826" i="10"/>
  <c r="H826" i="10"/>
  <c r="G826" i="10"/>
  <c r="AR825" i="10"/>
  <c r="W825" i="10"/>
  <c r="V825" i="10"/>
  <c r="U825" i="10"/>
  <c r="H825" i="10"/>
  <c r="G825" i="10"/>
  <c r="AW824" i="10"/>
  <c r="AR824" i="10"/>
  <c r="AO824" i="10"/>
  <c r="X824" i="10"/>
  <c r="V824" i="10"/>
  <c r="U824" i="10"/>
  <c r="H824" i="10"/>
  <c r="G824" i="10"/>
  <c r="AW823" i="10"/>
  <c r="AR823" i="10"/>
  <c r="AO823" i="10"/>
  <c r="X823" i="10"/>
  <c r="V823" i="10"/>
  <c r="U823" i="10"/>
  <c r="H823" i="10"/>
  <c r="G823" i="10"/>
  <c r="AW822" i="10"/>
  <c r="AR822" i="10"/>
  <c r="AO822" i="10"/>
  <c r="X822" i="10"/>
  <c r="V822" i="10"/>
  <c r="U822" i="10"/>
  <c r="H822" i="10"/>
  <c r="G822" i="10"/>
  <c r="AW821" i="10"/>
  <c r="AR821" i="10"/>
  <c r="AO821" i="10"/>
  <c r="X821" i="10"/>
  <c r="V821" i="10"/>
  <c r="U821" i="10"/>
  <c r="H821" i="10"/>
  <c r="G821" i="10"/>
  <c r="AW820" i="10"/>
  <c r="AR820" i="10"/>
  <c r="AO820" i="10"/>
  <c r="X820" i="10"/>
  <c r="V820" i="10"/>
  <c r="U820" i="10"/>
  <c r="H820" i="10"/>
  <c r="G820" i="10"/>
  <c r="AW819" i="10"/>
  <c r="AR819" i="10"/>
  <c r="AO819" i="10"/>
  <c r="X819" i="10"/>
  <c r="V819" i="10"/>
  <c r="U819" i="10"/>
  <c r="H819" i="10"/>
  <c r="G819" i="10"/>
  <c r="AW818" i="10"/>
  <c r="AR818" i="10"/>
  <c r="AO818" i="10"/>
  <c r="X818" i="10"/>
  <c r="V818" i="10"/>
  <c r="U818" i="10"/>
  <c r="H818" i="10"/>
  <c r="G818" i="10"/>
  <c r="AW817" i="10"/>
  <c r="AR817" i="10"/>
  <c r="AO817" i="10"/>
  <c r="X817" i="10"/>
  <c r="V817" i="10"/>
  <c r="U817" i="10"/>
  <c r="H817" i="10"/>
  <c r="G817" i="10"/>
  <c r="AW816" i="10"/>
  <c r="AR816" i="10"/>
  <c r="AO816" i="10"/>
  <c r="X816" i="10"/>
  <c r="V816" i="10"/>
  <c r="U816" i="10"/>
  <c r="H816" i="10"/>
  <c r="G816" i="10"/>
  <c r="AW815" i="10"/>
  <c r="AR815" i="10"/>
  <c r="AO815" i="10"/>
  <c r="X815" i="10"/>
  <c r="V815" i="10"/>
  <c r="U815" i="10"/>
  <c r="H815" i="10"/>
  <c r="G815" i="10"/>
  <c r="AW814" i="10"/>
  <c r="AR814" i="10"/>
  <c r="AO814" i="10"/>
  <c r="X814" i="10"/>
  <c r="V814" i="10"/>
  <c r="U814" i="10"/>
  <c r="H814" i="10"/>
  <c r="G814" i="10"/>
  <c r="AW813" i="10"/>
  <c r="AR813" i="10"/>
  <c r="AO813" i="10"/>
  <c r="X813" i="10"/>
  <c r="V813" i="10"/>
  <c r="U813" i="10"/>
  <c r="H813" i="10"/>
  <c r="G813" i="10"/>
  <c r="W812" i="10"/>
  <c r="X812" i="10" s="1"/>
  <c r="V812" i="10"/>
  <c r="U812" i="10"/>
  <c r="H812" i="10"/>
  <c r="G812" i="10"/>
  <c r="X811" i="10"/>
  <c r="W811" i="10"/>
  <c r="V811" i="10"/>
  <c r="U811" i="10"/>
  <c r="H811" i="10"/>
  <c r="G811" i="10"/>
  <c r="X810" i="10"/>
  <c r="W810" i="10"/>
  <c r="V810" i="10"/>
  <c r="U810" i="10"/>
  <c r="H810" i="10"/>
  <c r="G810" i="10"/>
  <c r="X809" i="10"/>
  <c r="W809" i="10"/>
  <c r="V809" i="10"/>
  <c r="U809" i="10"/>
  <c r="H809" i="10"/>
  <c r="G809" i="10"/>
  <c r="W808" i="10"/>
  <c r="X808" i="10" s="1"/>
  <c r="V808" i="10"/>
  <c r="U808" i="10"/>
  <c r="H808" i="10"/>
  <c r="G808" i="10"/>
  <c r="W807" i="10"/>
  <c r="X807" i="10" s="1"/>
  <c r="V807" i="10"/>
  <c r="U807" i="10"/>
  <c r="H807" i="10"/>
  <c r="G807" i="10"/>
  <c r="X806" i="10"/>
  <c r="W806" i="10"/>
  <c r="V806" i="10"/>
  <c r="U806" i="10"/>
  <c r="H806" i="10"/>
  <c r="G806" i="10"/>
  <c r="W805" i="10"/>
  <c r="X805" i="10" s="1"/>
  <c r="V805" i="10"/>
  <c r="U805" i="10"/>
  <c r="H805" i="10"/>
  <c r="G805" i="10"/>
  <c r="W804" i="10"/>
  <c r="X804" i="10" s="1"/>
  <c r="V804" i="10"/>
  <c r="U804" i="10"/>
  <c r="H804" i="10"/>
  <c r="G804" i="10"/>
  <c r="X803" i="10"/>
  <c r="W803" i="10"/>
  <c r="V803" i="10"/>
  <c r="U803" i="10"/>
  <c r="H803" i="10"/>
  <c r="G803" i="10"/>
  <c r="X802" i="10"/>
  <c r="W802" i="10"/>
  <c r="V802" i="10"/>
  <c r="U802" i="10"/>
  <c r="H802" i="10"/>
  <c r="G802" i="10"/>
  <c r="X801" i="10"/>
  <c r="W801" i="10"/>
  <c r="V801" i="10"/>
  <c r="U801" i="10"/>
  <c r="H801" i="10"/>
  <c r="G801" i="10"/>
  <c r="W800" i="10"/>
  <c r="X800" i="10" s="1"/>
  <c r="V800" i="10"/>
  <c r="U800" i="10"/>
  <c r="H800" i="10"/>
  <c r="G800" i="10"/>
  <c r="W799" i="10"/>
  <c r="X799" i="10" s="1"/>
  <c r="V799" i="10"/>
  <c r="U799" i="10"/>
  <c r="H799" i="10"/>
  <c r="G799" i="10"/>
  <c r="X798" i="10"/>
  <c r="W798" i="10"/>
  <c r="V798" i="10"/>
  <c r="U798" i="10"/>
  <c r="H798" i="10"/>
  <c r="G798" i="10"/>
  <c r="BL797" i="10"/>
  <c r="V797" i="10"/>
  <c r="U797" i="10"/>
  <c r="H797" i="10"/>
  <c r="G797" i="10"/>
  <c r="E797" i="10"/>
  <c r="BL796" i="10"/>
  <c r="V796" i="10"/>
  <c r="U796" i="10"/>
  <c r="H796" i="10"/>
  <c r="E796" i="10"/>
  <c r="G796" i="10" s="1"/>
  <c r="BL795" i="10"/>
  <c r="V795" i="10"/>
  <c r="U795" i="10"/>
  <c r="G795" i="10"/>
  <c r="E795" i="10"/>
  <c r="H795" i="10" s="1"/>
  <c r="BL794" i="10"/>
  <c r="V794" i="10"/>
  <c r="U794" i="10"/>
  <c r="H794" i="10"/>
  <c r="G794" i="10"/>
  <c r="E794" i="10"/>
  <c r="BL793" i="10"/>
  <c r="V793" i="10"/>
  <c r="U793" i="10"/>
  <c r="H793" i="10"/>
  <c r="G793" i="10"/>
  <c r="E793" i="10"/>
  <c r="BL792" i="10"/>
  <c r="V792" i="10"/>
  <c r="U792" i="10"/>
  <c r="H792" i="10"/>
  <c r="G792" i="10"/>
  <c r="E792" i="10"/>
  <c r="BL791" i="10"/>
  <c r="V791" i="10"/>
  <c r="U791" i="10"/>
  <c r="E791" i="10"/>
  <c r="BL790" i="10"/>
  <c r="V790" i="10"/>
  <c r="U790" i="10"/>
  <c r="E790" i="10"/>
  <c r="H790" i="10" s="1"/>
  <c r="BL789" i="10"/>
  <c r="V789" i="10"/>
  <c r="U789" i="10"/>
  <c r="H789" i="10"/>
  <c r="G789" i="10"/>
  <c r="E789" i="10"/>
  <c r="BL788" i="10"/>
  <c r="V788" i="10"/>
  <c r="U788" i="10"/>
  <c r="H788" i="10"/>
  <c r="E788" i="10"/>
  <c r="G788" i="10" s="1"/>
  <c r="BL787" i="10"/>
  <c r="V787" i="10"/>
  <c r="U787" i="10"/>
  <c r="G787" i="10"/>
  <c r="E787" i="10"/>
  <c r="H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X771" i="10"/>
  <c r="W771" i="10"/>
  <c r="V771" i="10"/>
  <c r="U771" i="10"/>
  <c r="H771" i="10"/>
  <c r="G771" i="10"/>
  <c r="F771" i="10"/>
  <c r="AW770" i="10"/>
  <c r="W770" i="10"/>
  <c r="X770" i="10" s="1"/>
  <c r="V770" i="10"/>
  <c r="U770" i="10"/>
  <c r="H770" i="10"/>
  <c r="G770" i="10"/>
  <c r="F770" i="10"/>
  <c r="AW769" i="10"/>
  <c r="W769" i="10"/>
  <c r="X769" i="10" s="1"/>
  <c r="V769" i="10"/>
  <c r="U769" i="10"/>
  <c r="H769" i="10"/>
  <c r="G769" i="10"/>
  <c r="F769" i="10"/>
  <c r="AW768" i="10"/>
  <c r="X768" i="10"/>
  <c r="W768" i="10"/>
  <c r="V768" i="10"/>
  <c r="U768" i="10"/>
  <c r="H768" i="10"/>
  <c r="G768" i="10"/>
  <c r="F768" i="10"/>
  <c r="BL767" i="10"/>
  <c r="AW767" i="10"/>
  <c r="AR767" i="10"/>
  <c r="AM767" i="10"/>
  <c r="V767" i="10"/>
  <c r="U767" i="10"/>
  <c r="H767" i="10"/>
  <c r="G767" i="10"/>
  <c r="F767" i="10"/>
  <c r="BL766" i="10"/>
  <c r="AW766" i="10"/>
  <c r="AR766" i="10"/>
  <c r="AM766" i="10"/>
  <c r="V766" i="10"/>
  <c r="U766" i="10"/>
  <c r="H766" i="10"/>
  <c r="G766" i="10"/>
  <c r="F766" i="10"/>
  <c r="BL765" i="10"/>
  <c r="AW765" i="10"/>
  <c r="AM765" i="10"/>
  <c r="V765" i="10"/>
  <c r="U765" i="10"/>
  <c r="H765" i="10"/>
  <c r="G765" i="10"/>
  <c r="F765" i="10"/>
  <c r="BL764" i="10"/>
  <c r="AW764" i="10"/>
  <c r="AM764" i="10"/>
  <c r="V764" i="10"/>
  <c r="U764" i="10"/>
  <c r="H764" i="10"/>
  <c r="G764" i="10"/>
  <c r="F764" i="10"/>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BL759" i="10"/>
  <c r="AW759" i="10"/>
  <c r="AM759" i="10"/>
  <c r="V759" i="10"/>
  <c r="U759" i="10"/>
  <c r="H759" i="10"/>
  <c r="G759" i="10"/>
  <c r="F759" i="10"/>
  <c r="BL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X754" i="10"/>
  <c r="W754" i="10"/>
  <c r="V754" i="10"/>
  <c r="U754" i="10"/>
  <c r="H754" i="10"/>
  <c r="G754" i="10"/>
  <c r="F754" i="10"/>
  <c r="AX753" i="10"/>
  <c r="AS753" i="10"/>
  <c r="AQ753" i="10"/>
  <c r="X753" i="10"/>
  <c r="W753" i="10"/>
  <c r="V753" i="10"/>
  <c r="U753" i="10"/>
  <c r="H753" i="10"/>
  <c r="G753" i="10"/>
  <c r="F753" i="10"/>
  <c r="AX752" i="10"/>
  <c r="AS752" i="10"/>
  <c r="AQ752" i="10"/>
  <c r="X752" i="10"/>
  <c r="W752" i="10"/>
  <c r="V752" i="10"/>
  <c r="U752" i="10"/>
  <c r="H752" i="10"/>
  <c r="G752" i="10"/>
  <c r="F752" i="10"/>
  <c r="AX751" i="10"/>
  <c r="AS751" i="10"/>
  <c r="AQ751" i="10"/>
  <c r="W751" i="10"/>
  <c r="X751" i="10" s="1"/>
  <c r="V751" i="10"/>
  <c r="U751" i="10"/>
  <c r="H751" i="10"/>
  <c r="G751" i="10"/>
  <c r="F751" i="10"/>
  <c r="AX750" i="10"/>
  <c r="AS750" i="10"/>
  <c r="AQ750" i="10"/>
  <c r="X750" i="10"/>
  <c r="W750" i="10"/>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L734" i="10"/>
  <c r="AW734" i="10"/>
  <c r="AS734" i="10"/>
  <c r="AQ734" i="10"/>
  <c r="V734" i="10"/>
  <c r="U734" i="10"/>
  <c r="H734" i="10"/>
  <c r="G734" i="10"/>
  <c r="BL733" i="10"/>
  <c r="AW733" i="10"/>
  <c r="AS733" i="10"/>
  <c r="AQ733" i="10"/>
  <c r="V733" i="10"/>
  <c r="U733" i="10"/>
  <c r="H733" i="10"/>
  <c r="G733" i="10"/>
  <c r="BL732" i="10"/>
  <c r="AW732" i="10"/>
  <c r="AS732" i="10"/>
  <c r="AQ732" i="10"/>
  <c r="V732" i="10"/>
  <c r="U732" i="10"/>
  <c r="H732" i="10"/>
  <c r="G732" i="10"/>
  <c r="BL731" i="10"/>
  <c r="AW731" i="10"/>
  <c r="AS731" i="10"/>
  <c r="AQ731" i="10"/>
  <c r="V731" i="10"/>
  <c r="U731" i="10"/>
  <c r="H731" i="10"/>
  <c r="G731" i="10"/>
  <c r="BL730" i="10"/>
  <c r="AW730" i="10"/>
  <c r="AS730" i="10"/>
  <c r="AQ730" i="10"/>
  <c r="V730" i="10"/>
  <c r="U730" i="10"/>
  <c r="H730" i="10"/>
  <c r="G730" i="10"/>
  <c r="BL729" i="10"/>
  <c r="AW729" i="10"/>
  <c r="AS729" i="10"/>
  <c r="AQ729" i="10"/>
  <c r="V729" i="10"/>
  <c r="U729" i="10"/>
  <c r="H729" i="10"/>
  <c r="G729" i="10"/>
  <c r="BL728" i="10"/>
  <c r="AW728" i="10"/>
  <c r="AS728" i="10"/>
  <c r="AQ728" i="10"/>
  <c r="V728" i="10"/>
  <c r="U728" i="10"/>
  <c r="H728" i="10"/>
  <c r="G728" i="10"/>
  <c r="BL727" i="10"/>
  <c r="AW727" i="10"/>
  <c r="AS727" i="10"/>
  <c r="AQ727" i="10"/>
  <c r="V727" i="10"/>
  <c r="U727" i="10"/>
  <c r="H727" i="10"/>
  <c r="G727" i="10"/>
  <c r="BL726" i="10"/>
  <c r="AW726" i="10"/>
  <c r="AS726" i="10"/>
  <c r="AQ726" i="10"/>
  <c r="V726" i="10"/>
  <c r="U726" i="10"/>
  <c r="H726" i="10"/>
  <c r="G726" i="10"/>
  <c r="BL725" i="10"/>
  <c r="AW725" i="10"/>
  <c r="AS725" i="10"/>
  <c r="AQ725" i="10"/>
  <c r="V725" i="10"/>
  <c r="U725" i="10"/>
  <c r="H725" i="10"/>
  <c r="G725" i="10"/>
  <c r="BL724" i="10"/>
  <c r="AW724" i="10"/>
  <c r="AS724" i="10"/>
  <c r="AQ724" i="10"/>
  <c r="V724" i="10"/>
  <c r="U724" i="10"/>
  <c r="H724" i="10"/>
  <c r="G724" i="10"/>
  <c r="BL723" i="10"/>
  <c r="AW723" i="10"/>
  <c r="AS723" i="10"/>
  <c r="AQ723" i="10"/>
  <c r="V723" i="10"/>
  <c r="U723" i="10"/>
  <c r="H723" i="10"/>
  <c r="G723" i="10"/>
  <c r="BL722" i="10"/>
  <c r="AW722" i="10"/>
  <c r="AS722" i="10"/>
  <c r="AQ722" i="10"/>
  <c r="V722" i="10"/>
  <c r="U722" i="10"/>
  <c r="H722" i="10"/>
  <c r="G722" i="10"/>
  <c r="BL721" i="10"/>
  <c r="AW721" i="10"/>
  <c r="AS721" i="10"/>
  <c r="AQ721" i="10"/>
  <c r="V721" i="10"/>
  <c r="U721" i="10"/>
  <c r="H721" i="10"/>
  <c r="G721" i="10"/>
  <c r="BL720" i="10"/>
  <c r="AW720" i="10"/>
  <c r="AS720" i="10"/>
  <c r="AQ720" i="10"/>
  <c r="V720" i="10"/>
  <c r="U720" i="10"/>
  <c r="H720" i="10"/>
  <c r="G720" i="10"/>
  <c r="BL719" i="10"/>
  <c r="AW719" i="10"/>
  <c r="AS719" i="10"/>
  <c r="AQ719" i="10"/>
  <c r="V719" i="10"/>
  <c r="U719" i="10"/>
  <c r="H719" i="10"/>
  <c r="G719" i="10"/>
  <c r="BL718" i="10"/>
  <c r="AW718" i="10"/>
  <c r="AS718" i="10"/>
  <c r="AQ718" i="10"/>
  <c r="V718" i="10"/>
  <c r="U718" i="10"/>
  <c r="H718" i="10"/>
  <c r="G718" i="10"/>
  <c r="BL717" i="10"/>
  <c r="AW717" i="10"/>
  <c r="AS717" i="10"/>
  <c r="AQ717" i="10"/>
  <c r="V717" i="10"/>
  <c r="U717" i="10"/>
  <c r="H717" i="10"/>
  <c r="G717" i="10"/>
  <c r="BL716" i="10"/>
  <c r="AW716" i="10"/>
  <c r="AS716" i="10"/>
  <c r="AQ716" i="10"/>
  <c r="V716" i="10"/>
  <c r="U716" i="10"/>
  <c r="H716" i="10"/>
  <c r="G716" i="10"/>
  <c r="BL715" i="10"/>
  <c r="AW715" i="10"/>
  <c r="AS715" i="10"/>
  <c r="AQ715" i="10"/>
  <c r="V715" i="10"/>
  <c r="U715" i="10"/>
  <c r="H715" i="10"/>
  <c r="G715" i="10"/>
  <c r="BL714" i="10"/>
  <c r="AW714" i="10"/>
  <c r="AS714" i="10"/>
  <c r="AQ714" i="10"/>
  <c r="V714" i="10"/>
  <c r="U714" i="10"/>
  <c r="H714" i="10"/>
  <c r="G714" i="10"/>
  <c r="BL713" i="10"/>
  <c r="AW713" i="10"/>
  <c r="AS713" i="10"/>
  <c r="AQ713" i="10"/>
  <c r="V713" i="10"/>
  <c r="U713" i="10"/>
  <c r="H713" i="10"/>
  <c r="G713" i="10"/>
  <c r="BL712" i="10"/>
  <c r="AW712" i="10"/>
  <c r="AS712" i="10"/>
  <c r="AQ712" i="10"/>
  <c r="V712" i="10"/>
  <c r="U712" i="10"/>
  <c r="H712" i="10"/>
  <c r="G712" i="10"/>
  <c r="BL711" i="10"/>
  <c r="AW711" i="10"/>
  <c r="AS711" i="10"/>
  <c r="AQ711" i="10"/>
  <c r="V711" i="10"/>
  <c r="U711" i="10"/>
  <c r="H711" i="10"/>
  <c r="G711" i="10"/>
  <c r="BL710" i="10"/>
  <c r="AW710" i="10"/>
  <c r="AS710" i="10"/>
  <c r="AQ710" i="10"/>
  <c r="V710" i="10"/>
  <c r="U710" i="10"/>
  <c r="H710" i="10"/>
  <c r="G710" i="10"/>
  <c r="BL709" i="10"/>
  <c r="AW709" i="10"/>
  <c r="AS709" i="10"/>
  <c r="AQ709" i="10"/>
  <c r="V709" i="10"/>
  <c r="U709" i="10"/>
  <c r="H709" i="10"/>
  <c r="G709" i="10"/>
  <c r="BL708" i="10"/>
  <c r="AW708" i="10"/>
  <c r="AS708" i="10"/>
  <c r="AQ708" i="10"/>
  <c r="V708" i="10"/>
  <c r="U708" i="10"/>
  <c r="H708" i="10"/>
  <c r="G708" i="10"/>
  <c r="BL707" i="10"/>
  <c r="AW707" i="10"/>
  <c r="AS707" i="10"/>
  <c r="AQ707" i="10"/>
  <c r="V707" i="10"/>
  <c r="U707" i="10"/>
  <c r="H707" i="10"/>
  <c r="G707" i="10"/>
  <c r="BL706" i="10"/>
  <c r="AW706" i="10"/>
  <c r="AS706" i="10"/>
  <c r="AQ706" i="10"/>
  <c r="V706" i="10"/>
  <c r="U706" i="10"/>
  <c r="H706" i="10"/>
  <c r="G706" i="10"/>
  <c r="BL705" i="10"/>
  <c r="AW705" i="10"/>
  <c r="AS705" i="10"/>
  <c r="AQ705" i="10"/>
  <c r="V705" i="10"/>
  <c r="U705" i="10"/>
  <c r="H705" i="10"/>
  <c r="G705" i="10"/>
  <c r="V704" i="10"/>
  <c r="U704" i="10"/>
  <c r="H704" i="10"/>
  <c r="G704" i="10"/>
  <c r="V703" i="10"/>
  <c r="U703" i="10"/>
  <c r="H703" i="10"/>
  <c r="G703" i="10"/>
  <c r="V702" i="10"/>
  <c r="U702" i="10"/>
  <c r="H702" i="10"/>
  <c r="G702" i="10"/>
  <c r="V701" i="10"/>
  <c r="U701" i="10"/>
  <c r="H701" i="10"/>
  <c r="G701" i="10"/>
  <c r="V700" i="10"/>
  <c r="U700" i="10"/>
  <c r="H700" i="10"/>
  <c r="G700" i="10"/>
  <c r="V699" i="10"/>
  <c r="U699" i="10"/>
  <c r="H699" i="10"/>
  <c r="G699" i="10"/>
  <c r="AS698" i="10"/>
  <c r="X698" i="10"/>
  <c r="W698" i="10"/>
  <c r="V698" i="10"/>
  <c r="U698" i="10"/>
  <c r="H698" i="10"/>
  <c r="G698" i="10"/>
  <c r="AS697" i="10"/>
  <c r="W697" i="10"/>
  <c r="X697" i="10" s="1"/>
  <c r="V697" i="10"/>
  <c r="U697" i="10"/>
  <c r="H697" i="10"/>
  <c r="G697" i="10"/>
  <c r="AS696" i="10"/>
  <c r="X696" i="10"/>
  <c r="W696" i="10"/>
  <c r="V696" i="10"/>
  <c r="U696" i="10"/>
  <c r="H696" i="10"/>
  <c r="G696" i="10"/>
  <c r="AS695" i="10"/>
  <c r="X695" i="10"/>
  <c r="W695" i="10"/>
  <c r="V695" i="10"/>
  <c r="U695" i="10"/>
  <c r="H695" i="10"/>
  <c r="G695" i="10"/>
  <c r="AS694" i="10"/>
  <c r="X694" i="10"/>
  <c r="W694" i="10"/>
  <c r="V694" i="10"/>
  <c r="U694" i="10"/>
  <c r="H694" i="10"/>
  <c r="G694" i="10"/>
  <c r="AS693" i="10"/>
  <c r="W693" i="10"/>
  <c r="X693" i="10" s="1"/>
  <c r="V693" i="10"/>
  <c r="U693" i="10"/>
  <c r="H693" i="10"/>
  <c r="G693" i="10"/>
  <c r="AS692" i="10"/>
  <c r="X692" i="10"/>
  <c r="W692" i="10"/>
  <c r="V692" i="10"/>
  <c r="U692" i="10"/>
  <c r="H692" i="10"/>
  <c r="G692" i="10"/>
  <c r="AS691" i="10"/>
  <c r="X691" i="10"/>
  <c r="W691" i="10"/>
  <c r="V691" i="10"/>
  <c r="U691" i="10"/>
  <c r="H691" i="10"/>
  <c r="G691" i="10"/>
  <c r="AS690" i="10"/>
  <c r="X690" i="10"/>
  <c r="W690" i="10"/>
  <c r="V690" i="10"/>
  <c r="U690" i="10"/>
  <c r="H690" i="10"/>
  <c r="G690" i="10"/>
  <c r="AS689" i="10"/>
  <c r="W689" i="10"/>
  <c r="X689" i="10" s="1"/>
  <c r="V689" i="10"/>
  <c r="U689" i="10"/>
  <c r="H689" i="10"/>
  <c r="G689" i="10"/>
  <c r="AS688" i="10"/>
  <c r="X688" i="10"/>
  <c r="W688" i="10"/>
  <c r="V688" i="10"/>
  <c r="U688" i="10"/>
  <c r="H688" i="10"/>
  <c r="G688" i="10"/>
  <c r="AS687" i="10"/>
  <c r="X687" i="10"/>
  <c r="W687" i="10"/>
  <c r="V687" i="10"/>
  <c r="U687" i="10"/>
  <c r="H687" i="10"/>
  <c r="G687" i="10"/>
  <c r="AS686" i="10"/>
  <c r="X686" i="10"/>
  <c r="W686" i="10"/>
  <c r="V686" i="10"/>
  <c r="U686" i="10"/>
  <c r="H686" i="10"/>
  <c r="G686" i="10"/>
  <c r="AS685" i="10"/>
  <c r="W685" i="10"/>
  <c r="X685" i="10" s="1"/>
  <c r="V685" i="10"/>
  <c r="U685" i="10"/>
  <c r="H685" i="10"/>
  <c r="G685" i="10"/>
  <c r="AS684" i="10"/>
  <c r="X684" i="10"/>
  <c r="W684" i="10"/>
  <c r="V684" i="10"/>
  <c r="U684" i="10"/>
  <c r="H684" i="10"/>
  <c r="G684" i="10"/>
  <c r="AS683" i="10"/>
  <c r="X683" i="10"/>
  <c r="W683" i="10"/>
  <c r="V683" i="10"/>
  <c r="U683" i="10"/>
  <c r="H683" i="10"/>
  <c r="G683" i="10"/>
  <c r="AS682" i="10"/>
  <c r="X682" i="10"/>
  <c r="W682" i="10"/>
  <c r="V682" i="10"/>
  <c r="U682" i="10"/>
  <c r="H682" i="10"/>
  <c r="G682" i="10"/>
  <c r="AS681" i="10"/>
  <c r="W681" i="10"/>
  <c r="X681" i="10" s="1"/>
  <c r="V681" i="10"/>
  <c r="U681" i="10"/>
  <c r="H681" i="10"/>
  <c r="G681" i="10"/>
  <c r="X680" i="10"/>
  <c r="V680" i="10"/>
  <c r="U680" i="10"/>
  <c r="H680" i="10"/>
  <c r="G680" i="10"/>
  <c r="X679" i="10"/>
  <c r="V679" i="10"/>
  <c r="U679" i="10"/>
  <c r="H679" i="10"/>
  <c r="G679" i="10"/>
  <c r="X678" i="10"/>
  <c r="V678" i="10"/>
  <c r="U678" i="10"/>
  <c r="H678" i="10"/>
  <c r="G678" i="10"/>
  <c r="X677" i="10"/>
  <c r="V677" i="10"/>
  <c r="U677" i="10"/>
  <c r="H677" i="10"/>
  <c r="G677" i="10"/>
  <c r="X676" i="10"/>
  <c r="V676" i="10"/>
  <c r="U676" i="10"/>
  <c r="H676" i="10"/>
  <c r="G676" i="10"/>
  <c r="X675" i="10"/>
  <c r="V675" i="10"/>
  <c r="U675" i="10"/>
  <c r="H675" i="10"/>
  <c r="G675" i="10"/>
  <c r="X674" i="10"/>
  <c r="V674" i="10"/>
  <c r="U674" i="10"/>
  <c r="H674" i="10"/>
  <c r="G674" i="10"/>
  <c r="X673" i="10"/>
  <c r="V673" i="10"/>
  <c r="U673" i="10"/>
  <c r="H673" i="10"/>
  <c r="G673" i="10"/>
  <c r="X672" i="10"/>
  <c r="V672" i="10"/>
  <c r="U672" i="10"/>
  <c r="H672" i="10"/>
  <c r="G672" i="10"/>
  <c r="X671" i="10"/>
  <c r="V671" i="10"/>
  <c r="U671" i="10"/>
  <c r="H671" i="10"/>
  <c r="G671" i="10"/>
  <c r="X670" i="10"/>
  <c r="V670" i="10"/>
  <c r="U670" i="10"/>
  <c r="H670" i="10"/>
  <c r="G670" i="10"/>
  <c r="X669" i="10"/>
  <c r="V669" i="10"/>
  <c r="U669" i="10"/>
  <c r="H669" i="10"/>
  <c r="G669" i="10"/>
  <c r="X668" i="10"/>
  <c r="V668" i="10"/>
  <c r="U668" i="10"/>
  <c r="H668" i="10"/>
  <c r="G668" i="10"/>
  <c r="X667" i="10"/>
  <c r="V667" i="10"/>
  <c r="U667" i="10"/>
  <c r="H667" i="10"/>
  <c r="G667" i="10"/>
  <c r="X666" i="10"/>
  <c r="V666" i="10"/>
  <c r="U666" i="10"/>
  <c r="H666" i="10"/>
  <c r="G666" i="10"/>
  <c r="X665" i="10"/>
  <c r="V665" i="10"/>
  <c r="U665" i="10"/>
  <c r="H665" i="10"/>
  <c r="G665" i="10"/>
  <c r="X664" i="10"/>
  <c r="V664" i="10"/>
  <c r="U664" i="10"/>
  <c r="H664" i="10"/>
  <c r="G664" i="10"/>
  <c r="X663" i="10"/>
  <c r="V663" i="10"/>
  <c r="U663" i="10"/>
  <c r="H663" i="10"/>
  <c r="G663" i="10"/>
  <c r="X662" i="10"/>
  <c r="V662" i="10"/>
  <c r="U662" i="10"/>
  <c r="H662" i="10"/>
  <c r="G662" i="10"/>
  <c r="X661" i="10"/>
  <c r="V661" i="10"/>
  <c r="U661" i="10"/>
  <c r="H661" i="10"/>
  <c r="G661" i="10"/>
  <c r="X660" i="10"/>
  <c r="V660" i="10"/>
  <c r="U660" i="10"/>
  <c r="H660" i="10"/>
  <c r="G660" i="10"/>
  <c r="X659" i="10"/>
  <c r="V659" i="10"/>
  <c r="U659" i="10"/>
  <c r="H659" i="10"/>
  <c r="G659" i="10"/>
  <c r="X658" i="10"/>
  <c r="V658" i="10"/>
  <c r="U658" i="10"/>
  <c r="H658" i="10"/>
  <c r="G658" i="10"/>
  <c r="X657" i="10"/>
  <c r="V657" i="10"/>
  <c r="U657" i="10"/>
  <c r="H657" i="10"/>
  <c r="G657" i="10"/>
  <c r="AM656" i="10"/>
  <c r="V656" i="10"/>
  <c r="U656" i="10"/>
  <c r="H656" i="10"/>
  <c r="G656" i="10"/>
  <c r="AM655" i="10"/>
  <c r="V655" i="10"/>
  <c r="U655" i="10"/>
  <c r="H655" i="10"/>
  <c r="G655" i="10"/>
  <c r="AM654" i="10"/>
  <c r="V654" i="10"/>
  <c r="U654" i="10"/>
  <c r="H654" i="10"/>
  <c r="G654" i="10"/>
  <c r="AM653" i="10"/>
  <c r="V653" i="10"/>
  <c r="U653" i="10"/>
  <c r="H653" i="10"/>
  <c r="G653" i="10"/>
  <c r="AM652" i="10"/>
  <c r="V652" i="10"/>
  <c r="U652" i="10"/>
  <c r="H652" i="10"/>
  <c r="G652" i="10"/>
  <c r="AM651" i="10"/>
  <c r="V651" i="10"/>
  <c r="U651" i="10"/>
  <c r="H651" i="10"/>
  <c r="G651" i="10"/>
  <c r="AM650" i="10"/>
  <c r="V650" i="10"/>
  <c r="U650" i="10"/>
  <c r="H650" i="10"/>
  <c r="G650" i="10"/>
  <c r="AM649" i="10"/>
  <c r="V649" i="10"/>
  <c r="U649" i="10"/>
  <c r="H649" i="10"/>
  <c r="G649" i="10"/>
  <c r="AM648" i="10"/>
  <c r="V648" i="10"/>
  <c r="U648" i="10"/>
  <c r="H648" i="10"/>
  <c r="G648" i="10"/>
  <c r="AM647" i="10"/>
  <c r="V647" i="10"/>
  <c r="U647" i="10"/>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L641" i="10"/>
  <c r="AK641" i="10"/>
  <c r="V641" i="10"/>
  <c r="U641" i="10"/>
  <c r="H641" i="10"/>
  <c r="G641" i="10"/>
  <c r="F641" i="10"/>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BL636" i="10"/>
  <c r="AK636" i="10"/>
  <c r="V636" i="10"/>
  <c r="U636" i="10"/>
  <c r="H636" i="10"/>
  <c r="G636" i="10"/>
  <c r="F636" i="10"/>
  <c r="BL635" i="10"/>
  <c r="AK635" i="10"/>
  <c r="V635" i="10"/>
  <c r="U635" i="10"/>
  <c r="H635" i="10"/>
  <c r="G635" i="10"/>
  <c r="F635" i="10"/>
  <c r="BL634" i="10"/>
  <c r="AK634" i="10"/>
  <c r="V634" i="10"/>
  <c r="U634" i="10"/>
  <c r="H634" i="10"/>
  <c r="G634" i="10"/>
  <c r="F634" i="10"/>
  <c r="BL633" i="10"/>
  <c r="AK633" i="10"/>
  <c r="V633" i="10"/>
  <c r="U633" i="10"/>
  <c r="H633" i="10"/>
  <c r="G633" i="10"/>
  <c r="F633" i="10"/>
  <c r="BL632" i="10"/>
  <c r="AK632" i="10"/>
  <c r="V632" i="10"/>
  <c r="U632" i="10"/>
  <c r="H632" i="10"/>
  <c r="G632" i="10"/>
  <c r="F632" i="10"/>
  <c r="BL631" i="10"/>
  <c r="AK631" i="10"/>
  <c r="V631" i="10"/>
  <c r="U631" i="10"/>
  <c r="H631" i="10"/>
  <c r="G631" i="10"/>
  <c r="F631" i="10"/>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BL621" i="10"/>
  <c r="V621" i="10"/>
  <c r="U621" i="10"/>
  <c r="H621" i="10"/>
  <c r="G621" i="10"/>
  <c r="F621" i="10"/>
  <c r="BL620" i="10"/>
  <c r="AR620" i="10"/>
  <c r="V620" i="10"/>
  <c r="U620" i="10"/>
  <c r="H620" i="10"/>
  <c r="G620" i="10"/>
  <c r="F620" i="10"/>
  <c r="BL619" i="10"/>
  <c r="AR619" i="10"/>
  <c r="V619" i="10"/>
  <c r="U619" i="10"/>
  <c r="H619" i="10"/>
  <c r="G619" i="10"/>
  <c r="F619" i="10"/>
  <c r="BL618" i="10"/>
  <c r="AR618" i="10"/>
  <c r="V618" i="10"/>
  <c r="U618" i="10"/>
  <c r="H618" i="10"/>
  <c r="G618" i="10"/>
  <c r="F618" i="10"/>
  <c r="BL617" i="10"/>
  <c r="AR617" i="10"/>
  <c r="V617" i="10"/>
  <c r="U617" i="10"/>
  <c r="H617" i="10"/>
  <c r="G617" i="10"/>
  <c r="F617" i="10"/>
  <c r="AR616" i="10"/>
  <c r="W616" i="10"/>
  <c r="BL616" i="10" s="1"/>
  <c r="V616" i="10"/>
  <c r="U616" i="10"/>
  <c r="H616" i="10"/>
  <c r="G616" i="10"/>
  <c r="F616" i="10"/>
  <c r="AR615" i="10"/>
  <c r="W615" i="10"/>
  <c r="BL615" i="10" s="1"/>
  <c r="V615" i="10"/>
  <c r="U615" i="10"/>
  <c r="H615" i="10"/>
  <c r="G615" i="10"/>
  <c r="F615" i="10"/>
  <c r="AL614" i="10"/>
  <c r="W614" i="10"/>
  <c r="X614" i="10" s="1"/>
  <c r="V614" i="10"/>
  <c r="U614" i="10"/>
  <c r="H614" i="10"/>
  <c r="G614" i="10"/>
  <c r="F614" i="10"/>
  <c r="AL613" i="10"/>
  <c r="W613" i="10" s="1"/>
  <c r="X613" i="10" s="1"/>
  <c r="V613" i="10"/>
  <c r="U613" i="10"/>
  <c r="H613" i="10"/>
  <c r="G613" i="10"/>
  <c r="F613" i="10"/>
  <c r="AL612" i="10"/>
  <c r="W612" i="10"/>
  <c r="X612" i="10" s="1"/>
  <c r="V612" i="10"/>
  <c r="U612" i="10"/>
  <c r="H612" i="10"/>
  <c r="G612" i="10"/>
  <c r="F612" i="10"/>
  <c r="AL611" i="10"/>
  <c r="X611" i="10"/>
  <c r="W611" i="10"/>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c r="X607" i="10" s="1"/>
  <c r="V607" i="10"/>
  <c r="U607" i="10"/>
  <c r="H607" i="10"/>
  <c r="G607" i="10"/>
  <c r="F607" i="10"/>
  <c r="AL606" i="10"/>
  <c r="W606" i="10" s="1"/>
  <c r="X606" i="10" s="1"/>
  <c r="V606" i="10"/>
  <c r="U606" i="10"/>
  <c r="H606" i="10"/>
  <c r="G606" i="10"/>
  <c r="F606" i="10"/>
  <c r="AL605" i="10"/>
  <c r="W605" i="10" s="1"/>
  <c r="X605" i="10"/>
  <c r="V605" i="10"/>
  <c r="U605" i="10"/>
  <c r="H605" i="10"/>
  <c r="G605" i="10"/>
  <c r="F605" i="10"/>
  <c r="AL604" i="10"/>
  <c r="W604" i="10" s="1"/>
  <c r="X604" i="10" s="1"/>
  <c r="V604" i="10"/>
  <c r="U604" i="10"/>
  <c r="H604" i="10"/>
  <c r="G604" i="10"/>
  <c r="F604" i="10"/>
  <c r="AL603" i="10"/>
  <c r="X603" i="10"/>
  <c r="W603" i="10"/>
  <c r="V603" i="10"/>
  <c r="U603" i="10"/>
  <c r="H603" i="10"/>
  <c r="G603" i="10"/>
  <c r="F603" i="10"/>
  <c r="AL602" i="10"/>
  <c r="W602" i="10"/>
  <c r="X602" i="10" s="1"/>
  <c r="V602" i="10"/>
  <c r="U602" i="10"/>
  <c r="H602" i="10"/>
  <c r="G602" i="10"/>
  <c r="F602" i="10"/>
  <c r="AL601" i="10"/>
  <c r="W601" i="10" s="1"/>
  <c r="X601" i="10" s="1"/>
  <c r="V601" i="10"/>
  <c r="U601" i="10"/>
  <c r="H601" i="10"/>
  <c r="G601" i="10"/>
  <c r="F601" i="10"/>
  <c r="AL600" i="10"/>
  <c r="X600" i="10"/>
  <c r="W600" i="10"/>
  <c r="V600" i="10"/>
  <c r="U600" i="10"/>
  <c r="H600" i="10"/>
  <c r="G600" i="10"/>
  <c r="F600" i="10"/>
  <c r="AL599" i="10"/>
  <c r="W599" i="10"/>
  <c r="X599" i="10" s="1"/>
  <c r="V599" i="10"/>
  <c r="U599" i="10"/>
  <c r="H599" i="10"/>
  <c r="G599" i="10"/>
  <c r="F599" i="10"/>
  <c r="AL598" i="10"/>
  <c r="W598" i="10"/>
  <c r="X598" i="10" s="1"/>
  <c r="V598" i="10"/>
  <c r="U598" i="10"/>
  <c r="H598" i="10"/>
  <c r="G598" i="10"/>
  <c r="F598" i="10"/>
  <c r="AL597" i="10"/>
  <c r="W597" i="10" s="1"/>
  <c r="X597" i="10"/>
  <c r="V597" i="10"/>
  <c r="U597" i="10"/>
  <c r="H597" i="10"/>
  <c r="G597" i="10"/>
  <c r="F597" i="10"/>
  <c r="AL596" i="10"/>
  <c r="W596" i="10"/>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X592" i="10"/>
  <c r="W592" i="10"/>
  <c r="V592" i="10"/>
  <c r="U592" i="10"/>
  <c r="H592" i="10"/>
  <c r="G592" i="10"/>
  <c r="F592" i="10"/>
  <c r="AL591" i="10"/>
  <c r="X591" i="10"/>
  <c r="W591" i="10"/>
  <c r="V591" i="10"/>
  <c r="U591" i="10"/>
  <c r="H591" i="10"/>
  <c r="G591" i="10"/>
  <c r="F591" i="10"/>
  <c r="AL590" i="10"/>
  <c r="W590" i="10" s="1"/>
  <c r="X590" i="10" s="1"/>
  <c r="V590" i="10"/>
  <c r="U590" i="10"/>
  <c r="H590" i="10"/>
  <c r="G590" i="10"/>
  <c r="F590" i="10"/>
  <c r="AL589" i="10"/>
  <c r="W589" i="10" s="1"/>
  <c r="X589" i="10"/>
  <c r="V589" i="10"/>
  <c r="U589" i="10"/>
  <c r="H589" i="10"/>
  <c r="G589" i="10"/>
  <c r="F589" i="10"/>
  <c r="AL588" i="10"/>
  <c r="W588" i="10" s="1"/>
  <c r="X588" i="10" s="1"/>
  <c r="V588" i="10"/>
  <c r="U588" i="10"/>
  <c r="H588" i="10"/>
  <c r="G588" i="10"/>
  <c r="F588" i="10"/>
  <c r="AL587" i="10"/>
  <c r="W587" i="10"/>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X584" i="10"/>
  <c r="W584" i="10"/>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c r="X581" i="10" s="1"/>
  <c r="V581" i="10"/>
  <c r="U581" i="10"/>
  <c r="H581" i="10"/>
  <c r="G581" i="10"/>
  <c r="F581" i="10"/>
  <c r="AL580" i="10"/>
  <c r="W580" i="10"/>
  <c r="X580" i="10" s="1"/>
  <c r="V580" i="10"/>
  <c r="U580" i="10"/>
  <c r="H580" i="10"/>
  <c r="G580" i="10"/>
  <c r="F580" i="10"/>
  <c r="AL579" i="10"/>
  <c r="W579" i="10" s="1"/>
  <c r="X579" i="10" s="1"/>
  <c r="V579" i="10"/>
  <c r="U579" i="10"/>
  <c r="H579" i="10"/>
  <c r="G579" i="10"/>
  <c r="F579" i="10"/>
  <c r="AL578" i="10"/>
  <c r="W578" i="10"/>
  <c r="X578" i="10" s="1"/>
  <c r="V578" i="10"/>
  <c r="U578" i="10"/>
  <c r="H578" i="10"/>
  <c r="G578" i="10"/>
  <c r="F578" i="10"/>
  <c r="AL577" i="10"/>
  <c r="X577" i="10"/>
  <c r="W577" i="10"/>
  <c r="V577" i="10"/>
  <c r="U577" i="10"/>
  <c r="H577" i="10"/>
  <c r="G577" i="10"/>
  <c r="F577" i="10"/>
  <c r="AL576" i="10"/>
  <c r="X576" i="10"/>
  <c r="W576" i="10"/>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c r="X573" i="10" s="1"/>
  <c r="V573" i="10"/>
  <c r="U573" i="10"/>
  <c r="H573" i="10"/>
  <c r="G573" i="10"/>
  <c r="F573" i="10"/>
  <c r="AL572" i="10"/>
  <c r="W572" i="10"/>
  <c r="X572" i="10" s="1"/>
  <c r="V572" i="10"/>
  <c r="U572" i="10"/>
  <c r="H572" i="10"/>
  <c r="G572" i="10"/>
  <c r="F572" i="10"/>
  <c r="AL571" i="10"/>
  <c r="W571" i="10" s="1"/>
  <c r="X571" i="10" s="1"/>
  <c r="V571" i="10"/>
  <c r="U571" i="10"/>
  <c r="H571" i="10"/>
  <c r="G571" i="10"/>
  <c r="F571" i="10"/>
  <c r="AL570" i="10"/>
  <c r="W570" i="10"/>
  <c r="X570" i="10" s="1"/>
  <c r="V570" i="10"/>
  <c r="U570" i="10"/>
  <c r="H570" i="10"/>
  <c r="G570" i="10"/>
  <c r="F570" i="10"/>
  <c r="AL569" i="10"/>
  <c r="X569" i="10"/>
  <c r="W569" i="10"/>
  <c r="V569" i="10"/>
  <c r="U569" i="10"/>
  <c r="H569" i="10"/>
  <c r="G569" i="10"/>
  <c r="F569" i="10"/>
  <c r="AL568" i="10"/>
  <c r="X568" i="10"/>
  <c r="W568" i="10"/>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c r="X565" i="10" s="1"/>
  <c r="V565" i="10"/>
  <c r="U565" i="10"/>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BL561" i="10"/>
  <c r="AN561" i="10"/>
  <c r="V561" i="10"/>
  <c r="U561" i="10"/>
  <c r="H561" i="10"/>
  <c r="G561" i="10"/>
  <c r="F561" i="10"/>
  <c r="BL560" i="10"/>
  <c r="AN560" i="10"/>
  <c r="V560" i="10"/>
  <c r="U560" i="10"/>
  <c r="H560" i="10"/>
  <c r="G560" i="10"/>
  <c r="F560" i="10"/>
  <c r="BL559" i="10"/>
  <c r="AN559" i="10"/>
  <c r="V559" i="10"/>
  <c r="U559" i="10"/>
  <c r="H559" i="10"/>
  <c r="G559" i="10"/>
  <c r="F559" i="10"/>
  <c r="BL558" i="10"/>
  <c r="AN558" i="10"/>
  <c r="V558" i="10"/>
  <c r="U558" i="10"/>
  <c r="H558" i="10"/>
  <c r="G558" i="10"/>
  <c r="F558" i="10"/>
  <c r="BL557" i="10"/>
  <c r="AN557" i="10"/>
  <c r="V557" i="10"/>
  <c r="U557" i="10"/>
  <c r="H557" i="10"/>
  <c r="G557" i="10"/>
  <c r="F557" i="10"/>
  <c r="BL556" i="10"/>
  <c r="AN556" i="10"/>
  <c r="V556" i="10"/>
  <c r="U556" i="10"/>
  <c r="H556" i="10"/>
  <c r="G556" i="10"/>
  <c r="F556" i="10"/>
  <c r="BL555" i="10"/>
  <c r="AN555" i="10"/>
  <c r="V555" i="10"/>
  <c r="U555" i="10"/>
  <c r="H555" i="10"/>
  <c r="G555" i="10"/>
  <c r="F555" i="10"/>
  <c r="BL554" i="10"/>
  <c r="AN554" i="10"/>
  <c r="V554" i="10"/>
  <c r="U554" i="10"/>
  <c r="H554" i="10"/>
  <c r="G554" i="10"/>
  <c r="F554" i="10"/>
  <c r="BL553" i="10"/>
  <c r="AN553" i="10"/>
  <c r="V553" i="10"/>
  <c r="U553" i="10"/>
  <c r="H553" i="10"/>
  <c r="G553" i="10"/>
  <c r="F553" i="10"/>
  <c r="BL552" i="10"/>
  <c r="AN552" i="10"/>
  <c r="V552" i="10"/>
  <c r="U552" i="10"/>
  <c r="H552" i="10"/>
  <c r="G552" i="10"/>
  <c r="F552" i="10"/>
  <c r="BL551" i="10"/>
  <c r="AN551" i="10"/>
  <c r="V551" i="10"/>
  <c r="U551" i="10"/>
  <c r="H551" i="10"/>
  <c r="G551" i="10"/>
  <c r="F551" i="10"/>
  <c r="BL550" i="10"/>
  <c r="AN550" i="10"/>
  <c r="V550" i="10"/>
  <c r="U550" i="10"/>
  <c r="H550" i="10"/>
  <c r="G550" i="10"/>
  <c r="F550" i="10"/>
  <c r="BL549" i="10"/>
  <c r="AX549" i="10"/>
  <c r="AT549" i="10"/>
  <c r="V549" i="10"/>
  <c r="U549" i="10"/>
  <c r="H549" i="10"/>
  <c r="G549" i="10"/>
  <c r="F549" i="10"/>
  <c r="BL548" i="10"/>
  <c r="AX548" i="10"/>
  <c r="AT548" i="10"/>
  <c r="V548" i="10"/>
  <c r="U548" i="10"/>
  <c r="H548" i="10"/>
  <c r="G548" i="10"/>
  <c r="F548" i="10"/>
  <c r="BL547" i="10"/>
  <c r="AX547" i="10"/>
  <c r="AT547" i="10"/>
  <c r="V547" i="10"/>
  <c r="U547" i="10"/>
  <c r="H547" i="10"/>
  <c r="G547" i="10"/>
  <c r="F547" i="10"/>
  <c r="BL546" i="10"/>
  <c r="AX546" i="10"/>
  <c r="AT546" i="10"/>
  <c r="V546" i="10"/>
  <c r="U546" i="10"/>
  <c r="H546" i="10"/>
  <c r="G546" i="10"/>
  <c r="F546" i="10"/>
  <c r="BL545" i="10"/>
  <c r="AX545" i="10"/>
  <c r="AT545" i="10"/>
  <c r="V545" i="10"/>
  <c r="U545" i="10"/>
  <c r="H545" i="10"/>
  <c r="G545" i="10"/>
  <c r="F545" i="10"/>
  <c r="BL544" i="10"/>
  <c r="AX544" i="10"/>
  <c r="AT544" i="10"/>
  <c r="V544" i="10"/>
  <c r="U544" i="10"/>
  <c r="H544" i="10"/>
  <c r="G544" i="10"/>
  <c r="F544" i="10"/>
  <c r="BL543" i="10"/>
  <c r="AT543" i="10"/>
  <c r="AS543" i="10"/>
  <c r="X543" i="10"/>
  <c r="W543" i="10"/>
  <c r="V543" i="10"/>
  <c r="U543" i="10"/>
  <c r="H543" i="10"/>
  <c r="E543" i="10"/>
  <c r="G543" i="10" s="1"/>
  <c r="AT542" i="10"/>
  <c r="AS542" i="10" s="1"/>
  <c r="X542" i="10"/>
  <c r="BL542" i="10" s="1"/>
  <c r="W542" i="10"/>
  <c r="V542" i="10"/>
  <c r="U542" i="10"/>
  <c r="H542" i="10"/>
  <c r="G542" i="10"/>
  <c r="E542" i="10"/>
  <c r="AR541" i="10"/>
  <c r="AT541" i="10" s="1"/>
  <c r="AS541" i="10" s="1"/>
  <c r="X541" i="10"/>
  <c r="V541" i="10"/>
  <c r="U541" i="10"/>
  <c r="H541" i="10"/>
  <c r="G541" i="10"/>
  <c r="E541" i="10"/>
  <c r="BL540" i="10"/>
  <c r="AT540" i="10"/>
  <c r="AS540" i="10"/>
  <c r="X540" i="10"/>
  <c r="W540" i="10"/>
  <c r="V540" i="10"/>
  <c r="U540" i="10"/>
  <c r="H540" i="10"/>
  <c r="E540" i="10"/>
  <c r="G540" i="10" s="1"/>
  <c r="AT539" i="10"/>
  <c r="AS539" i="10" s="1"/>
  <c r="X539" i="10"/>
  <c r="BL539" i="10" s="1"/>
  <c r="W539" i="10"/>
  <c r="V539" i="10"/>
  <c r="U539" i="10"/>
  <c r="H539" i="10"/>
  <c r="G539" i="10"/>
  <c r="E539" i="10"/>
  <c r="AR538" i="10"/>
  <c r="AT538" i="10" s="1"/>
  <c r="AS538" i="10" s="1"/>
  <c r="V538" i="10"/>
  <c r="U538" i="10"/>
  <c r="H538" i="10"/>
  <c r="G538" i="10"/>
  <c r="E538" i="10"/>
  <c r="BL537" i="10"/>
  <c r="AS537" i="10"/>
  <c r="AR537" i="10"/>
  <c r="AT537" i="10" s="1"/>
  <c r="X537" i="10"/>
  <c r="W537" i="10"/>
  <c r="V537" i="10"/>
  <c r="U537" i="10"/>
  <c r="E537" i="10"/>
  <c r="H537" i="10" s="1"/>
  <c r="AT536" i="10"/>
  <c r="AS536" i="10"/>
  <c r="AR536" i="10"/>
  <c r="X536" i="10"/>
  <c r="BL536" i="10" s="1"/>
  <c r="W536" i="10"/>
  <c r="V536" i="10"/>
  <c r="U536" i="10"/>
  <c r="G536" i="10"/>
  <c r="E536" i="10"/>
  <c r="H536" i="10" s="1"/>
  <c r="AT535" i="10"/>
  <c r="AS535" i="10"/>
  <c r="AR535" i="10"/>
  <c r="W535" i="10" s="1"/>
  <c r="X535" i="10"/>
  <c r="BL535" i="10" s="1"/>
  <c r="V535" i="10"/>
  <c r="U535" i="10"/>
  <c r="H535" i="10"/>
  <c r="G535" i="10"/>
  <c r="E535" i="10"/>
  <c r="AR534" i="10"/>
  <c r="AT534" i="10" s="1"/>
  <c r="AS534" i="10" s="1"/>
  <c r="X534" i="10"/>
  <c r="V534" i="10"/>
  <c r="U534" i="10"/>
  <c r="H534" i="10"/>
  <c r="G534" i="10"/>
  <c r="E534" i="10"/>
  <c r="BL533" i="10"/>
  <c r="AS533" i="10"/>
  <c r="AR533" i="10"/>
  <c r="AT533" i="10" s="1"/>
  <c r="X533" i="10"/>
  <c r="W533" i="10"/>
  <c r="V533" i="10"/>
  <c r="U533" i="10"/>
  <c r="E533" i="10"/>
  <c r="H533" i="10" s="1"/>
  <c r="AT532" i="10"/>
  <c r="AS532" i="10"/>
  <c r="AR532" i="10"/>
  <c r="X532" i="10"/>
  <c r="BL532" i="10" s="1"/>
  <c r="W532" i="10"/>
  <c r="V532" i="10"/>
  <c r="U532" i="10"/>
  <c r="G532" i="10"/>
  <c r="E532" i="10"/>
  <c r="H532" i="10" s="1"/>
  <c r="AT531" i="10"/>
  <c r="AS531" i="10"/>
  <c r="X531" i="10"/>
  <c r="W531" i="10"/>
  <c r="BL531" i="10" s="1"/>
  <c r="V531" i="10"/>
  <c r="U531" i="10"/>
  <c r="E531" i="10"/>
  <c r="AT530" i="10"/>
  <c r="AS530" i="10" s="1"/>
  <c r="X530" i="10"/>
  <c r="BL530" i="10" s="1"/>
  <c r="W530" i="10"/>
  <c r="V530" i="10"/>
  <c r="U530" i="10"/>
  <c r="G530" i="10"/>
  <c r="E530" i="10"/>
  <c r="H530" i="10" s="1"/>
  <c r="AT529" i="10"/>
  <c r="AS529" i="10"/>
  <c r="AR529" i="10"/>
  <c r="X529" i="10"/>
  <c r="BL529" i="10" s="1"/>
  <c r="W529" i="10"/>
  <c r="V529" i="10"/>
  <c r="U529" i="10"/>
  <c r="G529" i="10"/>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c r="AO507" i="10" s="1"/>
  <c r="AK507" i="10"/>
  <c r="X507" i="10"/>
  <c r="V507" i="10"/>
  <c r="U507" i="10"/>
  <c r="H507" i="10"/>
  <c r="G507" i="10"/>
  <c r="F507" i="10"/>
  <c r="AX506" i="10"/>
  <c r="AP506" i="10" s="1"/>
  <c r="AO506" i="10"/>
  <c r="AK506" i="10"/>
  <c r="X506" i="10"/>
  <c r="V506" i="10"/>
  <c r="U506" i="10"/>
  <c r="H506" i="10"/>
  <c r="G506" i="10"/>
  <c r="F506" i="10"/>
  <c r="AX505" i="10"/>
  <c r="AP505" i="10"/>
  <c r="AO505" i="10"/>
  <c r="AK505" i="10"/>
  <c r="X505" i="10"/>
  <c r="V505" i="10"/>
  <c r="U505" i="10"/>
  <c r="H505" i="10"/>
  <c r="G505" i="10"/>
  <c r="F505" i="10"/>
  <c r="AW504" i="10"/>
  <c r="AT504" i="10"/>
  <c r="V504" i="10"/>
  <c r="U504" i="10"/>
  <c r="H504" i="10"/>
  <c r="G504" i="10"/>
  <c r="AW503" i="10"/>
  <c r="AT503" i="10"/>
  <c r="V503" i="10"/>
  <c r="U503" i="10"/>
  <c r="H503" i="10"/>
  <c r="G503" i="10"/>
  <c r="AW502" i="10"/>
  <c r="AT502" i="10"/>
  <c r="V502" i="10"/>
  <c r="U502" i="10"/>
  <c r="H502" i="10"/>
  <c r="G502" i="10"/>
  <c r="AW501" i="10"/>
  <c r="AT501" i="10"/>
  <c r="V501" i="10"/>
  <c r="U501" i="10"/>
  <c r="H501" i="10"/>
  <c r="G501" i="10"/>
  <c r="AW500" i="10"/>
  <c r="AT500" i="10"/>
  <c r="AQ500" i="10"/>
  <c r="V500" i="10"/>
  <c r="U500" i="10"/>
  <c r="H500" i="10"/>
  <c r="G500" i="10"/>
  <c r="AW499" i="10"/>
  <c r="AT499" i="10"/>
  <c r="AQ499" i="10"/>
  <c r="V499" i="10"/>
  <c r="U499" i="10"/>
  <c r="H499" i="10"/>
  <c r="G499" i="10"/>
  <c r="AW498" i="10"/>
  <c r="AT498" i="10"/>
  <c r="AQ498" i="10"/>
  <c r="V498" i="10"/>
  <c r="U498" i="10"/>
  <c r="H498" i="10"/>
  <c r="G498" i="10"/>
  <c r="AW497" i="10"/>
  <c r="AT497" i="10"/>
  <c r="AQ497" i="10"/>
  <c r="V497" i="10"/>
  <c r="U497" i="10"/>
  <c r="H497" i="10"/>
  <c r="G497" i="10"/>
  <c r="AW496" i="10"/>
  <c r="AT496" i="10"/>
  <c r="AQ496" i="10"/>
  <c r="V496" i="10"/>
  <c r="U496" i="10"/>
  <c r="H496" i="10"/>
  <c r="G496" i="10"/>
  <c r="AW495" i="10"/>
  <c r="AT495" i="10"/>
  <c r="AQ495" i="10"/>
  <c r="V495" i="10"/>
  <c r="U495" i="10"/>
  <c r="H495" i="10"/>
  <c r="G495" i="10"/>
  <c r="AW494" i="10"/>
  <c r="AT494" i="10"/>
  <c r="AQ494" i="10"/>
  <c r="V494" i="10"/>
  <c r="U494" i="10"/>
  <c r="H494" i="10"/>
  <c r="G494" i="10"/>
  <c r="AW493" i="10"/>
  <c r="AT493" i="10"/>
  <c r="AQ493" i="10"/>
  <c r="V493" i="10"/>
  <c r="U493" i="10"/>
  <c r="H493" i="10"/>
  <c r="G493" i="10"/>
  <c r="AW492" i="10"/>
  <c r="AT492" i="10"/>
  <c r="AQ492" i="10"/>
  <c r="V492" i="10"/>
  <c r="U492" i="10"/>
  <c r="H492" i="10"/>
  <c r="G492" i="10"/>
  <c r="AW491" i="10"/>
  <c r="AT491" i="10"/>
  <c r="AQ491" i="10"/>
  <c r="V491" i="10"/>
  <c r="U491" i="10"/>
  <c r="H491" i="10"/>
  <c r="G491" i="10"/>
  <c r="AW490" i="10"/>
  <c r="AT490" i="10"/>
  <c r="AQ490" i="10"/>
  <c r="V490" i="10"/>
  <c r="U490" i="10"/>
  <c r="H490" i="10"/>
  <c r="G490" i="10"/>
  <c r="AW489" i="10"/>
  <c r="AT489" i="10"/>
  <c r="AQ489" i="10"/>
  <c r="V489" i="10"/>
  <c r="U489" i="10"/>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E482" i="10"/>
  <c r="H482" i="10" s="1"/>
  <c r="V481" i="10"/>
  <c r="U481" i="10"/>
  <c r="G481" i="10"/>
  <c r="E481" i="10"/>
  <c r="H481" i="10" s="1"/>
  <c r="V480" i="10"/>
  <c r="U480" i="10"/>
  <c r="E480" i="10"/>
  <c r="H480" i="10" s="1"/>
  <c r="V479" i="10"/>
  <c r="U479" i="10"/>
  <c r="G479" i="10"/>
  <c r="E479" i="10"/>
  <c r="H479" i="10" s="1"/>
  <c r="V478" i="10"/>
  <c r="U478" i="10"/>
  <c r="E478" i="10"/>
  <c r="H478" i="10" s="1"/>
  <c r="V477" i="10"/>
  <c r="U477" i="10"/>
  <c r="G477" i="10"/>
  <c r="E477" i="10"/>
  <c r="H477" i="10" s="1"/>
  <c r="V476" i="10"/>
  <c r="U476" i="10"/>
  <c r="E476" i="10"/>
  <c r="H476" i="10" s="1"/>
  <c r="V475" i="10"/>
  <c r="U475" i="10"/>
  <c r="E475" i="10"/>
  <c r="H475" i="10" s="1"/>
  <c r="V474" i="10"/>
  <c r="U474" i="10"/>
  <c r="E474" i="10"/>
  <c r="H474" i="10" s="1"/>
  <c r="V473" i="10"/>
  <c r="U473" i="10"/>
  <c r="G473" i="10"/>
  <c r="E473" i="10"/>
  <c r="H473" i="10" s="1"/>
  <c r="V472" i="10"/>
  <c r="U472" i="10"/>
  <c r="E472" i="10"/>
  <c r="H472" i="10" s="1"/>
  <c r="V471" i="10"/>
  <c r="U471" i="10"/>
  <c r="G471" i="10"/>
  <c r="E471" i="10"/>
  <c r="H471" i="10" s="1"/>
  <c r="V470" i="10"/>
  <c r="U470" i="10"/>
  <c r="E470" i="10"/>
  <c r="H470" i="10" s="1"/>
  <c r="V469" i="10"/>
  <c r="U469" i="10"/>
  <c r="G469" i="10"/>
  <c r="E469" i="10"/>
  <c r="H469" i="10" s="1"/>
  <c r="V468" i="10"/>
  <c r="U468" i="10"/>
  <c r="E468" i="10"/>
  <c r="H468" i="10" s="1"/>
  <c r="V467" i="10"/>
  <c r="U467" i="10"/>
  <c r="E467" i="10"/>
  <c r="H467" i="10" s="1"/>
  <c r="AS466" i="10"/>
  <c r="AQ466" i="10"/>
  <c r="V466" i="10"/>
  <c r="U466" i="10"/>
  <c r="H466" i="10"/>
  <c r="G466" i="10"/>
  <c r="E466" i="10"/>
  <c r="AS465" i="10"/>
  <c r="AQ465" i="10"/>
  <c r="V465" i="10"/>
  <c r="U465" i="10"/>
  <c r="G465" i="10"/>
  <c r="E465" i="10"/>
  <c r="H465" i="10" s="1"/>
  <c r="AS464" i="10"/>
  <c r="AQ464" i="10"/>
  <c r="V464" i="10"/>
  <c r="U464" i="10"/>
  <c r="H464" i="10"/>
  <c r="G464" i="10"/>
  <c r="E464" i="10"/>
  <c r="AS463" i="10"/>
  <c r="AQ463" i="10"/>
  <c r="V463" i="10"/>
  <c r="U463" i="10"/>
  <c r="G463" i="10"/>
  <c r="E463" i="10"/>
  <c r="H463" i="10" s="1"/>
  <c r="AS462" i="10"/>
  <c r="AQ462" i="10"/>
  <c r="V462" i="10"/>
  <c r="U462" i="10"/>
  <c r="H462" i="10"/>
  <c r="G462" i="10"/>
  <c r="E462" i="10"/>
  <c r="AS461" i="10"/>
  <c r="AQ461" i="10"/>
  <c r="V461" i="10"/>
  <c r="U461" i="10"/>
  <c r="G461" i="10"/>
  <c r="E461" i="10"/>
  <c r="H461" i="10" s="1"/>
  <c r="BW460" i="10"/>
  <c r="AS460" i="10"/>
  <c r="AQ460" i="10"/>
  <c r="V460" i="10"/>
  <c r="U460" i="10"/>
  <c r="E460" i="10"/>
  <c r="G460" i="10" s="1"/>
  <c r="BW459" i="10"/>
  <c r="AS459" i="10"/>
  <c r="AQ459" i="10"/>
  <c r="V459" i="10"/>
  <c r="U459" i="10"/>
  <c r="H459" i="10"/>
  <c r="G459" i="10"/>
  <c r="E459" i="10"/>
  <c r="BW458" i="10"/>
  <c r="AS458" i="10"/>
  <c r="AQ458" i="10"/>
  <c r="V458" i="10"/>
  <c r="U458" i="10"/>
  <c r="H458" i="10"/>
  <c r="E458" i="10"/>
  <c r="G458" i="10" s="1"/>
  <c r="BW457" i="10"/>
  <c r="AS457" i="10"/>
  <c r="AQ457" i="10"/>
  <c r="V457" i="10"/>
  <c r="U457" i="10"/>
  <c r="E457" i="10"/>
  <c r="H457" i="10" s="1"/>
  <c r="BW456" i="10"/>
  <c r="AS456" i="10"/>
  <c r="AQ456" i="10"/>
  <c r="V456" i="10"/>
  <c r="U456" i="10"/>
  <c r="H456" i="10"/>
  <c r="E456" i="10"/>
  <c r="G456" i="10" s="1"/>
  <c r="BW455" i="10"/>
  <c r="AS455" i="10"/>
  <c r="AQ455" i="10"/>
  <c r="V455" i="10"/>
  <c r="U455" i="10"/>
  <c r="H455" i="10"/>
  <c r="G455" i="10"/>
  <c r="E455" i="10"/>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H444" i="10"/>
  <c r="G444" i="10"/>
  <c r="AS443" i="10"/>
  <c r="V443" i="10"/>
  <c r="U443" i="10"/>
  <c r="H443" i="10"/>
  <c r="G443" i="10"/>
  <c r="AS442" i="10"/>
  <c r="V442" i="10"/>
  <c r="U442" i="10"/>
  <c r="H442" i="10"/>
  <c r="G442" i="10"/>
  <c r="AS441" i="10"/>
  <c r="V441" i="10"/>
  <c r="U441" i="10"/>
  <c r="H441" i="10"/>
  <c r="G441" i="10"/>
  <c r="AS440" i="10"/>
  <c r="V440" i="10"/>
  <c r="U440" i="10"/>
  <c r="H440" i="10"/>
  <c r="G440" i="10"/>
  <c r="AS439" i="10"/>
  <c r="V439" i="10"/>
  <c r="U439" i="10"/>
  <c r="H439" i="10"/>
  <c r="G439" i="10"/>
  <c r="AS438" i="10"/>
  <c r="V438" i="10"/>
  <c r="U438" i="10"/>
  <c r="H438" i="10"/>
  <c r="G438" i="10"/>
  <c r="AS437" i="10"/>
  <c r="V437" i="10"/>
  <c r="U437" i="10"/>
  <c r="H437" i="10"/>
  <c r="G437" i="10"/>
  <c r="AS436" i="10"/>
  <c r="V436" i="10"/>
  <c r="U436" i="10"/>
  <c r="H436" i="10"/>
  <c r="G436" i="10"/>
  <c r="AS435" i="10"/>
  <c r="V435" i="10"/>
  <c r="U435" i="10"/>
  <c r="H435" i="10"/>
  <c r="G435" i="10"/>
  <c r="AS434" i="10"/>
  <c r="V434" i="10"/>
  <c r="U434" i="10"/>
  <c r="H434" i="10"/>
  <c r="G434" i="10"/>
  <c r="AS433" i="10"/>
  <c r="V433" i="10"/>
  <c r="U433" i="10"/>
  <c r="H433" i="10"/>
  <c r="G433" i="10"/>
  <c r="AS432" i="10"/>
  <c r="V432" i="10"/>
  <c r="U432" i="10"/>
  <c r="H432" i="10"/>
  <c r="G432" i="10"/>
  <c r="AS431" i="10"/>
  <c r="V431" i="10"/>
  <c r="U431" i="10"/>
  <c r="H431" i="10"/>
  <c r="G431" i="10"/>
  <c r="AS430" i="10"/>
  <c r="V430" i="10"/>
  <c r="U430" i="10"/>
  <c r="H430" i="10"/>
  <c r="G430" i="10"/>
  <c r="AS429" i="10"/>
  <c r="V429" i="10"/>
  <c r="U429" i="10"/>
  <c r="H429" i="10"/>
  <c r="G429" i="10"/>
  <c r="AS428" i="10"/>
  <c r="V428" i="10"/>
  <c r="U428" i="10"/>
  <c r="H428" i="10"/>
  <c r="G428" i="10"/>
  <c r="AS427" i="10"/>
  <c r="V427" i="10"/>
  <c r="U427" i="10"/>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H417" i="10"/>
  <c r="E417" i="10"/>
  <c r="G417" i="10" s="1"/>
  <c r="V416" i="10"/>
  <c r="U416" i="10"/>
  <c r="H416" i="10"/>
  <c r="E416" i="10"/>
  <c r="G416" i="10" s="1"/>
  <c r="V415" i="10"/>
  <c r="U415" i="10"/>
  <c r="H415" i="10"/>
  <c r="E415" i="10"/>
  <c r="G415" i="10" s="1"/>
  <c r="V414" i="10"/>
  <c r="U414" i="10"/>
  <c r="H414" i="10"/>
  <c r="E414" i="10"/>
  <c r="G414" i="10" s="1"/>
  <c r="V413" i="10"/>
  <c r="U413" i="10"/>
  <c r="H413" i="10"/>
  <c r="E413" i="10"/>
  <c r="G413" i="10" s="1"/>
  <c r="V412" i="10"/>
  <c r="U412" i="10"/>
  <c r="H412" i="10"/>
  <c r="E412" i="10"/>
  <c r="G412" i="10" s="1"/>
  <c r="V411" i="10"/>
  <c r="U411" i="10"/>
  <c r="H411" i="10"/>
  <c r="E411" i="10"/>
  <c r="G411" i="10" s="1"/>
  <c r="V410" i="10"/>
  <c r="U410" i="10"/>
  <c r="H410" i="10"/>
  <c r="E410" i="10"/>
  <c r="G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H389" i="10"/>
  <c r="G389" i="10"/>
  <c r="AW388" i="10"/>
  <c r="AN388" i="10"/>
  <c r="V388" i="10"/>
  <c r="U388" i="10"/>
  <c r="H388" i="10"/>
  <c r="G388" i="10"/>
  <c r="AW387" i="10"/>
  <c r="AN387" i="10"/>
  <c r="V387" i="10"/>
  <c r="U387" i="10"/>
  <c r="H387" i="10"/>
  <c r="G387" i="10"/>
  <c r="AW386" i="10"/>
  <c r="AN386" i="10"/>
  <c r="V386" i="10"/>
  <c r="U386" i="10"/>
  <c r="H386" i="10"/>
  <c r="G386" i="10"/>
  <c r="AW385" i="10"/>
  <c r="AN385" i="10"/>
  <c r="V385" i="10"/>
  <c r="U385" i="10"/>
  <c r="H385" i="10"/>
  <c r="G385" i="10"/>
  <c r="AW384" i="10"/>
  <c r="AN384" i="10"/>
  <c r="V384" i="10"/>
  <c r="U384" i="10"/>
  <c r="H384" i="10"/>
  <c r="G384" i="10"/>
  <c r="AW383" i="10"/>
  <c r="AN383" i="10"/>
  <c r="V383" i="10"/>
  <c r="U383" i="10"/>
  <c r="H383" i="10"/>
  <c r="G383" i="10"/>
  <c r="F383" i="10"/>
  <c r="AW382" i="10"/>
  <c r="AN382" i="10"/>
  <c r="V382" i="10"/>
  <c r="U382" i="10"/>
  <c r="H382" i="10"/>
  <c r="G382" i="10"/>
  <c r="AW381" i="10"/>
  <c r="AN381" i="10"/>
  <c r="V381" i="10"/>
  <c r="U381" i="10"/>
  <c r="H381" i="10"/>
  <c r="G381" i="10"/>
  <c r="AW380" i="10"/>
  <c r="AN380" i="10"/>
  <c r="V380" i="10"/>
  <c r="U380" i="10"/>
  <c r="H380" i="10"/>
  <c r="G380" i="10"/>
  <c r="AW379" i="10"/>
  <c r="AN379" i="10"/>
  <c r="V379" i="10"/>
  <c r="U379" i="10"/>
  <c r="H379" i="10"/>
  <c r="G379" i="10"/>
  <c r="AW378" i="10"/>
  <c r="AN378" i="10"/>
  <c r="V378" i="10"/>
  <c r="U378" i="10"/>
  <c r="H378" i="10"/>
  <c r="G378" i="10"/>
  <c r="AW377" i="10"/>
  <c r="AN377" i="10"/>
  <c r="V377" i="10"/>
  <c r="U377" i="10"/>
  <c r="H377" i="10"/>
  <c r="G377" i="10"/>
  <c r="AW376" i="10"/>
  <c r="AN376" i="10"/>
  <c r="V376" i="10"/>
  <c r="U376" i="10"/>
  <c r="H376" i="10"/>
  <c r="G376" i="10"/>
  <c r="F376" i="10"/>
  <c r="AW375" i="10"/>
  <c r="AN375" i="10"/>
  <c r="V375" i="10"/>
  <c r="U375" i="10"/>
  <c r="H375" i="10"/>
  <c r="G375" i="10"/>
  <c r="AW374" i="10"/>
  <c r="AN374" i="10"/>
  <c r="V374" i="10"/>
  <c r="U374" i="10"/>
  <c r="H374" i="10"/>
  <c r="G374" i="10"/>
  <c r="AW373" i="10"/>
  <c r="AN373" i="10"/>
  <c r="V373" i="10"/>
  <c r="U373" i="10"/>
  <c r="H373" i="10"/>
  <c r="G373" i="10"/>
  <c r="AW372" i="10"/>
  <c r="AN372" i="10"/>
  <c r="V372" i="10"/>
  <c r="U372" i="10"/>
  <c r="H372" i="10"/>
  <c r="G372" i="10"/>
  <c r="AW371" i="10"/>
  <c r="AN371" i="10"/>
  <c r="V371" i="10"/>
  <c r="U371" i="10"/>
  <c r="H371" i="10"/>
  <c r="G371" i="10"/>
  <c r="AW370" i="10"/>
  <c r="AN370" i="10"/>
  <c r="V370" i="10"/>
  <c r="U370" i="10"/>
  <c r="H370" i="10"/>
  <c r="G370" i="10"/>
  <c r="AW369" i="10"/>
  <c r="AN369" i="10"/>
  <c r="V369" i="10"/>
  <c r="U369" i="10"/>
  <c r="H369" i="10"/>
  <c r="G369" i="10"/>
  <c r="F369" i="10"/>
  <c r="AW368" i="10"/>
  <c r="AN368" i="10"/>
  <c r="V368" i="10"/>
  <c r="U368" i="10"/>
  <c r="H368" i="10"/>
  <c r="G368" i="10"/>
  <c r="AW367" i="10"/>
  <c r="AN367" i="10"/>
  <c r="V367" i="10"/>
  <c r="U367" i="10"/>
  <c r="H367" i="10"/>
  <c r="G367" i="10"/>
  <c r="AW366" i="10"/>
  <c r="AN366" i="10"/>
  <c r="V366" i="10"/>
  <c r="U366" i="10"/>
  <c r="H366" i="10"/>
  <c r="G366" i="10"/>
  <c r="AW365" i="10"/>
  <c r="AN365" i="10"/>
  <c r="V365" i="10"/>
  <c r="U365" i="10"/>
  <c r="H365" i="10"/>
  <c r="G365" i="10"/>
  <c r="AW364" i="10"/>
  <c r="AN364" i="10"/>
  <c r="V364" i="10"/>
  <c r="U364" i="10"/>
  <c r="H364" i="10"/>
  <c r="G364" i="10"/>
  <c r="AW363" i="10"/>
  <c r="AN363" i="10"/>
  <c r="V363" i="10"/>
  <c r="U363" i="10"/>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H346" i="10"/>
  <c r="G346" i="10"/>
  <c r="E346" i="10"/>
  <c r="AT345" i="10"/>
  <c r="AQ345" i="10"/>
  <c r="V345" i="10"/>
  <c r="U345" i="10"/>
  <c r="E345" i="10"/>
  <c r="H345" i="10" s="1"/>
  <c r="AT344" i="10"/>
  <c r="AQ344" i="10"/>
  <c r="V344" i="10"/>
  <c r="U344" i="10"/>
  <c r="H344" i="10"/>
  <c r="G344" i="10"/>
  <c r="E344" i="10"/>
  <c r="AT343" i="10"/>
  <c r="AQ343" i="10"/>
  <c r="V343" i="10"/>
  <c r="U343" i="10"/>
  <c r="G343" i="10"/>
  <c r="E343" i="10"/>
  <c r="H343" i="10" s="1"/>
  <c r="AT342" i="10"/>
  <c r="AN342" i="10"/>
  <c r="V342" i="10"/>
  <c r="U342" i="10"/>
  <c r="H342" i="10"/>
  <c r="G342" i="10"/>
  <c r="E342" i="10"/>
  <c r="AT341" i="10"/>
  <c r="AN341" i="10"/>
  <c r="V341" i="10"/>
  <c r="U341" i="10"/>
  <c r="E341" i="10"/>
  <c r="H341" i="10" s="1"/>
  <c r="AT340" i="10"/>
  <c r="AN340" i="10"/>
  <c r="V340" i="10"/>
  <c r="U340" i="10"/>
  <c r="H340" i="10"/>
  <c r="G340" i="10"/>
  <c r="E340" i="10"/>
  <c r="AT339" i="10"/>
  <c r="AN339" i="10"/>
  <c r="V339" i="10"/>
  <c r="U339" i="10"/>
  <c r="G339" i="10"/>
  <c r="E339" i="10"/>
  <c r="H339" i="10" s="1"/>
  <c r="AT338" i="10"/>
  <c r="AN338" i="10"/>
  <c r="V338" i="10"/>
  <c r="U338" i="10"/>
  <c r="H338" i="10"/>
  <c r="G338" i="10"/>
  <c r="E338" i="10"/>
  <c r="AT337" i="10"/>
  <c r="AN337" i="10"/>
  <c r="V337" i="10"/>
  <c r="U337" i="10"/>
  <c r="E337" i="10"/>
  <c r="H337" i="10" s="1"/>
  <c r="AT336" i="10"/>
  <c r="AN336" i="10"/>
  <c r="V336" i="10"/>
  <c r="U336" i="10"/>
  <c r="G336" i="10"/>
  <c r="E336" i="10"/>
  <c r="H336" i="10" s="1"/>
  <c r="AT335" i="10"/>
  <c r="AN335" i="10"/>
  <c r="V335" i="10"/>
  <c r="U335" i="10"/>
  <c r="G335" i="10"/>
  <c r="E335" i="10"/>
  <c r="H335" i="10" s="1"/>
  <c r="AT334" i="10"/>
  <c r="AN334" i="10"/>
  <c r="V334" i="10"/>
  <c r="U334" i="10"/>
  <c r="H334" i="10"/>
  <c r="G334" i="10"/>
  <c r="E334" i="10"/>
  <c r="AT333" i="10"/>
  <c r="AN333" i="10"/>
  <c r="V333" i="10"/>
  <c r="U333" i="10"/>
  <c r="E333" i="10"/>
  <c r="H333" i="10" s="1"/>
  <c r="AT332" i="10"/>
  <c r="AN332" i="10"/>
  <c r="V332" i="10"/>
  <c r="U332" i="10"/>
  <c r="H332" i="10"/>
  <c r="G332" i="10"/>
  <c r="E332" i="10"/>
  <c r="AT331" i="10"/>
  <c r="AN331" i="10"/>
  <c r="V331" i="10"/>
  <c r="U331" i="10"/>
  <c r="G331" i="10"/>
  <c r="E331" i="10"/>
  <c r="H331" i="10" s="1"/>
  <c r="AT330" i="10"/>
  <c r="AN330" i="10"/>
  <c r="V330" i="10"/>
  <c r="U330" i="10"/>
  <c r="H330" i="10"/>
  <c r="G330" i="10"/>
  <c r="E330" i="10"/>
  <c r="AT329" i="10"/>
  <c r="AN329" i="10"/>
  <c r="V329" i="10"/>
  <c r="U329" i="10"/>
  <c r="E329" i="10"/>
  <c r="H329" i="10" s="1"/>
  <c r="AT328" i="10"/>
  <c r="AN328" i="10"/>
  <c r="V328" i="10"/>
  <c r="U328" i="10"/>
  <c r="H328" i="10"/>
  <c r="E328" i="10"/>
  <c r="G328" i="10" s="1"/>
  <c r="AT327" i="10"/>
  <c r="AN327" i="10"/>
  <c r="V327" i="10"/>
  <c r="U327" i="10"/>
  <c r="H327" i="10"/>
  <c r="E327" i="10"/>
  <c r="G327" i="10" s="1"/>
  <c r="AT326" i="10"/>
  <c r="AQ326" i="10"/>
  <c r="V326" i="10"/>
  <c r="U326" i="10"/>
  <c r="H326" i="10"/>
  <c r="E326" i="10"/>
  <c r="G326" i="10" s="1"/>
  <c r="AT325" i="10"/>
  <c r="AQ325" i="10"/>
  <c r="V325" i="10"/>
  <c r="U325" i="10"/>
  <c r="E325" i="10"/>
  <c r="H325" i="10" s="1"/>
  <c r="AT324" i="10"/>
  <c r="AQ324" i="10"/>
  <c r="V324" i="10"/>
  <c r="U324" i="10"/>
  <c r="E324" i="10"/>
  <c r="H324" i="10" s="1"/>
  <c r="AT323" i="10"/>
  <c r="AQ323" i="10"/>
  <c r="AK326" i="10" s="1"/>
  <c r="V323" i="10"/>
  <c r="U323" i="10"/>
  <c r="H323" i="10"/>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H294" i="10"/>
  <c r="G294" i="10"/>
  <c r="AR293" i="10"/>
  <c r="AK293" i="10"/>
  <c r="X293" i="10"/>
  <c r="V293" i="10"/>
  <c r="U293" i="10"/>
  <c r="H293" i="10"/>
  <c r="G293" i="10"/>
  <c r="AR292" i="10"/>
  <c r="AK292" i="10"/>
  <c r="X292" i="10"/>
  <c r="V292" i="10"/>
  <c r="U292" i="10"/>
  <c r="H292" i="10"/>
  <c r="G292" i="10"/>
  <c r="AR291" i="10"/>
  <c r="AK291" i="10"/>
  <c r="X291" i="10"/>
  <c r="V291" i="10"/>
  <c r="U291" i="10"/>
  <c r="H291" i="10"/>
  <c r="G291" i="10"/>
  <c r="AR290" i="10"/>
  <c r="AK290" i="10"/>
  <c r="X290" i="10"/>
  <c r="V290" i="10"/>
  <c r="U290" i="10"/>
  <c r="H290" i="10"/>
  <c r="G290" i="10"/>
  <c r="AR289" i="10"/>
  <c r="AK289" i="10"/>
  <c r="X289" i="10"/>
  <c r="V289" i="10"/>
  <c r="U289" i="10"/>
  <c r="H289" i="10"/>
  <c r="G289" i="10"/>
  <c r="AR288" i="10"/>
  <c r="AK288" i="10"/>
  <c r="X288" i="10"/>
  <c r="V288" i="10"/>
  <c r="U288" i="10"/>
  <c r="H288" i="10"/>
  <c r="G288" i="10"/>
  <c r="AR287" i="10"/>
  <c r="AK287" i="10"/>
  <c r="X287" i="10"/>
  <c r="V287" i="10"/>
  <c r="U287" i="10"/>
  <c r="H287" i="10"/>
  <c r="G287" i="10"/>
  <c r="AR286" i="10"/>
  <c r="AK286" i="10"/>
  <c r="X286" i="10"/>
  <c r="V286" i="10"/>
  <c r="U286" i="10"/>
  <c r="H286" i="10"/>
  <c r="G286" i="10"/>
  <c r="AR285" i="10"/>
  <c r="AK285" i="10"/>
  <c r="X285" i="10"/>
  <c r="V285" i="10"/>
  <c r="U285" i="10"/>
  <c r="H285" i="10"/>
  <c r="G285" i="10"/>
  <c r="AR284" i="10"/>
  <c r="AK284" i="10"/>
  <c r="X284" i="10"/>
  <c r="V284" i="10"/>
  <c r="U284" i="10"/>
  <c r="H284" i="10"/>
  <c r="G284" i="10"/>
  <c r="AR283" i="10"/>
  <c r="AK283" i="10"/>
  <c r="X283" i="10"/>
  <c r="V283" i="10"/>
  <c r="U283" i="10"/>
  <c r="H283" i="10"/>
  <c r="G283" i="10"/>
  <c r="AR282" i="10"/>
  <c r="AK282" i="10"/>
  <c r="X282" i="10"/>
  <c r="V282" i="10"/>
  <c r="U282" i="10"/>
  <c r="H282" i="10"/>
  <c r="G282" i="10"/>
  <c r="AR281" i="10"/>
  <c r="AK281" i="10"/>
  <c r="X281" i="10"/>
  <c r="V281" i="10"/>
  <c r="U281" i="10"/>
  <c r="H281" i="10"/>
  <c r="G281" i="10"/>
  <c r="AR280" i="10"/>
  <c r="AK280" i="10"/>
  <c r="X280" i="10"/>
  <c r="V280" i="10"/>
  <c r="U280" i="10"/>
  <c r="H280" i="10"/>
  <c r="G280" i="10"/>
  <c r="AR279" i="10"/>
  <c r="AK279" i="10"/>
  <c r="X279" i="10"/>
  <c r="V279" i="10"/>
  <c r="U279" i="10"/>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H266" i="10"/>
  <c r="G266" i="10"/>
  <c r="X265" i="10"/>
  <c r="V265" i="10"/>
  <c r="U265" i="10"/>
  <c r="H265" i="10"/>
  <c r="G265" i="10"/>
  <c r="X264" i="10"/>
  <c r="V264" i="10"/>
  <c r="U264" i="10"/>
  <c r="H264" i="10"/>
  <c r="G264" i="10"/>
  <c r="X263" i="10"/>
  <c r="V263" i="10"/>
  <c r="U263" i="10"/>
  <c r="H263" i="10"/>
  <c r="G263" i="10"/>
  <c r="X262" i="10"/>
  <c r="V262" i="10"/>
  <c r="U262" i="10"/>
  <c r="H262" i="10"/>
  <c r="G262" i="10"/>
  <c r="X261" i="10"/>
  <c r="V261" i="10"/>
  <c r="U261" i="10"/>
  <c r="H261" i="10"/>
  <c r="G261" i="10"/>
  <c r="X260" i="10"/>
  <c r="V260" i="10"/>
  <c r="U260" i="10"/>
  <c r="H260" i="10"/>
  <c r="G260" i="10"/>
  <c r="X259" i="10"/>
  <c r="V259" i="10"/>
  <c r="U259" i="10"/>
  <c r="H259" i="10"/>
  <c r="G259" i="10"/>
  <c r="X258" i="10"/>
  <c r="V258" i="10"/>
  <c r="U258" i="10"/>
  <c r="H258" i="10"/>
  <c r="G258" i="10"/>
  <c r="X257" i="10"/>
  <c r="V257" i="10"/>
  <c r="U257" i="10"/>
  <c r="H257" i="10"/>
  <c r="G257" i="10"/>
  <c r="X256" i="10"/>
  <c r="V256" i="10"/>
  <c r="U256" i="10"/>
  <c r="H256" i="10"/>
  <c r="G256" i="10"/>
  <c r="X255" i="10"/>
  <c r="V255" i="10"/>
  <c r="U255" i="10"/>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H242" i="10"/>
  <c r="G242" i="10"/>
  <c r="X241" i="10"/>
  <c r="V241" i="10"/>
  <c r="U241" i="10"/>
  <c r="H241" i="10"/>
  <c r="G241" i="10"/>
  <c r="X240" i="10"/>
  <c r="V240" i="10"/>
  <c r="U240" i="10"/>
  <c r="H240" i="10"/>
  <c r="G240" i="10"/>
  <c r="X239" i="10"/>
  <c r="V239" i="10"/>
  <c r="U239" i="10"/>
  <c r="H239" i="10"/>
  <c r="G239" i="10"/>
  <c r="X238" i="10"/>
  <c r="V238" i="10"/>
  <c r="U238" i="10"/>
  <c r="H238" i="10"/>
  <c r="G238" i="10"/>
  <c r="X237" i="10"/>
  <c r="V237" i="10"/>
  <c r="U237" i="10"/>
  <c r="H237" i="10"/>
  <c r="G237" i="10"/>
  <c r="X236" i="10"/>
  <c r="V236" i="10"/>
  <c r="U236" i="10"/>
  <c r="H236" i="10"/>
  <c r="G236" i="10"/>
  <c r="X235" i="10"/>
  <c r="V235" i="10"/>
  <c r="U235" i="10"/>
  <c r="H235" i="10"/>
  <c r="G235" i="10"/>
  <c r="X234" i="10"/>
  <c r="V234" i="10"/>
  <c r="U234" i="10"/>
  <c r="H234" i="10"/>
  <c r="G234" i="10"/>
  <c r="X233" i="10"/>
  <c r="V233" i="10"/>
  <c r="U233" i="10"/>
  <c r="H233" i="10"/>
  <c r="G233" i="10"/>
  <c r="X232" i="10"/>
  <c r="V232" i="10"/>
  <c r="U232" i="10"/>
  <c r="H232" i="10"/>
  <c r="G232" i="10"/>
  <c r="X231" i="10"/>
  <c r="V231" i="10"/>
  <c r="U231" i="10"/>
  <c r="H231" i="10"/>
  <c r="G231" i="10"/>
  <c r="V230" i="10"/>
  <c r="U230" i="10"/>
  <c r="H230" i="10"/>
  <c r="E230" i="10"/>
  <c r="G230" i="10" s="1"/>
  <c r="V229" i="10"/>
  <c r="U229" i="10"/>
  <c r="H229" i="10"/>
  <c r="E229" i="10"/>
  <c r="G229" i="10" s="1"/>
  <c r="AR228" i="10"/>
  <c r="V228" i="10"/>
  <c r="U228" i="10"/>
  <c r="G228" i="10"/>
  <c r="E228" i="10"/>
  <c r="H228" i="10" s="1"/>
  <c r="AR227" i="10"/>
  <c r="V227" i="10"/>
  <c r="U227" i="10"/>
  <c r="E227" i="10"/>
  <c r="V226" i="10"/>
  <c r="U226" i="10"/>
  <c r="E226" i="10"/>
  <c r="V225" i="10"/>
  <c r="U225" i="10"/>
  <c r="E225" i="10"/>
  <c r="V224" i="10"/>
  <c r="U224" i="10"/>
  <c r="E224" i="10"/>
  <c r="AR223" i="10"/>
  <c r="V223" i="10"/>
  <c r="U223" i="10"/>
  <c r="G223" i="10"/>
  <c r="E223" i="10"/>
  <c r="H223" i="10" s="1"/>
  <c r="AW222" i="10"/>
  <c r="AR222" i="10"/>
  <c r="X222" i="10"/>
  <c r="V222" i="10"/>
  <c r="U222" i="10"/>
  <c r="H222" i="10"/>
  <c r="G222" i="10"/>
  <c r="AW221" i="10"/>
  <c r="AR221" i="10"/>
  <c r="X221" i="10"/>
  <c r="V221" i="10"/>
  <c r="U221" i="10"/>
  <c r="H221" i="10"/>
  <c r="G221" i="10"/>
  <c r="AW220" i="10"/>
  <c r="AR220" i="10"/>
  <c r="X220" i="10"/>
  <c r="V220" i="10"/>
  <c r="U220" i="10"/>
  <c r="H220" i="10"/>
  <c r="G220" i="10"/>
  <c r="AW219" i="10"/>
  <c r="AR219" i="10"/>
  <c r="X219" i="10"/>
  <c r="V219" i="10"/>
  <c r="U219" i="10"/>
  <c r="H219" i="10"/>
  <c r="G219" i="10"/>
  <c r="AW218" i="10"/>
  <c r="AR218" i="10"/>
  <c r="X218" i="10"/>
  <c r="V218" i="10"/>
  <c r="U218" i="10"/>
  <c r="H218" i="10"/>
  <c r="G218" i="10"/>
  <c r="AW217" i="10"/>
  <c r="AR217" i="10"/>
  <c r="X217" i="10"/>
  <c r="V217" i="10"/>
  <c r="U217" i="10"/>
  <c r="H217" i="10"/>
  <c r="G217" i="10"/>
  <c r="AW216" i="10"/>
  <c r="AR216" i="10"/>
  <c r="X216" i="10"/>
  <c r="V216" i="10"/>
  <c r="U216" i="10"/>
  <c r="H216" i="10"/>
  <c r="G216" i="10"/>
  <c r="AW215" i="10"/>
  <c r="AR215" i="10"/>
  <c r="X215" i="10"/>
  <c r="V215" i="10"/>
  <c r="U215" i="10"/>
  <c r="H215" i="10"/>
  <c r="G215" i="10"/>
  <c r="AW214" i="10"/>
  <c r="AR214" i="10"/>
  <c r="AN214" i="10"/>
  <c r="AK214" i="10"/>
  <c r="X214" i="10"/>
  <c r="V214" i="10"/>
  <c r="U214" i="10"/>
  <c r="H214" i="10"/>
  <c r="G214" i="10"/>
  <c r="AW213" i="10"/>
  <c r="AR213" i="10"/>
  <c r="AN213" i="10"/>
  <c r="AK213" i="10"/>
  <c r="X213" i="10"/>
  <c r="V213" i="10"/>
  <c r="U213" i="10"/>
  <c r="H213" i="10"/>
  <c r="G213" i="10"/>
  <c r="AW212" i="10"/>
  <c r="AR212" i="10"/>
  <c r="AN212" i="10"/>
  <c r="AK212" i="10"/>
  <c r="X212" i="10"/>
  <c r="V212" i="10"/>
  <c r="U212" i="10"/>
  <c r="H212" i="10"/>
  <c r="G212" i="10"/>
  <c r="AW211" i="10"/>
  <c r="AR211" i="10"/>
  <c r="AN211" i="10"/>
  <c r="AK211" i="10"/>
  <c r="X211" i="10"/>
  <c r="V211" i="10"/>
  <c r="U211" i="10"/>
  <c r="H211" i="10"/>
  <c r="G211" i="10"/>
  <c r="AW210" i="10"/>
  <c r="AR210" i="10"/>
  <c r="AN210" i="10"/>
  <c r="AK210" i="10"/>
  <c r="X210" i="10"/>
  <c r="V210" i="10"/>
  <c r="U210" i="10"/>
  <c r="H210" i="10"/>
  <c r="G210" i="10"/>
  <c r="AW209" i="10"/>
  <c r="AR209" i="10"/>
  <c r="AN209" i="10"/>
  <c r="AK209" i="10"/>
  <c r="X209" i="10"/>
  <c r="V209" i="10"/>
  <c r="U209" i="10"/>
  <c r="H209" i="10"/>
  <c r="G209" i="10"/>
  <c r="AW208" i="10"/>
  <c r="AR208" i="10"/>
  <c r="AN208" i="10"/>
  <c r="AK208" i="10"/>
  <c r="X208" i="10"/>
  <c r="V208" i="10"/>
  <c r="U208" i="10"/>
  <c r="H208" i="10"/>
  <c r="G208" i="10"/>
  <c r="AW207" i="10"/>
  <c r="AR207" i="10"/>
  <c r="AN207" i="10"/>
  <c r="AK207" i="10"/>
  <c r="X207" i="10"/>
  <c r="V207" i="10"/>
  <c r="U207" i="10"/>
  <c r="H207" i="10"/>
  <c r="G207" i="10"/>
  <c r="AW206" i="10"/>
  <c r="AR206" i="10"/>
  <c r="AN206" i="10"/>
  <c r="AK206" i="10"/>
  <c r="X206" i="10"/>
  <c r="V206" i="10"/>
  <c r="U206" i="10"/>
  <c r="H206" i="10"/>
  <c r="G206" i="10"/>
  <c r="AW205" i="10"/>
  <c r="AR205" i="10"/>
  <c r="AN205" i="10"/>
  <c r="AK205" i="10"/>
  <c r="X205" i="10"/>
  <c r="V205" i="10"/>
  <c r="U205" i="10"/>
  <c r="H205" i="10"/>
  <c r="G205" i="10"/>
  <c r="AW204" i="10"/>
  <c r="AR204" i="10"/>
  <c r="AN204" i="10"/>
  <c r="AK204" i="10"/>
  <c r="X204" i="10"/>
  <c r="V204" i="10"/>
  <c r="U204" i="10"/>
  <c r="H204" i="10"/>
  <c r="G204" i="10"/>
  <c r="AW203" i="10"/>
  <c r="AR203" i="10"/>
  <c r="AN203" i="10"/>
  <c r="AK203" i="10"/>
  <c r="X203" i="10"/>
  <c r="V203" i="10"/>
  <c r="U203" i="10"/>
  <c r="H203" i="10"/>
  <c r="G203" i="10"/>
  <c r="AW202" i="10"/>
  <c r="AR202" i="10"/>
  <c r="AN202" i="10"/>
  <c r="AK202" i="10"/>
  <c r="X202" i="10"/>
  <c r="V202" i="10"/>
  <c r="U202" i="10"/>
  <c r="H202" i="10"/>
  <c r="G202" i="10"/>
  <c r="AW201" i="10"/>
  <c r="AR201" i="10"/>
  <c r="AN201" i="10"/>
  <c r="AK201" i="10"/>
  <c r="X201" i="10"/>
  <c r="V201" i="10"/>
  <c r="U201" i="10"/>
  <c r="H201" i="10"/>
  <c r="G201" i="10"/>
  <c r="AW200" i="10"/>
  <c r="AR200" i="10"/>
  <c r="AN200" i="10"/>
  <c r="AK200" i="10"/>
  <c r="X200" i="10"/>
  <c r="V200" i="10"/>
  <c r="U200" i="10"/>
  <c r="H200" i="10"/>
  <c r="G200" i="10"/>
  <c r="AW199" i="10"/>
  <c r="AR199" i="10"/>
  <c r="AN199" i="10"/>
  <c r="AK199" i="10"/>
  <c r="X199" i="10"/>
  <c r="V199" i="10"/>
  <c r="U199" i="10"/>
  <c r="H199" i="10"/>
  <c r="G199" i="10"/>
  <c r="AW198" i="10"/>
  <c r="AR198" i="10"/>
  <c r="AN198" i="10"/>
  <c r="AK198" i="10"/>
  <c r="X198" i="10"/>
  <c r="V198" i="10"/>
  <c r="U198" i="10"/>
  <c r="H198" i="10"/>
  <c r="G198" i="10"/>
  <c r="AW197" i="10"/>
  <c r="AR197" i="10"/>
  <c r="AN197" i="10"/>
  <c r="AK197" i="10"/>
  <c r="X197" i="10"/>
  <c r="V197" i="10"/>
  <c r="U197" i="10"/>
  <c r="H197" i="10"/>
  <c r="G197" i="10"/>
  <c r="AW196" i="10"/>
  <c r="AR196" i="10"/>
  <c r="AN196" i="10"/>
  <c r="AK196" i="10"/>
  <c r="X196" i="10"/>
  <c r="V196" i="10"/>
  <c r="U196" i="10"/>
  <c r="H196" i="10"/>
  <c r="G196" i="10"/>
  <c r="AW195" i="10"/>
  <c r="AR195" i="10"/>
  <c r="AN195" i="10"/>
  <c r="AK195" i="10"/>
  <c r="X195" i="10"/>
  <c r="V195" i="10"/>
  <c r="U195" i="10"/>
  <c r="H195" i="10"/>
  <c r="G195" i="10"/>
  <c r="AW194" i="10"/>
  <c r="AR194" i="10"/>
  <c r="AN194" i="10"/>
  <c r="AK194" i="10"/>
  <c r="X194" i="10"/>
  <c r="V194" i="10"/>
  <c r="U194" i="10"/>
  <c r="H194" i="10"/>
  <c r="G194" i="10"/>
  <c r="AW193" i="10"/>
  <c r="AR193" i="10"/>
  <c r="AN193" i="10"/>
  <c r="AK193" i="10"/>
  <c r="X193" i="10"/>
  <c r="V193" i="10"/>
  <c r="U193" i="10"/>
  <c r="H193" i="10"/>
  <c r="G193" i="10"/>
  <c r="AW192" i="10"/>
  <c r="AR192" i="10"/>
  <c r="AN192" i="10"/>
  <c r="AK192" i="10"/>
  <c r="X192" i="10"/>
  <c r="V192" i="10"/>
  <c r="U192" i="10"/>
  <c r="H192" i="10"/>
  <c r="G192" i="10"/>
  <c r="AW191" i="10"/>
  <c r="AR191" i="10"/>
  <c r="AN191" i="10"/>
  <c r="AK191" i="10"/>
  <c r="X191" i="10"/>
  <c r="V191" i="10"/>
  <c r="U191" i="10"/>
  <c r="H191" i="10"/>
  <c r="G191" i="10"/>
  <c r="AW190" i="10"/>
  <c r="AR190" i="10"/>
  <c r="AN190" i="10"/>
  <c r="AK190" i="10"/>
  <c r="X190" i="10"/>
  <c r="V190" i="10"/>
  <c r="U190" i="10"/>
  <c r="H190" i="10"/>
  <c r="G190" i="10"/>
  <c r="AW189" i="10"/>
  <c r="AR189" i="10"/>
  <c r="AN189" i="10"/>
  <c r="AK189" i="10"/>
  <c r="X189" i="10"/>
  <c r="V189" i="10"/>
  <c r="U189" i="10"/>
  <c r="H189" i="10"/>
  <c r="G189" i="10"/>
  <c r="AW188" i="10"/>
  <c r="AR188" i="10"/>
  <c r="AN188" i="10"/>
  <c r="AK188" i="10"/>
  <c r="X188" i="10"/>
  <c r="V188" i="10"/>
  <c r="U188" i="10"/>
  <c r="H188" i="10"/>
  <c r="G188" i="10"/>
  <c r="AW187" i="10"/>
  <c r="AR187" i="10"/>
  <c r="AN187" i="10"/>
  <c r="AK187" i="10"/>
  <c r="X187" i="10"/>
  <c r="V187" i="10"/>
  <c r="U187" i="10"/>
  <c r="H187" i="10"/>
  <c r="G187" i="10"/>
  <c r="AW186" i="10"/>
  <c r="AR186" i="10"/>
  <c r="AN186" i="10"/>
  <c r="AK186" i="10"/>
  <c r="X186" i="10"/>
  <c r="V186" i="10"/>
  <c r="U186" i="10"/>
  <c r="H186" i="10"/>
  <c r="G186" i="10"/>
  <c r="AW185" i="10"/>
  <c r="AR185" i="10"/>
  <c r="AN185" i="10"/>
  <c r="AK185" i="10"/>
  <c r="X185" i="10"/>
  <c r="V185" i="10"/>
  <c r="U185" i="10"/>
  <c r="H185" i="10"/>
  <c r="G185" i="10"/>
  <c r="AW184" i="10"/>
  <c r="AR184" i="10"/>
  <c r="AN184" i="10"/>
  <c r="AK184" i="10"/>
  <c r="X184" i="10"/>
  <c r="V184" i="10"/>
  <c r="U184" i="10"/>
  <c r="H184" i="10"/>
  <c r="G184" i="10"/>
  <c r="AW183" i="10"/>
  <c r="AR183" i="10"/>
  <c r="AN183" i="10"/>
  <c r="AK183" i="10"/>
  <c r="X183" i="10"/>
  <c r="V183" i="10"/>
  <c r="U183" i="10"/>
  <c r="H183" i="10"/>
  <c r="G183" i="10"/>
  <c r="AW182" i="10"/>
  <c r="AR182" i="10"/>
  <c r="AN182" i="10"/>
  <c r="AK182" i="10"/>
  <c r="X182" i="10"/>
  <c r="V182" i="10"/>
  <c r="U182" i="10"/>
  <c r="H182" i="10"/>
  <c r="G182" i="10"/>
  <c r="AW181" i="10"/>
  <c r="AR181" i="10"/>
  <c r="AN181" i="10"/>
  <c r="AK181" i="10"/>
  <c r="X181" i="10"/>
  <c r="V181" i="10"/>
  <c r="U181" i="10"/>
  <c r="H181" i="10"/>
  <c r="G181" i="10"/>
  <c r="AW180" i="10"/>
  <c r="AR180" i="10"/>
  <c r="AN180" i="10"/>
  <c r="AK180" i="10"/>
  <c r="X180" i="10"/>
  <c r="V180" i="10"/>
  <c r="U180" i="10"/>
  <c r="H180" i="10"/>
  <c r="G180" i="10"/>
  <c r="AW179" i="10"/>
  <c r="AR179" i="10"/>
  <c r="AN179" i="10"/>
  <c r="AK179" i="10"/>
  <c r="X179" i="10"/>
  <c r="V179" i="10"/>
  <c r="U179" i="10"/>
  <c r="H179" i="10"/>
  <c r="G179" i="10"/>
  <c r="AW178" i="10"/>
  <c r="AR178" i="10"/>
  <c r="AN178" i="10"/>
  <c r="AK178" i="10"/>
  <c r="X178" i="10"/>
  <c r="V178" i="10"/>
  <c r="U178" i="10"/>
  <c r="H178" i="10"/>
  <c r="G178" i="10"/>
  <c r="AW177" i="10"/>
  <c r="AR177" i="10"/>
  <c r="AN177" i="10"/>
  <c r="AK177" i="10"/>
  <c r="X177" i="10"/>
  <c r="V177" i="10"/>
  <c r="U177" i="10"/>
  <c r="H177" i="10"/>
  <c r="G177" i="10"/>
  <c r="AW176" i="10"/>
  <c r="AR176" i="10"/>
  <c r="AN176" i="10"/>
  <c r="AK176" i="10"/>
  <c r="X176" i="10"/>
  <c r="V176" i="10"/>
  <c r="U176" i="10"/>
  <c r="H176" i="10"/>
  <c r="G176" i="10"/>
  <c r="AW175" i="10"/>
  <c r="AR175" i="10"/>
  <c r="AN175" i="10"/>
  <c r="AK175" i="10"/>
  <c r="X175" i="10"/>
  <c r="V175" i="10"/>
  <c r="U175" i="10"/>
  <c r="H175" i="10"/>
  <c r="G175" i="10"/>
  <c r="AX174" i="10"/>
  <c r="AR174" i="10"/>
  <c r="AN174" i="10"/>
  <c r="V174" i="10"/>
  <c r="U174" i="10"/>
  <c r="H174" i="10"/>
  <c r="G174" i="10"/>
  <c r="AX173" i="10"/>
  <c r="AR173" i="10"/>
  <c r="AN173" i="10"/>
  <c r="V173" i="10"/>
  <c r="U173" i="10"/>
  <c r="H173" i="10"/>
  <c r="G173" i="10"/>
  <c r="AX172" i="10"/>
  <c r="AR172" i="10"/>
  <c r="AN172" i="10"/>
  <c r="V172" i="10"/>
  <c r="U172" i="10"/>
  <c r="H172" i="10"/>
  <c r="G172" i="10"/>
  <c r="AX171" i="10"/>
  <c r="AR171" i="10"/>
  <c r="AN171" i="10"/>
  <c r="V171" i="10"/>
  <c r="U171" i="10"/>
  <c r="H171" i="10"/>
  <c r="G171" i="10"/>
  <c r="AX170" i="10"/>
  <c r="AR170" i="10"/>
  <c r="AN170" i="10"/>
  <c r="V170" i="10"/>
  <c r="U170" i="10"/>
  <c r="H170" i="10"/>
  <c r="G170" i="10"/>
  <c r="AX169" i="10"/>
  <c r="AR169" i="10"/>
  <c r="AN169" i="10"/>
  <c r="V169" i="10"/>
  <c r="U169" i="10"/>
  <c r="H169" i="10"/>
  <c r="G169" i="10"/>
  <c r="AX168" i="10"/>
  <c r="AR168" i="10"/>
  <c r="AN168" i="10"/>
  <c r="V168" i="10"/>
  <c r="U168" i="10"/>
  <c r="H168" i="10"/>
  <c r="G168" i="10"/>
  <c r="AX167" i="10"/>
  <c r="AR167" i="10"/>
  <c r="AN167" i="10"/>
  <c r="V167" i="10"/>
  <c r="U167" i="10"/>
  <c r="H167" i="10"/>
  <c r="G167" i="10"/>
  <c r="AX166" i="10"/>
  <c r="AR166" i="10"/>
  <c r="AN166" i="10"/>
  <c r="V166" i="10"/>
  <c r="U166" i="10"/>
  <c r="H166" i="10"/>
  <c r="G166" i="10"/>
  <c r="AX165" i="10"/>
  <c r="AR165" i="10"/>
  <c r="AN165" i="10"/>
  <c r="V165" i="10"/>
  <c r="U165" i="10"/>
  <c r="H165" i="10"/>
  <c r="G165" i="10"/>
  <c r="AX164" i="10"/>
  <c r="AR164" i="10"/>
  <c r="AN164" i="10"/>
  <c r="V164" i="10"/>
  <c r="U164" i="10"/>
  <c r="H164" i="10"/>
  <c r="G164" i="10"/>
  <c r="AX163" i="10"/>
  <c r="AR163" i="10"/>
  <c r="AN163" i="10"/>
  <c r="V163" i="10"/>
  <c r="U163" i="10"/>
  <c r="H163" i="10"/>
  <c r="G163" i="10"/>
  <c r="AX162" i="10"/>
  <c r="AR162" i="10"/>
  <c r="AN162" i="10"/>
  <c r="V162" i="10"/>
  <c r="U162" i="10"/>
  <c r="H162" i="10"/>
  <c r="G162" i="10"/>
  <c r="AX161" i="10"/>
  <c r="AR161" i="10"/>
  <c r="AN161" i="10"/>
  <c r="V161" i="10"/>
  <c r="U161" i="10"/>
  <c r="H161" i="10"/>
  <c r="G161" i="10"/>
  <c r="AX160" i="10"/>
  <c r="AR160" i="10"/>
  <c r="AN160" i="10"/>
  <c r="V160" i="10"/>
  <c r="U160" i="10"/>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H154" i="10"/>
  <c r="G154" i="10"/>
  <c r="X153" i="10"/>
  <c r="V153" i="10"/>
  <c r="U153" i="10"/>
  <c r="H153" i="10"/>
  <c r="G153" i="10"/>
  <c r="X152" i="10"/>
  <c r="V152" i="10"/>
  <c r="U152" i="10"/>
  <c r="H152" i="10"/>
  <c r="G152" i="10"/>
  <c r="X151" i="10"/>
  <c r="V151" i="10"/>
  <c r="U151" i="10"/>
  <c r="H151" i="10"/>
  <c r="G151" i="10"/>
  <c r="X150" i="10"/>
  <c r="V150" i="10"/>
  <c r="U150" i="10"/>
  <c r="H150" i="10"/>
  <c r="G150" i="10"/>
  <c r="X149" i="10"/>
  <c r="V149" i="10"/>
  <c r="U149" i="10"/>
  <c r="H149" i="10"/>
  <c r="G149" i="10"/>
  <c r="X148" i="10"/>
  <c r="V148" i="10"/>
  <c r="U148" i="10"/>
  <c r="H148" i="10"/>
  <c r="G148" i="10"/>
  <c r="X147" i="10"/>
  <c r="V147" i="10"/>
  <c r="U147" i="10"/>
  <c r="H147" i="10"/>
  <c r="G147" i="10"/>
  <c r="X146" i="10"/>
  <c r="V146" i="10"/>
  <c r="U146" i="10"/>
  <c r="H146" i="10"/>
  <c r="G146" i="10"/>
  <c r="X145" i="10"/>
  <c r="V145" i="10"/>
  <c r="U145" i="10"/>
  <c r="H145" i="10"/>
  <c r="G145" i="10"/>
  <c r="X144" i="10"/>
  <c r="V144" i="10"/>
  <c r="U144" i="10"/>
  <c r="H144" i="10"/>
  <c r="G144" i="10"/>
  <c r="X143" i="10"/>
  <c r="V143" i="10"/>
  <c r="U143" i="10"/>
  <c r="H143" i="10"/>
  <c r="G143" i="10"/>
  <c r="V142" i="10"/>
  <c r="U142" i="10"/>
  <c r="H142" i="10"/>
  <c r="G142" i="10"/>
  <c r="E142" i="10"/>
  <c r="V141" i="10"/>
  <c r="U141" i="10"/>
  <c r="H141" i="10"/>
  <c r="G141" i="10"/>
  <c r="E141" i="10"/>
  <c r="V140" i="10"/>
  <c r="U140" i="10"/>
  <c r="H140" i="10"/>
  <c r="G140" i="10"/>
  <c r="E140" i="10"/>
  <c r="V139" i="10"/>
  <c r="U139" i="10"/>
  <c r="H139" i="10"/>
  <c r="G139" i="10"/>
  <c r="E139" i="10"/>
  <c r="V138" i="10"/>
  <c r="U138" i="10"/>
  <c r="H138" i="10"/>
  <c r="G138" i="10"/>
  <c r="E138" i="10"/>
  <c r="V137" i="10"/>
  <c r="U137" i="10"/>
  <c r="H137" i="10"/>
  <c r="G137" i="10"/>
  <c r="E137" i="10"/>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H114" i="10"/>
  <c r="G114" i="10"/>
  <c r="E114" i="10"/>
  <c r="AM113" i="10"/>
  <c r="AL113" i="10"/>
  <c r="X113" i="10"/>
  <c r="V113" i="10"/>
  <c r="U113" i="10"/>
  <c r="G113" i="10"/>
  <c r="E113" i="10"/>
  <c r="H113" i="10" s="1"/>
  <c r="AM112" i="10"/>
  <c r="AL112" i="10"/>
  <c r="X112" i="10"/>
  <c r="V112" i="10"/>
  <c r="U112" i="10"/>
  <c r="E112" i="10"/>
  <c r="AM111" i="10"/>
  <c r="AL111" i="10"/>
  <c r="X111" i="10"/>
  <c r="V111" i="10"/>
  <c r="U111" i="10"/>
  <c r="H111" i="10"/>
  <c r="G111" i="10"/>
  <c r="E111" i="10"/>
  <c r="AM110" i="10"/>
  <c r="AL110" i="10"/>
  <c r="X110" i="10"/>
  <c r="V110" i="10"/>
  <c r="U110" i="10"/>
  <c r="H110" i="10"/>
  <c r="G110" i="10"/>
  <c r="E110" i="10"/>
  <c r="AM109" i="10"/>
  <c r="AL109" i="10"/>
  <c r="X109" i="10"/>
  <c r="V109" i="10"/>
  <c r="U109" i="10"/>
  <c r="E109" i="10"/>
  <c r="H109" i="10" s="1"/>
  <c r="AM108" i="10"/>
  <c r="AL108" i="10"/>
  <c r="X108" i="10"/>
  <c r="V108" i="10"/>
  <c r="U108" i="10"/>
  <c r="E108" i="10"/>
  <c r="G108" i="10" s="1"/>
  <c r="AM107" i="10"/>
  <c r="AL107" i="10"/>
  <c r="X107" i="10"/>
  <c r="V107" i="10"/>
  <c r="U107" i="10"/>
  <c r="H107" i="10"/>
  <c r="G107" i="10"/>
  <c r="E107" i="10"/>
  <c r="AM106" i="10"/>
  <c r="AL106" i="10"/>
  <c r="X106" i="10"/>
  <c r="V106" i="10"/>
  <c r="U106" i="10"/>
  <c r="G106" i="10"/>
  <c r="E106" i="10"/>
  <c r="H106" i="10" s="1"/>
  <c r="AM105" i="10"/>
  <c r="AL105" i="10"/>
  <c r="X105" i="10"/>
  <c r="V105" i="10"/>
  <c r="U105" i="10"/>
  <c r="G105" i="10"/>
  <c r="E105" i="10"/>
  <c r="H105" i="10" s="1"/>
  <c r="AM104" i="10"/>
  <c r="AL104" i="10"/>
  <c r="X104" i="10"/>
  <c r="V104" i="10"/>
  <c r="U104" i="10"/>
  <c r="E104" i="10"/>
  <c r="AM103" i="10"/>
  <c r="AL103" i="10"/>
  <c r="X103" i="10"/>
  <c r="V103" i="10"/>
  <c r="U103" i="10"/>
  <c r="H103" i="10"/>
  <c r="G103" i="10"/>
  <c r="E103" i="10"/>
  <c r="AM102" i="10"/>
  <c r="AL102" i="10"/>
  <c r="X102" i="10"/>
  <c r="V102" i="10"/>
  <c r="U102" i="10"/>
  <c r="H102" i="10"/>
  <c r="G102" i="10"/>
  <c r="E102" i="10"/>
  <c r="AM101" i="10"/>
  <c r="AL101" i="10"/>
  <c r="X101" i="10"/>
  <c r="V101" i="10"/>
  <c r="U101" i="10"/>
  <c r="E101" i="10"/>
  <c r="H101" i="10" s="1"/>
  <c r="AM100" i="10"/>
  <c r="AL100" i="10"/>
  <c r="X100" i="10"/>
  <c r="V100" i="10"/>
  <c r="U100" i="10"/>
  <c r="H100" i="10"/>
  <c r="E100" i="10"/>
  <c r="G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H83" i="10"/>
  <c r="G83" i="10"/>
  <c r="AQ82" i="10"/>
  <c r="V82" i="10"/>
  <c r="U82" i="10"/>
  <c r="H82" i="10"/>
  <c r="G82" i="10"/>
  <c r="AQ81" i="10"/>
  <c r="V81" i="10"/>
  <c r="U81" i="10"/>
  <c r="H81" i="10"/>
  <c r="G81" i="10"/>
  <c r="AS80" i="10"/>
  <c r="AO80" i="10"/>
  <c r="V80" i="10"/>
  <c r="U80" i="10"/>
  <c r="E80" i="10"/>
  <c r="H80" i="10" s="1"/>
  <c r="AS79" i="10"/>
  <c r="AO79" i="10"/>
  <c r="V79" i="10"/>
  <c r="U79" i="10"/>
  <c r="H79" i="10"/>
  <c r="G79" i="10"/>
  <c r="E79" i="10"/>
  <c r="AS78" i="10"/>
  <c r="AO78" i="10"/>
  <c r="V78" i="10"/>
  <c r="U78" i="10"/>
  <c r="E78" i="10"/>
  <c r="AS77" i="10"/>
  <c r="AO77" i="10"/>
  <c r="V77" i="10"/>
  <c r="U77" i="10"/>
  <c r="H77" i="10"/>
  <c r="E77" i="10"/>
  <c r="G77" i="10" s="1"/>
  <c r="AR76" i="10"/>
  <c r="V76" i="10"/>
  <c r="U76" i="10"/>
  <c r="T76" i="10"/>
  <c r="H76" i="10"/>
  <c r="G76" i="10"/>
  <c r="F76" i="10"/>
  <c r="AR75" i="10"/>
  <c r="V75" i="10"/>
  <c r="T75" i="10"/>
  <c r="U75" i="10" s="1"/>
  <c r="H75" i="10"/>
  <c r="G75" i="10"/>
  <c r="F75" i="10"/>
  <c r="AR74" i="10"/>
  <c r="V74" i="10"/>
  <c r="T74" i="10"/>
  <c r="U74" i="10" s="1"/>
  <c r="H74" i="10"/>
  <c r="G74" i="10"/>
  <c r="F74" i="10"/>
  <c r="AR73" i="10"/>
  <c r="V73" i="10"/>
  <c r="T73" i="10"/>
  <c r="U73" i="10" s="1"/>
  <c r="H73" i="10"/>
  <c r="G73" i="10"/>
  <c r="F73" i="10"/>
  <c r="AR72" i="10"/>
  <c r="V72" i="10"/>
  <c r="U72" i="10"/>
  <c r="T72" i="10"/>
  <c r="H72" i="10"/>
  <c r="G72" i="10"/>
  <c r="F72" i="10"/>
  <c r="AR71" i="10"/>
  <c r="V71" i="10"/>
  <c r="T71" i="10"/>
  <c r="U71" i="10" s="1"/>
  <c r="H71" i="10"/>
  <c r="G71" i="10"/>
  <c r="F71" i="10"/>
  <c r="AR70" i="10"/>
  <c r="V70" i="10"/>
  <c r="T70" i="10"/>
  <c r="U70" i="10" s="1"/>
  <c r="H70" i="10"/>
  <c r="G70" i="10"/>
  <c r="F70" i="10"/>
  <c r="AR69" i="10"/>
  <c r="V69" i="10"/>
  <c r="T69" i="10"/>
  <c r="U69" i="10" s="1"/>
  <c r="H69" i="10"/>
  <c r="G69" i="10"/>
  <c r="F69" i="10"/>
  <c r="V68" i="10"/>
  <c r="U68" i="10"/>
  <c r="H68" i="10"/>
  <c r="G68" i="10"/>
  <c r="F68" i="10"/>
  <c r="V67" i="10"/>
  <c r="U67" i="10"/>
  <c r="H67" i="10"/>
  <c r="G67" i="10"/>
  <c r="F67" i="10"/>
  <c r="V66" i="10"/>
  <c r="U66" i="10"/>
  <c r="H66" i="10"/>
  <c r="G66" i="10"/>
  <c r="F66" i="10"/>
  <c r="V65" i="10"/>
  <c r="U65" i="10"/>
  <c r="H65" i="10"/>
  <c r="G65" i="10"/>
  <c r="F65" i="10"/>
  <c r="V64" i="10"/>
  <c r="U64" i="10"/>
  <c r="H64" i="10"/>
  <c r="G64" i="10"/>
  <c r="F64" i="10"/>
  <c r="AS63" i="10"/>
  <c r="AQ63" i="10"/>
  <c r="V63" i="10"/>
  <c r="U63" i="10"/>
  <c r="H63" i="10"/>
  <c r="G63" i="10"/>
  <c r="E63" i="10"/>
  <c r="AS62" i="10"/>
  <c r="AQ62" i="10"/>
  <c r="V62" i="10"/>
  <c r="U62" i="10"/>
  <c r="G62" i="10"/>
  <c r="E62" i="10"/>
  <c r="H62" i="10" s="1"/>
  <c r="AS61" i="10"/>
  <c r="AQ61" i="10"/>
  <c r="V61" i="10"/>
  <c r="U61" i="10"/>
  <c r="H61" i="10"/>
  <c r="E61" i="10"/>
  <c r="G61" i="10" s="1"/>
  <c r="AS60" i="10"/>
  <c r="AQ60" i="10"/>
  <c r="V60" i="10"/>
  <c r="U60" i="10"/>
  <c r="H60" i="10"/>
  <c r="G60" i="10"/>
  <c r="E60" i="10"/>
  <c r="AS59" i="10"/>
  <c r="AQ59" i="10"/>
  <c r="V59" i="10"/>
  <c r="U59" i="10"/>
  <c r="E59" i="10"/>
  <c r="G59" i="10" s="1"/>
  <c r="AS58" i="10"/>
  <c r="AQ58" i="10"/>
  <c r="V58" i="10"/>
  <c r="U58" i="10"/>
  <c r="E58" i="10"/>
  <c r="H58" i="10" s="1"/>
  <c r="AS57" i="10"/>
  <c r="AQ57" i="10"/>
  <c r="V57" i="10"/>
  <c r="U57" i="10"/>
  <c r="H57" i="10"/>
  <c r="E57" i="10"/>
  <c r="G57" i="10" s="1"/>
  <c r="AS56" i="10"/>
  <c r="AQ56" i="10"/>
  <c r="V56" i="10"/>
  <c r="U56" i="10"/>
  <c r="H56" i="10"/>
  <c r="G56" i="10"/>
  <c r="E56" i="10"/>
  <c r="AS55" i="10"/>
  <c r="AQ55" i="10"/>
  <c r="V55" i="10"/>
  <c r="U55" i="10"/>
  <c r="E55" i="10"/>
  <c r="G55" i="10" s="1"/>
  <c r="AS54" i="10"/>
  <c r="AQ54" i="10"/>
  <c r="V54" i="10"/>
  <c r="U54" i="10"/>
  <c r="E54" i="10"/>
  <c r="H54" i="10" s="1"/>
  <c r="AQ53" i="10"/>
  <c r="V53" i="10"/>
  <c r="U53" i="10"/>
  <c r="S53" i="10"/>
  <c r="H53" i="10"/>
  <c r="G53" i="10"/>
  <c r="AQ52" i="10"/>
  <c r="V52" i="10"/>
  <c r="U52" i="10"/>
  <c r="S52" i="10"/>
  <c r="H52" i="10"/>
  <c r="G52" i="10"/>
  <c r="AQ51" i="10"/>
  <c r="V51" i="10"/>
  <c r="S51" i="10"/>
  <c r="U51" i="10" s="1"/>
  <c r="H51" i="10"/>
  <c r="G51" i="10"/>
  <c r="AQ50" i="10"/>
  <c r="V50" i="10"/>
  <c r="S50" i="10"/>
  <c r="U50" i="10" s="1"/>
  <c r="H50" i="10"/>
  <c r="G50" i="10"/>
  <c r="AQ49" i="10"/>
  <c r="V49" i="10"/>
  <c r="S49" i="10"/>
  <c r="U49" i="10" s="1"/>
  <c r="H49" i="10"/>
  <c r="G49" i="10"/>
  <c r="AQ48" i="10"/>
  <c r="V48" i="10"/>
  <c r="U48" i="10"/>
  <c r="S48" i="10"/>
  <c r="H48" i="10"/>
  <c r="G48" i="10"/>
  <c r="AQ47" i="10"/>
  <c r="V47" i="10"/>
  <c r="S47" i="10"/>
  <c r="U47" i="10" s="1"/>
  <c r="H47" i="10"/>
  <c r="G47" i="10"/>
  <c r="AQ46" i="10"/>
  <c r="V46" i="10"/>
  <c r="U46" i="10"/>
  <c r="S46" i="10"/>
  <c r="H46" i="10"/>
  <c r="G46" i="10"/>
  <c r="AQ45" i="10"/>
  <c r="V45" i="10"/>
  <c r="U45" i="10"/>
  <c r="S45" i="10"/>
  <c r="H45" i="10"/>
  <c r="G45" i="10"/>
  <c r="AQ44" i="10"/>
  <c r="V44" i="10"/>
  <c r="U44" i="10"/>
  <c r="S44" i="10"/>
  <c r="H44" i="10"/>
  <c r="G44" i="10"/>
  <c r="AQ43" i="10"/>
  <c r="V43" i="10"/>
  <c r="S43" i="10"/>
  <c r="U43" i="10" s="1"/>
  <c r="H43" i="10"/>
  <c r="G43" i="10"/>
  <c r="AQ42" i="10"/>
  <c r="V42" i="10"/>
  <c r="S42" i="10"/>
  <c r="U42" i="10" s="1"/>
  <c r="H42" i="10"/>
  <c r="G42" i="10"/>
  <c r="AQ41" i="10"/>
  <c r="V41" i="10"/>
  <c r="S41" i="10"/>
  <c r="U41" i="10" s="1"/>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V34" i="10"/>
  <c r="S34" i="10"/>
  <c r="U34" i="10" s="1"/>
  <c r="H34" i="10"/>
  <c r="G34" i="10"/>
  <c r="AQ33" i="10"/>
  <c r="V33" i="10"/>
  <c r="S33" i="10"/>
  <c r="U33" i="10" s="1"/>
  <c r="H33" i="10"/>
  <c r="G33" i="10"/>
  <c r="AQ32" i="10"/>
  <c r="S32" i="10" s="1"/>
  <c r="U32" i="10" s="1"/>
  <c r="V32" i="10"/>
  <c r="H32" i="10"/>
  <c r="G32" i="10"/>
  <c r="AQ31" i="10"/>
  <c r="S31" i="10" s="1"/>
  <c r="U31" i="10" s="1"/>
  <c r="V31" i="10"/>
  <c r="H31" i="10"/>
  <c r="G31" i="10"/>
  <c r="AQ30" i="10"/>
  <c r="S30" i="10" s="1"/>
  <c r="U30" i="10" s="1"/>
  <c r="V30" i="10"/>
  <c r="H30" i="10"/>
  <c r="G30" i="10"/>
  <c r="AQ29" i="10"/>
  <c r="V29" i="10"/>
  <c r="U29" i="10"/>
  <c r="S29" i="10"/>
  <c r="H29" i="10"/>
  <c r="G29" i="10"/>
  <c r="AQ28" i="10"/>
  <c r="V28" i="10"/>
  <c r="U28" i="10"/>
  <c r="S28" i="10"/>
  <c r="H28" i="10"/>
  <c r="G28" i="10"/>
  <c r="AQ27" i="10"/>
  <c r="V27" i="10"/>
  <c r="S27" i="10"/>
  <c r="U27" i="10" s="1"/>
  <c r="H27" i="10"/>
  <c r="G27" i="10"/>
  <c r="AQ26" i="10"/>
  <c r="V26" i="10"/>
  <c r="S26" i="10"/>
  <c r="U26" i="10" s="1"/>
  <c r="H26" i="10"/>
  <c r="G26" i="10"/>
  <c r="AQ25" i="10"/>
  <c r="V25" i="10"/>
  <c r="S25" i="10"/>
  <c r="U25" i="10" s="1"/>
  <c r="H25" i="10"/>
  <c r="G25" i="10"/>
  <c r="AQ24" i="10"/>
  <c r="V24" i="10"/>
  <c r="U24" i="10"/>
  <c r="S24" i="10"/>
  <c r="H24" i="10"/>
  <c r="G24" i="10"/>
  <c r="AQ23" i="10"/>
  <c r="V23" i="10"/>
  <c r="S23" i="10"/>
  <c r="U23" i="10" s="1"/>
  <c r="H23" i="10"/>
  <c r="G23" i="10"/>
  <c r="AQ22" i="10"/>
  <c r="V22" i="10"/>
  <c r="U22" i="10"/>
  <c r="S22" i="10"/>
  <c r="H22" i="10"/>
  <c r="G22" i="10"/>
  <c r="AQ21" i="10"/>
  <c r="V21" i="10"/>
  <c r="U21" i="10"/>
  <c r="S21" i="10"/>
  <c r="H21" i="10"/>
  <c r="G21" i="10"/>
  <c r="AQ20" i="10"/>
  <c r="V20" i="10"/>
  <c r="S20" i="10"/>
  <c r="U20" i="10" s="1"/>
  <c r="H20" i="10"/>
  <c r="G20" i="10"/>
  <c r="AQ19" i="10"/>
  <c r="V19" i="10"/>
  <c r="S19" i="10"/>
  <c r="U19" i="10" s="1"/>
  <c r="H19" i="10"/>
  <c r="G19" i="10"/>
  <c r="AQ18" i="10"/>
  <c r="V18" i="10"/>
  <c r="S18" i="10"/>
  <c r="U18" i="10" s="1"/>
  <c r="H18" i="10"/>
  <c r="G18" i="10"/>
  <c r="AQ17" i="10"/>
  <c r="V17" i="10"/>
  <c r="S17" i="10"/>
  <c r="U17" i="10" s="1"/>
  <c r="H17" i="10"/>
  <c r="G17" i="10"/>
  <c r="AQ16" i="10"/>
  <c r="S16" i="10" s="1"/>
  <c r="U16" i="10" s="1"/>
  <c r="V16" i="10"/>
  <c r="H16" i="10"/>
  <c r="G16" i="10"/>
  <c r="AQ15" i="10"/>
  <c r="S15" i="10" s="1"/>
  <c r="U15" i="10" s="1"/>
  <c r="V15" i="10"/>
  <c r="H15" i="10"/>
  <c r="G15" i="10"/>
  <c r="AQ14" i="10"/>
  <c r="S14" i="10" s="1"/>
  <c r="U14" i="10" s="1"/>
  <c r="V14" i="10"/>
  <c r="H14" i="10"/>
  <c r="G14" i="10"/>
  <c r="AQ13" i="10"/>
  <c r="S13" i="10" s="1"/>
  <c r="U13" i="10" s="1"/>
  <c r="V13" i="10"/>
  <c r="H13" i="10"/>
  <c r="G13" i="10"/>
  <c r="AQ12" i="10"/>
  <c r="S12" i="10" s="1"/>
  <c r="U12" i="10" s="1"/>
  <c r="V12" i="10"/>
  <c r="H12" i="10"/>
  <c r="G12" i="10"/>
  <c r="AQ11" i="10"/>
  <c r="S11" i="10" s="1"/>
  <c r="U11" i="10" s="1"/>
  <c r="V11" i="10"/>
  <c r="H11" i="10"/>
  <c r="G11" i="10"/>
  <c r="AQ10" i="10"/>
  <c r="V10" i="10"/>
  <c r="S10" i="10"/>
  <c r="U10" i="10" s="1"/>
  <c r="H10" i="10"/>
  <c r="G10" i="10"/>
  <c r="AQ9" i="10"/>
  <c r="V9" i="10"/>
  <c r="S9" i="10"/>
  <c r="U9" i="10" s="1"/>
  <c r="H9" i="10"/>
  <c r="G9" i="10"/>
  <c r="AQ8" i="10"/>
  <c r="S8" i="10" s="1"/>
  <c r="U8" i="10" s="1"/>
  <c r="V8" i="10"/>
  <c r="H8" i="10"/>
  <c r="G8" i="10"/>
  <c r="AQ7" i="10"/>
  <c r="S7" i="10" s="1"/>
  <c r="U7" i="10" s="1"/>
  <c r="I7" i="10" s="1"/>
  <c r="J7" i="10" s="1"/>
  <c r="K7" i="10" s="1"/>
  <c r="V7" i="10"/>
  <c r="H7" i="10"/>
  <c r="G7" i="10"/>
  <c r="AQ6" i="10"/>
  <c r="S6" i="10" s="1"/>
  <c r="U6" i="10" s="1"/>
  <c r="I6" i="10" s="1"/>
  <c r="J6" i="10" s="1"/>
  <c r="K6" i="10" s="1"/>
  <c r="V6" i="10"/>
  <c r="H6" i="10"/>
  <c r="G6" i="10"/>
  <c r="X5" i="10"/>
  <c r="V5" i="10"/>
  <c r="U5" i="10"/>
  <c r="I5" i="10" s="1"/>
  <c r="J5" i="10" s="1"/>
  <c r="K5" i="10" s="1"/>
  <c r="H5" i="10"/>
  <c r="G5" i="10"/>
  <c r="F5" i="10"/>
  <c r="E5" i="10"/>
  <c r="X4" i="10"/>
  <c r="V4" i="10"/>
  <c r="U4" i="10"/>
  <c r="I4" i="10"/>
  <c r="J4" i="10" s="1"/>
  <c r="K4" i="10" s="1"/>
  <c r="F4" i="10"/>
  <c r="E4" i="10" s="1"/>
  <c r="X3" i="10"/>
  <c r="V3" i="10"/>
  <c r="U3" i="10"/>
  <c r="I3" i="10" s="1"/>
  <c r="J3" i="10" s="1"/>
  <c r="K3" i="10" s="1"/>
  <c r="F3" i="10"/>
  <c r="E3" i="10"/>
  <c r="H3" i="10" s="1"/>
  <c r="X2" i="10"/>
  <c r="V2" i="10"/>
  <c r="U2" i="10"/>
  <c r="F2" i="10"/>
  <c r="I2" i="10" s="1"/>
  <c r="J2" i="10" s="1"/>
  <c r="K2" i="10" s="1"/>
  <c r="E2" i="10"/>
  <c r="H2" i="10" s="1"/>
  <c r="H76" i="12"/>
  <c r="H4" i="10" l="1"/>
  <c r="G4" i="10"/>
  <c r="G3" i="10"/>
  <c r="H55" i="10"/>
  <c r="H59" i="10"/>
  <c r="H112" i="10"/>
  <c r="G112" i="10"/>
  <c r="H78" i="10"/>
  <c r="G78" i="10"/>
  <c r="G101" i="10"/>
  <c r="H225" i="10"/>
  <c r="G225" i="10"/>
  <c r="H227" i="10"/>
  <c r="G227" i="10"/>
  <c r="G54" i="10"/>
  <c r="G58" i="10"/>
  <c r="G80" i="10"/>
  <c r="H108" i="10"/>
  <c r="G2" i="10"/>
  <c r="G109" i="10"/>
  <c r="H104" i="10"/>
  <c r="G104" i="10"/>
  <c r="H224" i="10"/>
  <c r="G224" i="10"/>
  <c r="H226" i="10"/>
  <c r="G226" i="10"/>
  <c r="AN323" i="10"/>
  <c r="AL326" i="10"/>
  <c r="G333" i="10"/>
  <c r="AK325" i="10"/>
  <c r="AM326" i="10"/>
  <c r="G325" i="10"/>
  <c r="AL325" i="10"/>
  <c r="AN326" i="10"/>
  <c r="G329" i="10"/>
  <c r="G345" i="10"/>
  <c r="AK324" i="10"/>
  <c r="AM325" i="10"/>
  <c r="G324" i="10"/>
  <c r="AL324" i="10"/>
  <c r="AN325" i="10"/>
  <c r="G341" i="10"/>
  <c r="AK323" i="10"/>
  <c r="AM324" i="10"/>
  <c r="AL323" i="10"/>
  <c r="AN324" i="10"/>
  <c r="G337" i="10"/>
  <c r="AM323" i="10"/>
  <c r="H460" i="10"/>
  <c r="G474" i="10"/>
  <c r="G482" i="10"/>
  <c r="H524" i="10"/>
  <c r="G524" i="10"/>
  <c r="F524" i="10"/>
  <c r="G457" i="10"/>
  <c r="G472" i="10"/>
  <c r="G480" i="10"/>
  <c r="G470" i="10"/>
  <c r="G478" i="10"/>
  <c r="G468" i="10"/>
  <c r="G476" i="10"/>
  <c r="H531" i="10"/>
  <c r="G531" i="10"/>
  <c r="G467" i="10"/>
  <c r="G475" i="10"/>
  <c r="H1026" i="10"/>
  <c r="G1026" i="10"/>
  <c r="W534" i="10"/>
  <c r="BL534" i="10" s="1"/>
  <c r="W538" i="10"/>
  <c r="W541" i="10"/>
  <c r="BL541" i="10" s="1"/>
  <c r="H838" i="10"/>
  <c r="G838" i="10"/>
  <c r="X538" i="10"/>
  <c r="G533" i="10"/>
  <c r="G537" i="10"/>
  <c r="H844" i="10"/>
  <c r="H791" i="10"/>
  <c r="G791" i="10"/>
  <c r="G843" i="10"/>
  <c r="H934" i="10"/>
  <c r="G934" i="10"/>
  <c r="H923" i="10"/>
  <c r="G923" i="10"/>
  <c r="G790" i="10"/>
  <c r="G928" i="10"/>
  <c r="H925" i="10"/>
  <c r="G932" i="10"/>
  <c r="G839" i="10"/>
  <c r="G926" i="10"/>
  <c r="H921" i="10"/>
  <c r="G930" i="10"/>
  <c r="H1021" i="10"/>
  <c r="G1021" i="10"/>
  <c r="H1034" i="10"/>
  <c r="G1034" i="10"/>
  <c r="H1039" i="10"/>
  <c r="H1092" i="10"/>
  <c r="G1092" i="10"/>
  <c r="H1102" i="10"/>
  <c r="G1102" i="10"/>
  <c r="H1042" i="10"/>
  <c r="G1042" i="10"/>
  <c r="H1047" i="10"/>
  <c r="G1047" i="10"/>
  <c r="H1097" i="10"/>
  <c r="G1097" i="10"/>
  <c r="G1013" i="10"/>
  <c r="G1033" i="10"/>
  <c r="G1027" i="10"/>
  <c r="G1035" i="10"/>
  <c r="G1043" i="10"/>
  <c r="G1098" i="10"/>
  <c r="H558" i="12"/>
  <c r="H559" i="12"/>
  <c r="H560" i="12"/>
  <c r="H561" i="12"/>
  <c r="H562" i="12"/>
  <c r="H563" i="12"/>
  <c r="H564" i="12"/>
  <c r="H565" i="12"/>
  <c r="H566" i="12"/>
  <c r="H567" i="12"/>
  <c r="H568"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M62" i="12"/>
  <c r="O63" i="12"/>
  <c r="I62" i="12"/>
  <c r="H62" i="12"/>
  <c r="H63" i="12"/>
  <c r="I63" i="12" s="1"/>
  <c r="M63" i="12" s="1"/>
  <c r="N63" i="12" s="1"/>
  <c r="J62" i="12"/>
  <c r="O62" i="12" s="1"/>
  <c r="J63" i="12"/>
  <c r="J61" i="12"/>
  <c r="O61" i="12" s="1"/>
  <c r="H61" i="12"/>
  <c r="I61" i="12" s="1"/>
  <c r="M61" i="12" s="1"/>
  <c r="N61" i="12" s="1"/>
  <c r="AN346" i="10" l="1"/>
  <c r="AN344" i="10"/>
  <c r="AN345" i="10"/>
  <c r="AN343" i="10"/>
  <c r="AK344" i="10"/>
  <c r="AK343" i="10"/>
  <c r="AK346" i="10"/>
  <c r="AK345" i="10"/>
  <c r="AM345" i="10"/>
  <c r="AM346" i="10"/>
  <c r="AM344" i="10"/>
  <c r="AM343" i="10"/>
  <c r="BL538" i="10"/>
  <c r="AL343" i="10"/>
  <c r="AL346" i="10"/>
  <c r="AL344" i="10"/>
  <c r="AL345" i="10"/>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119C6755-822A-4D84-8ED1-21151E44E59F}">
      <text>
        <r>
          <rPr>
            <sz val="11"/>
            <color theme="1"/>
            <rFont val="Calibri"/>
            <family val="2"/>
            <scheme val="minor"/>
          </rPr>
          <t>Petr Čala:
Main effect, private returns to schooling</t>
        </r>
      </text>
    </comment>
    <comment ref="E1" authorId="0" shapeId="0" xr:uid="{62E6EF13-FB7C-4FEE-B174-D29AADE63C70}">
      <text>
        <r>
          <rPr>
            <sz val="11"/>
            <color theme="1"/>
            <rFont val="Calibri"/>
            <family val="2"/>
            <scheme val="minor"/>
          </rPr>
          <t>Petr Čala:
Standard error</t>
        </r>
      </text>
    </comment>
    <comment ref="L1" authorId="0" shapeId="0" xr:uid="{A51903FB-6D31-431D-8A44-B72644099166}">
      <text>
        <r>
          <rPr>
            <sz val="11"/>
            <color theme="1"/>
            <rFont val="Calibri"/>
            <family val="2"/>
            <scheme val="minor"/>
          </rPr>
          <t>Petr Čala:
Estimate is a short run type</t>
        </r>
      </text>
    </comment>
    <comment ref="M1" authorId="0" shapeId="0" xr:uid="{7ADFB625-ECE4-4B95-B98C-797FA1F584D5}">
      <text>
        <r>
          <rPr>
            <sz val="11"/>
            <color theme="1"/>
            <rFont val="Calibri"/>
            <family val="2"/>
            <scheme val="minor"/>
          </rPr>
          <t>Petr Čala:
Estimate is a long run type</t>
        </r>
      </text>
    </comment>
    <comment ref="N1" authorId="0" shapeId="0" xr:uid="{6945B7CF-FC23-403F-A14C-BE2055EA1877}">
      <text>
        <r>
          <rPr>
            <sz val="11"/>
            <color theme="1"/>
            <rFont val="Calibri"/>
            <family val="2"/>
            <scheme val="minor"/>
          </rPr>
          <t>Petr Čala:
Estimate can be aggregated on the level of a city</t>
        </r>
      </text>
    </comment>
    <comment ref="O1" authorId="0" shapeId="0" xr:uid="{6EE643F1-AB61-4CF1-A6A7-84199EC4F0B9}">
      <text>
        <r>
          <rPr>
            <sz val="11"/>
            <color theme="1"/>
            <rFont val="Calibri"/>
            <family val="2"/>
            <scheme val="minor"/>
          </rPr>
          <t>Petr Čala:
Estimate can be aggregated on the level of a small region</t>
        </r>
      </text>
    </comment>
    <comment ref="P1" authorId="0" shapeId="0" xr:uid="{E3410119-D172-462A-8B72-41BB6F231054}">
      <text>
        <r>
          <rPr>
            <sz val="11"/>
            <color theme="1"/>
            <rFont val="Calibri"/>
            <family val="2"/>
            <scheme val="minor"/>
          </rPr>
          <t>Petr Čala:
Estimate can be aggregated on the level of a large region of countries</t>
        </r>
      </text>
    </comment>
    <comment ref="Q1" authorId="0" shapeId="0" xr:uid="{97AFD59B-0530-48D9-BB23-5D59EF242DD6}">
      <text>
        <r>
          <rPr>
            <sz val="11"/>
            <color theme="1"/>
            <rFont val="Calibri"/>
            <family val="2"/>
            <scheme val="minor"/>
          </rPr>
          <t>Petr Čala:
Estimate can be aggregated on the level of a country</t>
        </r>
      </text>
    </comment>
    <comment ref="R1" authorId="0" shapeId="0" xr:uid="{07016269-F70D-4C4B-8C23-7D9D15E878E5}">
      <text>
        <r>
          <rPr>
            <sz val="11"/>
            <color theme="1"/>
            <rFont val="Calibri"/>
            <family val="2"/>
            <scheme val="minor"/>
          </rPr>
          <t>Petr Čala:
Estimate can be aggregated on the level of a body of mass larger than a country</t>
        </r>
      </text>
    </comment>
    <comment ref="S1" authorId="0" shapeId="0" xr:uid="{66B821B4-B38F-401F-BF8B-57FCFB4332A8}">
      <text>
        <r>
          <rPr>
            <sz val="11"/>
            <color theme="1"/>
            <rFont val="Calibri"/>
            <family val="2"/>
            <scheme val="minor"/>
          </rPr>
          <t>Petr Čala:
Number of observations used in the estimation (put to log later)</t>
        </r>
      </text>
    </comment>
    <comment ref="T1" authorId="0" shapeId="0" xr:uid="{11954F61-8BBD-4655-81BC-7E22CB968729}">
      <text>
        <r>
          <rPr>
            <sz val="11"/>
            <color theme="1"/>
            <rFont val="Calibri"/>
            <family val="2"/>
            <scheme val="minor"/>
          </rPr>
          <t>Petr Čala:
Number of regressands in the regression</t>
        </r>
      </text>
    </comment>
    <comment ref="U1" authorId="0" shapeId="0" xr:uid="{5EB2AF0A-E041-431C-A190-C04EF430E8A7}">
      <text>
        <r>
          <rPr>
            <sz val="11"/>
            <color theme="1"/>
            <rFont val="Calibri"/>
            <family val="2"/>
            <scheme val="minor"/>
          </rPr>
          <t>Petr Čala:
The number of Degrees of Freedom computed as "n_obs - regressands - 1" for a regression and "n_obs - 1" for means</t>
        </r>
      </text>
    </comment>
    <comment ref="V1" authorId="0" shapeId="0" xr:uid="{46DA2234-0EE4-426E-92F7-66189EB142FC}">
      <text>
        <r>
          <rPr>
            <sz val="11"/>
            <color theme="1"/>
            <rFont val="Calibri"/>
            <family val="2"/>
            <scheme val="minor"/>
          </rPr>
          <t>Petr Čala:
Number of estimates per this study</t>
        </r>
      </text>
    </comment>
    <comment ref="W1" authorId="0" shapeId="0" xr:uid="{7E5D4673-BF81-41F2-99F1-8289D5549DF1}">
      <text>
        <r>
          <rPr>
            <sz val="11"/>
            <color theme="1"/>
            <rFont val="Calibri"/>
            <family val="2"/>
            <scheme val="minor"/>
          </rPr>
          <t>Petr Čala:
Mean years of schooling</t>
        </r>
      </text>
    </comment>
    <comment ref="X1" authorId="0" shapeId="0" xr:uid="{3E9B2C8E-9F75-4F78-BCE2-6506A9BC0667}">
      <text>
        <r>
          <rPr>
            <sz val="11"/>
            <color theme="1"/>
            <rFont val="Calibri"/>
            <family val="2"/>
            <scheme val="minor"/>
          </rPr>
          <t>Petr Čala:
Mean years of experience</t>
        </r>
      </text>
    </comment>
    <comment ref="Y1" authorId="0" shapeId="0" xr:uid="{92CEF213-7943-4F04-83F0-CA43435F42D3}">
      <text>
        <r>
          <rPr>
            <sz val="11"/>
            <color theme="1"/>
            <rFont val="Calibri"/>
            <family val="2"/>
            <scheme val="minor"/>
          </rPr>
          <t>Petr Čala:
The study reports the number of years directly (using years of schooling)</t>
        </r>
      </text>
    </comment>
    <comment ref="Z1" authorId="0" shapeId="0" xr:uid="{26CB1BDE-AAB9-4B1E-BD0D-DD2B4DEBFAB8}">
      <text>
        <r>
          <rPr>
            <sz val="11"/>
            <color theme="1"/>
            <rFont val="Calibri"/>
            <family val="2"/>
            <scheme val="minor"/>
          </rPr>
          <t>Petr Čala:
The study instead uses levels of schooling (primary, sec, …) in the mincer regression</t>
        </r>
      </text>
    </comment>
    <comment ref="AA1" authorId="0" shapeId="0" xr:uid="{BC5FF371-31B8-4F4B-8CCC-BABBC98DD3CE}">
      <text>
        <r>
          <rPr>
            <sz val="11"/>
            <color theme="1"/>
            <rFont val="Calibri"/>
            <family val="2"/>
            <scheme val="minor"/>
          </rPr>
          <t>Petr Čala:
Wage is defined as log hourly</t>
        </r>
      </text>
    </comment>
    <comment ref="AB1" authorId="0" shapeId="0" xr:uid="{A02AA512-BB32-4A5E-97D4-10345FEEFC79}">
      <text>
        <r>
          <rPr>
            <sz val="11"/>
            <color theme="1"/>
            <rFont val="Calibri"/>
            <family val="2"/>
            <scheme val="minor"/>
          </rPr>
          <t xml:space="preserve">Petr Čala:
Daily or weekly wage
</t>
        </r>
      </text>
    </comment>
    <comment ref="AC1" authorId="0" shapeId="0" xr:uid="{7BC7577A-CB54-4F1C-88F0-2CC8CD119193}">
      <text>
        <r>
          <rPr>
            <sz val="11"/>
            <color theme="1"/>
            <rFont val="Calibri"/>
            <family val="2"/>
            <scheme val="minor"/>
          </rPr>
          <t>Petr Čala:
Placeholder for the wage dummy</t>
        </r>
      </text>
    </comment>
    <comment ref="AD1" authorId="0" shapeId="0" xr:uid="{6E4793B2-6DF7-4337-8371-FD5812E17977}">
      <text>
        <r>
          <rPr>
            <sz val="11"/>
            <color theme="1"/>
            <rFont val="Calibri"/>
            <family val="2"/>
            <scheme val="minor"/>
          </rPr>
          <t>Petr Čala:
Wage is defined as mean annual earnings per worker</t>
        </r>
      </text>
    </comment>
    <comment ref="AE1" authorId="0" shapeId="0" xr:uid="{760AA00C-00DA-420F-B960-567AE0D6CFE3}">
      <text>
        <r>
          <rPr>
            <sz val="11"/>
            <color theme="1"/>
            <rFont val="Calibri"/>
            <family val="2"/>
            <scheme val="minor"/>
          </rPr>
          <t>Petr Čala:
Data are input micro data</t>
        </r>
      </text>
    </comment>
    <comment ref="AF1" authorId="0" shapeId="0" xr:uid="{229B1DDC-9904-417A-A66F-19B66F62D8B4}">
      <text>
        <r>
          <rPr>
            <sz val="11"/>
            <color theme="1"/>
            <rFont val="Calibri"/>
            <family val="2"/>
            <scheme val="minor"/>
          </rPr>
          <t>Petr Čala:
Data come from a survey (household or employers, maybe split later)</t>
        </r>
      </text>
    </comment>
    <comment ref="AG1" authorId="0" shapeId="0" xr:uid="{D0549BFE-60C7-4BB7-A7CE-19FE9FEE8678}">
      <text>
        <r>
          <rPr>
            <sz val="11"/>
            <color theme="1"/>
            <rFont val="Calibri"/>
            <family val="2"/>
            <scheme val="minor"/>
          </rPr>
          <t>Petr Čala:
Data come from a national register</t>
        </r>
      </text>
    </comment>
    <comment ref="AH1" authorId="0" shapeId="0" xr:uid="{3D32B746-D78F-4336-8B0D-82BD8B1CF18A}">
      <text>
        <r>
          <rPr>
            <sz val="11"/>
            <color theme="1"/>
            <rFont val="Calibri"/>
            <family val="2"/>
            <scheme val="minor"/>
          </rPr>
          <t>Petr Čala:
Data type = cross-section -&gt; snapshot of the population in a given year</t>
        </r>
      </text>
    </comment>
    <comment ref="AI1" authorId="0" shapeId="0" xr:uid="{E49B6C2E-C729-4F93-A98E-BA0F826321B4}">
      <text>
        <r>
          <rPr>
            <sz val="11"/>
            <color theme="1"/>
            <rFont val="Calibri"/>
            <family val="2"/>
            <scheme val="minor"/>
          </rPr>
          <t>Petr Čala:
Data type = panel -&gt; various countries, groups observed over their life</t>
        </r>
      </text>
    </comment>
    <comment ref="AJ1" authorId="0" shapeId="0" xr:uid="{C778263F-6EC7-4315-A006-83C02536C19A}">
      <text>
        <r>
          <rPr>
            <sz val="11"/>
            <color theme="1"/>
            <rFont val="Calibri"/>
            <family val="2"/>
            <scheme val="minor"/>
          </rPr>
          <t>Petr Čala:
Average original year, DELETE LATER</t>
        </r>
      </text>
    </comment>
    <comment ref="AK1" authorId="0" shapeId="0" xr:uid="{83D67D6B-61A7-47D8-9C79-95DD2F367EFF}">
      <text>
        <r>
          <rPr>
            <sz val="11"/>
            <color theme="1"/>
            <rFont val="Calibri"/>
            <family val="2"/>
            <scheme val="minor"/>
          </rPr>
          <t>Petr Čala:
Percentage of subjects with no education - country aggregated</t>
        </r>
      </text>
    </comment>
    <comment ref="AL1" authorId="0" shapeId="0" xr:uid="{4BF05C4D-BCC7-42ED-B31C-38CC03328C8D}">
      <text>
        <r>
          <rPr>
            <sz val="11"/>
            <color theme="1"/>
            <rFont val="Calibri"/>
            <family val="2"/>
            <scheme val="minor"/>
          </rPr>
          <t>Petr Čala:
Percentage of subjects with primary education - country aggregated</t>
        </r>
      </text>
    </comment>
    <comment ref="AM1" authorId="0" shapeId="0" xr:uid="{00643FE2-139D-4AFE-A3FD-DF2EFB1721AC}">
      <text>
        <r>
          <rPr>
            <sz val="11"/>
            <color theme="1"/>
            <rFont val="Calibri"/>
            <family val="2"/>
            <scheme val="minor"/>
          </rPr>
          <t>Petr Čala:
Percentage of subjects with secondary education</t>
        </r>
      </text>
    </comment>
    <comment ref="AN1" authorId="0" shapeId="0" xr:uid="{2856A353-6CDB-4110-B2A3-09546DABAE64}">
      <text>
        <r>
          <rPr>
            <sz val="11"/>
            <color theme="1"/>
            <rFont val="Calibri"/>
            <family val="2"/>
            <scheme val="minor"/>
          </rPr>
          <t>Petr Čala:
Percentage of subjects with higher education</t>
        </r>
      </text>
    </comment>
    <comment ref="AO1" authorId="0" shapeId="0" xr:uid="{3A87E381-CD27-4265-85DA-B0FAE5E5A6B6}">
      <text>
        <r>
          <rPr>
            <sz val="11"/>
            <color theme="1"/>
            <rFont val="Calibri"/>
            <family val="2"/>
            <scheme val="minor"/>
          </rPr>
          <t>Petr Čala:
Percentage of workers from sample, that are wage earners</t>
        </r>
      </text>
    </comment>
    <comment ref="AP1" authorId="0" shapeId="0" xr:uid="{F19B79E1-6026-40C6-8E47-49005528D9E9}">
      <text>
        <r>
          <rPr>
            <sz val="11"/>
            <color theme="1"/>
            <rFont val="Calibri"/>
            <family val="2"/>
            <scheme val="minor"/>
          </rPr>
          <t>Petr Čala:
Percentage of workers from sample, that are self employed</t>
        </r>
      </text>
    </comment>
    <comment ref="AS1" authorId="0" shapeId="0" xr:uid="{FF3CCAB3-F03E-4682-8A3E-E455B6FB5B12}">
      <text>
        <r>
          <rPr>
            <sz val="11"/>
            <color theme="1"/>
            <rFont val="Calibri"/>
            <family val="2"/>
            <scheme val="minor"/>
          </rPr>
          <t>Petr Čala:
Percentage of workers from sample, that work in the private sector</t>
        </r>
      </text>
    </comment>
    <comment ref="AT1" authorId="0" shapeId="0" xr:uid="{3F5BF822-3C35-4313-BA53-0175DBC4CE98}">
      <text>
        <r>
          <rPr>
            <sz val="11"/>
            <color theme="1"/>
            <rFont val="Calibri"/>
            <family val="2"/>
            <scheme val="minor"/>
          </rPr>
          <t>Petr Čala:
Percentage of workers from sample, that work in the public sector</t>
        </r>
      </text>
    </comment>
    <comment ref="AU1" authorId="0" shapeId="0" xr:uid="{E67D4F93-C94D-43D1-A373-2A04C0838392}">
      <text>
        <r>
          <rPr>
            <sz val="11"/>
            <color theme="1"/>
            <rFont val="Calibri"/>
            <family val="2"/>
            <scheme val="minor"/>
          </rPr>
          <t>Petr Čala:
Caucasion (european ancestry) ethnicity</t>
        </r>
      </text>
    </comment>
    <comment ref="AV1" authorId="0" shapeId="0" xr:uid="{DED2FB10-5369-4CC2-8781-BFD117CC9565}">
      <text>
        <r>
          <rPr>
            <sz val="11"/>
            <color theme="1"/>
            <rFont val="Calibri"/>
            <family val="2"/>
            <scheme val="minor"/>
          </rPr>
          <t>Petr Čala:
Other ethnicity</t>
        </r>
      </text>
    </comment>
    <comment ref="AW1" authorId="0" shapeId="0" xr:uid="{4E87DEF0-9A08-4E9D-8ED0-14ECABA618B4}">
      <text>
        <r>
          <rPr>
            <sz val="11"/>
            <color theme="1"/>
            <rFont val="Calibri"/>
            <family val="2"/>
            <scheme val="minor"/>
          </rPr>
          <t>Petr Čala:
Rural sector</t>
        </r>
      </text>
    </comment>
    <comment ref="AX1" authorId="0" shapeId="0" xr:uid="{D70B9B9D-9EFF-40BD-80CB-27FAB71947BC}">
      <text>
        <r>
          <rPr>
            <sz val="11"/>
            <color theme="1"/>
            <rFont val="Calibri"/>
            <family val="2"/>
            <scheme val="minor"/>
          </rPr>
          <t>Petr Čala:
Urban sector</t>
        </r>
      </text>
    </comment>
    <comment ref="AZ1" authorId="0" shapeId="0" xr:uid="{F87ABCA8-2DA0-4703-B3B1-453D5B93BA65}">
      <text>
        <r>
          <rPr>
            <sz val="11"/>
            <color theme="1"/>
            <rFont val="Calibri"/>
            <family val="2"/>
            <scheme val="minor"/>
          </rPr>
          <t>Petr Čala:
Region - possibly dummify this</t>
        </r>
      </text>
    </comment>
    <comment ref="BJ1" authorId="0" shapeId="0" xr:uid="{4EC5B9E1-2AC9-4F4D-8E39-8DAC224E17B6}">
      <text>
        <r>
          <rPr>
            <sz val="11"/>
            <color theme="1"/>
            <rFont val="Calibri"/>
            <family val="2"/>
            <scheme val="minor"/>
          </rPr>
          <t>Petr Čala:
Logarithm of median monthly expenditure in that country around year 2000</t>
        </r>
      </text>
    </comment>
    <comment ref="BK1" authorId="0" shapeId="0" xr:uid="{BE98A1D8-05F1-4F78-82CE-8CBCAE3E263E}">
      <text>
        <r>
          <rPr>
            <sz val="11"/>
            <color theme="1"/>
            <rFont val="Calibri"/>
            <family val="2"/>
            <scheme val="minor"/>
          </rPr>
          <t>Petr Čala:
Logarithm of the minimal monthly wage in that country around year 2000</t>
        </r>
      </text>
    </comment>
    <comment ref="BL1" authorId="0" shapeId="0" xr:uid="{8E9FBFC6-4D80-404C-BC78-F9C9DFE42E63}">
      <text>
        <r>
          <rPr>
            <sz val="11"/>
            <color theme="1"/>
            <rFont val="Calibri"/>
            <family val="2"/>
            <scheme val="minor"/>
          </rPr>
          <t>Petr Čala:
Mean age of subjects</t>
        </r>
      </text>
    </comment>
    <comment ref="BN1" authorId="0" shapeId="0" xr:uid="{0A24AEB1-6595-41ED-950E-832B57FA8499}">
      <text>
        <r>
          <rPr>
            <sz val="11"/>
            <color theme="1"/>
            <rFont val="Calibri"/>
            <family val="2"/>
            <scheme val="minor"/>
          </rPr>
          <t>Petr Čala:
Double hurdle model</t>
        </r>
      </text>
    </comment>
    <comment ref="BO1" authorId="0" shapeId="0" xr:uid="{6A69854F-BA54-4512-8E71-AF56670EFA49}">
      <text>
        <r>
          <rPr>
            <sz val="11"/>
            <color theme="1"/>
            <rFont val="Calibri"/>
            <family val="2"/>
            <scheme val="minor"/>
          </rPr>
          <t xml:space="preserve">Petr Čala:
Cohort years to average out the individual effect (ability)
If not enough obs, merge with FE
</t>
        </r>
      </text>
    </comment>
    <comment ref="BP1" authorId="0" shapeId="0" xr:uid="{4DBD3111-8DF2-4279-91FD-B614733EFC56}">
      <text>
        <r>
          <rPr>
            <sz val="11"/>
            <color theme="1"/>
            <rFont val="Calibri"/>
            <family val="2"/>
            <scheme val="minor"/>
          </rPr>
          <t xml:space="preserve">Petr Čala:
Fixed or random effects
</t>
        </r>
      </text>
    </comment>
    <comment ref="BR1" authorId="0" shapeId="0" xr:uid="{3F7E76DE-418C-4C6A-BC45-5C613AFFDDAC}">
      <text>
        <r>
          <rPr>
            <sz val="11"/>
            <color theme="1"/>
            <rFont val="Calibri"/>
            <family val="2"/>
            <scheme val="minor"/>
          </rPr>
          <t>Petr Čala:
Heckman regression model</t>
        </r>
      </text>
    </comment>
    <comment ref="BU1" authorId="0" shapeId="0" xr:uid="{75885259-B89F-4073-888A-94596E84B193}">
      <text>
        <r>
          <rPr>
            <sz val="11"/>
            <color theme="1"/>
            <rFont val="Calibri"/>
            <family val="2"/>
            <scheme val="minor"/>
          </rPr>
          <t>Petr Čala:
Ability is measured directly by IQ or other measure</t>
        </r>
      </text>
    </comment>
    <comment ref="BV1" authorId="0" shapeId="0" xr:uid="{D0FF58AA-F669-4F01-9BA4-D71F547155F2}">
      <text>
        <r>
          <rPr>
            <sz val="11"/>
            <color theme="1"/>
            <rFont val="Calibri"/>
            <family val="2"/>
            <scheme val="minor"/>
          </rPr>
          <t>Petr Čala:
Innate ability is not measured in the equation, but a proxy is used to control for ability or ability bias</t>
        </r>
      </text>
    </comment>
    <comment ref="BW1" authorId="0" shapeId="0" xr:uid="{64D18F08-2D4F-4EE9-A5E4-DB5522B95A21}">
      <text>
        <r>
          <rPr>
            <sz val="11"/>
            <color theme="1"/>
            <rFont val="Calibri"/>
            <family val="2"/>
            <scheme val="minor"/>
          </rPr>
          <t>Petr Čala:
Ability or ability bias is not controlled for</t>
        </r>
      </text>
    </comment>
    <comment ref="BX1" authorId="0" shapeId="0" xr:uid="{5EED5302-27CB-454C-944C-30B9D961091E}">
      <text>
        <r>
          <rPr>
            <sz val="11"/>
            <color theme="1"/>
            <rFont val="Calibri"/>
            <family val="2"/>
            <scheme val="minor"/>
          </rPr>
          <t>Petr Čala:
ability bias is not mentioned anywhere in the study</t>
        </r>
      </text>
    </comment>
    <comment ref="BY1" authorId="0" shapeId="0" xr:uid="{7E7793CC-2ADE-45D9-94A0-F2E2BFD96276}">
      <text>
        <r>
          <rPr>
            <sz val="11"/>
            <color theme="1"/>
            <rFont val="Calibri"/>
            <family val="2"/>
            <scheme val="minor"/>
          </rPr>
          <t>Petr Čala:
The study uses parents' education as an instrument for the estimate</t>
        </r>
      </text>
    </comment>
    <comment ref="BZ1" authorId="0" shapeId="0" xr:uid="{B08CF57B-F400-41AD-93E9-92AE87807512}">
      <text>
        <r>
          <rPr>
            <sz val="11"/>
            <color theme="1"/>
            <rFont val="Calibri"/>
            <family val="2"/>
            <scheme val="minor"/>
          </rPr>
          <t>Petr Čala:
Distance to school or school per area</t>
        </r>
      </text>
    </comment>
    <comment ref="CA1" authorId="0" shapeId="0" xr:uid="{D07C9995-7497-4208-88E1-D638717787A2}">
      <text>
        <r>
          <rPr>
            <sz val="11"/>
            <color theme="1"/>
            <rFont val="Calibri"/>
            <family val="2"/>
            <scheme val="minor"/>
          </rPr>
          <t>Petr Čala:
The instrument is a spouse education</t>
        </r>
      </text>
    </comment>
    <comment ref="CB1" authorId="0" shapeId="0" xr:uid="{FE0892D5-C14A-4A6E-8595-CF73E2FBECDA}">
      <text>
        <r>
          <rPr>
            <sz val="11"/>
            <color theme="1"/>
            <rFont val="Calibri"/>
            <family val="2"/>
            <scheme val="minor"/>
          </rPr>
          <t>Petr Čala:
The instrument is a marital status, i.e. whether the individual is married (dummy)</t>
        </r>
      </text>
    </comment>
    <comment ref="CC1" authorId="0" shapeId="0" xr:uid="{CB6DCCF2-B257-4462-96B6-3FFDA4EF8A90}">
      <text>
        <r>
          <rPr>
            <sz val="11"/>
            <color theme="1"/>
            <rFont val="Calibri"/>
            <family val="2"/>
            <scheme val="minor"/>
          </rPr>
          <t>Petr Čala:
The study uses another instrument</t>
        </r>
      </text>
    </comment>
    <comment ref="CD1" authorId="0" shapeId="0" xr:uid="{D58667CE-9AC9-40B9-9CA0-312C8D38E600}">
      <text>
        <r>
          <rPr>
            <sz val="11"/>
            <color theme="1"/>
            <rFont val="Calibri"/>
            <family val="2"/>
            <scheme val="minor"/>
          </rPr>
          <t>Petr Čala:
Age is controlled for in the Mincer equation</t>
        </r>
      </text>
    </comment>
    <comment ref="CE1" authorId="0" shapeId="0" xr:uid="{9C71A868-D415-4869-8D2F-CA13939C0248}">
      <text>
        <r>
          <rPr>
            <sz val="11"/>
            <color theme="1"/>
            <rFont val="Calibri"/>
            <family val="2"/>
            <scheme val="minor"/>
          </rPr>
          <t>Petr Čala:
Squared age is controlled for in the Mincer equation</t>
        </r>
      </text>
    </comment>
    <comment ref="CF1" authorId="0" shapeId="0" xr:uid="{9B568A50-85E5-42D4-8230-BC043F2001C1}">
      <text>
        <r>
          <rPr>
            <sz val="11"/>
            <color theme="1"/>
            <rFont val="Calibri"/>
            <family val="2"/>
            <scheme val="minor"/>
          </rPr>
          <t>Petr Čala:
Experience control in the Mincer equation</t>
        </r>
      </text>
    </comment>
    <comment ref="CG1" authorId="0" shapeId="0" xr:uid="{361D92F3-2103-4565-9556-890A35329DB9}">
      <text>
        <r>
          <rPr>
            <sz val="11"/>
            <color theme="1"/>
            <rFont val="Calibri"/>
            <family val="2"/>
            <scheme val="minor"/>
          </rPr>
          <t>Petr Čala:
Experience squared control</t>
        </r>
      </text>
    </comment>
    <comment ref="CH1" authorId="0" shapeId="0" xr:uid="{B90F7B70-0AF1-4E9D-8BDB-9E058FC702F3}">
      <text>
        <r>
          <rPr>
            <sz val="11"/>
            <color theme="1"/>
            <rFont val="Calibri"/>
            <family val="2"/>
            <scheme val="minor"/>
          </rPr>
          <t>Petr Čala:
Ethnicity control in the Mincer equation</t>
        </r>
      </text>
    </comment>
    <comment ref="CI1" authorId="0" shapeId="0" xr:uid="{BEC80F85-1A42-4DEC-811F-348DC8A8099C}">
      <text>
        <r>
          <rPr>
            <sz val="11"/>
            <color theme="1"/>
            <rFont val="Calibri"/>
            <family val="2"/>
            <scheme val="minor"/>
          </rPr>
          <t>Petr Čala:
Health control in the Mincer equation</t>
        </r>
      </text>
    </comment>
    <comment ref="CJ1" authorId="0" shapeId="0" xr:uid="{4E5D58E5-5199-4C72-BEC4-F406705B2A9C}">
      <text>
        <r>
          <rPr>
            <sz val="11"/>
            <color theme="1"/>
            <rFont val="Calibri"/>
            <family val="2"/>
            <scheme val="minor"/>
          </rPr>
          <t>Petr Čala:
Gender control in the Mincer equation</t>
        </r>
      </text>
    </comment>
    <comment ref="CK1" authorId="0" shapeId="0" xr:uid="{36D4BFFB-AD35-47CC-B1A9-FA847E4B51CE}">
      <text>
        <r>
          <rPr>
            <sz val="11"/>
            <color theme="1"/>
            <rFont val="Calibri"/>
            <family val="2"/>
            <scheme val="minor"/>
          </rPr>
          <t>Petr Čala:
Occupation control in the Mincer equation</t>
        </r>
      </text>
    </comment>
    <comment ref="CL1" authorId="0" shapeId="0" xr:uid="{46842A85-7282-40D9-99BC-F2056B34D75C}">
      <text>
        <r>
          <rPr>
            <sz val="11"/>
            <color theme="1"/>
            <rFont val="Calibri"/>
            <family val="2"/>
            <scheme val="minor"/>
          </rPr>
          <t>Petr Čala:
Firm characteristics control in the Mincer equation</t>
        </r>
      </text>
    </comment>
    <comment ref="CM1" authorId="0" shapeId="0" xr:uid="{6204ADC7-6D64-4FD2-B31D-12C892D8FE31}">
      <text>
        <r>
          <rPr>
            <sz val="11"/>
            <color theme="1"/>
            <rFont val="Calibri"/>
            <family val="2"/>
            <scheme val="minor"/>
          </rPr>
          <t xml:space="preserve">Petr Čala:
Urban/rural control
</t>
        </r>
      </text>
    </comment>
    <comment ref="CN1" authorId="0" shapeId="0" xr:uid="{F025E559-68BD-41BC-A59D-A8EB84B1FB37}">
      <text>
        <r>
          <rPr>
            <sz val="11"/>
            <color theme="1"/>
            <rFont val="Calibri"/>
            <family val="2"/>
            <scheme val="minor"/>
          </rPr>
          <t>Petr Čala:
Macroeconomic variables control in the Mincer equation, such as sector of activity</t>
        </r>
      </text>
    </comment>
    <comment ref="CO1" authorId="0" shapeId="0" xr:uid="{153E801B-25F4-4D68-834E-067DF2D58724}">
      <text>
        <r>
          <rPr>
            <sz val="11"/>
            <color theme="1"/>
            <rFont val="Calibri"/>
            <family val="2"/>
            <scheme val="minor"/>
          </rPr>
          <t>Petr Čala:
Impact factor, via tools</t>
        </r>
      </text>
    </comment>
    <comment ref="CP1" authorId="0" shapeId="0" xr:uid="{07DF0EAA-B37E-419C-89ED-836985B094D9}">
      <text>
        <r>
          <rPr>
            <sz val="11"/>
            <color theme="1"/>
            <rFont val="Calibri"/>
            <family val="2"/>
            <scheme val="minor"/>
          </rPr>
          <t>Petr Čala:
Log number of citations in google scholar</t>
        </r>
      </text>
    </comment>
    <comment ref="CQ1" authorId="0" shapeId="0" xr:uid="{E2930AB2-79E8-4A98-926F-736640ED57AA}">
      <text>
        <r>
          <rPr>
            <sz val="11"/>
            <color theme="1"/>
            <rFont val="Calibri"/>
            <family val="2"/>
            <scheme val="minor"/>
          </rPr>
          <t>Petr Čala:
1 if published in journal, 0 if working/discussion paper</t>
        </r>
      </text>
    </comment>
    <comment ref="CS1" authorId="0" shapeId="0" xr:uid="{05D68A89-BDC2-40EC-BC03-ADB76A1D57F2}">
      <text>
        <r>
          <rPr>
            <sz val="11"/>
            <color theme="1"/>
            <rFont val="Calibri"/>
            <family val="2"/>
            <scheme val="minor"/>
          </rPr>
          <t>Petr Čala:
The year the study was published minus the minimum publication year of the sample</t>
        </r>
      </text>
    </comment>
    <comment ref="CT1" authorId="0" shapeId="0" xr:uid="{51820E9F-1706-4902-9077-03E8163D1EB6}">
      <text>
        <r>
          <rPr>
            <sz val="11"/>
            <color theme="1"/>
            <rFont val="Calibri"/>
            <family val="2"/>
            <scheme val="minor"/>
          </rPr>
          <t>Petr Čala:
placeholder columns, for which data will be added during code preprocessing</t>
        </r>
      </text>
    </comment>
    <comment ref="D2" authorId="0" shapeId="0" xr:uid="{D9FC894C-0245-4087-8399-E8B8A76F199D}">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ECF2216-EFAF-4431-BDF1-C8F80CC7A884}">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83B3654F-D03D-44F7-849C-2D247D7F5133}">
      <text>
        <r>
          <rPr>
            <sz val="11"/>
            <color theme="1"/>
            <rFont val="Calibri"/>
            <family val="2"/>
            <scheme val="minor"/>
          </rPr>
          <t>Petr Čala:
Base set listed, then dummies, and interaction terms</t>
        </r>
      </text>
    </comment>
    <comment ref="D137" authorId="0" shapeId="0" xr:uid="{F626A3DA-D14A-435D-A40B-FEBAB636D042}">
      <text>
        <r>
          <rPr>
            <sz val="11"/>
            <color theme="1"/>
            <rFont val="Calibri"/>
            <family val="2"/>
            <scheme val="minor"/>
          </rPr>
          <t>Petr Čala:
Calculated as
(exp(prim_ols)-1)/years prim</t>
        </r>
      </text>
    </comment>
    <comment ref="D138" authorId="0" shapeId="0" xr:uid="{1F831892-665C-4085-B028-E2CD06A2DED0}">
      <text>
        <r>
          <rPr>
            <sz val="11"/>
            <color theme="1"/>
            <rFont val="Calibri"/>
            <family val="2"/>
            <scheme val="minor"/>
          </rPr>
          <t>Petr Čala:
Calculated as
(exp(sec_ols) - exp(prim_ols))/(years_sec - years_prim)</t>
        </r>
      </text>
    </comment>
    <comment ref="F138" authorId="0" shapeId="0" xr:uid="{94C4CBEC-2C6B-4412-A9B7-C7EB7E37AAB6}">
      <text>
        <r>
          <rPr>
            <sz val="11"/>
            <color theme="1"/>
            <rFont val="Calibri"/>
            <family val="2"/>
            <scheme val="minor"/>
          </rPr>
          <t>Petr Čala:
SQRT(t_sec^2+t_prim^2)</t>
        </r>
      </text>
    </comment>
    <comment ref="AL175" authorId="0" shapeId="0" xr:uid="{DA534F6A-8780-4E90-996B-10CBC539DEFE}">
      <text>
        <r>
          <rPr>
            <sz val="11"/>
            <color theme="1"/>
            <rFont val="Calibri"/>
            <family val="2"/>
            <scheme val="minor"/>
          </rPr>
          <t>Petr Čala:
Estimate</t>
        </r>
      </text>
    </comment>
    <comment ref="AL191" authorId="0" shapeId="0" xr:uid="{7DDB9D5B-8DCB-4845-AE5D-38FC80744CCD}">
      <text>
        <r>
          <rPr>
            <sz val="11"/>
            <color theme="1"/>
            <rFont val="Calibri"/>
            <family val="2"/>
            <scheme val="minor"/>
          </rPr>
          <t>Petr Čala:
Estimate</t>
        </r>
      </text>
    </comment>
    <comment ref="AL195" authorId="0" shapeId="0" xr:uid="{1B928BBC-5B22-4DEF-9AA7-883077902772}">
      <text>
        <r>
          <rPr>
            <sz val="11"/>
            <color theme="1"/>
            <rFont val="Calibri"/>
            <family val="2"/>
            <scheme val="minor"/>
          </rPr>
          <t>Petr Čala:
Estimate</t>
        </r>
      </text>
    </comment>
    <comment ref="AL311" authorId="0" shapeId="0" xr:uid="{EB8A0A5C-7BB7-41E8-BF24-3D8876B34D17}">
      <text>
        <r>
          <rPr>
            <sz val="11"/>
            <color theme="1"/>
            <rFont val="Calibri"/>
            <family val="2"/>
            <scheme val="minor"/>
          </rPr>
          <t>Petr Čala:
Roughly estimated - only clue is that 56 percent have education primary or less</t>
        </r>
      </text>
    </comment>
    <comment ref="X768" authorId="0" shapeId="0" xr:uid="{3D1F7445-D404-45F8-BF2A-E4255B612817}">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J56" authorId="0" shapeId="0" xr:uid="{06041307-B7B7-490B-9086-05AD9D38BC04}">
      <text>
        <r>
          <rPr>
            <b/>
            <sz val="9"/>
            <color indexed="81"/>
            <rFont val="Tahoma"/>
            <family val="2"/>
            <charset val="238"/>
          </rPr>
          <t>Petr Čala:</t>
        </r>
        <r>
          <rPr>
            <sz val="9"/>
            <color indexed="81"/>
            <rFont val="Tahoma"/>
            <family val="2"/>
            <charset val="238"/>
          </rPr>
          <t xml:space="preserve">
Missing data, change to TRUE in case of available observations</t>
        </r>
      </text>
    </comment>
    <comment ref="A99"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F6D7AE50-EC3B-4C41-8EDF-2CF3FFEAB384}">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2314C1FB-E22B-40DD-8189-975CFFC1C518}">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<sst xmlns="http://schemas.openxmlformats.org/spreadsheetml/2006/main" count="12244" uniqueCount="4077">
  <si>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</si>
  <si>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</si>
  <si>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</si>
  <si>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</si>
  <si>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</si>
  <si>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</si>
  <si>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</si>
  <si>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</si>
  <si>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</si>
  <si>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</si>
  <si>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</si>
  <si>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</si>
  <si>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</si>
  <si>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</si>
  <si>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</si>
  <si>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</si>
  <si>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</si>
  <si>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</si>
  <si>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</si>
  <si>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</si>
  <si>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</si>
  <si>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</si>
  <si>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</si>
  <si>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</si>
  <si>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</si>
  <si>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</si>
  <si>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</si>
  <si>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</si>
  <si>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</si>
  <si>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</si>
  <si>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</si>
  <si>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</si>
  <si>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</si>
  <si>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</si>
  <si>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</si>
  <si>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</si>
  <si>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</si>
  <si>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</si>
  <si>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</si>
  <si>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</si>
  <si>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</si>
  <si>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</si>
  <si>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</si>
  <si>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</si>
  <si>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</si>
  <si>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</si>
  <si>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</si>
  <si>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</si>
  <si>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</si>
  <si>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</si>
  <si>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</si>
  <si>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</si>
  <si>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</si>
  <si>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</si>
  <si>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</si>
  <si>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</si>
  <si>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</si>
  <si>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</si>
  <si>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</si>
  <si>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</si>
  <si>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</si>
  <si>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</si>
  <si>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</si>
  <si>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</si>
  <si>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</si>
  <si>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</si>
  <si>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</si>
  <si>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</si>
  <si>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</si>
  <si>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</si>
  <si>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</si>
  <si>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</si>
  <si>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</si>
  <si>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</si>
  <si>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</si>
  <si>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</si>
  <si>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</si>
  <si>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</si>
  <si>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</si>
  <si>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</si>
  <si>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</si>
  <si>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</si>
  <si>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</si>
  <si>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</si>
  <si>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</si>
  <si>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</si>
  <si>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</si>
  <si>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</si>
  <si>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</si>
  <si>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</si>
  <si>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</si>
  <si>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</si>
  <si>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</si>
  <si>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</si>
  <si>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</si>
  <si>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</si>
  <si>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</si>
  <si>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</si>
  <si>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</si>
  <si>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</si>
  <si>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</si>
  <si>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</si>
  <si>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</si>
  <si>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</si>
  <si>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</si>
  <si>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</si>
  <si>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</si>
  <si>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</si>
  <si>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</si>
  <si>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</si>
  <si>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</si>
  <si>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</si>
  <si>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</si>
  <si>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</si>
  <si>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</si>
  <si>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</si>
  <si>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</si>
  <si>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</si>
  <si>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</si>
  <si>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</si>
  <si>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</si>
  <si>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</si>
  <si>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</si>
  <si>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</si>
  <si>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</si>
  <si>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</si>
  <si>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</si>
  <si>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</si>
  <si>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</si>
  <si>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</si>
  <si>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</si>
  <si>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</si>
  <si>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</si>
  <si>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</si>
  <si>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</si>
  <si>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</si>
  <si>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</si>
  <si>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</si>
  <si>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</si>
  <si>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</si>
  <si>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</si>
  <si>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</si>
  <si>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</si>
  <si>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</si>
  <si>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</si>
  <si>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</si>
  <si>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</si>
  <si>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</si>
  <si>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</si>
  <si>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</si>
  <si>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</si>
  <si>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</si>
  <si>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</si>
  <si>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</si>
  <si>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</si>
  <si>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</si>
  <si>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</si>
  <si>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</si>
  <si>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</si>
  <si>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</si>
  <si>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</si>
  <si>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</si>
  <si>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</si>
  <si>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</si>
  <si>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</si>
  <si>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</si>
  <si>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</si>
  <si>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</si>
  <si>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</si>
  <si>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</si>
  <si>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</si>
  <si>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</si>
  <si>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</si>
  <si>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</si>
  <si>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</si>
  <si>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</si>
  <si>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</si>
  <si>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</si>
  <si>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</si>
  <si>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</si>
  <si>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</si>
  <si>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</si>
  <si>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</si>
  <si>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</si>
  <si>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</si>
  <si>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</si>
  <si>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</si>
  <si>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</si>
  <si>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</si>
  <si>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</si>
  <si>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</si>
  <si>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</si>
  <si>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</si>
  <si>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</si>
  <si>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</si>
  <si>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</si>
  <si>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</si>
  <si>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</si>
  <si>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</si>
  <si>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</si>
  <si>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</si>
  <si>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</si>
  <si>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</si>
  <si>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</si>
  <si>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</si>
  <si>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</si>
  <si>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</si>
  <si>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</si>
  <si>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</si>
  <si>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</si>
  <si>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</si>
  <si>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</si>
  <si>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</si>
  <si>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</si>
  <si>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</si>
  <si>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</si>
  <si>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</si>
  <si>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</si>
  <si>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</si>
  <si>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</si>
  <si>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</si>
  <si>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</si>
  <si>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</si>
  <si>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</si>
  <si>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</si>
  <si>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</si>
  <si>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</si>
  <si>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</si>
  <si>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</si>
  <si>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</si>
  <si>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</si>
  <si>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</si>
  <si>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</si>
  <si>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</si>
  <si>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</si>
  <si>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</si>
  <si>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</si>
  <si>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</si>
  <si>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</si>
  <si>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</si>
  <si>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</si>
  <si>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</si>
  <si>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</si>
  <si>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</si>
  <si>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</si>
  <si>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</si>
  <si>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</si>
  <si>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</si>
  <si>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</si>
  <si>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</si>
  <si>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</si>
  <si>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</si>
  <si>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</si>
  <si>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</si>
  <si>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</si>
  <si>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</si>
  <si>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</si>
  <si>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</si>
  <si>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</si>
  <si>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</si>
  <si>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</si>
  <si>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</si>
  <si>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</si>
  <si>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</si>
  <si>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</si>
  <si>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</si>
  <si>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</si>
  <si>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</si>
  <si>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</si>
  <si>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</si>
  <si>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</si>
  <si>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</si>
  <si>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</si>
  <si>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</si>
  <si>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</si>
  <si>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</si>
  <si>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</si>
  <si>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</si>
  <si>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</si>
  <si>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</si>
  <si>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</si>
  <si>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</si>
  <si>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</si>
  <si>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</si>
  <si>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</si>
  <si>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</si>
  <si>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</si>
  <si>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</si>
  <si>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</si>
  <si>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</si>
  <si>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</si>
  <si>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</si>
  <si>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</si>
  <si>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</si>
  <si>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</si>
  <si>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</si>
  <si>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</si>
  <si>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</si>
  <si>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</si>
  <si>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</si>
  <si>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</si>
  <si>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</si>
  <si>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</si>
  <si>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</si>
  <si>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</si>
  <si>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</si>
  <si>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</si>
  <si>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</si>
  <si>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</si>
  <si>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</si>
  <si>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</si>
  <si>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</si>
  <si>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</si>
  <si>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</si>
  <si>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</si>
  <si>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</si>
  <si>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</si>
  <si>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</si>
  <si>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</si>
  <si>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</si>
  <si>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</si>
  <si>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</si>
  <si>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</si>
  <si>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</si>
  <si>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</si>
  <si>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</si>
  <si>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</si>
  <si>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</si>
  <si>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</si>
  <si>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</si>
  <si>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</si>
  <si>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</si>
  <si>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</si>
  <si>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</si>
  <si>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</si>
  <si>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</si>
  <si>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</si>
  <si>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</si>
  <si>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</si>
  <si>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</si>
  <si>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</si>
  <si>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</si>
  <si>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</si>
  <si>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</si>
  <si>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</si>
  <si>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</si>
  <si>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</si>
  <si>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</si>
  <si>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</si>
  <si>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</si>
  <si>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</si>
  <si>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</si>
  <si>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</si>
  <si>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</si>
  <si>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</si>
  <si>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</si>
  <si>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</si>
  <si>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</si>
  <si>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</si>
  <si>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</si>
  <si>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</si>
  <si>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</si>
  <si>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</si>
  <si>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</si>
  <si>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</si>
  <si>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</si>
  <si>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</si>
  <si>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</si>
  <si>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</si>
  <si>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</si>
  <si>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</si>
  <si>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</si>
  <si>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</si>
  <si>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</si>
  <si>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</si>
  <si>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</si>
  <si>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</si>
  <si>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</si>
  <si>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</si>
  <si>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</si>
  <si>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</si>
  <si>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</si>
  <si>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</si>
  <si>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</si>
  <si>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</si>
  <si>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</si>
  <si>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</si>
  <si>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</si>
  <si>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</si>
  <si>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</si>
  <si>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</si>
  <si>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</si>
  <si>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</si>
  <si>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</si>
  <si>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</si>
  <si>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</si>
  <si>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</si>
  <si>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</si>
  <si>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</si>
  <si>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</si>
  <si>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</si>
  <si>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</si>
  <si>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</si>
  <si>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</si>
  <si>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</si>
  <si>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</si>
  <si>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</si>
  <si>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</si>
  <si>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</si>
  <si>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</si>
  <si>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</si>
  <si>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</si>
  <si>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</si>
  <si>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</si>
  <si>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</si>
  <si>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</si>
  <si>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</si>
  <si>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</si>
  <si>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</si>
  <si>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</si>
  <si>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</si>
  <si>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</si>
  <si>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</si>
  <si>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</si>
  <si>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</si>
  <si>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</si>
  <si>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</si>
  <si>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</si>
  <si>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</si>
  <si>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</si>
  <si>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</si>
  <si>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</si>
  <si>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</si>
  <si>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</si>
  <si>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</si>
  <si>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</si>
  <si>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</si>
  <si>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</si>
  <si>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</si>
  <si>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</si>
  <si>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</si>
  <si>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</si>
  <si>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</si>
  <si>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</si>
  <si>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</si>
  <si>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</si>
  <si>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</si>
  <si>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</si>
  <si>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</si>
  <si>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</si>
  <si>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</si>
  <si>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</si>
  <si>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</si>
  <si>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</si>
  <si>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</si>
  <si>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</si>
  <si>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</si>
  <si>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</si>
  <si>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</si>
  <si>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</si>
  <si>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</si>
  <si>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</si>
  <si>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</si>
  <si>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</si>
  <si>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</si>
  <si>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</si>
  <si>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</si>
  <si>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</si>
  <si>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</si>
  <si>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</si>
  <si>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</si>
  <si>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</si>
  <si>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</si>
  <si>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</si>
  <si>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</si>
  <si>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</si>
  <si>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</si>
  <si>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</si>
  <si>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</si>
  <si>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</si>
  <si>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</si>
  <si>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</si>
  <si>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</si>
  <si>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</si>
  <si>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</si>
  <si>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</si>
  <si>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</si>
  <si>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</si>
  <si>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</si>
  <si>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</si>
  <si>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</si>
  <si>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</si>
  <si>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</si>
  <si>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</si>
  <si>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</si>
  <si>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</si>
  <si>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</si>
  <si>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</si>
  <si>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</si>
  <si>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</si>
  <si>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</si>
  <si>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</si>
  <si>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</si>
  <si>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</si>
  <si>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</si>
  <si>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</si>
  <si>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</si>
  <si>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</si>
  <si>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</si>
  <si>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</si>
  <si>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</si>
  <si>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</si>
  <si>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</si>
  <si>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</si>
  <si>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</si>
  <si>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</si>
  <si>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</si>
  <si>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</si>
  <si>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</si>
  <si>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</si>
  <si>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</si>
  <si>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</si>
  <si>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</si>
  <si>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</si>
  <si>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</si>
  <si>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</si>
  <si>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</si>
  <si>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</si>
  <si>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</si>
  <si>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</si>
  <si>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</si>
  <si>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</si>
  <si>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</si>
  <si>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</si>
  <si>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</si>
  <si>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</si>
  <si>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</si>
  <si>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</si>
  <si>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</si>
  <si>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</si>
  <si>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</si>
  <si>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</si>
  <si>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</si>
  <si>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</si>
  <si>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</si>
  <si>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</si>
  <si>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</si>
  <si>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</si>
  <si>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</si>
  <si>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</si>
  <si>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</si>
  <si>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</si>
  <si>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</si>
  <si>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</si>
  <si>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</si>
  <si>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</si>
  <si>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</si>
  <si>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</si>
  <si>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</si>
  <si>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</si>
  <si>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</si>
  <si>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</si>
  <si>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</si>
  <si>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</si>
  <si>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</si>
  <si>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</si>
  <si>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</si>
  <si>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</si>
  <si>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</si>
  <si>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</si>
  <si>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</si>
  <si>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</si>
  <si>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</si>
  <si>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</si>
  <si>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</si>
  <si>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</si>
  <si>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</si>
  <si>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</si>
  <si>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</si>
  <si>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</si>
  <si>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</si>
  <si>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</si>
  <si>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</si>
  <si>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</si>
  <si>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</si>
  <si>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</si>
  <si>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</si>
  <si>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</si>
  <si>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</si>
  <si>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</si>
  <si>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</si>
  <si>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</si>
  <si>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</si>
  <si>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</si>
  <si>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</si>
  <si>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</si>
  <si>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</si>
  <si>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</si>
  <si>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</si>
  <si>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</si>
  <si>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</si>
  <si>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</si>
  <si>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</si>
  <si>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</si>
  <si>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</si>
  <si>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</si>
  <si>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</si>
  <si>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</si>
  <si>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</si>
  <si>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</si>
  <si>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</si>
  <si>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</si>
  <si>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</si>
  <si>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</si>
  <si>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</si>
  <si>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</si>
  <si>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</si>
  <si>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</si>
  <si>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</si>
  <si>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</si>
  <si>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</si>
  <si>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</si>
  <si>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</si>
  <si>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</si>
  <si>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</si>
  <si>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</si>
  <si>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</si>
  <si>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</si>
  <si>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</si>
  <si>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</si>
  <si>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</si>
  <si>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</si>
  <si>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</si>
  <si>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</si>
  <si>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</si>
  <si>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</si>
  <si>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</si>
  <si>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</si>
  <si>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</si>
  <si>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</si>
  <si>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</si>
  <si>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</si>
  <si>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</si>
  <si>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</si>
  <si>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</si>
  <si>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</si>
  <si>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</si>
  <si>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</si>
  <si>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</si>
  <si>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</si>
  <si>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</si>
  <si>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</si>
  <si>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</si>
  <si>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</si>
  <si>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</si>
  <si>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</si>
  <si>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</si>
  <si>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</si>
  <si>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</si>
  <si>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</si>
  <si>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</si>
  <si>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</si>
  <si>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</si>
  <si>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</si>
  <si>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</si>
  <si>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</si>
  <si>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</si>
  <si>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</si>
  <si>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</si>
  <si>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</si>
  <si>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</si>
  <si>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</si>
  <si>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</si>
  <si>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</si>
  <si>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</si>
  <si>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</si>
  <si>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</si>
  <si>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</si>
  <si>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</si>
  <si>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</si>
  <si>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</si>
  <si>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</si>
  <si>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</si>
  <si>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</si>
  <si>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</si>
  <si>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</si>
  <si>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</si>
  <si>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</si>
  <si>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</si>
  <si>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</si>
  <si>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</si>
  <si>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</si>
  <si>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</si>
  <si>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</si>
  <si>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</si>
  <si>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</si>
  <si>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</si>
  <si>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</si>
  <si>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</si>
  <si>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</si>
  <si>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</si>
  <si>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</si>
  <si>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</si>
  <si>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</si>
  <si>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</si>
  <si>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</si>
  <si>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</si>
  <si>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</si>
  <si>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</si>
  <si>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</si>
  <si>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</si>
  <si>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</si>
  <si>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</si>
  <si>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</si>
  <si>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</si>
  <si>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</si>
  <si>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</si>
  <si>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</si>
  <si>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</si>
  <si>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</si>
  <si>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</si>
  <si>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</si>
  <si>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</si>
  <si>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</si>
  <si>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</si>
  <si>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</si>
  <si>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</si>
  <si>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</si>
  <si>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</si>
  <si>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</si>
  <si>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</si>
  <si>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</si>
  <si>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</si>
  <si>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</si>
  <si>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</si>
  <si>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</si>
  <si>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</si>
  <si>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</si>
  <si>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</si>
  <si>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</si>
  <si>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</si>
  <si>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</si>
  <si>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</si>
  <si>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</si>
  <si>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</si>
  <si>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</si>
  <si>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</si>
  <si>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</si>
  <si>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</si>
  <si>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</si>
  <si>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</si>
  <si>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</si>
  <si>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</si>
  <si>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</si>
  <si>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</si>
  <si>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</si>
  <si>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</si>
  <si>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</si>
  <si>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</si>
  <si>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</si>
  <si>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</si>
  <si>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</si>
  <si>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</si>
  <si>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</si>
  <si>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</si>
  <si>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</si>
  <si>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</si>
  <si>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</si>
  <si>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</si>
  <si>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</si>
  <si>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</si>
  <si>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</si>
  <si>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</si>
  <si>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</si>
  <si>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</si>
  <si>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</si>
  <si>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</si>
  <si>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</si>
  <si>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</si>
  <si>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</si>
  <si>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</si>
  <si>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</si>
  <si>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</si>
  <si>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</si>
  <si>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</si>
  <si>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</si>
  <si>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</si>
  <si>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</si>
  <si>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</si>
  <si>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</si>
  <si>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</si>
  <si>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</si>
  <si>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</si>
  <si>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</si>
  <si>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</si>
  <si>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</si>
  <si>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</si>
  <si>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</si>
  <si>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</si>
  <si>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</si>
  <si>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</si>
  <si>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</si>
  <si>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</si>
  <si>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</si>
  <si>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</si>
  <si>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</si>
  <si>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</si>
  <si>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</si>
  <si>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</si>
  <si>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</si>
  <si>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</si>
  <si>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</si>
  <si>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</si>
  <si>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</si>
  <si>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</si>
  <si>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</si>
  <si>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</si>
  <si>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</si>
  <si>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</si>
  <si>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</si>
  <si>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</si>
  <si>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</si>
  <si>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</si>
  <si>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</si>
  <si>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</si>
  <si>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</si>
  <si>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</si>
  <si>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</si>
  <si>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</si>
  <si>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</si>
  <si>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</si>
  <si>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</si>
  <si>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</si>
  <si>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</si>
  <si>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</si>
  <si>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</si>
  <si>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</si>
  <si>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</si>
  <si>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</si>
  <si>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</si>
  <si>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</si>
  <si>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</si>
  <si>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</si>
  <si>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</si>
  <si>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</si>
  <si>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</si>
  <si>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</si>
  <si>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</si>
  <si>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</si>
  <si>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</si>
  <si>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</si>
  <si>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</si>
  <si>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</si>
  <si>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</si>
  <si>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</si>
  <si>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</si>
  <si>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</si>
  <si>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</si>
  <si>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</si>
  <si>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</si>
  <si>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</si>
  <si>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</si>
  <si>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</si>
  <si>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</si>
  <si>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</si>
  <si>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</si>
  <si>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</si>
  <si>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</si>
  <si>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</si>
  <si>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</si>
  <si>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</si>
  <si>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</si>
  <si>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</si>
  <si>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</si>
  <si>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</si>
  <si>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</si>
  <si>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</si>
  <si>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</si>
  <si>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</si>
  <si>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</si>
  <si>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</si>
  <si>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</si>
  <si>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</si>
  <si>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</si>
  <si>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</si>
  <si>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</si>
  <si>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</si>
  <si>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</si>
  <si>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</si>
  <si>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</si>
  <si>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</si>
  <si>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</si>
  <si>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</si>
  <si>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</si>
  <si>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</si>
  <si>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</si>
  <si>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</si>
  <si>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</si>
  <si>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</si>
  <si>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</si>
  <si>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</si>
  <si>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</si>
  <si>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</si>
  <si>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</si>
  <si>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</si>
  <si>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</si>
  <si>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</si>
  <si>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</si>
  <si>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</si>
  <si>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</si>
  <si>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</si>
  <si>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</si>
  <si>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</si>
  <si>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</si>
  <si>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</si>
  <si>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</si>
  <si>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</si>
  <si>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</si>
  <si>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</si>
  <si>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</si>
  <si>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</si>
  <si>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</si>
  <si>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</si>
  <si>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</si>
  <si>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</si>
  <si>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</si>
  <si>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</si>
  <si>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</si>
  <si>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</si>
  <si>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</si>
  <si>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</si>
  <si>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</si>
  <si>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</si>
  <si>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</si>
  <si>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</si>
  <si>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</si>
  <si>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</si>
  <si>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</si>
  <si>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</si>
  <si>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</si>
  <si>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</si>
  <si>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</si>
  <si>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</si>
  <si>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</si>
  <si>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</si>
  <si>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</si>
  <si>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</si>
  <si>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</si>
  <si>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</si>
  <si>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</si>
  <si>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</si>
  <si>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</si>
  <si>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</si>
  <si>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</si>
  <si>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</si>
  <si>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</si>
  <si>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</si>
  <si>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</si>
  <si>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</si>
  <si>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</si>
  <si>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</si>
  <si>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</si>
  <si>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</si>
  <si>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</si>
  <si>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</si>
  <si>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</si>
  <si>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</si>
  <si>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</si>
  <si>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</si>
  <si>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</si>
  <si>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</si>
  <si>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</si>
  <si>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</si>
  <si>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</si>
  <si>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</si>
  <si>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</si>
  <si>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</si>
  <si>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</si>
  <si>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</si>
  <si>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</si>
  <si>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</si>
  <si>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</si>
  <si>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</si>
  <si>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</si>
  <si>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</si>
  <si>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</si>
  <si>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</si>
  <si>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</si>
  <si>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</si>
  <si>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</si>
  <si>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</si>
  <si>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</si>
  <si>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</si>
  <si>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</si>
  <si>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</si>
  <si>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</si>
  <si>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</si>
  <si>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</si>
  <si>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</si>
  <si>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</si>
  <si>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</si>
  <si>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</si>
  <si>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</si>
  <si>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</si>
  <si>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</si>
  <si>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</si>
  <si>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</si>
  <si>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</si>
  <si>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</si>
  <si>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</si>
  <si>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</si>
  <si>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</si>
  <si>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</si>
  <si>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</si>
  <si>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</si>
  <si>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</si>
  <si>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</si>
  <si>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</si>
  <si>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</si>
  <si>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</si>
  <si>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</si>
  <si>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</si>
  <si>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</si>
  <si>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</si>
  <si>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</si>
  <si>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</si>
  <si>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</si>
  <si>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</si>
  <si>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</si>
  <si>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</si>
  <si>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</si>
  <si>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</si>
  <si>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</si>
  <si>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</si>
  <si>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</si>
  <si>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</si>
  <si>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</si>
  <si>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</si>
  <si>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</si>
  <si>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</si>
  <si>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</si>
  <si>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</si>
  <si>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</si>
  <si>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</si>
  <si>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</si>
  <si>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</si>
  <si>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</si>
  <si>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</si>
  <si>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</si>
  <si>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</si>
  <si>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</si>
  <si>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</si>
  <si>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</si>
  <si>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</si>
  <si>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</si>
  <si>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</si>
  <si>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</si>
  <si>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</si>
  <si>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</si>
  <si>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</si>
  <si>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</si>
  <si>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</si>
  <si>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</si>
  <si>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</si>
  <si>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</si>
  <si>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</si>
  <si>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</si>
  <si>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</si>
  <si>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</si>
  <si>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</si>
  <si>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</si>
  <si>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</si>
  <si>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</si>
  <si>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</si>
  <si>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</si>
  <si>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</si>
  <si>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</si>
  <si>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</si>
  <si>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</si>
  <si>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</si>
  <si>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</si>
  <si>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</si>
  <si>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</si>
  <si>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</si>
  <si>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</si>
  <si>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</si>
  <si>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</si>
  <si>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</si>
  <si>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</si>
  <si>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</si>
  <si>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</si>
  <si>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</si>
  <si>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</si>
  <si>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</si>
  <si>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</si>
  <si>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</si>
  <si>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</si>
  <si>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</si>
  <si>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</si>
  <si>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</si>
  <si>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</si>
  <si>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</si>
  <si>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</si>
  <si>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</si>
  <si>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</si>
  <si>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</si>
  <si>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</si>
  <si>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</si>
  <si>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</si>
  <si>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</si>
  <si>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</si>
  <si>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</si>
  <si>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</si>
  <si>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</si>
  <si>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</si>
  <si>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</si>
  <si>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</si>
  <si>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</si>
  <si>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</si>
  <si>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</si>
  <si>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</si>
  <si>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</si>
  <si>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</si>
  <si>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</si>
  <si>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</si>
  <si>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</si>
  <si>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</si>
  <si>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</si>
  <si>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</si>
  <si>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</si>
  <si>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</si>
  <si>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</si>
  <si>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</si>
  <si>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</si>
  <si>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</si>
  <si>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</si>
  <si>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</si>
  <si>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</si>
  <si>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</si>
  <si>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</si>
  <si>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</si>
  <si>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</si>
  <si>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</si>
  <si>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</si>
  <si>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</si>
  <si>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</si>
  <si>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</si>
  <si>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</si>
  <si>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</si>
  <si>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</si>
  <si>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</si>
  <si>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</si>
  <si>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</si>
  <si>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</si>
  <si>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</si>
  <si>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</si>
  <si>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</si>
  <si>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</si>
  <si>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</si>
  <si>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</si>
  <si>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</si>
  <si>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</si>
  <si>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</si>
  <si>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</si>
  <si>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</si>
  <si>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</si>
  <si>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</si>
  <si>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</si>
  <si>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</si>
  <si>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</si>
  <si>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</si>
  <si>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</si>
  <si>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</si>
  <si>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</si>
  <si>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</si>
  <si>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</si>
  <si>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</si>
  <si>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</si>
  <si>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</si>
  <si>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</si>
  <si>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</si>
  <si>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</si>
  <si>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</si>
  <si>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</si>
  <si>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</si>
  <si>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</si>
  <si>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</si>
  <si>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</si>
  <si>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</si>
  <si>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</si>
  <si>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</si>
  <si>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</si>
  <si>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</si>
  <si>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</si>
  <si>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</si>
  <si>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</si>
  <si>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</si>
  <si>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</si>
  <si>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</si>
  <si>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</si>
  <si>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</si>
  <si>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</si>
  <si>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</si>
  <si>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</si>
  <si>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</si>
  <si>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</si>
  <si>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</si>
  <si>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</si>
  <si>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</si>
  <si>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</si>
  <si>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</si>
  <si>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</si>
  <si>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</si>
  <si>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</si>
  <si>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</si>
  <si>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</si>
  <si>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</si>
  <si>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</si>
  <si>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</si>
  <si>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</si>
  <si>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</si>
  <si>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</si>
  <si>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</si>
  <si>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</si>
  <si>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</si>
  <si>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</si>
  <si>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</si>
  <si>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</si>
  <si>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</si>
  <si>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</si>
  <si>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</si>
  <si>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</si>
  <si>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</si>
  <si>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</si>
  <si>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</si>
  <si>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</si>
  <si>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</si>
  <si>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</si>
  <si>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</si>
  <si>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</si>
  <si>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</si>
  <si>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</si>
  <si>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</si>
  <si>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</si>
  <si>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</si>
  <si>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</si>
  <si>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</si>
  <si>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</si>
  <si>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</si>
  <si>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</si>
  <si>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</si>
  <si>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</si>
  <si>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</si>
  <si>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</si>
  <si>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</si>
  <si>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</si>
  <si>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</si>
  <si>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</si>
  <si>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</si>
  <si>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</si>
  <si>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</si>
  <si>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</si>
  <si>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</si>
  <si>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</si>
  <si>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</si>
  <si>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</si>
  <si>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</si>
  <si>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</si>
  <si>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</si>
  <si>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</si>
  <si>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</si>
  <si>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</si>
  <si>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</si>
  <si>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</si>
  <si>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</si>
  <si>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</si>
  <si>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</si>
  <si>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</si>
  <si>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</si>
  <si>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</si>
  <si>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</si>
  <si>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</si>
  <si>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</si>
  <si>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</si>
  <si>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</si>
  <si>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</si>
  <si>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</si>
  <si>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</si>
  <si>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</si>
  <si>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</si>
  <si>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</si>
  <si>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</si>
  <si>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</si>
  <si>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</si>
  <si>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</si>
  <si>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</si>
  <si>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</si>
  <si>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</si>
  <si>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</si>
  <si>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</si>
  <si>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</si>
  <si>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</si>
  <si>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</si>
  <si>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</si>
  <si>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</si>
  <si>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</si>
  <si>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</si>
  <si>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</si>
  <si>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</si>
  <si>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</si>
  <si>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</si>
  <si>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</si>
  <si>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</si>
  <si>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</si>
  <si>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</si>
  <si>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</si>
  <si>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</si>
  <si>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</si>
  <si>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</si>
  <si>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</si>
  <si>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</si>
  <si>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</si>
  <si>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</si>
  <si>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</si>
  <si>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</si>
  <si>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</si>
  <si>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</si>
  <si>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</si>
  <si>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</si>
  <si>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</si>
  <si>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</si>
  <si>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</si>
  <si>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</si>
  <si>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</si>
  <si>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</si>
  <si>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</si>
  <si>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</si>
  <si>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</si>
  <si>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</si>
  <si>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</si>
  <si>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</si>
  <si>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</si>
  <si>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</si>
  <si>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</si>
  <si>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</si>
  <si>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</si>
  <si>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</si>
  <si>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</si>
  <si>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</si>
  <si>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</si>
  <si>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</si>
  <si>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</si>
  <si>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</si>
  <si>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</si>
  <si>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</si>
  <si>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</si>
  <si>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</si>
  <si>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</si>
  <si>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</si>
  <si>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</si>
  <si>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</si>
  <si>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</si>
  <si>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</si>
  <si>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</si>
  <si>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</si>
  <si>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</si>
  <si>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</si>
  <si>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</si>
  <si>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</si>
  <si>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</si>
  <si>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</si>
  <si>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</si>
  <si>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</si>
  <si>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</si>
  <si>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</si>
  <si>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</si>
  <si>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</si>
  <si>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</si>
  <si>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</si>
  <si>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</si>
  <si>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</si>
  <si>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</si>
  <si>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</si>
  <si>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</si>
  <si>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</si>
  <si>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</si>
  <si>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</si>
  <si>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</si>
  <si>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</si>
  <si>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</si>
  <si>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</si>
  <si>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</si>
  <si>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</si>
  <si>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</si>
  <si>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</si>
  <si>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</si>
  <si>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</si>
  <si>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</si>
  <si>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</si>
  <si>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</si>
  <si>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</si>
  <si>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</si>
  <si>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</si>
  <si>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</si>
  <si>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</si>
  <si>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</si>
  <si>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</si>
  <si>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</si>
  <si>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</si>
  <si>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</si>
  <si>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</si>
  <si>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</si>
  <si>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</si>
  <si>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</si>
  <si>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</si>
  <si>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</si>
  <si>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</si>
  <si>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</si>
  <si>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</si>
  <si>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</si>
  <si>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</si>
  <si>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</si>
  <si>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</si>
  <si>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</si>
  <si>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</si>
  <si>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</si>
  <si>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</si>
  <si>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</si>
  <si>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</si>
  <si>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</si>
  <si>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</si>
  <si>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</si>
  <si>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</si>
  <si>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</si>
  <si>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</si>
  <si>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</si>
  <si>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</si>
  <si>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</si>
  <si>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</si>
  <si>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</si>
  <si>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</si>
  <si>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</si>
  <si>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</si>
  <si>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</si>
  <si>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</si>
  <si>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</si>
  <si>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</si>
  <si>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</si>
  <si>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</si>
  <si>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</si>
  <si>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</si>
  <si>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</si>
  <si>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</si>
  <si>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</si>
  <si>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</si>
  <si>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</si>
  <si>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</si>
  <si>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</si>
  <si>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</si>
  <si>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</si>
  <si>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</si>
  <si>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</si>
  <si>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</si>
  <si>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</si>
  <si>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</si>
  <si>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</si>
  <si>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</si>
  <si>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</si>
  <si>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</si>
  <si>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</si>
  <si>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</si>
  <si>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</si>
  <si>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</si>
  <si>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</si>
  <si>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</si>
  <si>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</si>
  <si>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</si>
  <si>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</si>
  <si>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</si>
  <si>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</si>
  <si>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</si>
  <si>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</si>
  <si>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</si>
  <si>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</si>
  <si>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</si>
  <si>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</si>
  <si>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</si>
  <si>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</si>
  <si>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</si>
  <si>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</si>
  <si>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</si>
  <si>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</si>
  <si>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</si>
  <si>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</si>
  <si>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</si>
  <si>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</si>
  <si>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</si>
  <si>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</si>
  <si>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</si>
  <si>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</si>
  <si>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</si>
  <si>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</si>
  <si>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</si>
  <si>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</si>
  <si>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</si>
  <si>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</si>
  <si>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</si>
  <si>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</si>
  <si>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</si>
  <si>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</si>
  <si>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</si>
  <si>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</si>
  <si>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</si>
  <si>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</si>
  <si>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</si>
  <si>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</si>
  <si>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</si>
  <si>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</si>
  <si>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</si>
  <si>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</si>
  <si>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</si>
  <si>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</si>
  <si>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</si>
  <si>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</si>
  <si>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</si>
  <si>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</si>
  <si>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</si>
  <si>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</si>
  <si>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</si>
  <si>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</si>
  <si>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</si>
  <si>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</si>
  <si>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</si>
  <si>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</si>
  <si>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</si>
  <si>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</si>
  <si>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</si>
  <si>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</si>
  <si>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</si>
  <si>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</si>
  <si>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</si>
  <si>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</si>
  <si>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</si>
  <si>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</si>
  <si>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</si>
  <si>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</si>
  <si>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</si>
  <si>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</si>
  <si>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</si>
  <si>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</si>
  <si>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</si>
  <si>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</si>
  <si>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</si>
  <si>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</si>
  <si>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</si>
  <si>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</si>
  <si>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</si>
  <si>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</si>
  <si>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</si>
  <si>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</si>
  <si>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</si>
  <si>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</si>
  <si>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</si>
  <si>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</si>
  <si>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</si>
  <si>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</si>
  <si>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</si>
  <si>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</si>
  <si>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</si>
  <si>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</si>
  <si>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</si>
  <si>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</si>
  <si>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</si>
  <si>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</si>
  <si>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</si>
  <si>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</si>
  <si>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</si>
  <si>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</si>
  <si>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</si>
  <si>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</si>
  <si>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</si>
  <si>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</si>
  <si>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</si>
  <si>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</si>
  <si>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</si>
  <si>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</si>
  <si>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</si>
  <si>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</si>
  <si>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</si>
  <si>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</si>
  <si>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</si>
  <si>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</si>
  <si>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</si>
  <si>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</si>
  <si>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</si>
  <si>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</si>
  <si>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</si>
  <si>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</si>
  <si>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</si>
  <si>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</si>
  <si>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</si>
  <si>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</si>
  <si>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</si>
  <si>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</si>
  <si>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</si>
  <si>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</si>
  <si>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</si>
  <si>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</si>
  <si>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</si>
  <si>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</si>
  <si>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</si>
  <si>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</si>
  <si>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</si>
  <si>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</si>
  <si>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</si>
  <si>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</si>
  <si>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</si>
  <si>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</si>
  <si>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</si>
  <si>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</si>
  <si>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</si>
  <si>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</si>
  <si>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</si>
  <si>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</si>
  <si>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</si>
  <si>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</si>
  <si>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</si>
  <si>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</si>
  <si>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</si>
  <si>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</si>
  <si>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</si>
  <si>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</si>
  <si>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</si>
  <si>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</si>
  <si>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</si>
  <si>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</si>
  <si>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</si>
  <si>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</si>
  <si>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</si>
  <si>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</si>
  <si>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</si>
  <si>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</si>
  <si>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</si>
  <si>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</si>
  <si>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</si>
  <si>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</si>
  <si>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</si>
  <si>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</si>
  <si>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</si>
  <si>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</si>
  <si>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</si>
  <si>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</si>
  <si>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</si>
  <si>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</si>
  <si>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</si>
  <si>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</si>
  <si>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</si>
  <si>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</si>
  <si>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</si>
  <si>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</si>
  <si>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</si>
  <si>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</si>
  <si>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</si>
  <si>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</si>
  <si>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</si>
  <si>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</si>
  <si>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</si>
  <si>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</si>
  <si>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</si>
  <si>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</si>
  <si>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</si>
  <si>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</si>
  <si>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</si>
  <si>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</si>
  <si>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</si>
  <si>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</si>
  <si>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</si>
  <si>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</si>
  <si>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</si>
  <si>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</si>
  <si>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</si>
  <si>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</si>
  <si>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</si>
  <si>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</si>
  <si>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</si>
  <si>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</si>
  <si>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</si>
  <si>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</si>
  <si>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</si>
  <si>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</si>
  <si>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</si>
  <si>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</si>
  <si>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</si>
  <si>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</si>
  <si>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</si>
  <si>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</si>
  <si>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</si>
  <si>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</si>
  <si>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</si>
  <si>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</si>
  <si>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</si>
  <si>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</si>
  <si>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</si>
  <si>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</si>
  <si>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</si>
  <si>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</si>
  <si>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</si>
  <si>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</si>
  <si>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</si>
  <si>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</si>
  <si>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</si>
  <si>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</si>
  <si>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</si>
  <si>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</si>
  <si>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</si>
  <si>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</si>
  <si>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</si>
  <si>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</si>
  <si>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</si>
  <si>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</si>
  <si>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</si>
  <si>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</si>
  <si>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</si>
  <si>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</si>
  <si>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</si>
  <si>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</si>
  <si>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</si>
  <si>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</si>
  <si>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</si>
  <si>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</si>
  <si>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</si>
  <si>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</si>
  <si>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</si>
  <si>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</si>
  <si>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</si>
  <si>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</si>
  <si>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</si>
  <si>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</si>
  <si>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</si>
  <si>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</si>
  <si>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</si>
  <si>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</si>
  <si>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</si>
  <si>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</si>
  <si>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</si>
  <si>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</si>
  <si>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</si>
  <si>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</si>
  <si>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</si>
  <si>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</si>
  <si>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</si>
  <si>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</si>
  <si>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</si>
  <si>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</si>
  <si>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</si>
  <si>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</si>
  <si>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</si>
  <si>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</si>
  <si>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</si>
  <si>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</si>
  <si>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</si>
  <si>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</si>
  <si>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</si>
  <si>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</si>
  <si>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</si>
  <si>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</si>
  <si>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</si>
  <si>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</si>
  <si>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</si>
  <si>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</si>
  <si>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</si>
  <si>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</si>
  <si>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</si>
  <si>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</si>
  <si>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</si>
  <si>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</si>
  <si>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</si>
  <si>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</si>
  <si>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</si>
  <si>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</si>
  <si>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</si>
  <si>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</si>
  <si>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</si>
  <si>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</si>
  <si>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</si>
  <si>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</si>
  <si>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</si>
  <si>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</si>
  <si>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</si>
  <si>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</si>
  <si>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</si>
  <si>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</si>
  <si>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</si>
  <si>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</si>
  <si>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</si>
  <si>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</si>
  <si>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</si>
  <si>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</si>
  <si>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</si>
  <si>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</si>
  <si>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</si>
  <si>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</si>
  <si>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</si>
  <si>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</si>
  <si>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</si>
  <si>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</si>
  <si>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</si>
  <si>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</si>
  <si>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</si>
  <si>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</si>
  <si>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</si>
  <si>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</si>
  <si>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</si>
  <si>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</si>
  <si>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</si>
  <si>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</si>
  <si>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</si>
  <si>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</si>
  <si>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</si>
  <si>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</si>
  <si>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</si>
  <si>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</si>
  <si>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</si>
  <si>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</si>
  <si>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</si>
  <si>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</si>
  <si>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</si>
  <si>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</si>
  <si>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</si>
  <si>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</si>
  <si>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</si>
  <si>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</si>
  <si>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</si>
  <si>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</si>
  <si>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</si>
  <si>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</si>
  <si>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</si>
  <si>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</si>
  <si>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</si>
  <si>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</si>
  <si>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</si>
  <si>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</si>
  <si>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</si>
  <si>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</si>
  <si>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</si>
  <si>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</si>
  <si>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</si>
  <si>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</si>
  <si>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</si>
  <si>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</si>
  <si>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</si>
  <si>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</si>
  <si>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</si>
  <si>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</si>
  <si>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</si>
  <si>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</si>
  <si>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</si>
  <si>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</si>
  <si>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</si>
  <si>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</si>
  <si>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</si>
  <si>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</si>
  <si>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</si>
  <si>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</si>
  <si>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</si>
  <si>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</si>
  <si>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</si>
  <si>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</si>
  <si>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</si>
  <si>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</si>
  <si>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</si>
  <si>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</si>
  <si>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</si>
  <si>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</si>
  <si>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</si>
  <si>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</si>
  <si>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</si>
  <si>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</si>
  <si>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</si>
  <si>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</si>
  <si>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</si>
  <si>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</si>
  <si>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</si>
  <si>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</si>
  <si>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</si>
  <si>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</si>
  <si>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</si>
  <si>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</si>
  <si>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</si>
  <si>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</si>
  <si>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</si>
  <si>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</si>
  <si>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</si>
  <si>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</si>
  <si>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</si>
  <si>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</si>
  <si>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</si>
  <si>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</si>
  <si>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</si>
  <si>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</si>
  <si>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</si>
  <si>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</si>
  <si>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</si>
  <si>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</si>
  <si>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</si>
  <si>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</si>
  <si>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</si>
  <si>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</si>
  <si>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</si>
  <si>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</si>
  <si>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</si>
  <si>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</si>
  <si>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</si>
  <si>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</si>
  <si>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</si>
  <si>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</si>
  <si>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</si>
  <si>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</si>
  <si>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</si>
  <si>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</si>
  <si>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</si>
  <si>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</si>
  <si>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</si>
  <si>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</si>
  <si>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</si>
  <si>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</si>
  <si>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</si>
  <si>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</si>
  <si>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</si>
  <si>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</si>
  <si>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</si>
  <si>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</si>
  <si>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</si>
  <si>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</si>
  <si>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</si>
  <si>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</si>
  <si>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</si>
  <si>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</si>
  <si>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</si>
  <si>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</si>
  <si>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</si>
  <si>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</si>
  <si>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</si>
  <si>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</si>
  <si>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</si>
  <si>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</si>
  <si>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</si>
  <si>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</si>
  <si>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</si>
  <si>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</si>
  <si>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</si>
  <si>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</si>
  <si>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</si>
  <si>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</si>
  <si>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</si>
  <si>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</si>
  <si>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</si>
  <si>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</si>
  <si>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</si>
  <si>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</si>
  <si>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</si>
  <si>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</si>
  <si>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</si>
  <si>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</si>
  <si>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</si>
  <si>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</si>
  <si>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</si>
  <si>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</si>
  <si>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</si>
  <si>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</si>
  <si>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</si>
  <si>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</si>
  <si>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</si>
  <si>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</si>
  <si>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</si>
  <si>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</si>
  <si>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</si>
  <si>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</si>
  <si>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</si>
  <si>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</si>
  <si>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</si>
  <si>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</si>
  <si>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</si>
  <si>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</si>
  <si>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</si>
  <si>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</si>
  <si>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</si>
  <si>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</si>
  <si>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</si>
  <si>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</si>
  <si>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</si>
  <si>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</si>
  <si>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</si>
  <si>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</si>
  <si>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</si>
  <si>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</si>
  <si>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</si>
  <si>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</si>
  <si>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</si>
  <si>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</si>
  <si>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</si>
  <si>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</si>
  <si>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</si>
  <si>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</si>
  <si>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</si>
  <si>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</si>
  <si>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</si>
  <si>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</si>
  <si>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</si>
  <si>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</si>
  <si>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</si>
  <si>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</si>
  <si>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</si>
  <si>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</si>
  <si>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</si>
  <si>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</si>
  <si>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</si>
  <si>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</si>
  <si>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</si>
  <si>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</si>
  <si>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</si>
  <si>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</si>
  <si>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</si>
  <si>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</si>
  <si>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</si>
  <si>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</si>
  <si>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</si>
  <si>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</si>
  <si>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</si>
  <si>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</si>
  <si>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</si>
  <si>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</si>
  <si>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</si>
  <si>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</si>
  <si>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</si>
  <si>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</si>
  <si>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</si>
  <si>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</si>
  <si>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</si>
  <si>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</si>
  <si>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</si>
  <si>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</si>
  <si>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</si>
  <si>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</si>
  <si>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</si>
  <si>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</si>
  <si>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</si>
  <si>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</si>
  <si>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</si>
  <si>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</si>
  <si>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</si>
  <si>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</si>
  <si>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</si>
  <si>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</si>
  <si>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</si>
  <si>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</si>
  <si>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</si>
  <si>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</si>
  <si>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</si>
  <si>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</si>
  <si>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</si>
  <si>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</si>
  <si>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</si>
  <si>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</si>
  <si>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</si>
  <si>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</si>
  <si>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</si>
  <si>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</si>
  <si>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</si>
  <si>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</si>
  <si>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</si>
  <si>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</si>
  <si>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</si>
  <si>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</si>
  <si>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</si>
  <si>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</si>
  <si>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</si>
  <si>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</si>
  <si>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</si>
  <si>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</si>
  <si>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</si>
  <si>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</si>
  <si>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</si>
  <si>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</si>
  <si>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</si>
  <si>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</si>
  <si>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</si>
  <si>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</si>
  <si>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</si>
  <si>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</si>
  <si>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</si>
  <si>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</si>
  <si>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</si>
  <si>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</si>
  <si>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</si>
  <si>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</si>
  <si>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</si>
  <si>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</si>
  <si>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</si>
  <si>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</si>
  <si>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</si>
  <si>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</si>
  <si>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</si>
  <si>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</si>
  <si>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</si>
  <si>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</si>
  <si>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</si>
  <si>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</si>
  <si>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</si>
  <si>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</si>
  <si>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</si>
  <si>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</si>
  <si>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</si>
  <si>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</si>
  <si>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</si>
  <si>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</si>
  <si>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</si>
  <si>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</si>
  <si>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</si>
  <si>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</si>
  <si>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</si>
  <si>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</si>
  <si>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</si>
  <si>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</si>
  <si>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</si>
  <si>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</si>
  <si>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</si>
  <si>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</si>
  <si>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</si>
  <si>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</si>
  <si>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</si>
  <si>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</si>
  <si>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</si>
  <si>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</si>
  <si>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</si>
  <si>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</si>
  <si>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</si>
  <si>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</si>
  <si>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</si>
  <si>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</si>
  <si>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</si>
  <si>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</si>
  <si>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</si>
  <si>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</si>
  <si>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</si>
  <si>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</si>
  <si>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</si>
  <si>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</si>
  <si>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</si>
  <si>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</si>
  <si>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</si>
  <si>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</si>
  <si>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</si>
  <si>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</si>
  <si>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</si>
  <si>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</si>
  <si>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</si>
  <si>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</si>
  <si>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</si>
  <si>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</si>
  <si>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</si>
  <si>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</si>
  <si>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</si>
  <si>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</si>
  <si>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</si>
  <si>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</si>
  <si>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</si>
  <si>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</si>
  <si>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</si>
  <si>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</si>
  <si>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</si>
  <si>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</si>
  <si>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</si>
  <si>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</si>
  <si>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</si>
  <si>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</si>
  <si>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</si>
  <si>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</si>
  <si>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</si>
  <si>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</si>
  <si>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</si>
  <si>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</si>
  <si>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</si>
  <si>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</si>
  <si>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</si>
  <si>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</si>
  <si>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</si>
  <si>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</si>
  <si>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</si>
  <si>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</si>
  <si>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</si>
  <si>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</si>
  <si>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</si>
  <si>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</si>
  <si>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</si>
  <si>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</si>
  <si>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</si>
  <si>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</si>
  <si>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</si>
  <si>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</si>
  <si>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</si>
  <si>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</si>
  <si>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</si>
  <si>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</si>
  <si>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</si>
  <si>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</si>
  <si>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</si>
  <si>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</si>
  <si>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</si>
  <si>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</si>
  <si>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</si>
  <si>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</si>
  <si>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</si>
  <si>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</si>
  <si>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</si>
  <si>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</si>
  <si>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</si>
  <si>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</si>
  <si>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</si>
  <si>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</si>
  <si>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</si>
  <si>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</si>
  <si>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</si>
  <si>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</si>
  <si>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</si>
  <si>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</si>
  <si>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</si>
  <si>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</si>
  <si>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</si>
  <si>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</si>
  <si>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</si>
  <si>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</si>
  <si>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</si>
  <si>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</si>
  <si>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</si>
  <si>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</si>
  <si>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</si>
  <si>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</si>
  <si>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</si>
  <si>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</si>
  <si>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</si>
  <si>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</si>
  <si>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</si>
  <si>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</si>
  <si>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</si>
  <si>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</si>
  <si>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</si>
  <si>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</si>
  <si>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</si>
  <si>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</si>
  <si>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</si>
  <si>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</si>
  <si>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</si>
  <si>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</si>
  <si>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</si>
  <si>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</si>
  <si>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</si>
  <si>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</si>
  <si>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</si>
  <si>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</si>
  <si>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</si>
  <si>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</si>
  <si>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</si>
  <si>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</si>
  <si>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</si>
  <si>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</si>
  <si>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</si>
  <si>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</si>
  <si>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</si>
  <si>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</si>
  <si>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</si>
  <si>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</si>
  <si>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</si>
  <si>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</si>
  <si>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</si>
  <si>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</si>
  <si>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</si>
  <si>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</si>
  <si>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</si>
  <si>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</si>
  <si>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</si>
  <si>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</si>
  <si>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</si>
  <si>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</si>
  <si>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</si>
  <si>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</si>
  <si>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</si>
  <si>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</si>
  <si>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</si>
  <si>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</si>
  <si>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</si>
  <si>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</si>
  <si>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</si>
  <si>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</si>
  <si>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</si>
  <si>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</si>
  <si>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</si>
  <si>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</si>
  <si>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</si>
  <si>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</si>
  <si>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</si>
  <si>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</si>
  <si>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</si>
  <si>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</si>
  <si>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</si>
  <si>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</si>
  <si>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</si>
  <si>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</si>
  <si>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</si>
  <si>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</si>
  <si>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</si>
  <si>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</si>
  <si>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</si>
  <si>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</si>
  <si>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</si>
  <si>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</si>
  <si>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</si>
  <si>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</si>
  <si>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</si>
  <si>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</si>
  <si>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</si>
  <si>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</si>
  <si>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</si>
  <si>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</si>
  <si>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</si>
  <si>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</si>
  <si>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</si>
  <si>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</si>
  <si>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</si>
  <si>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</si>
  <si>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</si>
  <si>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</si>
  <si>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</si>
  <si>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</si>
  <si>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</si>
  <si>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</si>
  <si>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</si>
  <si>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</si>
  <si>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</si>
  <si>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</si>
  <si>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</si>
  <si>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</si>
  <si>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</si>
  <si>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</si>
  <si>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</si>
  <si>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</si>
  <si>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</si>
  <si>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</si>
  <si>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</si>
  <si>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</si>
  <si>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</si>
  <si>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</si>
  <si>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</si>
  <si>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</si>
  <si>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</si>
  <si>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</si>
  <si>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</si>
  <si>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</si>
  <si>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</si>
  <si>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</si>
  <si>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</si>
  <si>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</si>
  <si>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</si>
  <si>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</si>
  <si>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</si>
  <si>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</si>
  <si>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</si>
  <si>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</si>
  <si>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</si>
  <si>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</si>
  <si>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</si>
  <si>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</si>
  <si>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</si>
  <si>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</si>
  <si>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</si>
  <si>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</si>
  <si>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</si>
  <si>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</si>
  <si>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</si>
  <si>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</si>
  <si>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</si>
  <si>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</si>
  <si>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</si>
  <si>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</si>
  <si>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</si>
  <si>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</si>
  <si>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</si>
  <si>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</si>
  <si>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</si>
  <si>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</si>
  <si>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</si>
  <si>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</si>
  <si>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</si>
  <si>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</si>
  <si>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</si>
  <si>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</si>
  <si>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</si>
  <si>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</si>
  <si>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</si>
  <si>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</si>
  <si>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</si>
  <si>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</si>
  <si>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</si>
  <si>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</si>
  <si>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</si>
  <si>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</si>
  <si>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</si>
  <si>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</si>
  <si>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</si>
  <si>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</si>
  <si>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</si>
  <si>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</si>
  <si>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</si>
  <si>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</si>
  <si>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</si>
  <si>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</si>
  <si>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</si>
  <si>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</si>
  <si>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</si>
  <si>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</si>
  <si>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</si>
  <si>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</si>
  <si>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</si>
  <si>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</si>
  <si>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</si>
  <si>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</si>
  <si>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</si>
  <si>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</si>
  <si>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</si>
  <si>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</si>
  <si>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</si>
  <si>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</si>
  <si>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</si>
  <si>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</si>
  <si>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</si>
  <si>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</si>
  <si>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</si>
  <si>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</si>
  <si>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</si>
  <si>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</si>
  <si>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</si>
  <si>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</si>
  <si>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</si>
  <si>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</si>
  <si>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</si>
  <si>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</si>
  <si>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</si>
  <si>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</si>
  <si>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</si>
  <si>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</si>
  <si>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</si>
  <si>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</si>
  <si>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</si>
  <si>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</si>
  <si>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</si>
  <si>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</si>
  <si>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</si>
  <si>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</si>
  <si>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</si>
  <si>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</si>
  <si>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</si>
  <si>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</si>
  <si>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</si>
  <si>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</si>
  <si>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</si>
  <si>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</si>
  <si>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</si>
  <si>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</si>
  <si>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</si>
  <si>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</si>
  <si>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</si>
  <si>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</si>
  <si>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</si>
  <si>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</si>
  <si>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</si>
  <si>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</si>
  <si>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</si>
  <si>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</si>
  <si>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</si>
  <si>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</si>
  <si>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</si>
  <si>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</si>
  <si>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</si>
  <si>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</si>
  <si>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</si>
  <si>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</si>
  <si>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</si>
  <si>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</si>
  <si>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</si>
  <si>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</si>
  <si>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</si>
  <si>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</si>
  <si>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</si>
  <si>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</si>
  <si>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</si>
  <si>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</si>
  <si>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</si>
  <si>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</si>
  <si>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</si>
  <si>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</si>
  <si>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</si>
  <si>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</si>
  <si>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</si>
  <si>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</si>
  <si>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</si>
  <si>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</si>
  <si>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</si>
  <si>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</si>
  <si>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</si>
  <si>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</si>
  <si>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</si>
  <si>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</si>
  <si>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</si>
  <si>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</si>
  <si>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</si>
  <si>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</si>
  <si>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</si>
  <si>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</si>
  <si>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</si>
  <si>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</si>
  <si>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</si>
  <si>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</si>
  <si>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</si>
  <si>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</si>
  <si>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</si>
  <si>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</si>
  <si>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</si>
  <si>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</si>
  <si>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</si>
  <si>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</si>
  <si>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</si>
  <si>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</si>
  <si>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</si>
  <si>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</si>
  <si>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</si>
  <si>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</si>
  <si>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</si>
  <si>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</si>
  <si>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</si>
  <si>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</si>
  <si>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</si>
  <si>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</si>
  <si>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</si>
  <si>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</si>
  <si>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</si>
  <si>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</si>
  <si>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</si>
  <si>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</si>
  <si>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</si>
  <si>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</si>
  <si>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</si>
  <si>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</si>
  <si>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</si>
  <si>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</si>
  <si>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</si>
  <si>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</si>
  <si>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</si>
  <si>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</si>
  <si>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</si>
  <si>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</si>
  <si>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</si>
  <si>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</si>
  <si>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</si>
  <si>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</si>
  <si>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</si>
  <si>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</si>
  <si>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</si>
  <si>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</si>
  <si>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</si>
  <si>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</si>
  <si>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</si>
  <si>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</si>
  <si>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</si>
  <si>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</si>
  <si>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</si>
  <si>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</si>
  <si>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</si>
  <si>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</si>
  <si>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</si>
  <si>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</si>
  <si>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</si>
  <si>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</si>
  <si>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</si>
  <si>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</si>
  <si>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</si>
  <si>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</si>
  <si>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</si>
  <si>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</si>
  <si>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</si>
  <si>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</si>
  <si>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</si>
  <si>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</si>
  <si>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</si>
  <si>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</si>
  <si>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</si>
  <si>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</si>
  <si>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</si>
  <si>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</si>
  <si>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</si>
  <si>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</si>
  <si>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</si>
  <si>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</si>
  <si>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</si>
  <si>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</si>
  <si>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</si>
  <si>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</si>
  <si>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</si>
  <si>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</si>
  <si>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</si>
  <si>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</si>
  <si>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</si>
  <si>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</si>
  <si>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</si>
  <si>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</si>
  <si>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</si>
  <si>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</si>
  <si>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</si>
  <si>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</si>
  <si>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</si>
  <si>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</si>
  <si>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</si>
  <si>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</si>
  <si>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</si>
  <si>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</si>
  <si>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</si>
  <si>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</si>
  <si>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</si>
  <si>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</si>
  <si>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</si>
  <si>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</si>
  <si>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</si>
  <si>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</si>
  <si>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</si>
  <si>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</si>
  <si>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</si>
  <si>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</si>
  <si>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</si>
  <si>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</si>
  <si>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</si>
  <si>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</si>
  <si>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</si>
  <si>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</si>
  <si>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</si>
  <si>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</si>
  <si>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</si>
  <si>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</si>
  <si>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</si>
  <si>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</si>
  <si>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</si>
  <si>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</si>
  <si>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</si>
  <si>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</si>
  <si>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</si>
  <si>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</si>
  <si>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</si>
  <si>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</si>
  <si>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</si>
  <si>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</si>
  <si>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</si>
  <si>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</si>
  <si>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</si>
  <si>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</si>
  <si>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</si>
  <si>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</si>
  <si>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</si>
  <si>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</si>
  <si>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</si>
  <si>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</si>
  <si>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</si>
  <si>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</si>
  <si>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</si>
  <si>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</si>
  <si>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</si>
  <si>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</si>
  <si>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</si>
  <si>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</si>
  <si>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</si>
  <si>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</si>
  <si>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</si>
  <si>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</si>
  <si>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</si>
  <si>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</si>
  <si>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</si>
  <si>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</si>
  <si>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</si>
  <si>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</si>
  <si>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</si>
  <si>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</si>
  <si>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</si>
  <si>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</si>
  <si>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</si>
  <si>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</si>
  <si>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</si>
  <si>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</si>
  <si>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</si>
  <si>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</si>
  <si>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</si>
  <si>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</si>
  <si>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</si>
  <si>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</si>
  <si>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</si>
  <si>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</si>
  <si>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</si>
  <si>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</si>
  <si>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</si>
  <si>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</si>
  <si>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</si>
  <si>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</si>
  <si>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</si>
  <si>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</si>
  <si>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</si>
  <si>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</si>
  <si>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</si>
  <si>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</si>
  <si>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</si>
  <si>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</si>
  <si>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</si>
  <si>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</si>
  <si>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</si>
  <si>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</si>
  <si>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</si>
  <si>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</si>
  <si>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</si>
  <si>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</si>
  <si>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</si>
  <si>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</si>
  <si>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</si>
  <si>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</si>
  <si>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</si>
  <si>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</si>
  <si>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</si>
  <si>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</si>
  <si>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</si>
  <si>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</si>
  <si>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</si>
  <si>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</si>
  <si>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</si>
  <si>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</si>
  <si>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</si>
  <si>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</si>
  <si>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</si>
  <si>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</si>
  <si>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</si>
  <si>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</si>
  <si>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</si>
  <si>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</si>
  <si>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</si>
  <si>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</si>
  <si>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</si>
  <si>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</si>
  <si>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</si>
  <si>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</si>
  <si>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</si>
  <si>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</si>
  <si>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</si>
  <si>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</si>
  <si>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</si>
  <si>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</si>
  <si>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</si>
  <si>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</si>
  <si>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</si>
  <si>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</si>
  <si>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</si>
  <si>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</si>
  <si>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</si>
  <si>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</si>
  <si>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</si>
  <si>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</si>
  <si>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</si>
  <si>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</si>
  <si>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</si>
  <si>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</si>
  <si>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</si>
  <si>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</si>
  <si>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</si>
  <si>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</si>
  <si>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</si>
  <si>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</si>
  <si>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</si>
  <si>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</si>
  <si>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</si>
  <si>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</si>
  <si>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</si>
  <si>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</si>
  <si>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</si>
  <si>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</si>
  <si>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</si>
  <si>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</si>
  <si>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</si>
  <si>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</si>
  <si>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</si>
  <si>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</si>
  <si>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</si>
  <si>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</si>
  <si>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</si>
  <si>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</si>
  <si>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</si>
  <si>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</si>
  <si>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</si>
  <si>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</si>
  <si>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</si>
  <si>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</si>
  <si>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</si>
  <si>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</si>
  <si>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</si>
  <si>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</si>
  <si>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</si>
  <si>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</si>
  <si>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</si>
  <si>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</si>
  <si>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</si>
  <si>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</si>
  <si>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</si>
  <si>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</si>
  <si>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</si>
  <si>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</si>
  <si>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</si>
  <si>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</si>
  <si>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</si>
  <si>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</si>
  <si>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</si>
  <si>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</si>
  <si>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</si>
  <si>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</si>
  <si>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</si>
  <si>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</si>
  <si>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</si>
  <si>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</si>
  <si>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</si>
  <si>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</si>
  <si>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</si>
  <si>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</si>
  <si>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</si>
  <si>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</si>
  <si>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</si>
  <si>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</si>
  <si>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</si>
  <si>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</si>
  <si>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</si>
  <si>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</si>
  <si>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</si>
  <si>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</si>
  <si>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</si>
  <si>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</si>
  <si>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</si>
  <si>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</si>
  <si>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</si>
  <si>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</si>
  <si>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</si>
  <si>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</si>
  <si>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</si>
  <si>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</si>
  <si>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</si>
  <si>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</si>
  <si>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</si>
  <si>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</si>
  <si>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</si>
  <si>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</si>
  <si>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</si>
  <si>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</si>
  <si>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</si>
  <si>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</si>
  <si>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</si>
  <si>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</si>
  <si>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</si>
  <si>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</si>
  <si>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</si>
  <si>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</si>
  <si>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</si>
  <si>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</si>
  <si>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</si>
  <si>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</si>
  <si>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</si>
  <si>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</si>
  <si>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</si>
  <si>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</si>
  <si>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</si>
  <si>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</si>
  <si>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</si>
  <si>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</si>
  <si>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</si>
  <si>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</si>
  <si>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</si>
  <si>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</si>
  <si>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</si>
  <si>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</si>
  <si>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</si>
  <si>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</si>
  <si>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</si>
  <si>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</si>
  <si>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</si>
  <si>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</si>
  <si>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</si>
  <si>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</si>
  <si>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</si>
  <si>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</si>
  <si>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</si>
  <si>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</si>
  <si>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</si>
  <si>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</si>
  <si>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</si>
  <si>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</si>
  <si>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</si>
  <si>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</si>
  <si>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</si>
  <si>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</si>
  <si>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</si>
  <si>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</si>
  <si>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</si>
  <si>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</si>
  <si>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</si>
  <si>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</si>
  <si>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</si>
  <si>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</si>
  <si>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</si>
  <si>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</si>
  <si>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</si>
  <si>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</si>
  <si>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</si>
  <si>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</si>
  <si>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</si>
  <si>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</si>
  <si>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</si>
  <si>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</si>
  <si>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</si>
  <si>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</si>
  <si>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</si>
  <si>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</si>
  <si>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</si>
  <si>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</si>
  <si>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</si>
  <si>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</si>
  <si>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</si>
  <si>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</si>
  <si>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</si>
  <si>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</si>
  <si>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</si>
  <si>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</si>
  <si>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</si>
  <si>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</si>
  <si>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</si>
  <si>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</si>
  <si>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</si>
  <si>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</si>
  <si>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</si>
  <si>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</si>
  <si>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</si>
  <si>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</si>
  <si>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</si>
  <si>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</si>
  <si>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</si>
  <si>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</si>
  <si>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</si>
  <si>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</si>
  <si>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</si>
  <si>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</si>
  <si>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</si>
  <si>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</si>
  <si>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</si>
  <si>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</si>
  <si>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</si>
  <si>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</si>
  <si>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</si>
  <si>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</si>
  <si>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</si>
  <si>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</si>
  <si>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</si>
  <si>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</si>
  <si>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</si>
  <si>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</si>
  <si>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</si>
  <si>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</si>
  <si>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</si>
  <si>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</si>
  <si>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</si>
  <si>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</si>
  <si>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</si>
  <si>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</si>
  <si>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</si>
  <si>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</si>
  <si>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</si>
  <si>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</si>
  <si>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</si>
  <si>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</si>
  <si>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</si>
  <si>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</si>
  <si>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</si>
  <si>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</si>
  <si>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</si>
  <si>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</si>
  <si>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</si>
  <si>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</si>
  <si>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</si>
  <si>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</si>
  <si>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</si>
  <si>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</si>
  <si>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</si>
  <si>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</si>
  <si>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</si>
  <si>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</si>
  <si>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</si>
  <si>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</si>
  <si>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</si>
  <si>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</si>
  <si>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</si>
  <si>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</si>
  <si>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</si>
  <si>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</si>
  <si>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</si>
  <si>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</si>
  <si>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</si>
  <si>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</si>
  <si>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</si>
  <si>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</si>
  <si>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</si>
  <si>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</si>
  <si>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</si>
  <si>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</si>
  <si>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</si>
  <si>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</si>
  <si>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</si>
  <si>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</si>
  <si>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</si>
  <si>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</si>
  <si>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</si>
  <si>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</si>
  <si>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</si>
  <si>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</si>
  <si>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</si>
  <si>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</si>
  <si>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</si>
  <si>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</si>
  <si>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</si>
  <si>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</si>
  <si>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</si>
  <si>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</si>
  <si>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</si>
  <si>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</si>
  <si>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</si>
  <si>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</si>
  <si>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</si>
  <si>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</si>
  <si>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</si>
  <si>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</si>
  <si>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</si>
  <si>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</si>
  <si>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</si>
  <si>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</si>
  <si>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</si>
  <si>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</si>
  <si>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</si>
  <si>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</si>
  <si>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</si>
  <si>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</si>
  <si>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</si>
  <si>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</si>
  <si>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</si>
  <si>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</si>
  <si>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</si>
  <si>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</si>
  <si>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</si>
  <si>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</si>
  <si>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</si>
  <si>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</si>
  <si>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</si>
  <si>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</si>
  <si>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</si>
  <si>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</si>
  <si>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</si>
  <si>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</si>
  <si>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</si>
  <si>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</si>
  <si>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</si>
  <si>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</si>
  <si>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</si>
  <si>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</si>
  <si>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</si>
  <si>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</si>
  <si>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</si>
  <si>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</si>
  <si>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</si>
  <si>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</si>
  <si>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</si>
  <si>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</si>
  <si>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</si>
  <si>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</si>
  <si>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</si>
  <si>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</si>
  <si>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</si>
  <si>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</si>
  <si>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</si>
  <si>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</si>
  <si>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</si>
  <si>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</si>
  <si>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</si>
  <si>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</si>
  <si>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</si>
  <si>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</si>
  <si>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</si>
  <si>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</si>
  <si>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</si>
  <si>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</si>
  <si>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</si>
  <si>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</si>
  <si>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</si>
  <si>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</si>
  <si>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</si>
  <si>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</si>
  <si>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</si>
  <si>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</si>
  <si>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</si>
  <si>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</si>
  <si>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</si>
  <si>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</si>
  <si>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</si>
  <si>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</si>
  <si>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</si>
  <si>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</si>
  <si>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</si>
  <si>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</si>
  <si>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</si>
  <si>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</si>
  <si>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</si>
  <si>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</si>
  <si>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</si>
  <si>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</si>
  <si>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</si>
  <si>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</si>
  <si>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</si>
  <si>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</si>
  <si>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</si>
  <si>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</si>
  <si>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</si>
  <si>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</si>
  <si>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</si>
  <si>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</si>
  <si>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</si>
  <si>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</si>
  <si>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</si>
  <si>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</si>
  <si>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</si>
  <si>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</si>
  <si>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</si>
  <si>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</si>
  <si>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</si>
  <si>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</si>
  <si>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</si>
  <si>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</si>
  <si>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</si>
  <si>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</si>
  <si>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</si>
  <si>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</si>
  <si>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</si>
  <si>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</si>
  <si>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</si>
  <si>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</si>
  <si>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</si>
  <si>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</si>
  <si>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</si>
  <si>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</si>
  <si>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</si>
  <si>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</si>
  <si>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</si>
  <si>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</si>
  <si>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</si>
  <si>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</si>
  <si>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</si>
  <si>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</si>
  <si>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</si>
  <si>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</si>
  <si>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</si>
  <si>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</si>
  <si>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</si>
  <si>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</si>
  <si>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</si>
  <si>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</si>
  <si>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</si>
  <si>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</si>
  <si>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</si>
  <si>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</si>
  <si>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</si>
  <si>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</si>
  <si>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</si>
  <si>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</si>
  <si>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</si>
  <si>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</si>
  <si>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</si>
  <si>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</si>
  <si>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</si>
  <si>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</si>
  <si>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</si>
  <si>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</si>
  <si>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</si>
  <si>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</si>
  <si>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</si>
  <si>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</si>
  <si>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</si>
  <si>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</si>
  <si>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</si>
  <si>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</si>
  <si>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</si>
  <si>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</si>
  <si>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</si>
  <si>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</si>
  <si>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</si>
  <si>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</si>
  <si>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</si>
  <si>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</si>
  <si>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</si>
  <si>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</si>
  <si>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</si>
  <si>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</si>
  <si>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</si>
  <si>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</si>
  <si>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</si>
  <si>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</si>
  <si>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</si>
  <si>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</si>
  <si>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</si>
  <si>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</si>
  <si>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</si>
  <si>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</si>
  <si>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</si>
  <si>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</si>
  <si>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</si>
  <si>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</si>
  <si>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</si>
  <si>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</si>
  <si>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</si>
  <si>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</si>
  <si>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</si>
  <si>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</si>
  <si>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</si>
  <si>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</si>
  <si>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</si>
  <si>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</si>
  <si>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</si>
  <si>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</si>
  <si>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</si>
  <si>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</si>
  <si>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</si>
  <si>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</si>
  <si>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</si>
  <si>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</si>
  <si>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</si>
  <si>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</si>
  <si>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</si>
  <si>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</si>
  <si>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</si>
  <si>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</si>
  <si>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</si>
  <si>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</si>
  <si>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</si>
  <si>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</si>
  <si>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</si>
  <si>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</si>
  <si>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</si>
  <si>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</si>
  <si>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</si>
  <si>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</si>
  <si>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</si>
  <si>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</si>
  <si>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</si>
  <si>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</si>
  <si>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</si>
  <si>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</si>
  <si>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</si>
  <si>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</si>
  <si>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</si>
  <si>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</si>
  <si>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</si>
  <si>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</si>
  <si>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</si>
  <si>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</si>
  <si>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</si>
  <si>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</si>
  <si>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</si>
  <si>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</si>
  <si>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</si>
  <si>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</si>
  <si>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</si>
  <si>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</si>
  <si>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</si>
  <si>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</si>
  <si>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</si>
  <si>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</si>
  <si>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</si>
  <si>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</si>
  <si>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</si>
  <si>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</si>
  <si>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</si>
  <si>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</si>
  <si>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</si>
  <si>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</si>
  <si>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</si>
  <si>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</si>
  <si>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</si>
  <si>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</si>
  <si>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</si>
  <si>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</si>
  <si>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</si>
  <si>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</si>
  <si>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</si>
  <si>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</si>
  <si>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</si>
  <si>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</si>
  <si>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</si>
  <si>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</si>
  <si>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</si>
  <si>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</si>
  <si>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</si>
  <si>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</si>
  <si>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</si>
  <si>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</si>
  <si>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</si>
  <si>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</si>
  <si>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</si>
  <si>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</si>
  <si>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</si>
  <si>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</si>
  <si>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</si>
  <si>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</si>
  <si>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</si>
  <si>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</si>
  <si>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</si>
  <si>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</si>
  <si>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</si>
  <si>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</si>
  <si>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</si>
  <si>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</si>
  <si>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</si>
  <si>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</si>
  <si>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</si>
  <si>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</si>
  <si>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</si>
  <si>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</si>
  <si>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</si>
  <si>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</si>
  <si>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</si>
  <si>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</si>
  <si>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</si>
  <si>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</si>
  <si>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</si>
  <si>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</si>
  <si>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</si>
  <si>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</si>
  <si>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</si>
  <si>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</si>
  <si>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</si>
  <si>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</si>
  <si>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</si>
  <si>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</si>
  <si>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</si>
  <si>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</si>
  <si>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</si>
  <si>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</si>
  <si>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</si>
  <si>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</si>
  <si>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</si>
  <si>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</si>
  <si>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</si>
  <si>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</si>
  <si>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</si>
  <si>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</si>
  <si>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</si>
  <si>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</si>
  <si>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</si>
  <si>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</si>
  <si>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</si>
  <si>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</si>
  <si>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</si>
  <si>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</si>
  <si>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</si>
  <si>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</si>
  <si>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</si>
  <si>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</si>
  <si>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</si>
  <si>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</si>
  <si>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</si>
  <si>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</si>
  <si>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</si>
  <si>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</si>
  <si>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</si>
  <si>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</si>
  <si>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</si>
  <si>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</si>
  <si>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</si>
  <si>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</si>
  <si>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</si>
  <si>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</si>
  <si>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</si>
  <si>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</si>
  <si>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</si>
  <si>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</si>
  <si>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</si>
  <si>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</si>
  <si>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</si>
  <si>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</si>
  <si>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</si>
  <si>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</si>
  <si>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</si>
  <si>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</si>
  <si>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</si>
  <si>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</si>
  <si>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</si>
  <si>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</si>
  <si>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</si>
  <si>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</si>
  <si>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</si>
  <si>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</si>
  <si>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</si>
  <si>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</si>
  <si>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</si>
  <si>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</si>
  <si>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</si>
  <si>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</si>
  <si>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</si>
  <si>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</si>
  <si>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</si>
  <si>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</si>
  <si>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</si>
  <si>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</si>
  <si>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</si>
  <si>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</si>
  <si>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</si>
  <si>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</si>
  <si>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</si>
  <si>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</si>
  <si>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</si>
  <si>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</si>
  <si>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</si>
  <si>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</si>
  <si>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</si>
  <si>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</si>
  <si>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</si>
  <si>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</si>
  <si>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</si>
  <si>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</si>
  <si>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</si>
  <si>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</si>
  <si>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</si>
  <si>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</si>
  <si>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</si>
  <si>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</si>
  <si>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</si>
  <si>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</si>
  <si>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</si>
  <si>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</si>
  <si>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</si>
  <si>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</si>
  <si>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</si>
  <si>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</si>
  <si>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</si>
  <si>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</si>
  <si>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</si>
  <si>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</si>
  <si>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</si>
  <si>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</si>
  <si>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</si>
  <si>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</si>
  <si>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</si>
  <si>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</si>
  <si>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</si>
  <si>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</si>
  <si>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</si>
  <si>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</si>
  <si>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</si>
  <si>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</si>
  <si>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</si>
  <si>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</si>
  <si>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</si>
  <si>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</si>
  <si>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</si>
  <si>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</si>
  <si>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</si>
  <si>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</si>
  <si>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</si>
  <si>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</si>
  <si>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</si>
  <si>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</si>
  <si>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</si>
  <si>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</si>
  <si>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</si>
  <si>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</si>
  <si>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</si>
  <si>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</si>
  <si>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</si>
  <si>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</si>
  <si>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</si>
  <si>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</si>
  <si>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</si>
  <si>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</si>
  <si>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</si>
  <si>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</si>
  <si>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</si>
  <si>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</si>
  <si>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</si>
  <si>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</si>
  <si>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</si>
  <si>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</si>
  <si>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</si>
  <si>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</si>
  <si>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</si>
  <si>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</si>
  <si>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</si>
  <si>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</si>
  <si>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</si>
  <si>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</si>
  <si>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</si>
  <si>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</si>
  <si>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</si>
  <si>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</si>
  <si>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</si>
  <si>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</si>
  <si>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</si>
  <si>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</si>
  <si>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</si>
  <si>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</si>
  <si>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</si>
  <si>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</si>
  <si>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</si>
  <si>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</si>
  <si>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</si>
  <si>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</si>
  <si>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</si>
  <si>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</si>
  <si>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</si>
  <si>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</si>
  <si>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</si>
  <si>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</si>
  <si>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</si>
  <si>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</si>
  <si>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</si>
  <si>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</si>
  <si>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</si>
  <si>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</si>
  <si>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</si>
  <si>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</si>
  <si>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</si>
  <si>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</si>
  <si>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</si>
  <si>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</si>
  <si>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</si>
  <si>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</si>
  <si>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</si>
  <si>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</si>
  <si>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</si>
  <si>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</si>
  <si>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</si>
  <si>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</si>
  <si>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</si>
  <si>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</si>
  <si>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</si>
  <si>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</si>
  <si>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</si>
  <si>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</si>
  <si>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</si>
  <si>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</si>
  <si>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</si>
  <si>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</si>
  <si>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</si>
  <si>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</si>
  <si>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</si>
  <si>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</si>
  <si>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</si>
  <si>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</si>
  <si>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</si>
  <si>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</si>
  <si>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</si>
  <si>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</si>
  <si>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</si>
  <si>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</si>
  <si>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</si>
  <si>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</si>
  <si>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</si>
  <si>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</si>
  <si>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</si>
  <si>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</si>
  <si>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</si>
  <si>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</si>
  <si>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</si>
  <si>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</si>
  <si>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</si>
  <si>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</si>
  <si>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</si>
  <si>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</si>
  <si>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</si>
  <si>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</si>
  <si>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</si>
  <si>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</si>
  <si>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</si>
  <si>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</si>
  <si>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</si>
  <si>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</si>
  <si>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</si>
  <si>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</si>
  <si>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</si>
  <si>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</si>
  <si>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</si>
  <si>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</si>
  <si>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</si>
  <si>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</si>
  <si>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</si>
  <si>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</si>
  <si>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</si>
  <si>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</si>
  <si>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</si>
  <si>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</si>
  <si>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</si>
  <si>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</si>
  <si>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</si>
  <si>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</si>
  <si>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</si>
  <si>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</si>
  <si>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</si>
  <si>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</si>
  <si>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</si>
  <si>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</si>
  <si>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</si>
  <si>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</si>
  <si>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</si>
  <si>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</si>
  <si>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</si>
  <si>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</si>
  <si>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</si>
  <si>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</si>
  <si>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</si>
  <si>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</si>
  <si>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</si>
  <si>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</si>
  <si>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</si>
  <si>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</si>
  <si>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</si>
  <si>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</si>
  <si>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</si>
  <si>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</si>
  <si>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</si>
  <si>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</si>
  <si>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</si>
  <si>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</si>
  <si>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</si>
  <si>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</si>
  <si>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</si>
  <si>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</si>
  <si>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</si>
  <si>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</si>
  <si>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</si>
  <si>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</si>
  <si>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</si>
  <si>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</si>
  <si>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</si>
  <si>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</si>
  <si>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</si>
  <si>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</si>
  <si>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</si>
  <si>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</si>
  <si>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</si>
  <si>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</si>
  <si>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</si>
  <si>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</si>
  <si>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</si>
  <si>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</si>
  <si>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</si>
  <si>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</si>
  <si>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</si>
  <si>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</si>
  <si>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</si>
  <si>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</si>
  <si>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</si>
  <si>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</si>
  <si>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</si>
  <si>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</si>
  <si>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</si>
  <si>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</si>
  <si>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</si>
  <si>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</si>
  <si>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</si>
  <si>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</si>
  <si>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</si>
  <si>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</si>
  <si>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</si>
  <si>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</si>
  <si>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</si>
  <si>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</si>
  <si>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</si>
  <si>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</si>
  <si>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</si>
  <si>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</si>
  <si>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</si>
  <si>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</si>
  <si>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</si>
  <si>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</si>
  <si>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</si>
  <si>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</si>
  <si>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</si>
  <si>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</si>
  <si>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</si>
  <si>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</si>
  <si>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</si>
  <si>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</si>
  <si>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</si>
  <si>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</si>
  <si>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</si>
  <si>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</si>
  <si>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</si>
  <si>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</si>
  <si>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</si>
  <si>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</si>
  <si>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</si>
  <si>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</si>
  <si>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</si>
  <si>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</si>
  <si>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</si>
  <si>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</si>
  <si>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</si>
  <si>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</si>
  <si>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</si>
  <si>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</si>
  <si>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</si>
  <si>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</si>
  <si>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</si>
  <si>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</si>
  <si>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</si>
  <si>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</si>
  <si>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</si>
  <si>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</si>
  <si>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</si>
  <si>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</si>
  <si>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</si>
  <si>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</si>
  <si>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</si>
  <si>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</si>
  <si>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</si>
  <si>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</si>
  <si>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</si>
  <si>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</si>
  <si>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</si>
  <si>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</si>
  <si>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</si>
  <si>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</si>
  <si>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</si>
  <si>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</si>
  <si>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</si>
  <si>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</si>
  <si>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</si>
  <si>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</si>
  <si>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</si>
  <si>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</si>
  <si>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</si>
  <si>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</si>
  <si>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</si>
  <si>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</si>
  <si>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</si>
  <si>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</si>
  <si>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</si>
  <si>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</si>
  <si>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</si>
  <si>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</si>
  <si>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</si>
  <si>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</si>
  <si>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</si>
  <si>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</si>
  <si>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</si>
  <si>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</si>
  <si>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</si>
  <si>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</si>
  <si>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</si>
  <si>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</si>
  <si>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</si>
  <si>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</si>
  <si>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</si>
  <si>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</si>
  <si>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</si>
  <si>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</si>
  <si>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</si>
  <si>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</si>
  <si>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</si>
  <si>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</si>
  <si>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</si>
  <si>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</si>
  <si>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</si>
  <si>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</si>
  <si>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</si>
  <si>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</si>
  <si>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</si>
  <si>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</si>
  <si>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</si>
  <si>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</si>
  <si>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</si>
  <si>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</si>
  <si>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</si>
  <si>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</si>
  <si>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</si>
  <si>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</si>
  <si>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</si>
  <si>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</si>
  <si>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</si>
  <si>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</si>
  <si>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</si>
  <si>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</si>
  <si>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</si>
  <si>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</si>
  <si>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</si>
  <si>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</si>
  <si>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</si>
  <si>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</si>
  <si>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</si>
  <si>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</si>
  <si>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</si>
  <si>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</si>
  <si>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</si>
  <si>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</si>
  <si>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</si>
  <si>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</si>
  <si>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</si>
  <si>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</si>
  <si>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</si>
  <si>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</si>
  <si>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</si>
  <si>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</si>
  <si>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</si>
  <si>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</si>
  <si>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</si>
  <si>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</si>
  <si>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</si>
  <si>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</si>
  <si>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</si>
  <si>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</si>
  <si>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</si>
  <si>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</si>
  <si>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</si>
  <si>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</si>
  <si>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</si>
  <si>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</si>
  <si>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</si>
  <si>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</si>
  <si>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</si>
  <si>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</si>
  <si>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</si>
  <si>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</si>
  <si>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</si>
  <si>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</si>
  <si>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</si>
  <si>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</si>
  <si>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</si>
  <si>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</si>
  <si>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</si>
  <si>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</si>
  <si>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</si>
  <si>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</si>
  <si>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</si>
  <si>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</si>
  <si>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</si>
  <si>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</si>
  <si>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</si>
  <si>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</si>
  <si>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</si>
  <si>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</si>
  <si>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</si>
  <si>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</si>
  <si>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</si>
  <si>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</si>
  <si>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</si>
  <si>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</si>
  <si>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</si>
  <si>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</si>
  <si>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</si>
  <si>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</si>
  <si>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</si>
  <si>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</si>
  <si>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</si>
  <si>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</si>
  <si>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</si>
  <si>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</si>
  <si>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</si>
  <si>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</si>
  <si>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</si>
  <si>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</si>
  <si>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</si>
  <si>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</si>
  <si>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</si>
  <si>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</si>
  <si>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</si>
  <si>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</si>
  <si>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</si>
  <si>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</si>
  <si>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</si>
  <si>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</si>
  <si>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</si>
  <si>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</si>
  <si>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</si>
  <si>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</si>
  <si>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</si>
  <si>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</si>
  <si>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</si>
  <si>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</si>
  <si>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</si>
  <si>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</si>
  <si>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</si>
  <si>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</si>
  <si>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</si>
  <si>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</si>
  <si>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</si>
  <si>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</si>
  <si>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</si>
  <si>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</si>
  <si>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</si>
  <si>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</si>
  <si>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</si>
  <si>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</si>
  <si>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</si>
  <si>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</si>
  <si>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</si>
  <si>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</si>
  <si>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</si>
  <si>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</si>
  <si>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</si>
  <si>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</si>
  <si>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</si>
  <si>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</si>
  <si>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</si>
  <si>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</si>
  <si>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</si>
  <si>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</si>
  <si>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</si>
  <si>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</si>
  <si>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</si>
  <si>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</si>
  <si>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</si>
  <si>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</si>
  <si>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</si>
  <si>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</si>
  <si>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</si>
  <si>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</si>
  <si>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</si>
  <si>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</si>
  <si>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</si>
  <si>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</si>
  <si>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</si>
  <si>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</si>
  <si>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</si>
  <si>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</si>
  <si>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</si>
  <si>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</si>
  <si>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</si>
  <si>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</si>
  <si>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</si>
  <si>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</si>
  <si>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</si>
  <si>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</si>
  <si>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</si>
  <si>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</si>
  <si>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</si>
  <si>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</si>
  <si>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</si>
  <si>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</si>
  <si>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</si>
  <si>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</si>
  <si>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</si>
  <si>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</si>
  <si>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</si>
  <si>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</si>
  <si>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</si>
  <si>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</si>
  <si>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</si>
  <si>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</si>
  <si>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</si>
  <si>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</si>
  <si>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</si>
  <si>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</si>
  <si>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</si>
  <si>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</si>
  <si>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</si>
  <si>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</si>
  <si>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</si>
  <si>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</si>
  <si>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</si>
  <si>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</si>
  <si>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</si>
  <si>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</si>
  <si>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</si>
  <si>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</si>
  <si>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</si>
  <si>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</si>
  <si>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</si>
  <si>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</si>
  <si>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</si>
  <si>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</si>
  <si>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</si>
  <si>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</si>
  <si>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</si>
  <si>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</si>
  <si>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</si>
  <si>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</si>
  <si>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</si>
  <si>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</si>
  <si>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</si>
  <si>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</si>
  <si>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</si>
  <si>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</si>
  <si>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</si>
  <si>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</si>
  <si>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</si>
  <si>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</si>
  <si>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</si>
  <si>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</si>
  <si>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</si>
  <si>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</si>
  <si>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</si>
  <si>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</si>
  <si>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</si>
  <si>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</si>
  <si>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</si>
  <si>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</si>
  <si>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</si>
  <si>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</si>
  <si>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</si>
  <si>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</si>
  <si>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</si>
  <si>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</si>
  <si>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</si>
  <si>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</si>
  <si>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</si>
  <si>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</si>
  <si>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</si>
  <si>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</si>
  <si>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</si>
  <si>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</si>
  <si>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</si>
  <si>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</si>
  <si>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</si>
  <si>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</si>
  <si>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</si>
  <si>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</si>
  <si>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</si>
  <si>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</si>
  <si>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</si>
  <si>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</si>
  <si>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</si>
  <si>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</si>
  <si>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</si>
  <si>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</si>
  <si>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</si>
  <si>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</si>
  <si>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</si>
  <si>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</si>
  <si>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</si>
  <si>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</si>
  <si>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</si>
  <si>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</si>
  <si>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</si>
  <si>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</si>
  <si>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</si>
  <si>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</si>
  <si>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</si>
  <si>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</si>
  <si>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</si>
  <si>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</si>
  <si>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</si>
  <si>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</si>
  <si>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</si>
  <si>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</si>
  <si>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</si>
  <si>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</si>
  <si>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</si>
  <si>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</si>
  <si>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</si>
  <si>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</si>
  <si>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</si>
  <si>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</si>
  <si>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</si>
  <si>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</si>
  <si>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</si>
  <si>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</si>
  <si>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</si>
  <si>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</si>
  <si>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Region - Latin America and Caribbean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</si>
</sst>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5">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4" fontId="0" fillId="0" borderId="0" xfId="0" applyNumberFormat="1"/>
  </cellXfs>
  <cellStyles count="3">
    <cellStyle name="Currency 2" xfId="2" xr:uid="{00000000-0005-0000-0000-000001000000}"/>
    <cellStyle name="Hyperlink" xfId="1" builtinId="8"/>
    <cellStyle name="Normal" xfId="0" builtinId="0"/>
  </cellStyles>
  <dxfs count="22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661"/>
  <sheetViews>
    <sheetView tabSelected="1" zoomScaleNormal="100" workbookViewId="0">
      <pane xSplit="4" ySplit="1" topLeftCell="E819" activePane="bottomRight" state="frozen"/>
      <selection activeCell="D526" sqref="D526"/>
      <selection pane="topRight" activeCell="D526" sqref="D526"/>
      <selection pane="bottomLeft" activeCell="D526" sqref="D526"/>
      <selection pane="bottomRight" activeCell="H831" sqref="H831"/>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63" width="8.7109375" customWidth="1"/>
    <col min="64" max="64" width="8.7109375" style="25" customWidth="1"/>
    <col min="65" max="72" width="8.7109375" customWidth="1"/>
    <col min="73" max="73" width="8.5703125" customWidth="1"/>
    <col min="74" max="97" width="8.7109375" customWidth="1"/>
    <col min="98" max="98" width="9.140625" style="34" hidden="1" customWidth="1"/>
    <col min="99" max="102" width="9.140625" hidden="1" customWidth="1"/>
  </cols>
  <sheetData>
    <row r="1" spans="1:103" x14ac:dyDescent="0.25">
      <c r="A1" s="1" t="s">
        <v>0</v>
      </c>
      <c r="B1" s="1" t="s">
        <v>1</v>
      </c>
      <c r="C1" s="27" t="s">
        <v>327</v>
      </c>
      <c r="D1" s="10" t="s">
        <v>3887</v>
      </c>
      <c r="E1" s="28" t="s">
        <v>147</v>
      </c>
      <c r="F1" s="29" t="s">
        <v>86</v>
      </c>
      <c r="G1" s="29" t="s">
        <v>87</v>
      </c>
      <c r="H1" s="31" t="s">
        <v>88</v>
      </c>
      <c r="I1" s="10" t="s">
        <v>4067</v>
      </c>
      <c r="J1" s="29" t="s">
        <v>4068</v>
      </c>
      <c r="K1" s="29"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60</v>
      </c>
      <c r="BD1" s="3" t="s">
        <v>61</v>
      </c>
      <c r="BE1" s="3" t="s">
        <v>62</v>
      </c>
      <c r="BF1" s="17" t="s">
        <v>63</v>
      </c>
      <c r="BG1" s="3" t="s">
        <v>56</v>
      </c>
      <c r="BH1" s="3" t="s">
        <v>55</v>
      </c>
      <c r="BI1" s="17" t="s">
        <v>54</v>
      </c>
      <c r="BJ1" s="3" t="s">
        <v>65</v>
      </c>
      <c r="BK1" s="3" t="s">
        <v>66</v>
      </c>
      <c r="BL1" s="24" t="s">
        <v>67</v>
      </c>
      <c r="BM1" s="4" t="s">
        <v>68</v>
      </c>
      <c r="BN1" s="4" t="s">
        <v>231</v>
      </c>
      <c r="BO1" s="4" t="s">
        <v>262</v>
      </c>
      <c r="BP1" s="4" t="s">
        <v>151</v>
      </c>
      <c r="BQ1" s="4" t="s">
        <v>123</v>
      </c>
      <c r="BR1" s="4" t="s">
        <v>133</v>
      </c>
      <c r="BS1" s="4" t="s">
        <v>132</v>
      </c>
      <c r="BT1" s="19" t="s">
        <v>69</v>
      </c>
      <c r="BU1" s="49" t="s">
        <v>70</v>
      </c>
      <c r="BV1" s="49" t="s">
        <v>71</v>
      </c>
      <c r="BW1" s="49" t="s">
        <v>117</v>
      </c>
      <c r="BX1" s="50" t="s">
        <v>118</v>
      </c>
      <c r="BY1" s="4" t="s">
        <v>126</v>
      </c>
      <c r="BZ1" s="4" t="s">
        <v>136</v>
      </c>
      <c r="CA1" s="4" t="s">
        <v>152</v>
      </c>
      <c r="CB1" s="4" t="s">
        <v>479</v>
      </c>
      <c r="CC1" s="19" t="s">
        <v>127</v>
      </c>
      <c r="CD1" s="4" t="s">
        <v>72</v>
      </c>
      <c r="CE1" s="4" t="s">
        <v>73</v>
      </c>
      <c r="CF1" s="4" t="s">
        <v>74</v>
      </c>
      <c r="CG1" s="4" t="s">
        <v>102</v>
      </c>
      <c r="CH1" s="4" t="s">
        <v>75</v>
      </c>
      <c r="CI1" s="4" t="s">
        <v>76</v>
      </c>
      <c r="CJ1" s="4" t="s">
        <v>77</v>
      </c>
      <c r="CK1" s="4" t="s">
        <v>78</v>
      </c>
      <c r="CL1" s="4" t="s">
        <v>80</v>
      </c>
      <c r="CM1" s="4" t="s">
        <v>134</v>
      </c>
      <c r="CN1" s="19" t="s">
        <v>79</v>
      </c>
      <c r="CO1" s="44" t="s">
        <v>81</v>
      </c>
      <c r="CP1" s="44" t="s">
        <v>82</v>
      </c>
      <c r="CQ1" s="44" t="s">
        <v>83</v>
      </c>
      <c r="CR1" s="44" t="s">
        <v>353</v>
      </c>
      <c r="CS1" s="44" t="s">
        <v>84</v>
      </c>
      <c r="CT1" s="123" t="s">
        <v>3888</v>
      </c>
      <c r="CU1" s="124" t="s">
        <v>3890</v>
      </c>
      <c r="CV1" s="124" t="s">
        <v>448</v>
      </c>
      <c r="CW1" s="124" t="s">
        <v>449</v>
      </c>
      <c r="CX1" s="124" t="s">
        <v>450</v>
      </c>
    </row>
    <row r="2" spans="1:103"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7" si="2">IFERROR(F2/SQRT(F2^2+U2), "X")</f>
        <v>0.12240880647423871</v>
      </c>
      <c r="J2" s="33">
        <f t="shared" ref="J2:J7" si="3">IFERROR(SQRT((1-I2^2)/U2), "X")</f>
        <v>9.291757587153433E-3</v>
      </c>
      <c r="K2" s="33">
        <f t="shared" ref="K2:K7"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v>0</v>
      </c>
      <c r="BF2" s="18">
        <v>0</v>
      </c>
      <c r="BG2">
        <v>1</v>
      </c>
      <c r="BH2">
        <v>0</v>
      </c>
      <c r="BI2" s="18">
        <v>0</v>
      </c>
      <c r="BJ2">
        <v>25844</v>
      </c>
      <c r="BK2">
        <v>22164</v>
      </c>
      <c r="BL2" s="25">
        <v>44.5</v>
      </c>
      <c r="BM2">
        <v>1</v>
      </c>
      <c r="BN2">
        <v>0</v>
      </c>
      <c r="BO2">
        <v>0</v>
      </c>
      <c r="BP2">
        <v>0</v>
      </c>
      <c r="BQ2">
        <v>0</v>
      </c>
      <c r="BR2">
        <v>0</v>
      </c>
      <c r="BS2">
        <v>0</v>
      </c>
      <c r="BT2" s="18">
        <v>0</v>
      </c>
      <c r="BU2">
        <v>0</v>
      </c>
      <c r="BV2">
        <v>1</v>
      </c>
      <c r="BW2">
        <v>0</v>
      </c>
      <c r="BX2" s="18">
        <v>0</v>
      </c>
      <c r="BY2">
        <v>0</v>
      </c>
      <c r="BZ2">
        <v>0</v>
      </c>
      <c r="CA2">
        <v>0</v>
      </c>
      <c r="CB2">
        <v>0</v>
      </c>
      <c r="CC2" s="18">
        <v>0</v>
      </c>
      <c r="CD2">
        <v>0</v>
      </c>
      <c r="CE2">
        <v>0</v>
      </c>
      <c r="CF2">
        <v>1</v>
      </c>
      <c r="CG2">
        <v>0</v>
      </c>
      <c r="CH2">
        <v>0</v>
      </c>
      <c r="CI2">
        <v>0</v>
      </c>
      <c r="CJ2">
        <v>1</v>
      </c>
      <c r="CK2">
        <v>0</v>
      </c>
      <c r="CL2">
        <v>0</v>
      </c>
      <c r="CM2">
        <v>0</v>
      </c>
      <c r="CN2" s="18">
        <v>0</v>
      </c>
      <c r="CO2">
        <v>0.186</v>
      </c>
      <c r="CP2">
        <v>134</v>
      </c>
      <c r="CQ2">
        <v>1</v>
      </c>
      <c r="CR2">
        <v>0</v>
      </c>
      <c r="CS2">
        <v>12</v>
      </c>
      <c r="CY2" s="34"/>
    </row>
    <row r="3" spans="1:103"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v>0</v>
      </c>
      <c r="BF3" s="18">
        <v>0</v>
      </c>
      <c r="BG3">
        <v>1</v>
      </c>
      <c r="BH3">
        <v>0</v>
      </c>
      <c r="BI3" s="18">
        <v>0</v>
      </c>
      <c r="BJ3">
        <v>25844</v>
      </c>
      <c r="BK3">
        <v>22164</v>
      </c>
      <c r="BL3" s="25">
        <v>44.5</v>
      </c>
      <c r="BM3">
        <v>1</v>
      </c>
      <c r="BN3">
        <v>0</v>
      </c>
      <c r="BO3">
        <v>0</v>
      </c>
      <c r="BP3">
        <v>0</v>
      </c>
      <c r="BQ3">
        <v>0</v>
      </c>
      <c r="BR3">
        <v>0</v>
      </c>
      <c r="BS3">
        <v>0</v>
      </c>
      <c r="BT3" s="18">
        <v>0</v>
      </c>
      <c r="BU3">
        <v>0</v>
      </c>
      <c r="BV3">
        <v>1</v>
      </c>
      <c r="BW3">
        <v>0</v>
      </c>
      <c r="BX3" s="18">
        <v>0</v>
      </c>
      <c r="BY3">
        <v>0</v>
      </c>
      <c r="BZ3">
        <v>0</v>
      </c>
      <c r="CA3">
        <v>0</v>
      </c>
      <c r="CB3">
        <v>0</v>
      </c>
      <c r="CC3" s="18">
        <v>0</v>
      </c>
      <c r="CD3">
        <v>0</v>
      </c>
      <c r="CE3">
        <v>0</v>
      </c>
      <c r="CF3">
        <v>1</v>
      </c>
      <c r="CG3">
        <v>0</v>
      </c>
      <c r="CH3">
        <v>0</v>
      </c>
      <c r="CI3">
        <v>0</v>
      </c>
      <c r="CJ3">
        <v>1</v>
      </c>
      <c r="CK3">
        <v>0</v>
      </c>
      <c r="CL3">
        <v>0</v>
      </c>
      <c r="CM3">
        <v>0</v>
      </c>
      <c r="CN3" s="18">
        <v>0</v>
      </c>
      <c r="CO3">
        <v>0.186</v>
      </c>
      <c r="CP3">
        <v>134</v>
      </c>
      <c r="CQ3">
        <v>1</v>
      </c>
      <c r="CR3">
        <v>0</v>
      </c>
      <c r="CS3">
        <v>12</v>
      </c>
      <c r="CY3" s="34"/>
    </row>
    <row r="4" spans="1:103"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v>0</v>
      </c>
      <c r="BF4" s="18">
        <v>0</v>
      </c>
      <c r="BG4">
        <v>1</v>
      </c>
      <c r="BH4">
        <v>0</v>
      </c>
      <c r="BI4" s="18">
        <v>0</v>
      </c>
      <c r="BJ4">
        <v>25844</v>
      </c>
      <c r="BK4">
        <v>22164</v>
      </c>
      <c r="BL4" s="25">
        <v>44.5</v>
      </c>
      <c r="BM4">
        <v>1</v>
      </c>
      <c r="BN4">
        <v>0</v>
      </c>
      <c r="BO4">
        <v>0</v>
      </c>
      <c r="BP4">
        <v>0</v>
      </c>
      <c r="BQ4">
        <v>0</v>
      </c>
      <c r="BR4">
        <v>0</v>
      </c>
      <c r="BS4">
        <v>0</v>
      </c>
      <c r="BT4" s="18">
        <v>0</v>
      </c>
      <c r="BU4">
        <v>0</v>
      </c>
      <c r="BV4">
        <v>1</v>
      </c>
      <c r="BW4">
        <v>0</v>
      </c>
      <c r="BX4" s="18">
        <v>0</v>
      </c>
      <c r="BY4">
        <v>0</v>
      </c>
      <c r="BZ4">
        <v>0</v>
      </c>
      <c r="CA4">
        <v>0</v>
      </c>
      <c r="CB4">
        <v>0</v>
      </c>
      <c r="CC4" s="18">
        <v>0</v>
      </c>
      <c r="CD4">
        <v>0</v>
      </c>
      <c r="CE4">
        <v>0</v>
      </c>
      <c r="CF4">
        <v>1</v>
      </c>
      <c r="CG4">
        <v>0</v>
      </c>
      <c r="CH4">
        <v>0</v>
      </c>
      <c r="CI4">
        <v>0</v>
      </c>
      <c r="CJ4">
        <v>1</v>
      </c>
      <c r="CK4">
        <v>0</v>
      </c>
      <c r="CL4">
        <v>0</v>
      </c>
      <c r="CM4">
        <v>0</v>
      </c>
      <c r="CN4" s="18">
        <v>0</v>
      </c>
      <c r="CO4">
        <v>0.186</v>
      </c>
      <c r="CP4">
        <v>134</v>
      </c>
      <c r="CQ4">
        <v>1</v>
      </c>
      <c r="CR4">
        <v>0</v>
      </c>
      <c r="CS4">
        <v>12</v>
      </c>
      <c r="CY4" s="34"/>
    </row>
    <row r="5" spans="1:103"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BL5-W5-6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v>0</v>
      </c>
      <c r="BF5" s="65">
        <v>0</v>
      </c>
      <c r="BG5">
        <v>1</v>
      </c>
      <c r="BH5">
        <v>0</v>
      </c>
      <c r="BI5" s="65">
        <v>0</v>
      </c>
      <c r="BJ5">
        <v>25844</v>
      </c>
      <c r="BK5">
        <v>22164</v>
      </c>
      <c r="BL5" s="52">
        <v>44.5</v>
      </c>
      <c r="BM5" s="51">
        <v>1</v>
      </c>
      <c r="BN5" s="51">
        <v>0</v>
      </c>
      <c r="BO5" s="51">
        <v>0</v>
      </c>
      <c r="BP5" s="51">
        <v>0</v>
      </c>
      <c r="BQ5" s="51">
        <v>0</v>
      </c>
      <c r="BR5" s="51">
        <v>0</v>
      </c>
      <c r="BS5" s="51">
        <v>0</v>
      </c>
      <c r="BT5" s="65">
        <v>0</v>
      </c>
      <c r="BU5" s="51">
        <v>0</v>
      </c>
      <c r="BV5" s="51">
        <v>1</v>
      </c>
      <c r="BW5" s="51">
        <v>0</v>
      </c>
      <c r="BX5" s="65">
        <v>0</v>
      </c>
      <c r="BY5" s="51">
        <v>0</v>
      </c>
      <c r="BZ5" s="51">
        <v>0</v>
      </c>
      <c r="CA5" s="51">
        <v>0</v>
      </c>
      <c r="CB5" s="51">
        <v>0</v>
      </c>
      <c r="CC5" s="65">
        <v>0</v>
      </c>
      <c r="CD5" s="51">
        <v>0</v>
      </c>
      <c r="CE5" s="51">
        <v>0</v>
      </c>
      <c r="CF5" s="51">
        <v>1</v>
      </c>
      <c r="CG5" s="51">
        <v>0</v>
      </c>
      <c r="CH5" s="51">
        <v>0</v>
      </c>
      <c r="CI5" s="51">
        <v>0</v>
      </c>
      <c r="CJ5" s="51">
        <v>1</v>
      </c>
      <c r="CK5" s="51">
        <v>0</v>
      </c>
      <c r="CL5" s="51">
        <v>0</v>
      </c>
      <c r="CM5" s="51">
        <v>0</v>
      </c>
      <c r="CN5" s="65">
        <v>0</v>
      </c>
      <c r="CO5">
        <v>0.186</v>
      </c>
      <c r="CP5">
        <v>134</v>
      </c>
      <c r="CQ5">
        <v>1</v>
      </c>
      <c r="CR5">
        <v>0</v>
      </c>
      <c r="CS5">
        <v>12</v>
      </c>
      <c r="CT5" s="67"/>
      <c r="CY5" s="67"/>
    </row>
    <row r="6" spans="1:103"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v>0</v>
      </c>
      <c r="BF6" s="18">
        <v>0</v>
      </c>
      <c r="BG6">
        <v>1</v>
      </c>
      <c r="BH6">
        <v>0</v>
      </c>
      <c r="BI6" s="18">
        <v>0</v>
      </c>
      <c r="BJ6">
        <v>10169</v>
      </c>
      <c r="BK6">
        <v>11952</v>
      </c>
      <c r="BL6" s="25">
        <v>38.43</v>
      </c>
      <c r="BM6">
        <v>1</v>
      </c>
      <c r="BN6">
        <v>0</v>
      </c>
      <c r="BO6">
        <v>0</v>
      </c>
      <c r="BP6">
        <v>0</v>
      </c>
      <c r="BQ6">
        <v>0</v>
      </c>
      <c r="BR6">
        <v>0</v>
      </c>
      <c r="BS6">
        <v>0</v>
      </c>
      <c r="BT6" s="18">
        <v>0</v>
      </c>
      <c r="BU6">
        <v>0</v>
      </c>
      <c r="BV6">
        <v>0</v>
      </c>
      <c r="BW6">
        <v>1</v>
      </c>
      <c r="BX6" s="18">
        <v>0</v>
      </c>
      <c r="BY6">
        <v>0</v>
      </c>
      <c r="BZ6">
        <v>0</v>
      </c>
      <c r="CA6">
        <v>0</v>
      </c>
      <c r="CB6">
        <v>0</v>
      </c>
      <c r="CC6" s="18">
        <v>0</v>
      </c>
      <c r="CD6">
        <v>0</v>
      </c>
      <c r="CE6">
        <v>0</v>
      </c>
      <c r="CF6">
        <v>1</v>
      </c>
      <c r="CG6">
        <v>1</v>
      </c>
      <c r="CH6">
        <v>0</v>
      </c>
      <c r="CI6">
        <v>0</v>
      </c>
      <c r="CJ6">
        <v>0</v>
      </c>
      <c r="CK6">
        <v>0</v>
      </c>
      <c r="CL6">
        <v>0</v>
      </c>
      <c r="CM6">
        <v>0</v>
      </c>
      <c r="CN6" s="18">
        <v>0</v>
      </c>
      <c r="CO6">
        <v>0.03</v>
      </c>
      <c r="CP6">
        <v>16</v>
      </c>
      <c r="CQ6">
        <v>1</v>
      </c>
      <c r="CR6">
        <v>0</v>
      </c>
      <c r="CS6">
        <v>17</v>
      </c>
      <c r="CY6" s="34"/>
    </row>
    <row r="7" spans="1:103"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v>0</v>
      </c>
      <c r="BF7" s="18">
        <v>0</v>
      </c>
      <c r="BG7">
        <v>1</v>
      </c>
      <c r="BH7">
        <v>0</v>
      </c>
      <c r="BI7" s="18">
        <v>0</v>
      </c>
      <c r="BJ7">
        <v>10169</v>
      </c>
      <c r="BK7">
        <v>11952</v>
      </c>
      <c r="BL7" s="25">
        <v>38.43</v>
      </c>
      <c r="BM7">
        <v>1</v>
      </c>
      <c r="BN7">
        <v>0</v>
      </c>
      <c r="BO7">
        <v>0</v>
      </c>
      <c r="BP7">
        <v>0</v>
      </c>
      <c r="BQ7">
        <v>0</v>
      </c>
      <c r="BR7">
        <v>0</v>
      </c>
      <c r="BS7">
        <v>0</v>
      </c>
      <c r="BT7" s="18">
        <v>0</v>
      </c>
      <c r="BU7">
        <v>0</v>
      </c>
      <c r="BV7">
        <v>0</v>
      </c>
      <c r="BW7">
        <v>1</v>
      </c>
      <c r="BX7" s="18">
        <v>0</v>
      </c>
      <c r="BY7">
        <v>0</v>
      </c>
      <c r="BZ7">
        <v>0</v>
      </c>
      <c r="CA7">
        <v>0</v>
      </c>
      <c r="CB7">
        <v>0</v>
      </c>
      <c r="CC7" s="18">
        <v>0</v>
      </c>
      <c r="CD7">
        <v>0</v>
      </c>
      <c r="CE7">
        <v>0</v>
      </c>
      <c r="CF7">
        <v>1</v>
      </c>
      <c r="CG7">
        <v>1</v>
      </c>
      <c r="CH7">
        <v>0</v>
      </c>
      <c r="CI7">
        <v>0</v>
      </c>
      <c r="CJ7">
        <v>0</v>
      </c>
      <c r="CK7">
        <v>0</v>
      </c>
      <c r="CL7">
        <v>0</v>
      </c>
      <c r="CM7">
        <v>0</v>
      </c>
      <c r="CN7" s="18">
        <v>0</v>
      </c>
      <c r="CO7">
        <v>0.03</v>
      </c>
      <c r="CP7">
        <v>16</v>
      </c>
      <c r="CQ7">
        <v>1</v>
      </c>
      <c r="CR7">
        <v>0</v>
      </c>
      <c r="CS7">
        <v>17</v>
      </c>
      <c r="CY7" s="34"/>
    </row>
    <row r="8" spans="1:103"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ref="I8:I71" si="9">IFERROR(F8/SQRT(F8^2+U8), "X")</f>
        <v>7.3640495346074218E-3</v>
      </c>
      <c r="J8" s="33">
        <f t="shared" ref="J8:J71" si="10">IFERROR(SQRT((1-I8^2)/U8), "X")</f>
        <v>6.1309021669390051E-4</v>
      </c>
      <c r="K8" s="33">
        <f t="shared" ref="K8:K71" si="11">IFERROR(1/J8, "X")</f>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v>0</v>
      </c>
      <c r="BF8" s="18">
        <v>0</v>
      </c>
      <c r="BG8">
        <v>1</v>
      </c>
      <c r="BH8">
        <v>0</v>
      </c>
      <c r="BI8" s="18">
        <v>0</v>
      </c>
      <c r="BJ8">
        <v>10169</v>
      </c>
      <c r="BK8">
        <v>11952</v>
      </c>
      <c r="BL8" s="25">
        <v>38.43</v>
      </c>
      <c r="BM8">
        <v>1</v>
      </c>
      <c r="BN8">
        <v>0</v>
      </c>
      <c r="BO8">
        <v>0</v>
      </c>
      <c r="BP8">
        <v>0</v>
      </c>
      <c r="BQ8">
        <v>0</v>
      </c>
      <c r="BR8">
        <v>0</v>
      </c>
      <c r="BS8">
        <v>0</v>
      </c>
      <c r="BT8" s="18">
        <v>0</v>
      </c>
      <c r="BU8">
        <v>0</v>
      </c>
      <c r="BV8">
        <v>0</v>
      </c>
      <c r="BW8">
        <v>1</v>
      </c>
      <c r="BX8" s="18">
        <v>0</v>
      </c>
      <c r="BY8">
        <v>0</v>
      </c>
      <c r="BZ8">
        <v>0</v>
      </c>
      <c r="CA8">
        <v>0</v>
      </c>
      <c r="CB8">
        <v>0</v>
      </c>
      <c r="CC8" s="18">
        <v>0</v>
      </c>
      <c r="CD8">
        <v>0</v>
      </c>
      <c r="CE8">
        <v>0</v>
      </c>
      <c r="CF8">
        <v>1</v>
      </c>
      <c r="CG8">
        <v>1</v>
      </c>
      <c r="CH8">
        <v>0</v>
      </c>
      <c r="CI8">
        <v>0</v>
      </c>
      <c r="CJ8">
        <v>0</v>
      </c>
      <c r="CK8">
        <v>0</v>
      </c>
      <c r="CL8">
        <v>0</v>
      </c>
      <c r="CM8">
        <v>0</v>
      </c>
      <c r="CN8" s="18">
        <v>0</v>
      </c>
      <c r="CO8">
        <v>0.03</v>
      </c>
      <c r="CP8">
        <v>16</v>
      </c>
      <c r="CQ8">
        <v>1</v>
      </c>
      <c r="CR8">
        <v>0</v>
      </c>
      <c r="CS8">
        <v>17</v>
      </c>
      <c r="CY8" s="34"/>
    </row>
    <row r="9" spans="1:103"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9"/>
        <v>2.7220103591425464E-3</v>
      </c>
      <c r="J9" s="33">
        <f t="shared" si="10"/>
        <v>6.1310456971102082E-4</v>
      </c>
      <c r="K9" s="33">
        <f t="shared" si="11"/>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v>0</v>
      </c>
      <c r="BF9" s="18">
        <v>0</v>
      </c>
      <c r="BG9">
        <v>1</v>
      </c>
      <c r="BH9">
        <v>0</v>
      </c>
      <c r="BI9" s="18">
        <v>0</v>
      </c>
      <c r="BJ9">
        <v>10169</v>
      </c>
      <c r="BK9">
        <v>11952</v>
      </c>
      <c r="BL9" s="25">
        <v>38.43</v>
      </c>
      <c r="BM9">
        <v>1</v>
      </c>
      <c r="BN9">
        <v>0</v>
      </c>
      <c r="BO9">
        <v>0</v>
      </c>
      <c r="BP9">
        <v>0</v>
      </c>
      <c r="BQ9">
        <v>0</v>
      </c>
      <c r="BR9">
        <v>0</v>
      </c>
      <c r="BS9">
        <v>0</v>
      </c>
      <c r="BT9" s="18">
        <v>0</v>
      </c>
      <c r="BU9">
        <v>0</v>
      </c>
      <c r="BV9">
        <v>0</v>
      </c>
      <c r="BW9">
        <v>1</v>
      </c>
      <c r="BX9" s="18">
        <v>0</v>
      </c>
      <c r="BY9">
        <v>0</v>
      </c>
      <c r="BZ9">
        <v>0</v>
      </c>
      <c r="CA9">
        <v>0</v>
      </c>
      <c r="CB9">
        <v>0</v>
      </c>
      <c r="CC9" s="18">
        <v>0</v>
      </c>
      <c r="CD9">
        <v>0</v>
      </c>
      <c r="CE9">
        <v>0</v>
      </c>
      <c r="CF9">
        <v>1</v>
      </c>
      <c r="CG9">
        <v>1</v>
      </c>
      <c r="CH9">
        <v>0</v>
      </c>
      <c r="CI9">
        <v>0</v>
      </c>
      <c r="CJ9">
        <v>0</v>
      </c>
      <c r="CK9">
        <v>0</v>
      </c>
      <c r="CL9">
        <v>0</v>
      </c>
      <c r="CM9">
        <v>0</v>
      </c>
      <c r="CN9" s="18">
        <v>0</v>
      </c>
      <c r="CO9">
        <v>0.03</v>
      </c>
      <c r="CP9">
        <v>16</v>
      </c>
      <c r="CQ9">
        <v>1</v>
      </c>
      <c r="CR9">
        <v>0</v>
      </c>
      <c r="CS9">
        <v>17</v>
      </c>
      <c r="CY9" s="34"/>
    </row>
    <row r="10" spans="1:103"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9"/>
        <v>4.8610039505774397E-3</v>
      </c>
      <c r="J10" s="33">
        <f t="shared" si="10"/>
        <v>6.1309959737012752E-4</v>
      </c>
      <c r="K10" s="33">
        <f t="shared" si="11"/>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v>0</v>
      </c>
      <c r="BF10" s="18">
        <v>0</v>
      </c>
      <c r="BG10">
        <v>1</v>
      </c>
      <c r="BH10">
        <v>0</v>
      </c>
      <c r="BI10" s="18">
        <v>0</v>
      </c>
      <c r="BJ10">
        <v>10461</v>
      </c>
      <c r="BK10">
        <v>12348</v>
      </c>
      <c r="BL10" s="25">
        <v>38.43</v>
      </c>
      <c r="BM10">
        <v>1</v>
      </c>
      <c r="BN10">
        <v>0</v>
      </c>
      <c r="BO10">
        <v>0</v>
      </c>
      <c r="BP10">
        <v>0</v>
      </c>
      <c r="BQ10">
        <v>0</v>
      </c>
      <c r="BR10">
        <v>0</v>
      </c>
      <c r="BS10">
        <v>0</v>
      </c>
      <c r="BT10" s="18">
        <v>0</v>
      </c>
      <c r="BU10">
        <v>0</v>
      </c>
      <c r="BV10">
        <v>0</v>
      </c>
      <c r="BW10">
        <v>1</v>
      </c>
      <c r="BX10" s="18">
        <v>0</v>
      </c>
      <c r="BY10">
        <v>0</v>
      </c>
      <c r="BZ10">
        <v>0</v>
      </c>
      <c r="CA10">
        <v>0</v>
      </c>
      <c r="CB10">
        <v>0</v>
      </c>
      <c r="CC10" s="18">
        <v>0</v>
      </c>
      <c r="CD10">
        <v>0</v>
      </c>
      <c r="CE10">
        <v>0</v>
      </c>
      <c r="CF10">
        <v>1</v>
      </c>
      <c r="CG10">
        <v>1</v>
      </c>
      <c r="CH10">
        <v>0</v>
      </c>
      <c r="CI10">
        <v>0</v>
      </c>
      <c r="CJ10">
        <v>0</v>
      </c>
      <c r="CK10">
        <v>0</v>
      </c>
      <c r="CL10">
        <v>0</v>
      </c>
      <c r="CM10">
        <v>0</v>
      </c>
      <c r="CN10" s="18">
        <v>0</v>
      </c>
      <c r="CO10">
        <v>0.03</v>
      </c>
      <c r="CP10">
        <v>16</v>
      </c>
      <c r="CQ10">
        <v>1</v>
      </c>
      <c r="CR10">
        <v>0</v>
      </c>
      <c r="CS10">
        <v>17</v>
      </c>
      <c r="CY10" s="34"/>
    </row>
    <row r="11" spans="1:103" x14ac:dyDescent="0.25">
      <c r="A11">
        <v>10</v>
      </c>
      <c r="B11">
        <v>2</v>
      </c>
      <c r="C11" s="25" t="s">
        <v>122</v>
      </c>
      <c r="D11" s="12">
        <v>9.3011973943858628</v>
      </c>
      <c r="E11" s="14">
        <v>0.2325299348596466</v>
      </c>
      <c r="F11" s="7">
        <v>40</v>
      </c>
      <c r="G11" s="7">
        <f t="shared" si="0"/>
        <v>9.0686674595262158</v>
      </c>
      <c r="H11" s="16">
        <f t="shared" si="1"/>
        <v>9.5337273292455098</v>
      </c>
      <c r="I11" s="11">
        <f t="shared" si="9"/>
        <v>2.4516902028434182E-2</v>
      </c>
      <c r="J11" s="33">
        <f t="shared" si="10"/>
        <v>6.1292255071085453E-4</v>
      </c>
      <c r="K11" s="33">
        <f t="shared" si="11"/>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v>0</v>
      </c>
      <c r="BF11" s="18">
        <v>0</v>
      </c>
      <c r="BG11">
        <v>1</v>
      </c>
      <c r="BH11">
        <v>0</v>
      </c>
      <c r="BI11" s="18">
        <v>0</v>
      </c>
      <c r="BJ11">
        <v>10461</v>
      </c>
      <c r="BK11">
        <v>12348</v>
      </c>
      <c r="BL11" s="25">
        <v>38.43</v>
      </c>
      <c r="BM11">
        <v>1</v>
      </c>
      <c r="BN11">
        <v>0</v>
      </c>
      <c r="BO11">
        <v>0</v>
      </c>
      <c r="BP11">
        <v>0</v>
      </c>
      <c r="BQ11">
        <v>0</v>
      </c>
      <c r="BR11">
        <v>0</v>
      </c>
      <c r="BS11">
        <v>0</v>
      </c>
      <c r="BT11" s="18">
        <v>0</v>
      </c>
      <c r="BU11">
        <v>0</v>
      </c>
      <c r="BV11">
        <v>0</v>
      </c>
      <c r="BW11">
        <v>1</v>
      </c>
      <c r="BX11" s="18">
        <v>0</v>
      </c>
      <c r="BY11">
        <v>0</v>
      </c>
      <c r="BZ11">
        <v>0</v>
      </c>
      <c r="CA11">
        <v>0</v>
      </c>
      <c r="CB11">
        <v>0</v>
      </c>
      <c r="CC11" s="18">
        <v>0</v>
      </c>
      <c r="CD11">
        <v>0</v>
      </c>
      <c r="CE11">
        <v>0</v>
      </c>
      <c r="CF11">
        <v>1</v>
      </c>
      <c r="CG11">
        <v>1</v>
      </c>
      <c r="CH11">
        <v>0</v>
      </c>
      <c r="CI11">
        <v>0</v>
      </c>
      <c r="CJ11">
        <v>0</v>
      </c>
      <c r="CK11">
        <v>0</v>
      </c>
      <c r="CL11">
        <v>0</v>
      </c>
      <c r="CM11">
        <v>0</v>
      </c>
      <c r="CN11" s="18">
        <v>0</v>
      </c>
      <c r="CO11">
        <v>0.03</v>
      </c>
      <c r="CP11">
        <v>16</v>
      </c>
      <c r="CQ11">
        <v>1</v>
      </c>
      <c r="CR11">
        <v>0</v>
      </c>
      <c r="CS11">
        <v>17</v>
      </c>
      <c r="CY11" s="34"/>
    </row>
    <row r="12" spans="1:103"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9"/>
        <v>1.2074658764142871E-2</v>
      </c>
      <c r="J12" s="33">
        <f t="shared" si="10"/>
        <v>6.1306214475780594E-4</v>
      </c>
      <c r="K12" s="33">
        <f t="shared" si="11"/>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v>0</v>
      </c>
      <c r="BF12" s="18">
        <v>0</v>
      </c>
      <c r="BG12">
        <v>1</v>
      </c>
      <c r="BH12">
        <v>0</v>
      </c>
      <c r="BI12" s="18">
        <v>0</v>
      </c>
      <c r="BJ12">
        <v>10461</v>
      </c>
      <c r="BK12">
        <v>12348</v>
      </c>
      <c r="BL12" s="25">
        <v>38.43</v>
      </c>
      <c r="BM12">
        <v>1</v>
      </c>
      <c r="BN12">
        <v>0</v>
      </c>
      <c r="BO12">
        <v>0</v>
      </c>
      <c r="BP12">
        <v>0</v>
      </c>
      <c r="BQ12">
        <v>0</v>
      </c>
      <c r="BR12">
        <v>0</v>
      </c>
      <c r="BS12">
        <v>0</v>
      </c>
      <c r="BT12" s="18">
        <v>0</v>
      </c>
      <c r="BU12">
        <v>0</v>
      </c>
      <c r="BV12">
        <v>0</v>
      </c>
      <c r="BW12">
        <v>1</v>
      </c>
      <c r="BX12" s="18">
        <v>0</v>
      </c>
      <c r="BY12">
        <v>0</v>
      </c>
      <c r="BZ12">
        <v>0</v>
      </c>
      <c r="CA12">
        <v>0</v>
      </c>
      <c r="CB12">
        <v>0</v>
      </c>
      <c r="CC12" s="18">
        <v>0</v>
      </c>
      <c r="CD12">
        <v>0</v>
      </c>
      <c r="CE12">
        <v>0</v>
      </c>
      <c r="CF12">
        <v>1</v>
      </c>
      <c r="CG12">
        <v>1</v>
      </c>
      <c r="CH12">
        <v>0</v>
      </c>
      <c r="CI12">
        <v>0</v>
      </c>
      <c r="CJ12">
        <v>0</v>
      </c>
      <c r="CK12">
        <v>0</v>
      </c>
      <c r="CL12">
        <v>0</v>
      </c>
      <c r="CM12">
        <v>0</v>
      </c>
      <c r="CN12" s="18">
        <v>0</v>
      </c>
      <c r="CO12">
        <v>0.03</v>
      </c>
      <c r="CP12">
        <v>16</v>
      </c>
      <c r="CQ12">
        <v>1</v>
      </c>
      <c r="CR12">
        <v>0</v>
      </c>
      <c r="CS12">
        <v>17</v>
      </c>
      <c r="CY12" s="34"/>
    </row>
    <row r="13" spans="1:103"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9"/>
        <v>7.143225362542467E-3</v>
      </c>
      <c r="J13" s="33">
        <f t="shared" si="10"/>
        <v>6.1309119878108964E-4</v>
      </c>
      <c r="K13" s="33">
        <f t="shared" si="11"/>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v>0</v>
      </c>
      <c r="BF13" s="18">
        <v>0</v>
      </c>
      <c r="BG13">
        <v>1</v>
      </c>
      <c r="BH13">
        <v>0</v>
      </c>
      <c r="BI13" s="18">
        <v>0</v>
      </c>
      <c r="BJ13">
        <v>10461</v>
      </c>
      <c r="BK13">
        <v>12348</v>
      </c>
      <c r="BL13" s="25">
        <v>38.43</v>
      </c>
      <c r="BM13">
        <v>1</v>
      </c>
      <c r="BN13">
        <v>0</v>
      </c>
      <c r="BO13">
        <v>0</v>
      </c>
      <c r="BP13">
        <v>0</v>
      </c>
      <c r="BQ13">
        <v>0</v>
      </c>
      <c r="BR13">
        <v>0</v>
      </c>
      <c r="BS13">
        <v>0</v>
      </c>
      <c r="BT13" s="18">
        <v>0</v>
      </c>
      <c r="BU13">
        <v>0</v>
      </c>
      <c r="BV13">
        <v>0</v>
      </c>
      <c r="BW13">
        <v>1</v>
      </c>
      <c r="BX13" s="18">
        <v>0</v>
      </c>
      <c r="BY13">
        <v>0</v>
      </c>
      <c r="BZ13">
        <v>0</v>
      </c>
      <c r="CA13">
        <v>0</v>
      </c>
      <c r="CB13">
        <v>0</v>
      </c>
      <c r="CC13" s="18">
        <v>0</v>
      </c>
      <c r="CD13">
        <v>0</v>
      </c>
      <c r="CE13">
        <v>0</v>
      </c>
      <c r="CF13">
        <v>1</v>
      </c>
      <c r="CG13">
        <v>1</v>
      </c>
      <c r="CH13">
        <v>0</v>
      </c>
      <c r="CI13">
        <v>0</v>
      </c>
      <c r="CJ13">
        <v>0</v>
      </c>
      <c r="CK13">
        <v>0</v>
      </c>
      <c r="CL13">
        <v>0</v>
      </c>
      <c r="CM13">
        <v>0</v>
      </c>
      <c r="CN13" s="18">
        <v>0</v>
      </c>
      <c r="CO13">
        <v>0.03</v>
      </c>
      <c r="CP13">
        <v>16</v>
      </c>
      <c r="CQ13">
        <v>1</v>
      </c>
      <c r="CR13">
        <v>0</v>
      </c>
      <c r="CS13">
        <v>17</v>
      </c>
      <c r="CY13" s="34"/>
    </row>
    <row r="14" spans="1:103" x14ac:dyDescent="0.25">
      <c r="A14">
        <v>13</v>
      </c>
      <c r="B14">
        <v>2</v>
      </c>
      <c r="C14" s="25" t="s">
        <v>122</v>
      </c>
      <c r="D14" s="12">
        <v>6.0884511510989503</v>
      </c>
      <c r="E14" s="14">
        <v>1.0042806022431261</v>
      </c>
      <c r="F14" s="7">
        <v>6.0625</v>
      </c>
      <c r="G14" s="7">
        <f t="shared" si="0"/>
        <v>5.0841705488558242</v>
      </c>
      <c r="H14" s="16">
        <f t="shared" si="1"/>
        <v>7.0927317533420764</v>
      </c>
      <c r="I14" s="11">
        <f t="shared" si="9"/>
        <v>3.7169345478992978E-3</v>
      </c>
      <c r="J14" s="33">
        <f t="shared" si="10"/>
        <v>6.1310260583905939E-4</v>
      </c>
      <c r="K14" s="33">
        <f t="shared" si="11"/>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v>0</v>
      </c>
      <c r="BF14" s="18">
        <v>0</v>
      </c>
      <c r="BG14">
        <v>1</v>
      </c>
      <c r="BH14">
        <v>0</v>
      </c>
      <c r="BI14" s="18">
        <v>0</v>
      </c>
      <c r="BJ14">
        <v>11381</v>
      </c>
      <c r="BK14">
        <v>12488</v>
      </c>
      <c r="BL14" s="25">
        <v>38.43</v>
      </c>
      <c r="BM14">
        <v>1</v>
      </c>
      <c r="BN14">
        <v>0</v>
      </c>
      <c r="BO14">
        <v>0</v>
      </c>
      <c r="BP14">
        <v>0</v>
      </c>
      <c r="BQ14">
        <v>0</v>
      </c>
      <c r="BR14">
        <v>0</v>
      </c>
      <c r="BS14">
        <v>0</v>
      </c>
      <c r="BT14" s="18">
        <v>0</v>
      </c>
      <c r="BU14">
        <v>0</v>
      </c>
      <c r="BV14">
        <v>0</v>
      </c>
      <c r="BW14">
        <v>1</v>
      </c>
      <c r="BX14" s="18">
        <v>0</v>
      </c>
      <c r="BY14">
        <v>0</v>
      </c>
      <c r="BZ14">
        <v>0</v>
      </c>
      <c r="CA14">
        <v>0</v>
      </c>
      <c r="CB14">
        <v>0</v>
      </c>
      <c r="CC14" s="18">
        <v>0</v>
      </c>
      <c r="CD14">
        <v>0</v>
      </c>
      <c r="CE14">
        <v>0</v>
      </c>
      <c r="CF14">
        <v>1</v>
      </c>
      <c r="CG14">
        <v>1</v>
      </c>
      <c r="CH14">
        <v>0</v>
      </c>
      <c r="CI14">
        <v>0</v>
      </c>
      <c r="CJ14">
        <v>0</v>
      </c>
      <c r="CK14">
        <v>0</v>
      </c>
      <c r="CL14">
        <v>0</v>
      </c>
      <c r="CM14">
        <v>0</v>
      </c>
      <c r="CN14" s="18">
        <v>0</v>
      </c>
      <c r="CO14">
        <v>0.03</v>
      </c>
      <c r="CP14">
        <v>16</v>
      </c>
      <c r="CQ14">
        <v>1</v>
      </c>
      <c r="CR14">
        <v>0</v>
      </c>
      <c r="CS14">
        <v>17</v>
      </c>
      <c r="CY14" s="34"/>
    </row>
    <row r="15" spans="1:103" x14ac:dyDescent="0.25">
      <c r="A15">
        <v>14</v>
      </c>
      <c r="B15">
        <v>2</v>
      </c>
      <c r="C15" s="25" t="s">
        <v>122</v>
      </c>
      <c r="D15" s="12">
        <v>8.8490569773641781</v>
      </c>
      <c r="E15" s="14">
        <v>0.16759577608644269</v>
      </c>
      <c r="F15" s="7">
        <v>52.8</v>
      </c>
      <c r="G15" s="7">
        <f t="shared" si="0"/>
        <v>8.6814612012777346</v>
      </c>
      <c r="H15" s="16">
        <f t="shared" si="1"/>
        <v>9.0166527534506216</v>
      </c>
      <c r="I15" s="11">
        <f t="shared" si="9"/>
        <v>3.2355092403702469E-2</v>
      </c>
      <c r="J15" s="33">
        <f t="shared" si="10"/>
        <v>6.1278584097921337E-4</v>
      </c>
      <c r="K15" s="33">
        <f t="shared" si="11"/>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v>0</v>
      </c>
      <c r="BF15" s="18">
        <v>0</v>
      </c>
      <c r="BG15">
        <v>1</v>
      </c>
      <c r="BH15">
        <v>0</v>
      </c>
      <c r="BI15" s="18">
        <v>0</v>
      </c>
      <c r="BJ15">
        <v>11381</v>
      </c>
      <c r="BK15">
        <v>12488</v>
      </c>
      <c r="BL15" s="25">
        <v>38.43</v>
      </c>
      <c r="BM15">
        <v>1</v>
      </c>
      <c r="BN15">
        <v>0</v>
      </c>
      <c r="BO15">
        <v>0</v>
      </c>
      <c r="BP15">
        <v>0</v>
      </c>
      <c r="BQ15">
        <v>0</v>
      </c>
      <c r="BR15">
        <v>0</v>
      </c>
      <c r="BS15">
        <v>0</v>
      </c>
      <c r="BT15" s="18">
        <v>0</v>
      </c>
      <c r="BU15">
        <v>0</v>
      </c>
      <c r="BV15">
        <v>0</v>
      </c>
      <c r="BW15">
        <v>1</v>
      </c>
      <c r="BX15" s="18">
        <v>0</v>
      </c>
      <c r="BY15">
        <v>0</v>
      </c>
      <c r="BZ15">
        <v>0</v>
      </c>
      <c r="CA15">
        <v>0</v>
      </c>
      <c r="CB15">
        <v>0</v>
      </c>
      <c r="CC15" s="18">
        <v>0</v>
      </c>
      <c r="CD15">
        <v>0</v>
      </c>
      <c r="CE15">
        <v>0</v>
      </c>
      <c r="CF15">
        <v>1</v>
      </c>
      <c r="CG15">
        <v>1</v>
      </c>
      <c r="CH15">
        <v>0</v>
      </c>
      <c r="CI15">
        <v>0</v>
      </c>
      <c r="CJ15">
        <v>0</v>
      </c>
      <c r="CK15">
        <v>0</v>
      </c>
      <c r="CL15">
        <v>0</v>
      </c>
      <c r="CM15">
        <v>0</v>
      </c>
      <c r="CN15" s="18">
        <v>0</v>
      </c>
      <c r="CO15">
        <v>0.03</v>
      </c>
      <c r="CP15">
        <v>16</v>
      </c>
      <c r="CQ15">
        <v>1</v>
      </c>
      <c r="CR15">
        <v>0</v>
      </c>
      <c r="CS15">
        <v>17</v>
      </c>
      <c r="CY15" s="34"/>
    </row>
    <row r="16" spans="1:103" x14ac:dyDescent="0.25">
      <c r="A16">
        <v>15</v>
      </c>
      <c r="B16">
        <v>2</v>
      </c>
      <c r="C16" s="25" t="s">
        <v>122</v>
      </c>
      <c r="D16" s="12">
        <v>15.758369027902241</v>
      </c>
      <c r="E16" s="14">
        <v>0.56279889385365145</v>
      </c>
      <c r="F16" s="7">
        <v>28</v>
      </c>
      <c r="G16" s="7">
        <f t="shared" si="0"/>
        <v>15.195570134048589</v>
      </c>
      <c r="H16" s="16">
        <f t="shared" si="1"/>
        <v>16.321167921755894</v>
      </c>
      <c r="I16" s="11">
        <f t="shared" si="9"/>
        <v>1.7164462504784629E-2</v>
      </c>
      <c r="J16" s="33">
        <f t="shared" si="10"/>
        <v>6.1301651802802247E-4</v>
      </c>
      <c r="K16" s="33">
        <f t="shared" si="11"/>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v>0</v>
      </c>
      <c r="BF16" s="18">
        <v>0</v>
      </c>
      <c r="BG16">
        <v>1</v>
      </c>
      <c r="BH16">
        <v>0</v>
      </c>
      <c r="BI16" s="18">
        <v>0</v>
      </c>
      <c r="BJ16">
        <v>11381</v>
      </c>
      <c r="BK16">
        <v>12488</v>
      </c>
      <c r="BL16" s="25">
        <v>38.43</v>
      </c>
      <c r="BM16">
        <v>1</v>
      </c>
      <c r="BN16">
        <v>0</v>
      </c>
      <c r="BO16">
        <v>0</v>
      </c>
      <c r="BP16">
        <v>0</v>
      </c>
      <c r="BQ16">
        <v>0</v>
      </c>
      <c r="BR16">
        <v>0</v>
      </c>
      <c r="BS16">
        <v>0</v>
      </c>
      <c r="BT16" s="18">
        <v>0</v>
      </c>
      <c r="BU16">
        <v>0</v>
      </c>
      <c r="BV16">
        <v>0</v>
      </c>
      <c r="BW16">
        <v>1</v>
      </c>
      <c r="BX16" s="18">
        <v>0</v>
      </c>
      <c r="BY16">
        <v>0</v>
      </c>
      <c r="BZ16">
        <v>0</v>
      </c>
      <c r="CA16">
        <v>0</v>
      </c>
      <c r="CB16">
        <v>0</v>
      </c>
      <c r="CC16" s="18">
        <v>0</v>
      </c>
      <c r="CD16">
        <v>0</v>
      </c>
      <c r="CE16">
        <v>0</v>
      </c>
      <c r="CF16">
        <v>1</v>
      </c>
      <c r="CG16">
        <v>1</v>
      </c>
      <c r="CH16">
        <v>0</v>
      </c>
      <c r="CI16">
        <v>0</v>
      </c>
      <c r="CJ16">
        <v>0</v>
      </c>
      <c r="CK16">
        <v>0</v>
      </c>
      <c r="CL16">
        <v>0</v>
      </c>
      <c r="CM16">
        <v>0</v>
      </c>
      <c r="CN16" s="18">
        <v>0</v>
      </c>
      <c r="CO16">
        <v>0.03</v>
      </c>
      <c r="CP16">
        <v>16</v>
      </c>
      <c r="CQ16">
        <v>1</v>
      </c>
      <c r="CR16">
        <v>0</v>
      </c>
      <c r="CS16">
        <v>17</v>
      </c>
      <c r="CY16" s="34"/>
    </row>
    <row r="17" spans="1:103"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9"/>
        <v>1.3389610361672894E-2</v>
      </c>
      <c r="J17" s="33">
        <f t="shared" si="10"/>
        <v>6.1305187920250516E-4</v>
      </c>
      <c r="K17" s="33">
        <f t="shared" si="11"/>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v>0</v>
      </c>
      <c r="BF17" s="18">
        <v>0</v>
      </c>
      <c r="BG17">
        <v>1</v>
      </c>
      <c r="BH17">
        <v>0</v>
      </c>
      <c r="BI17" s="18">
        <v>0</v>
      </c>
      <c r="BJ17">
        <v>11381</v>
      </c>
      <c r="BK17">
        <v>12488</v>
      </c>
      <c r="BL17" s="25">
        <v>38.43</v>
      </c>
      <c r="BM17">
        <v>1</v>
      </c>
      <c r="BN17">
        <v>0</v>
      </c>
      <c r="BO17">
        <v>0</v>
      </c>
      <c r="BP17">
        <v>0</v>
      </c>
      <c r="BQ17">
        <v>0</v>
      </c>
      <c r="BR17">
        <v>0</v>
      </c>
      <c r="BS17">
        <v>0</v>
      </c>
      <c r="BT17" s="18">
        <v>0</v>
      </c>
      <c r="BU17">
        <v>0</v>
      </c>
      <c r="BV17">
        <v>0</v>
      </c>
      <c r="BW17">
        <v>1</v>
      </c>
      <c r="BX17" s="18">
        <v>0</v>
      </c>
      <c r="BY17">
        <v>0</v>
      </c>
      <c r="BZ17">
        <v>0</v>
      </c>
      <c r="CA17">
        <v>0</v>
      </c>
      <c r="CB17">
        <v>0</v>
      </c>
      <c r="CC17" s="18">
        <v>0</v>
      </c>
      <c r="CD17">
        <v>0</v>
      </c>
      <c r="CE17">
        <v>0</v>
      </c>
      <c r="CF17">
        <v>1</v>
      </c>
      <c r="CG17">
        <v>1</v>
      </c>
      <c r="CH17">
        <v>0</v>
      </c>
      <c r="CI17">
        <v>0</v>
      </c>
      <c r="CJ17">
        <v>0</v>
      </c>
      <c r="CK17">
        <v>0</v>
      </c>
      <c r="CL17">
        <v>0</v>
      </c>
      <c r="CM17">
        <v>0</v>
      </c>
      <c r="CN17" s="18">
        <v>0</v>
      </c>
      <c r="CO17">
        <v>0.03</v>
      </c>
      <c r="CP17">
        <v>16</v>
      </c>
      <c r="CQ17">
        <v>1</v>
      </c>
      <c r="CR17">
        <v>0</v>
      </c>
      <c r="CS17">
        <v>17</v>
      </c>
      <c r="CY17" s="34"/>
    </row>
    <row r="18" spans="1:103"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9"/>
        <v>1.7612813163404189E-3</v>
      </c>
      <c r="J18" s="33">
        <f t="shared" si="10"/>
        <v>6.2822773066919418E-4</v>
      </c>
      <c r="K18" s="33">
        <f t="shared" si="11"/>
        <v>1591.7794633719693</v>
      </c>
      <c r="L18" s="8">
        <v>1</v>
      </c>
      <c r="M18" s="9">
        <v>0</v>
      </c>
      <c r="N18" s="8">
        <v>0</v>
      </c>
      <c r="O18" s="9">
        <v>0</v>
      </c>
      <c r="P18" s="9">
        <v>0</v>
      </c>
      <c r="Q18" s="9">
        <v>1</v>
      </c>
      <c r="R18" s="9">
        <v>0</v>
      </c>
      <c r="S18" s="8">
        <f t="shared" ref="S18:S29" si="12">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v>0</v>
      </c>
      <c r="BF18" s="18">
        <v>0</v>
      </c>
      <c r="BG18">
        <v>1</v>
      </c>
      <c r="BH18">
        <v>0</v>
      </c>
      <c r="BI18" s="18">
        <v>0</v>
      </c>
      <c r="BJ18">
        <v>10169</v>
      </c>
      <c r="BK18">
        <v>11952</v>
      </c>
      <c r="BL18" s="25">
        <v>38.43</v>
      </c>
      <c r="BM18">
        <v>1</v>
      </c>
      <c r="BN18">
        <v>0</v>
      </c>
      <c r="BO18">
        <v>0</v>
      </c>
      <c r="BP18">
        <v>0</v>
      </c>
      <c r="BQ18">
        <v>0</v>
      </c>
      <c r="BR18">
        <v>0</v>
      </c>
      <c r="BS18">
        <v>0</v>
      </c>
      <c r="BT18" s="18">
        <v>0</v>
      </c>
      <c r="BU18">
        <v>0</v>
      </c>
      <c r="BV18">
        <v>0</v>
      </c>
      <c r="BW18">
        <v>1</v>
      </c>
      <c r="BX18" s="18">
        <v>0</v>
      </c>
      <c r="BY18">
        <v>0</v>
      </c>
      <c r="BZ18">
        <v>0</v>
      </c>
      <c r="CA18">
        <v>0</v>
      </c>
      <c r="CB18">
        <v>0</v>
      </c>
      <c r="CC18" s="18">
        <v>0</v>
      </c>
      <c r="CD18">
        <v>0</v>
      </c>
      <c r="CE18">
        <v>0</v>
      </c>
      <c r="CF18">
        <v>1</v>
      </c>
      <c r="CG18">
        <v>1</v>
      </c>
      <c r="CH18">
        <v>0</v>
      </c>
      <c r="CI18">
        <v>0</v>
      </c>
      <c r="CJ18">
        <v>0</v>
      </c>
      <c r="CK18">
        <v>0</v>
      </c>
      <c r="CL18">
        <v>0</v>
      </c>
      <c r="CM18">
        <v>0</v>
      </c>
      <c r="CN18" s="18">
        <v>0</v>
      </c>
      <c r="CO18">
        <v>0.03</v>
      </c>
      <c r="CP18">
        <v>16</v>
      </c>
      <c r="CQ18">
        <v>1</v>
      </c>
      <c r="CR18">
        <v>0</v>
      </c>
      <c r="CS18">
        <v>17</v>
      </c>
      <c r="CY18" s="34"/>
    </row>
    <row r="19" spans="1:103" x14ac:dyDescent="0.25">
      <c r="A19">
        <v>18</v>
      </c>
      <c r="B19">
        <v>2</v>
      </c>
      <c r="C19" s="25" t="s">
        <v>122</v>
      </c>
      <c r="D19" s="12">
        <v>8.3312525606173082</v>
      </c>
      <c r="E19" s="14">
        <v>0.3386688032771264</v>
      </c>
      <c r="F19" s="7">
        <v>24.6</v>
      </c>
      <c r="G19" s="7">
        <f t="shared" si="0"/>
        <v>7.9925837573401814</v>
      </c>
      <c r="H19" s="16">
        <f t="shared" si="1"/>
        <v>8.669921363894435</v>
      </c>
      <c r="I19" s="11">
        <f t="shared" si="9"/>
        <v>1.5452580913624531E-2</v>
      </c>
      <c r="J19" s="33">
        <f t="shared" si="10"/>
        <v>6.2815369567579388E-4</v>
      </c>
      <c r="K19" s="33">
        <f t="shared" si="11"/>
        <v>1591.9670725238007</v>
      </c>
      <c r="L19" s="8">
        <v>1</v>
      </c>
      <c r="M19" s="9">
        <v>0</v>
      </c>
      <c r="N19" s="8">
        <v>0</v>
      </c>
      <c r="O19" s="9">
        <v>0</v>
      </c>
      <c r="P19" s="9">
        <v>0</v>
      </c>
      <c r="Q19" s="9">
        <v>1</v>
      </c>
      <c r="R19" s="9">
        <v>0</v>
      </c>
      <c r="S19" s="8">
        <f t="shared" si="12"/>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v>0</v>
      </c>
      <c r="BF19" s="18">
        <v>0</v>
      </c>
      <c r="BG19">
        <v>1</v>
      </c>
      <c r="BH19">
        <v>0</v>
      </c>
      <c r="BI19" s="18">
        <v>0</v>
      </c>
      <c r="BJ19">
        <v>10169</v>
      </c>
      <c r="BK19">
        <v>11952</v>
      </c>
      <c r="BL19" s="25">
        <v>38.43</v>
      </c>
      <c r="BM19">
        <v>1</v>
      </c>
      <c r="BN19">
        <v>0</v>
      </c>
      <c r="BO19">
        <v>0</v>
      </c>
      <c r="BP19">
        <v>0</v>
      </c>
      <c r="BQ19">
        <v>0</v>
      </c>
      <c r="BR19">
        <v>0</v>
      </c>
      <c r="BS19">
        <v>0</v>
      </c>
      <c r="BT19" s="18">
        <v>0</v>
      </c>
      <c r="BU19">
        <v>0</v>
      </c>
      <c r="BV19">
        <v>0</v>
      </c>
      <c r="BW19">
        <v>1</v>
      </c>
      <c r="BX19" s="18">
        <v>0</v>
      </c>
      <c r="BY19">
        <v>0</v>
      </c>
      <c r="BZ19">
        <v>0</v>
      </c>
      <c r="CA19">
        <v>0</v>
      </c>
      <c r="CB19">
        <v>0</v>
      </c>
      <c r="CC19" s="18">
        <v>0</v>
      </c>
      <c r="CD19">
        <v>0</v>
      </c>
      <c r="CE19">
        <v>0</v>
      </c>
      <c r="CF19">
        <v>1</v>
      </c>
      <c r="CG19">
        <v>1</v>
      </c>
      <c r="CH19">
        <v>0</v>
      </c>
      <c r="CI19">
        <v>0</v>
      </c>
      <c r="CJ19">
        <v>0</v>
      </c>
      <c r="CK19">
        <v>0</v>
      </c>
      <c r="CL19">
        <v>0</v>
      </c>
      <c r="CM19">
        <v>0</v>
      </c>
      <c r="CN19" s="18">
        <v>0</v>
      </c>
      <c r="CO19">
        <v>0.03</v>
      </c>
      <c r="CP19">
        <v>16</v>
      </c>
      <c r="CQ19">
        <v>1</v>
      </c>
      <c r="CR19">
        <v>0</v>
      </c>
      <c r="CS19">
        <v>17</v>
      </c>
      <c r="CY19" s="34"/>
    </row>
    <row r="20" spans="1:103" x14ac:dyDescent="0.25">
      <c r="A20">
        <v>19</v>
      </c>
      <c r="B20">
        <v>2</v>
      </c>
      <c r="C20" s="25" t="s">
        <v>122</v>
      </c>
      <c r="D20" s="12">
        <v>23.00406497347964</v>
      </c>
      <c r="E20" s="14">
        <v>2.1974032213473089</v>
      </c>
      <c r="F20" s="7">
        <v>10.46875</v>
      </c>
      <c r="G20" s="7">
        <f t="shared" si="0"/>
        <v>20.806661752132332</v>
      </c>
      <c r="H20" s="16">
        <f t="shared" si="1"/>
        <v>25.201468194826948</v>
      </c>
      <c r="I20" s="11">
        <f t="shared" si="9"/>
        <v>6.5766270255624027E-3</v>
      </c>
      <c r="J20" s="33">
        <f t="shared" si="10"/>
        <v>6.2821511885969216E-4</v>
      </c>
      <c r="K20" s="33">
        <f t="shared" si="11"/>
        <v>1591.8114193353942</v>
      </c>
      <c r="L20" s="8">
        <v>1</v>
      </c>
      <c r="M20" s="9">
        <v>0</v>
      </c>
      <c r="N20" s="8">
        <v>0</v>
      </c>
      <c r="O20" s="9">
        <v>0</v>
      </c>
      <c r="P20" s="9">
        <v>0</v>
      </c>
      <c r="Q20" s="9">
        <v>1</v>
      </c>
      <c r="R20" s="9">
        <v>0</v>
      </c>
      <c r="S20" s="8">
        <f t="shared" si="12"/>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v>0</v>
      </c>
      <c r="BF20" s="18">
        <v>0</v>
      </c>
      <c r="BG20">
        <v>1</v>
      </c>
      <c r="BH20">
        <v>0</v>
      </c>
      <c r="BI20" s="18">
        <v>0</v>
      </c>
      <c r="BJ20">
        <v>10169</v>
      </c>
      <c r="BK20">
        <v>11952</v>
      </c>
      <c r="BL20" s="25">
        <v>38.43</v>
      </c>
      <c r="BM20">
        <v>1</v>
      </c>
      <c r="BN20">
        <v>0</v>
      </c>
      <c r="BO20">
        <v>0</v>
      </c>
      <c r="BP20">
        <v>0</v>
      </c>
      <c r="BQ20">
        <v>0</v>
      </c>
      <c r="BR20">
        <v>0</v>
      </c>
      <c r="BS20">
        <v>0</v>
      </c>
      <c r="BT20" s="18">
        <v>0</v>
      </c>
      <c r="BU20">
        <v>0</v>
      </c>
      <c r="BV20">
        <v>0</v>
      </c>
      <c r="BW20">
        <v>1</v>
      </c>
      <c r="BX20" s="18">
        <v>0</v>
      </c>
      <c r="BY20">
        <v>0</v>
      </c>
      <c r="BZ20">
        <v>0</v>
      </c>
      <c r="CA20">
        <v>0</v>
      </c>
      <c r="CB20">
        <v>0</v>
      </c>
      <c r="CC20" s="18">
        <v>0</v>
      </c>
      <c r="CD20">
        <v>0</v>
      </c>
      <c r="CE20">
        <v>0</v>
      </c>
      <c r="CF20">
        <v>1</v>
      </c>
      <c r="CG20">
        <v>1</v>
      </c>
      <c r="CH20">
        <v>0</v>
      </c>
      <c r="CI20">
        <v>0</v>
      </c>
      <c r="CJ20">
        <v>0</v>
      </c>
      <c r="CK20">
        <v>0</v>
      </c>
      <c r="CL20">
        <v>0</v>
      </c>
      <c r="CM20">
        <v>0</v>
      </c>
      <c r="CN20" s="18">
        <v>0</v>
      </c>
      <c r="CO20">
        <v>0.03</v>
      </c>
      <c r="CP20">
        <v>16</v>
      </c>
      <c r="CQ20">
        <v>1</v>
      </c>
      <c r="CR20">
        <v>0</v>
      </c>
      <c r="CS20">
        <v>17</v>
      </c>
      <c r="CY20" s="34"/>
    </row>
    <row r="21" spans="1:103"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9"/>
        <v>-8.5381552545522757E-4</v>
      </c>
      <c r="J21" s="33">
        <f t="shared" si="10"/>
        <v>6.2822847609810949E-4</v>
      </c>
      <c r="K21" s="33">
        <f t="shared" si="11"/>
        <v>1591.7775746348555</v>
      </c>
      <c r="L21" s="8">
        <v>1</v>
      </c>
      <c r="M21" s="9">
        <v>0</v>
      </c>
      <c r="N21" s="8">
        <v>0</v>
      </c>
      <c r="O21" s="9">
        <v>0</v>
      </c>
      <c r="P21" s="9">
        <v>0</v>
      </c>
      <c r="Q21" s="9">
        <v>1</v>
      </c>
      <c r="R21" s="9">
        <v>0</v>
      </c>
      <c r="S21" s="8">
        <f t="shared" si="12"/>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v>0</v>
      </c>
      <c r="BF21" s="18">
        <v>0</v>
      </c>
      <c r="BG21">
        <v>1</v>
      </c>
      <c r="BH21">
        <v>0</v>
      </c>
      <c r="BI21" s="18">
        <v>0</v>
      </c>
      <c r="BJ21">
        <v>10169</v>
      </c>
      <c r="BK21">
        <v>11952</v>
      </c>
      <c r="BL21" s="25">
        <v>38.43</v>
      </c>
      <c r="BM21">
        <v>1</v>
      </c>
      <c r="BN21">
        <v>0</v>
      </c>
      <c r="BO21">
        <v>0</v>
      </c>
      <c r="BP21">
        <v>0</v>
      </c>
      <c r="BQ21">
        <v>0</v>
      </c>
      <c r="BR21">
        <v>0</v>
      </c>
      <c r="BS21">
        <v>0</v>
      </c>
      <c r="BT21" s="18">
        <v>0</v>
      </c>
      <c r="BU21">
        <v>0</v>
      </c>
      <c r="BV21">
        <v>0</v>
      </c>
      <c r="BW21">
        <v>1</v>
      </c>
      <c r="BX21" s="18">
        <v>0</v>
      </c>
      <c r="BY21">
        <v>0</v>
      </c>
      <c r="BZ21">
        <v>0</v>
      </c>
      <c r="CA21">
        <v>0</v>
      </c>
      <c r="CB21">
        <v>0</v>
      </c>
      <c r="CC21" s="18">
        <v>0</v>
      </c>
      <c r="CD21">
        <v>0</v>
      </c>
      <c r="CE21">
        <v>0</v>
      </c>
      <c r="CF21">
        <v>1</v>
      </c>
      <c r="CG21">
        <v>1</v>
      </c>
      <c r="CH21">
        <v>0</v>
      </c>
      <c r="CI21">
        <v>0</v>
      </c>
      <c r="CJ21">
        <v>0</v>
      </c>
      <c r="CK21">
        <v>0</v>
      </c>
      <c r="CL21">
        <v>0</v>
      </c>
      <c r="CM21">
        <v>0</v>
      </c>
      <c r="CN21" s="18">
        <v>0</v>
      </c>
      <c r="CO21">
        <v>0.03</v>
      </c>
      <c r="CP21">
        <v>16</v>
      </c>
      <c r="CQ21">
        <v>1</v>
      </c>
      <c r="CR21">
        <v>0</v>
      </c>
      <c r="CS21">
        <v>17</v>
      </c>
      <c r="CY21" s="34"/>
    </row>
    <row r="22" spans="1:103"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9"/>
        <v>2.7971025782461555E-3</v>
      </c>
      <c r="J22" s="33">
        <f t="shared" si="10"/>
        <v>6.2822624752052704E-4</v>
      </c>
      <c r="K22" s="33">
        <f t="shared" si="11"/>
        <v>1591.7832213263669</v>
      </c>
      <c r="L22" s="8">
        <v>1</v>
      </c>
      <c r="M22" s="9">
        <v>0</v>
      </c>
      <c r="N22" s="8">
        <v>0</v>
      </c>
      <c r="O22" s="9">
        <v>0</v>
      </c>
      <c r="P22" s="9">
        <v>0</v>
      </c>
      <c r="Q22" s="9">
        <v>1</v>
      </c>
      <c r="R22" s="9">
        <v>0</v>
      </c>
      <c r="S22" s="8">
        <f t="shared" si="12"/>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v>0</v>
      </c>
      <c r="BF22" s="18">
        <v>0</v>
      </c>
      <c r="BG22">
        <v>1</v>
      </c>
      <c r="BH22">
        <v>0</v>
      </c>
      <c r="BI22" s="18">
        <v>0</v>
      </c>
      <c r="BJ22">
        <v>10461</v>
      </c>
      <c r="BK22">
        <v>12348</v>
      </c>
      <c r="BL22" s="25">
        <v>38.43</v>
      </c>
      <c r="BM22">
        <v>1</v>
      </c>
      <c r="BN22">
        <v>0</v>
      </c>
      <c r="BO22">
        <v>0</v>
      </c>
      <c r="BP22">
        <v>0</v>
      </c>
      <c r="BQ22">
        <v>0</v>
      </c>
      <c r="BR22">
        <v>0</v>
      </c>
      <c r="BS22">
        <v>0</v>
      </c>
      <c r="BT22" s="18">
        <v>0</v>
      </c>
      <c r="BU22">
        <v>0</v>
      </c>
      <c r="BV22">
        <v>0</v>
      </c>
      <c r="BW22">
        <v>1</v>
      </c>
      <c r="BX22" s="18">
        <v>0</v>
      </c>
      <c r="BY22">
        <v>0</v>
      </c>
      <c r="BZ22">
        <v>0</v>
      </c>
      <c r="CA22">
        <v>0</v>
      </c>
      <c r="CB22">
        <v>0</v>
      </c>
      <c r="CC22" s="18">
        <v>0</v>
      </c>
      <c r="CD22">
        <v>0</v>
      </c>
      <c r="CE22">
        <v>0</v>
      </c>
      <c r="CF22">
        <v>1</v>
      </c>
      <c r="CG22">
        <v>1</v>
      </c>
      <c r="CH22">
        <v>0</v>
      </c>
      <c r="CI22">
        <v>0</v>
      </c>
      <c r="CJ22">
        <v>0</v>
      </c>
      <c r="CK22">
        <v>0</v>
      </c>
      <c r="CL22">
        <v>0</v>
      </c>
      <c r="CM22">
        <v>0</v>
      </c>
      <c r="CN22" s="18">
        <v>0</v>
      </c>
      <c r="CO22">
        <v>0.03</v>
      </c>
      <c r="CP22">
        <v>16</v>
      </c>
      <c r="CQ22">
        <v>1</v>
      </c>
      <c r="CR22">
        <v>0</v>
      </c>
      <c r="CS22">
        <v>17</v>
      </c>
      <c r="CY22" s="34"/>
    </row>
    <row r="23" spans="1:103"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9"/>
        <v>1.8048164603853674E-2</v>
      </c>
      <c r="J23" s="33">
        <f t="shared" si="10"/>
        <v>6.2812637832437379E-4</v>
      </c>
      <c r="K23" s="33">
        <f t="shared" si="11"/>
        <v>1592.0363075145128</v>
      </c>
      <c r="L23" s="8">
        <v>1</v>
      </c>
      <c r="M23" s="9">
        <v>0</v>
      </c>
      <c r="N23" s="8">
        <v>0</v>
      </c>
      <c r="O23" s="9">
        <v>0</v>
      </c>
      <c r="P23" s="9">
        <v>0</v>
      </c>
      <c r="Q23" s="9">
        <v>1</v>
      </c>
      <c r="R23" s="9">
        <v>0</v>
      </c>
      <c r="S23" s="8">
        <f t="shared" si="12"/>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v>0</v>
      </c>
      <c r="BF23" s="18">
        <v>0</v>
      </c>
      <c r="BG23">
        <v>1</v>
      </c>
      <c r="BH23">
        <v>0</v>
      </c>
      <c r="BI23" s="18">
        <v>0</v>
      </c>
      <c r="BJ23">
        <v>10461</v>
      </c>
      <c r="BK23">
        <v>12348</v>
      </c>
      <c r="BL23" s="25">
        <v>38.43</v>
      </c>
      <c r="BM23">
        <v>1</v>
      </c>
      <c r="BN23">
        <v>0</v>
      </c>
      <c r="BO23">
        <v>0</v>
      </c>
      <c r="BP23">
        <v>0</v>
      </c>
      <c r="BQ23">
        <v>0</v>
      </c>
      <c r="BR23">
        <v>0</v>
      </c>
      <c r="BS23">
        <v>0</v>
      </c>
      <c r="BT23" s="18">
        <v>0</v>
      </c>
      <c r="BU23">
        <v>0</v>
      </c>
      <c r="BV23">
        <v>0</v>
      </c>
      <c r="BW23">
        <v>1</v>
      </c>
      <c r="BX23" s="18">
        <v>0</v>
      </c>
      <c r="BY23">
        <v>0</v>
      </c>
      <c r="BZ23">
        <v>0</v>
      </c>
      <c r="CA23">
        <v>0</v>
      </c>
      <c r="CB23">
        <v>0</v>
      </c>
      <c r="CC23" s="18">
        <v>0</v>
      </c>
      <c r="CD23">
        <v>0</v>
      </c>
      <c r="CE23">
        <v>0</v>
      </c>
      <c r="CF23">
        <v>1</v>
      </c>
      <c r="CG23">
        <v>1</v>
      </c>
      <c r="CH23">
        <v>0</v>
      </c>
      <c r="CI23">
        <v>0</v>
      </c>
      <c r="CJ23">
        <v>0</v>
      </c>
      <c r="CK23">
        <v>0</v>
      </c>
      <c r="CL23">
        <v>0</v>
      </c>
      <c r="CM23">
        <v>0</v>
      </c>
      <c r="CN23" s="18">
        <v>0</v>
      </c>
      <c r="CO23">
        <v>0.03</v>
      </c>
      <c r="CP23">
        <v>16</v>
      </c>
      <c r="CQ23">
        <v>1</v>
      </c>
      <c r="CR23">
        <v>0</v>
      </c>
      <c r="CS23">
        <v>17</v>
      </c>
      <c r="CY23" s="34"/>
    </row>
    <row r="24" spans="1:103"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9"/>
        <v>8.3760888905969871E-3</v>
      </c>
      <c r="J24" s="33">
        <f t="shared" si="10"/>
        <v>6.2820666679477377E-4</v>
      </c>
      <c r="K24" s="33">
        <f t="shared" si="11"/>
        <v>1591.832836003133</v>
      </c>
      <c r="L24" s="8">
        <v>1</v>
      </c>
      <c r="M24" s="9">
        <v>0</v>
      </c>
      <c r="N24" s="8">
        <v>0</v>
      </c>
      <c r="O24" s="9">
        <v>0</v>
      </c>
      <c r="P24" s="9">
        <v>0</v>
      </c>
      <c r="Q24" s="9">
        <v>1</v>
      </c>
      <c r="R24" s="9">
        <v>0</v>
      </c>
      <c r="S24" s="8">
        <f t="shared" si="12"/>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v>0</v>
      </c>
      <c r="BF24" s="18">
        <v>0</v>
      </c>
      <c r="BG24">
        <v>1</v>
      </c>
      <c r="BH24">
        <v>0</v>
      </c>
      <c r="BI24" s="18">
        <v>0</v>
      </c>
      <c r="BJ24">
        <v>10461</v>
      </c>
      <c r="BK24">
        <v>12348</v>
      </c>
      <c r="BL24" s="25">
        <v>38.43</v>
      </c>
      <c r="BM24">
        <v>1</v>
      </c>
      <c r="BN24">
        <v>0</v>
      </c>
      <c r="BO24">
        <v>0</v>
      </c>
      <c r="BP24">
        <v>0</v>
      </c>
      <c r="BQ24">
        <v>0</v>
      </c>
      <c r="BR24">
        <v>0</v>
      </c>
      <c r="BS24">
        <v>0</v>
      </c>
      <c r="BT24" s="18">
        <v>0</v>
      </c>
      <c r="BU24">
        <v>0</v>
      </c>
      <c r="BV24">
        <v>0</v>
      </c>
      <c r="BW24">
        <v>1</v>
      </c>
      <c r="BX24" s="18">
        <v>0</v>
      </c>
      <c r="BY24">
        <v>0</v>
      </c>
      <c r="BZ24">
        <v>0</v>
      </c>
      <c r="CA24">
        <v>0</v>
      </c>
      <c r="CB24">
        <v>0</v>
      </c>
      <c r="CC24" s="18">
        <v>0</v>
      </c>
      <c r="CD24">
        <v>0</v>
      </c>
      <c r="CE24">
        <v>0</v>
      </c>
      <c r="CF24">
        <v>1</v>
      </c>
      <c r="CG24">
        <v>1</v>
      </c>
      <c r="CH24">
        <v>0</v>
      </c>
      <c r="CI24">
        <v>0</v>
      </c>
      <c r="CJ24">
        <v>0</v>
      </c>
      <c r="CK24">
        <v>0</v>
      </c>
      <c r="CL24">
        <v>0</v>
      </c>
      <c r="CM24">
        <v>0</v>
      </c>
      <c r="CN24" s="18">
        <v>0</v>
      </c>
      <c r="CO24">
        <v>0.03</v>
      </c>
      <c r="CP24">
        <v>16</v>
      </c>
      <c r="CQ24">
        <v>1</v>
      </c>
      <c r="CR24">
        <v>0</v>
      </c>
      <c r="CS24">
        <v>17</v>
      </c>
      <c r="CY24" s="34"/>
    </row>
    <row r="25" spans="1:103"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9"/>
        <v>4.2015208506981754E-3</v>
      </c>
      <c r="J25" s="33">
        <f t="shared" si="10"/>
        <v>6.2822316007257967E-4</v>
      </c>
      <c r="K25" s="33">
        <f t="shared" si="11"/>
        <v>1591.7910442596042</v>
      </c>
      <c r="L25" s="8">
        <v>1</v>
      </c>
      <c r="M25" s="9">
        <v>0</v>
      </c>
      <c r="N25" s="8">
        <v>0</v>
      </c>
      <c r="O25" s="9">
        <v>0</v>
      </c>
      <c r="P25" s="9">
        <v>0</v>
      </c>
      <c r="Q25" s="9">
        <v>1</v>
      </c>
      <c r="R25" s="9">
        <v>0</v>
      </c>
      <c r="S25" s="8">
        <f t="shared" si="12"/>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v>0</v>
      </c>
      <c r="BF25" s="18">
        <v>0</v>
      </c>
      <c r="BG25">
        <v>1</v>
      </c>
      <c r="BH25">
        <v>0</v>
      </c>
      <c r="BI25" s="18">
        <v>0</v>
      </c>
      <c r="BJ25">
        <v>10461</v>
      </c>
      <c r="BK25">
        <v>12348</v>
      </c>
      <c r="BL25" s="25">
        <v>38.43</v>
      </c>
      <c r="BM25">
        <v>1</v>
      </c>
      <c r="BN25">
        <v>0</v>
      </c>
      <c r="BO25">
        <v>0</v>
      </c>
      <c r="BP25">
        <v>0</v>
      </c>
      <c r="BQ25">
        <v>0</v>
      </c>
      <c r="BR25">
        <v>0</v>
      </c>
      <c r="BS25">
        <v>0</v>
      </c>
      <c r="BT25" s="18">
        <v>0</v>
      </c>
      <c r="BU25">
        <v>0</v>
      </c>
      <c r="BV25">
        <v>0</v>
      </c>
      <c r="BW25">
        <v>1</v>
      </c>
      <c r="BX25" s="18">
        <v>0</v>
      </c>
      <c r="BY25">
        <v>0</v>
      </c>
      <c r="BZ25">
        <v>0</v>
      </c>
      <c r="CA25">
        <v>0</v>
      </c>
      <c r="CB25">
        <v>0</v>
      </c>
      <c r="CC25" s="18">
        <v>0</v>
      </c>
      <c r="CD25">
        <v>0</v>
      </c>
      <c r="CE25">
        <v>0</v>
      </c>
      <c r="CF25">
        <v>1</v>
      </c>
      <c r="CG25">
        <v>1</v>
      </c>
      <c r="CH25">
        <v>0</v>
      </c>
      <c r="CI25">
        <v>0</v>
      </c>
      <c r="CJ25">
        <v>0</v>
      </c>
      <c r="CK25">
        <v>0</v>
      </c>
      <c r="CL25">
        <v>0</v>
      </c>
      <c r="CM25">
        <v>0</v>
      </c>
      <c r="CN25" s="18">
        <v>0</v>
      </c>
      <c r="CO25">
        <v>0.03</v>
      </c>
      <c r="CP25">
        <v>16</v>
      </c>
      <c r="CQ25">
        <v>1</v>
      </c>
      <c r="CR25">
        <v>0</v>
      </c>
      <c r="CS25">
        <v>17</v>
      </c>
      <c r="CY25" s="34"/>
    </row>
    <row r="26" spans="1:103"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9"/>
        <v>2.5700180332965724E-3</v>
      </c>
      <c r="J26" s="33">
        <f t="shared" si="10"/>
        <v>6.2822663036138425E-4</v>
      </c>
      <c r="K26" s="33">
        <f t="shared" si="11"/>
        <v>1591.7822512948153</v>
      </c>
      <c r="L26" s="8">
        <v>1</v>
      </c>
      <c r="M26" s="9">
        <v>0</v>
      </c>
      <c r="N26" s="8">
        <v>0</v>
      </c>
      <c r="O26" s="9">
        <v>0</v>
      </c>
      <c r="P26" s="9">
        <v>0</v>
      </c>
      <c r="Q26" s="9">
        <v>1</v>
      </c>
      <c r="R26" s="9">
        <v>0</v>
      </c>
      <c r="S26" s="8">
        <f t="shared" si="12"/>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v>0</v>
      </c>
      <c r="BF26" s="18">
        <v>0</v>
      </c>
      <c r="BG26">
        <v>1</v>
      </c>
      <c r="BH26">
        <v>0</v>
      </c>
      <c r="BI26" s="18">
        <v>0</v>
      </c>
      <c r="BJ26">
        <v>11381</v>
      </c>
      <c r="BK26">
        <v>12488</v>
      </c>
      <c r="BL26" s="25">
        <v>38.43</v>
      </c>
      <c r="BM26">
        <v>1</v>
      </c>
      <c r="BN26">
        <v>0</v>
      </c>
      <c r="BO26">
        <v>0</v>
      </c>
      <c r="BP26">
        <v>0</v>
      </c>
      <c r="BQ26">
        <v>0</v>
      </c>
      <c r="BR26">
        <v>0</v>
      </c>
      <c r="BS26">
        <v>0</v>
      </c>
      <c r="BT26" s="18">
        <v>0</v>
      </c>
      <c r="BU26">
        <v>0</v>
      </c>
      <c r="BV26">
        <v>0</v>
      </c>
      <c r="BW26">
        <v>1</v>
      </c>
      <c r="BX26" s="18">
        <v>0</v>
      </c>
      <c r="BY26">
        <v>0</v>
      </c>
      <c r="BZ26">
        <v>0</v>
      </c>
      <c r="CA26">
        <v>0</v>
      </c>
      <c r="CB26">
        <v>0</v>
      </c>
      <c r="CC26" s="18">
        <v>0</v>
      </c>
      <c r="CD26">
        <v>0</v>
      </c>
      <c r="CE26">
        <v>0</v>
      </c>
      <c r="CF26">
        <v>1</v>
      </c>
      <c r="CG26">
        <v>1</v>
      </c>
      <c r="CH26">
        <v>0</v>
      </c>
      <c r="CI26">
        <v>0</v>
      </c>
      <c r="CJ26">
        <v>0</v>
      </c>
      <c r="CK26">
        <v>0</v>
      </c>
      <c r="CL26">
        <v>0</v>
      </c>
      <c r="CM26">
        <v>0</v>
      </c>
      <c r="CN26" s="18">
        <v>0</v>
      </c>
      <c r="CO26">
        <v>0.03</v>
      </c>
      <c r="CP26">
        <v>16</v>
      </c>
      <c r="CQ26">
        <v>1</v>
      </c>
      <c r="CR26">
        <v>0</v>
      </c>
      <c r="CS26">
        <v>17</v>
      </c>
      <c r="CY26" s="34"/>
    </row>
    <row r="27" spans="1:103"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9"/>
        <v>2.238217816477785E-2</v>
      </c>
      <c r="J27" s="33">
        <f t="shared" si="10"/>
        <v>6.2807132605243962E-4</v>
      </c>
      <c r="K27" s="33">
        <f t="shared" si="11"/>
        <v>1592.1758541107272</v>
      </c>
      <c r="L27" s="8">
        <v>1</v>
      </c>
      <c r="M27" s="9">
        <v>0</v>
      </c>
      <c r="N27" s="8">
        <v>0</v>
      </c>
      <c r="O27" s="9">
        <v>0</v>
      </c>
      <c r="P27" s="9">
        <v>0</v>
      </c>
      <c r="Q27" s="9">
        <v>1</v>
      </c>
      <c r="R27" s="9">
        <v>0</v>
      </c>
      <c r="S27" s="8">
        <f t="shared" si="12"/>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v>0</v>
      </c>
      <c r="BF27" s="18">
        <v>0</v>
      </c>
      <c r="BG27">
        <v>1</v>
      </c>
      <c r="BH27">
        <v>0</v>
      </c>
      <c r="BI27" s="18">
        <v>0</v>
      </c>
      <c r="BJ27">
        <v>11381</v>
      </c>
      <c r="BK27">
        <v>12488</v>
      </c>
      <c r="BL27" s="25">
        <v>38.43</v>
      </c>
      <c r="BM27">
        <v>1</v>
      </c>
      <c r="BN27">
        <v>0</v>
      </c>
      <c r="BO27">
        <v>0</v>
      </c>
      <c r="BP27">
        <v>0</v>
      </c>
      <c r="BQ27">
        <v>0</v>
      </c>
      <c r="BR27">
        <v>0</v>
      </c>
      <c r="BS27">
        <v>0</v>
      </c>
      <c r="BT27" s="18">
        <v>0</v>
      </c>
      <c r="BU27">
        <v>0</v>
      </c>
      <c r="BV27">
        <v>0</v>
      </c>
      <c r="BW27">
        <v>1</v>
      </c>
      <c r="BX27" s="18">
        <v>0</v>
      </c>
      <c r="BY27">
        <v>0</v>
      </c>
      <c r="BZ27">
        <v>0</v>
      </c>
      <c r="CA27">
        <v>0</v>
      </c>
      <c r="CB27">
        <v>0</v>
      </c>
      <c r="CC27" s="18">
        <v>0</v>
      </c>
      <c r="CD27">
        <v>0</v>
      </c>
      <c r="CE27">
        <v>0</v>
      </c>
      <c r="CF27">
        <v>1</v>
      </c>
      <c r="CG27">
        <v>1</v>
      </c>
      <c r="CH27">
        <v>0</v>
      </c>
      <c r="CI27">
        <v>0</v>
      </c>
      <c r="CJ27">
        <v>0</v>
      </c>
      <c r="CK27">
        <v>0</v>
      </c>
      <c r="CL27">
        <v>0</v>
      </c>
      <c r="CM27">
        <v>0</v>
      </c>
      <c r="CN27" s="18">
        <v>0</v>
      </c>
      <c r="CO27">
        <v>0.03</v>
      </c>
      <c r="CP27">
        <v>16</v>
      </c>
      <c r="CQ27">
        <v>1</v>
      </c>
      <c r="CR27">
        <v>0</v>
      </c>
      <c r="CS27">
        <v>17</v>
      </c>
      <c r="CY27" s="34"/>
    </row>
    <row r="28" spans="1:103" x14ac:dyDescent="0.25">
      <c r="A28">
        <v>27</v>
      </c>
      <c r="B28">
        <v>2</v>
      </c>
      <c r="C28" s="25" t="s">
        <v>122</v>
      </c>
      <c r="D28" s="12">
        <v>11.579568022107001</v>
      </c>
      <c r="E28" s="14">
        <v>0.58170514396769868</v>
      </c>
      <c r="F28" s="7">
        <v>19.90625</v>
      </c>
      <c r="G28" s="7">
        <f t="shared" si="0"/>
        <v>10.997862878139301</v>
      </c>
      <c r="H28" s="16">
        <f t="shared" si="1"/>
        <v>12.1612731660747</v>
      </c>
      <c r="I28" s="11">
        <f t="shared" si="9"/>
        <v>1.2504699881534159E-2</v>
      </c>
      <c r="J28" s="33">
        <f t="shared" si="10"/>
        <v>6.2817958588554644E-4</v>
      </c>
      <c r="K28" s="33">
        <f t="shared" si="11"/>
        <v>1591.9014601378638</v>
      </c>
      <c r="L28" s="8">
        <v>1</v>
      </c>
      <c r="M28" s="9">
        <v>0</v>
      </c>
      <c r="N28" s="8">
        <v>0</v>
      </c>
      <c r="O28" s="9">
        <v>0</v>
      </c>
      <c r="P28" s="9">
        <v>0</v>
      </c>
      <c r="Q28" s="9">
        <v>1</v>
      </c>
      <c r="R28" s="9">
        <v>0</v>
      </c>
      <c r="S28" s="8">
        <f t="shared" si="12"/>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v>0</v>
      </c>
      <c r="BF28" s="18">
        <v>0</v>
      </c>
      <c r="BG28">
        <v>1</v>
      </c>
      <c r="BH28">
        <v>0</v>
      </c>
      <c r="BI28" s="18">
        <v>0</v>
      </c>
      <c r="BJ28">
        <v>11381</v>
      </c>
      <c r="BK28">
        <v>12488</v>
      </c>
      <c r="BL28" s="25">
        <v>38.43</v>
      </c>
      <c r="BM28">
        <v>1</v>
      </c>
      <c r="BN28">
        <v>0</v>
      </c>
      <c r="BO28">
        <v>0</v>
      </c>
      <c r="BP28">
        <v>0</v>
      </c>
      <c r="BQ28">
        <v>0</v>
      </c>
      <c r="BR28">
        <v>0</v>
      </c>
      <c r="BS28">
        <v>0</v>
      </c>
      <c r="BT28" s="18">
        <v>0</v>
      </c>
      <c r="BU28">
        <v>0</v>
      </c>
      <c r="BV28">
        <v>0</v>
      </c>
      <c r="BW28">
        <v>1</v>
      </c>
      <c r="BX28" s="18">
        <v>0</v>
      </c>
      <c r="BY28">
        <v>0</v>
      </c>
      <c r="BZ28">
        <v>0</v>
      </c>
      <c r="CA28">
        <v>0</v>
      </c>
      <c r="CB28">
        <v>0</v>
      </c>
      <c r="CC28" s="18">
        <v>0</v>
      </c>
      <c r="CD28">
        <v>0</v>
      </c>
      <c r="CE28">
        <v>0</v>
      </c>
      <c r="CF28">
        <v>1</v>
      </c>
      <c r="CG28">
        <v>1</v>
      </c>
      <c r="CH28">
        <v>0</v>
      </c>
      <c r="CI28">
        <v>0</v>
      </c>
      <c r="CJ28">
        <v>0</v>
      </c>
      <c r="CK28">
        <v>0</v>
      </c>
      <c r="CL28">
        <v>0</v>
      </c>
      <c r="CM28">
        <v>0</v>
      </c>
      <c r="CN28" s="18">
        <v>0</v>
      </c>
      <c r="CO28">
        <v>0.03</v>
      </c>
      <c r="CP28">
        <v>16</v>
      </c>
      <c r="CQ28">
        <v>1</v>
      </c>
      <c r="CR28">
        <v>0</v>
      </c>
      <c r="CS28">
        <v>17</v>
      </c>
      <c r="CY28" s="34"/>
    </row>
    <row r="29" spans="1:103"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9"/>
        <v>6.6147340006580835E-3</v>
      </c>
      <c r="J29" s="33">
        <f t="shared" si="10"/>
        <v>6.2821496095635441E-4</v>
      </c>
      <c r="K29" s="33">
        <f t="shared" si="11"/>
        <v>1591.8118194410138</v>
      </c>
      <c r="L29" s="8">
        <v>1</v>
      </c>
      <c r="M29" s="9">
        <v>0</v>
      </c>
      <c r="N29" s="8">
        <v>0</v>
      </c>
      <c r="O29" s="9">
        <v>0</v>
      </c>
      <c r="P29" s="9">
        <v>0</v>
      </c>
      <c r="Q29" s="9">
        <v>1</v>
      </c>
      <c r="R29" s="9">
        <v>0</v>
      </c>
      <c r="S29" s="8">
        <f t="shared" si="12"/>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v>0</v>
      </c>
      <c r="BF29" s="18">
        <v>0</v>
      </c>
      <c r="BG29">
        <v>1</v>
      </c>
      <c r="BH29">
        <v>0</v>
      </c>
      <c r="BI29" s="18">
        <v>0</v>
      </c>
      <c r="BJ29">
        <v>11381</v>
      </c>
      <c r="BK29">
        <v>12488</v>
      </c>
      <c r="BL29" s="25">
        <v>38.43</v>
      </c>
      <c r="BM29">
        <v>1</v>
      </c>
      <c r="BN29">
        <v>0</v>
      </c>
      <c r="BO29">
        <v>0</v>
      </c>
      <c r="BP29">
        <v>0</v>
      </c>
      <c r="BQ29">
        <v>0</v>
      </c>
      <c r="BR29">
        <v>0</v>
      </c>
      <c r="BS29">
        <v>0</v>
      </c>
      <c r="BT29" s="18">
        <v>0</v>
      </c>
      <c r="BU29">
        <v>0</v>
      </c>
      <c r="BV29">
        <v>0</v>
      </c>
      <c r="BW29">
        <v>1</v>
      </c>
      <c r="BX29" s="18">
        <v>0</v>
      </c>
      <c r="BY29">
        <v>0</v>
      </c>
      <c r="BZ29">
        <v>0</v>
      </c>
      <c r="CA29">
        <v>0</v>
      </c>
      <c r="CB29">
        <v>0</v>
      </c>
      <c r="CC29" s="18">
        <v>0</v>
      </c>
      <c r="CD29">
        <v>0</v>
      </c>
      <c r="CE29">
        <v>0</v>
      </c>
      <c r="CF29">
        <v>1</v>
      </c>
      <c r="CG29">
        <v>1</v>
      </c>
      <c r="CH29">
        <v>0</v>
      </c>
      <c r="CI29">
        <v>0</v>
      </c>
      <c r="CJ29">
        <v>0</v>
      </c>
      <c r="CK29">
        <v>0</v>
      </c>
      <c r="CL29">
        <v>0</v>
      </c>
      <c r="CM29">
        <v>0</v>
      </c>
      <c r="CN29" s="18">
        <v>0</v>
      </c>
      <c r="CO29">
        <v>0.03</v>
      </c>
      <c r="CP29">
        <v>16</v>
      </c>
      <c r="CQ29">
        <v>1</v>
      </c>
      <c r="CR29">
        <v>0</v>
      </c>
      <c r="CS29">
        <v>17</v>
      </c>
      <c r="CY29" s="34"/>
    </row>
    <row r="30" spans="1:103"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9"/>
        <v>1.8666842736476272E-2</v>
      </c>
      <c r="J30" s="33">
        <f t="shared" si="10"/>
        <v>3.5200332017355255E-3</v>
      </c>
      <c r="K30" s="33">
        <f t="shared" si="11"/>
        <v>284.08822948231216</v>
      </c>
      <c r="L30" s="8">
        <v>1</v>
      </c>
      <c r="M30" s="9">
        <v>0</v>
      </c>
      <c r="N30" s="8">
        <v>0</v>
      </c>
      <c r="O30" s="9">
        <v>0</v>
      </c>
      <c r="P30" s="9">
        <v>0</v>
      </c>
      <c r="Q30" s="9">
        <v>1</v>
      </c>
      <c r="R30" s="9">
        <v>0</v>
      </c>
      <c r="S30" s="8">
        <f t="shared" ref="S30:S41" si="13">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v>0</v>
      </c>
      <c r="BF30" s="18">
        <v>0</v>
      </c>
      <c r="BG30">
        <v>1</v>
      </c>
      <c r="BH30">
        <v>0</v>
      </c>
      <c r="BI30" s="18">
        <v>0</v>
      </c>
      <c r="BJ30">
        <v>10169</v>
      </c>
      <c r="BK30">
        <v>11952</v>
      </c>
      <c r="BL30" s="25">
        <v>27.56</v>
      </c>
      <c r="BM30">
        <v>1</v>
      </c>
      <c r="BN30">
        <v>0</v>
      </c>
      <c r="BO30">
        <v>0</v>
      </c>
      <c r="BP30">
        <v>0</v>
      </c>
      <c r="BQ30">
        <v>0</v>
      </c>
      <c r="BR30">
        <v>0</v>
      </c>
      <c r="BS30">
        <v>0</v>
      </c>
      <c r="BT30" s="18">
        <v>0</v>
      </c>
      <c r="BU30">
        <v>1</v>
      </c>
      <c r="BV30">
        <v>0</v>
      </c>
      <c r="BW30">
        <v>0</v>
      </c>
      <c r="BX30" s="18">
        <v>0</v>
      </c>
      <c r="BY30">
        <v>0</v>
      </c>
      <c r="BZ30">
        <v>0</v>
      </c>
      <c r="CA30">
        <v>0</v>
      </c>
      <c r="CB30">
        <v>0</v>
      </c>
      <c r="CC30" s="18">
        <v>0</v>
      </c>
      <c r="CD30">
        <v>0</v>
      </c>
      <c r="CE30">
        <v>0</v>
      </c>
      <c r="CF30">
        <v>1</v>
      </c>
      <c r="CG30">
        <v>1</v>
      </c>
      <c r="CH30">
        <v>0</v>
      </c>
      <c r="CI30">
        <v>0</v>
      </c>
      <c r="CJ30">
        <v>0</v>
      </c>
      <c r="CK30">
        <v>0</v>
      </c>
      <c r="CL30">
        <v>0</v>
      </c>
      <c r="CM30">
        <v>0</v>
      </c>
      <c r="CN30" s="18">
        <v>0</v>
      </c>
      <c r="CO30">
        <v>0.03</v>
      </c>
      <c r="CP30">
        <v>16</v>
      </c>
      <c r="CQ30">
        <v>1</v>
      </c>
      <c r="CR30">
        <v>0</v>
      </c>
      <c r="CS30">
        <v>17</v>
      </c>
      <c r="CY30" s="34"/>
    </row>
    <row r="31" spans="1:103"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9"/>
        <v>7.7513693121021063E-2</v>
      </c>
      <c r="J31" s="33">
        <f t="shared" si="10"/>
        <v>3.5100540281217075E-3</v>
      </c>
      <c r="K31" s="33">
        <f t="shared" si="11"/>
        <v>284.89589960389236</v>
      </c>
      <c r="L31" s="8">
        <v>1</v>
      </c>
      <c r="M31" s="9">
        <v>0</v>
      </c>
      <c r="N31" s="8">
        <v>0</v>
      </c>
      <c r="O31" s="9">
        <v>0</v>
      </c>
      <c r="P31" s="9">
        <v>0</v>
      </c>
      <c r="Q31" s="9">
        <v>1</v>
      </c>
      <c r="R31" s="9">
        <v>0</v>
      </c>
      <c r="S31" s="8">
        <f t="shared" si="13"/>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v>0</v>
      </c>
      <c r="BF31" s="18">
        <v>0</v>
      </c>
      <c r="BG31">
        <v>1</v>
      </c>
      <c r="BH31">
        <v>0</v>
      </c>
      <c r="BI31" s="18">
        <v>0</v>
      </c>
      <c r="BJ31">
        <v>10169</v>
      </c>
      <c r="BK31">
        <v>11952</v>
      </c>
      <c r="BL31" s="25">
        <v>27.56</v>
      </c>
      <c r="BM31">
        <v>1</v>
      </c>
      <c r="BN31">
        <v>0</v>
      </c>
      <c r="BO31">
        <v>0</v>
      </c>
      <c r="BP31">
        <v>0</v>
      </c>
      <c r="BQ31">
        <v>0</v>
      </c>
      <c r="BR31">
        <v>0</v>
      </c>
      <c r="BS31">
        <v>0</v>
      </c>
      <c r="BT31" s="18">
        <v>0</v>
      </c>
      <c r="BU31">
        <v>1</v>
      </c>
      <c r="BV31">
        <v>0</v>
      </c>
      <c r="BW31">
        <v>0</v>
      </c>
      <c r="BX31" s="18">
        <v>0</v>
      </c>
      <c r="BY31">
        <v>0</v>
      </c>
      <c r="BZ31">
        <v>0</v>
      </c>
      <c r="CA31">
        <v>0</v>
      </c>
      <c r="CB31">
        <v>0</v>
      </c>
      <c r="CC31" s="18">
        <v>0</v>
      </c>
      <c r="CD31">
        <v>0</v>
      </c>
      <c r="CE31">
        <v>0</v>
      </c>
      <c r="CF31">
        <v>1</v>
      </c>
      <c r="CG31">
        <v>1</v>
      </c>
      <c r="CH31">
        <v>0</v>
      </c>
      <c r="CI31">
        <v>0</v>
      </c>
      <c r="CJ31">
        <v>0</v>
      </c>
      <c r="CK31">
        <v>0</v>
      </c>
      <c r="CL31">
        <v>0</v>
      </c>
      <c r="CM31">
        <v>0</v>
      </c>
      <c r="CN31" s="18">
        <v>0</v>
      </c>
      <c r="CO31">
        <v>0.03</v>
      </c>
      <c r="CP31">
        <v>16</v>
      </c>
      <c r="CQ31">
        <v>1</v>
      </c>
      <c r="CR31">
        <v>0</v>
      </c>
      <c r="CS31">
        <v>17</v>
      </c>
      <c r="CY31" s="34"/>
    </row>
    <row r="32" spans="1:103" x14ac:dyDescent="0.25">
      <c r="A32">
        <v>31</v>
      </c>
      <c r="B32">
        <v>2</v>
      </c>
      <c r="C32" s="25" t="s">
        <v>122</v>
      </c>
      <c r="D32" s="12">
        <v>20</v>
      </c>
      <c r="E32" s="14">
        <v>1.8969072164948451</v>
      </c>
      <c r="F32" s="7">
        <v>10.543478260869559</v>
      </c>
      <c r="G32" s="7">
        <f t="shared" si="0"/>
        <v>18.103092783505154</v>
      </c>
      <c r="H32" s="16">
        <f t="shared" si="1"/>
        <v>21.896907216494846</v>
      </c>
      <c r="I32" s="11">
        <f t="shared" si="9"/>
        <v>3.7094314294398287E-2</v>
      </c>
      <c r="J32" s="33">
        <f t="shared" si="10"/>
        <v>3.5182236237986022E-3</v>
      </c>
      <c r="K32" s="33">
        <f t="shared" si="11"/>
        <v>284.23434861718846</v>
      </c>
      <c r="L32" s="8">
        <v>1</v>
      </c>
      <c r="M32" s="9">
        <v>0</v>
      </c>
      <c r="N32" s="8">
        <v>0</v>
      </c>
      <c r="O32" s="9">
        <v>0</v>
      </c>
      <c r="P32" s="9">
        <v>0</v>
      </c>
      <c r="Q32" s="9">
        <v>1</v>
      </c>
      <c r="R32" s="9">
        <v>0</v>
      </c>
      <c r="S32" s="8">
        <f t="shared" si="13"/>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v>0</v>
      </c>
      <c r="BF32" s="18">
        <v>0</v>
      </c>
      <c r="BG32">
        <v>1</v>
      </c>
      <c r="BH32">
        <v>0</v>
      </c>
      <c r="BI32" s="18">
        <v>0</v>
      </c>
      <c r="BJ32">
        <v>10169</v>
      </c>
      <c r="BK32">
        <v>11952</v>
      </c>
      <c r="BL32" s="25">
        <v>27.56</v>
      </c>
      <c r="BM32">
        <v>1</v>
      </c>
      <c r="BN32">
        <v>0</v>
      </c>
      <c r="BO32">
        <v>0</v>
      </c>
      <c r="BP32">
        <v>0</v>
      </c>
      <c r="BQ32">
        <v>0</v>
      </c>
      <c r="BR32">
        <v>0</v>
      </c>
      <c r="BS32">
        <v>0</v>
      </c>
      <c r="BT32" s="18">
        <v>0</v>
      </c>
      <c r="BU32">
        <v>1</v>
      </c>
      <c r="BV32">
        <v>0</v>
      </c>
      <c r="BW32">
        <v>0</v>
      </c>
      <c r="BX32" s="18">
        <v>0</v>
      </c>
      <c r="BY32">
        <v>0</v>
      </c>
      <c r="BZ32">
        <v>0</v>
      </c>
      <c r="CA32">
        <v>0</v>
      </c>
      <c r="CB32">
        <v>0</v>
      </c>
      <c r="CC32" s="18">
        <v>0</v>
      </c>
      <c r="CD32">
        <v>0</v>
      </c>
      <c r="CE32">
        <v>0</v>
      </c>
      <c r="CF32">
        <v>1</v>
      </c>
      <c r="CG32">
        <v>1</v>
      </c>
      <c r="CH32">
        <v>0</v>
      </c>
      <c r="CI32">
        <v>0</v>
      </c>
      <c r="CJ32">
        <v>0</v>
      </c>
      <c r="CK32">
        <v>0</v>
      </c>
      <c r="CL32">
        <v>0</v>
      </c>
      <c r="CM32">
        <v>0</v>
      </c>
      <c r="CN32" s="18">
        <v>0</v>
      </c>
      <c r="CO32">
        <v>0.03</v>
      </c>
      <c r="CP32">
        <v>16</v>
      </c>
      <c r="CQ32">
        <v>1</v>
      </c>
      <c r="CR32">
        <v>0</v>
      </c>
      <c r="CS32">
        <v>17</v>
      </c>
      <c r="CY32" s="34"/>
    </row>
    <row r="33" spans="1:103"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9"/>
        <v>1.4130415467976604E-2</v>
      </c>
      <c r="J33" s="33">
        <f t="shared" si="10"/>
        <v>3.5202951427189097E-3</v>
      </c>
      <c r="K33" s="33">
        <f t="shared" si="11"/>
        <v>284.06709081433644</v>
      </c>
      <c r="L33" s="8">
        <v>1</v>
      </c>
      <c r="M33" s="9">
        <v>0</v>
      </c>
      <c r="N33" s="8">
        <v>0</v>
      </c>
      <c r="O33" s="9">
        <v>0</v>
      </c>
      <c r="P33" s="9">
        <v>0</v>
      </c>
      <c r="Q33" s="9">
        <v>1</v>
      </c>
      <c r="R33" s="9">
        <v>0</v>
      </c>
      <c r="S33" s="8">
        <f t="shared" si="13"/>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v>0</v>
      </c>
      <c r="BF33" s="18">
        <v>0</v>
      </c>
      <c r="BG33">
        <v>1</v>
      </c>
      <c r="BH33">
        <v>0</v>
      </c>
      <c r="BI33" s="18">
        <v>0</v>
      </c>
      <c r="BJ33">
        <v>10169</v>
      </c>
      <c r="BK33">
        <v>11952</v>
      </c>
      <c r="BL33" s="25">
        <v>27.56</v>
      </c>
      <c r="BM33">
        <v>1</v>
      </c>
      <c r="BN33">
        <v>0</v>
      </c>
      <c r="BO33">
        <v>0</v>
      </c>
      <c r="BP33">
        <v>0</v>
      </c>
      <c r="BQ33">
        <v>0</v>
      </c>
      <c r="BR33">
        <v>0</v>
      </c>
      <c r="BS33">
        <v>0</v>
      </c>
      <c r="BT33" s="18">
        <v>0</v>
      </c>
      <c r="BU33">
        <v>1</v>
      </c>
      <c r="BV33">
        <v>0</v>
      </c>
      <c r="BW33">
        <v>0</v>
      </c>
      <c r="BX33" s="18">
        <v>0</v>
      </c>
      <c r="BY33">
        <v>0</v>
      </c>
      <c r="BZ33">
        <v>0</v>
      </c>
      <c r="CA33">
        <v>0</v>
      </c>
      <c r="CB33">
        <v>0</v>
      </c>
      <c r="CC33" s="18">
        <v>0</v>
      </c>
      <c r="CD33">
        <v>0</v>
      </c>
      <c r="CE33">
        <v>0</v>
      </c>
      <c r="CF33">
        <v>1</v>
      </c>
      <c r="CG33">
        <v>1</v>
      </c>
      <c r="CH33">
        <v>0</v>
      </c>
      <c r="CI33">
        <v>0</v>
      </c>
      <c r="CJ33">
        <v>0</v>
      </c>
      <c r="CK33">
        <v>0</v>
      </c>
      <c r="CL33">
        <v>0</v>
      </c>
      <c r="CM33">
        <v>0</v>
      </c>
      <c r="CN33" s="18">
        <v>0</v>
      </c>
      <c r="CO33">
        <v>0.03</v>
      </c>
      <c r="CP33">
        <v>16</v>
      </c>
      <c r="CQ33">
        <v>1</v>
      </c>
      <c r="CR33">
        <v>0</v>
      </c>
      <c r="CS33">
        <v>17</v>
      </c>
      <c r="CY33" s="34"/>
    </row>
    <row r="34" spans="1:103"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9"/>
        <v>2.6166280131447194E-2</v>
      </c>
      <c r="J34" s="33">
        <f t="shared" si="10"/>
        <v>3.5194411872706741E-3</v>
      </c>
      <c r="K34" s="33">
        <f t="shared" si="11"/>
        <v>284.13601671107898</v>
      </c>
      <c r="L34" s="8">
        <v>1</v>
      </c>
      <c r="M34" s="9">
        <v>0</v>
      </c>
      <c r="N34" s="8">
        <v>0</v>
      </c>
      <c r="O34" s="9">
        <v>0</v>
      </c>
      <c r="P34" s="9">
        <v>0</v>
      </c>
      <c r="Q34" s="9">
        <v>1</v>
      </c>
      <c r="R34" s="9">
        <v>0</v>
      </c>
      <c r="S34" s="8">
        <f t="shared" si="13"/>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v>0</v>
      </c>
      <c r="BF34" s="18">
        <v>0</v>
      </c>
      <c r="BG34">
        <v>1</v>
      </c>
      <c r="BH34">
        <v>0</v>
      </c>
      <c r="BI34" s="18">
        <v>0</v>
      </c>
      <c r="BJ34">
        <v>10461</v>
      </c>
      <c r="BK34">
        <v>12348</v>
      </c>
      <c r="BL34" s="25">
        <v>27.56</v>
      </c>
      <c r="BM34">
        <v>1</v>
      </c>
      <c r="BN34">
        <v>0</v>
      </c>
      <c r="BO34">
        <v>0</v>
      </c>
      <c r="BP34">
        <v>0</v>
      </c>
      <c r="BQ34">
        <v>0</v>
      </c>
      <c r="BR34">
        <v>0</v>
      </c>
      <c r="BS34">
        <v>0</v>
      </c>
      <c r="BT34" s="18">
        <v>0</v>
      </c>
      <c r="BU34">
        <v>1</v>
      </c>
      <c r="BV34">
        <v>0</v>
      </c>
      <c r="BW34">
        <v>0</v>
      </c>
      <c r="BX34" s="18">
        <v>0</v>
      </c>
      <c r="BY34">
        <v>0</v>
      </c>
      <c r="BZ34">
        <v>0</v>
      </c>
      <c r="CA34">
        <v>0</v>
      </c>
      <c r="CB34">
        <v>0</v>
      </c>
      <c r="CC34" s="18">
        <v>0</v>
      </c>
      <c r="CD34">
        <v>0</v>
      </c>
      <c r="CE34">
        <v>0</v>
      </c>
      <c r="CF34">
        <v>1</v>
      </c>
      <c r="CG34">
        <v>1</v>
      </c>
      <c r="CH34">
        <v>0</v>
      </c>
      <c r="CI34">
        <v>0</v>
      </c>
      <c r="CJ34">
        <v>0</v>
      </c>
      <c r="CK34">
        <v>0</v>
      </c>
      <c r="CL34">
        <v>0</v>
      </c>
      <c r="CM34">
        <v>0</v>
      </c>
      <c r="CN34" s="18">
        <v>0</v>
      </c>
      <c r="CO34">
        <v>0.03</v>
      </c>
      <c r="CP34">
        <v>16</v>
      </c>
      <c r="CQ34">
        <v>1</v>
      </c>
      <c r="CR34">
        <v>0</v>
      </c>
      <c r="CS34">
        <v>17</v>
      </c>
      <c r="CY34" s="34"/>
    </row>
    <row r="35" spans="1:103"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9"/>
        <v>0.1220681841708002</v>
      </c>
      <c r="J35" s="33">
        <f t="shared" si="10"/>
        <v>3.4943182491641274E-3</v>
      </c>
      <c r="K35" s="33">
        <f t="shared" si="11"/>
        <v>286.17885627309676</v>
      </c>
      <c r="L35" s="8">
        <v>1</v>
      </c>
      <c r="M35" s="9">
        <v>0</v>
      </c>
      <c r="N35" s="8">
        <v>0</v>
      </c>
      <c r="O35" s="9">
        <v>0</v>
      </c>
      <c r="P35" s="9">
        <v>0</v>
      </c>
      <c r="Q35" s="9">
        <v>1</v>
      </c>
      <c r="R35" s="9">
        <v>0</v>
      </c>
      <c r="S35" s="8">
        <f t="shared" si="13"/>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v>0</v>
      </c>
      <c r="BF35" s="18">
        <v>0</v>
      </c>
      <c r="BG35">
        <v>1</v>
      </c>
      <c r="BH35">
        <v>0</v>
      </c>
      <c r="BI35" s="18">
        <v>0</v>
      </c>
      <c r="BJ35">
        <v>10461</v>
      </c>
      <c r="BK35">
        <v>12348</v>
      </c>
      <c r="BL35" s="25">
        <v>27.56</v>
      </c>
      <c r="BM35">
        <v>1</v>
      </c>
      <c r="BN35">
        <v>0</v>
      </c>
      <c r="BO35">
        <v>0</v>
      </c>
      <c r="BP35">
        <v>0</v>
      </c>
      <c r="BQ35">
        <v>0</v>
      </c>
      <c r="BR35">
        <v>0</v>
      </c>
      <c r="BS35">
        <v>0</v>
      </c>
      <c r="BT35" s="18">
        <v>0</v>
      </c>
      <c r="BU35">
        <v>1</v>
      </c>
      <c r="BV35">
        <v>0</v>
      </c>
      <c r="BW35">
        <v>0</v>
      </c>
      <c r="BX35" s="18">
        <v>0</v>
      </c>
      <c r="BY35">
        <v>0</v>
      </c>
      <c r="BZ35">
        <v>0</v>
      </c>
      <c r="CA35">
        <v>0</v>
      </c>
      <c r="CB35">
        <v>0</v>
      </c>
      <c r="CC35" s="18">
        <v>0</v>
      </c>
      <c r="CD35">
        <v>0</v>
      </c>
      <c r="CE35">
        <v>0</v>
      </c>
      <c r="CF35">
        <v>1</v>
      </c>
      <c r="CG35">
        <v>1</v>
      </c>
      <c r="CH35">
        <v>0</v>
      </c>
      <c r="CI35">
        <v>0</v>
      </c>
      <c r="CJ35">
        <v>0</v>
      </c>
      <c r="CK35">
        <v>0</v>
      </c>
      <c r="CL35">
        <v>0</v>
      </c>
      <c r="CM35">
        <v>0</v>
      </c>
      <c r="CN35" s="18">
        <v>0</v>
      </c>
      <c r="CO35">
        <v>0.03</v>
      </c>
      <c r="CP35">
        <v>16</v>
      </c>
      <c r="CQ35">
        <v>1</v>
      </c>
      <c r="CR35">
        <v>0</v>
      </c>
      <c r="CS35">
        <v>17</v>
      </c>
      <c r="CY35" s="34"/>
    </row>
    <row r="36" spans="1:103"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9"/>
        <v>6.3468142826239818E-2</v>
      </c>
      <c r="J36" s="33">
        <f t="shared" si="10"/>
        <v>3.5135485427953729E-3</v>
      </c>
      <c r="K36" s="33">
        <f t="shared" si="11"/>
        <v>284.61254706457015</v>
      </c>
      <c r="L36" s="8">
        <v>1</v>
      </c>
      <c r="M36" s="9">
        <v>0</v>
      </c>
      <c r="N36" s="8">
        <v>0</v>
      </c>
      <c r="O36" s="9">
        <v>0</v>
      </c>
      <c r="P36" s="9">
        <v>0</v>
      </c>
      <c r="Q36" s="9">
        <v>1</v>
      </c>
      <c r="R36" s="9">
        <v>0</v>
      </c>
      <c r="S36" s="8">
        <f t="shared" si="13"/>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v>0</v>
      </c>
      <c r="BF36" s="18">
        <v>0</v>
      </c>
      <c r="BG36">
        <v>1</v>
      </c>
      <c r="BH36">
        <v>0</v>
      </c>
      <c r="BI36" s="18">
        <v>0</v>
      </c>
      <c r="BJ36">
        <v>10461</v>
      </c>
      <c r="BK36">
        <v>12348</v>
      </c>
      <c r="BL36" s="25">
        <v>27.56</v>
      </c>
      <c r="BM36">
        <v>1</v>
      </c>
      <c r="BN36">
        <v>0</v>
      </c>
      <c r="BO36">
        <v>0</v>
      </c>
      <c r="BP36">
        <v>0</v>
      </c>
      <c r="BQ36">
        <v>0</v>
      </c>
      <c r="BR36">
        <v>0</v>
      </c>
      <c r="BS36">
        <v>0</v>
      </c>
      <c r="BT36" s="18">
        <v>0</v>
      </c>
      <c r="BU36">
        <v>1</v>
      </c>
      <c r="BV36">
        <v>0</v>
      </c>
      <c r="BW36">
        <v>0</v>
      </c>
      <c r="BX36" s="18">
        <v>0</v>
      </c>
      <c r="BY36">
        <v>0</v>
      </c>
      <c r="BZ36">
        <v>0</v>
      </c>
      <c r="CA36">
        <v>0</v>
      </c>
      <c r="CB36">
        <v>0</v>
      </c>
      <c r="CC36" s="18">
        <v>0</v>
      </c>
      <c r="CD36">
        <v>0</v>
      </c>
      <c r="CE36">
        <v>0</v>
      </c>
      <c r="CF36">
        <v>1</v>
      </c>
      <c r="CG36">
        <v>1</v>
      </c>
      <c r="CH36">
        <v>0</v>
      </c>
      <c r="CI36">
        <v>0</v>
      </c>
      <c r="CJ36">
        <v>0</v>
      </c>
      <c r="CK36">
        <v>0</v>
      </c>
      <c r="CL36">
        <v>0</v>
      </c>
      <c r="CM36">
        <v>0</v>
      </c>
      <c r="CN36" s="18">
        <v>0</v>
      </c>
      <c r="CO36">
        <v>0.03</v>
      </c>
      <c r="CP36">
        <v>16</v>
      </c>
      <c r="CQ36">
        <v>1</v>
      </c>
      <c r="CR36">
        <v>0</v>
      </c>
      <c r="CS36">
        <v>17</v>
      </c>
      <c r="CY36" s="34"/>
    </row>
    <row r="37" spans="1:103"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9"/>
        <v>3.7758599513370919E-2</v>
      </c>
      <c r="J37" s="33">
        <f t="shared" si="10"/>
        <v>3.5181360326651109E-3</v>
      </c>
      <c r="K37" s="33">
        <f t="shared" si="11"/>
        <v>284.24142520790053</v>
      </c>
      <c r="L37" s="8">
        <v>1</v>
      </c>
      <c r="M37" s="9">
        <v>0</v>
      </c>
      <c r="N37" s="8">
        <v>0</v>
      </c>
      <c r="O37" s="9">
        <v>0</v>
      </c>
      <c r="P37" s="9">
        <v>0</v>
      </c>
      <c r="Q37" s="9">
        <v>1</v>
      </c>
      <c r="R37" s="9">
        <v>0</v>
      </c>
      <c r="S37" s="8">
        <f t="shared" si="13"/>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v>0</v>
      </c>
      <c r="BF37" s="18">
        <v>0</v>
      </c>
      <c r="BG37">
        <v>1</v>
      </c>
      <c r="BH37">
        <v>0</v>
      </c>
      <c r="BI37" s="18">
        <v>0</v>
      </c>
      <c r="BJ37">
        <v>10461</v>
      </c>
      <c r="BK37">
        <v>12348</v>
      </c>
      <c r="BL37" s="25">
        <v>27.56</v>
      </c>
      <c r="BM37">
        <v>1</v>
      </c>
      <c r="BN37">
        <v>0</v>
      </c>
      <c r="BO37">
        <v>0</v>
      </c>
      <c r="BP37">
        <v>0</v>
      </c>
      <c r="BQ37">
        <v>0</v>
      </c>
      <c r="BR37">
        <v>0</v>
      </c>
      <c r="BS37">
        <v>0</v>
      </c>
      <c r="BT37" s="18">
        <v>0</v>
      </c>
      <c r="BU37">
        <v>1</v>
      </c>
      <c r="BV37">
        <v>0</v>
      </c>
      <c r="BW37">
        <v>0</v>
      </c>
      <c r="BX37" s="18">
        <v>0</v>
      </c>
      <c r="BY37">
        <v>0</v>
      </c>
      <c r="BZ37">
        <v>0</v>
      </c>
      <c r="CA37">
        <v>0</v>
      </c>
      <c r="CB37">
        <v>0</v>
      </c>
      <c r="CC37" s="18">
        <v>0</v>
      </c>
      <c r="CD37">
        <v>0</v>
      </c>
      <c r="CE37">
        <v>0</v>
      </c>
      <c r="CF37">
        <v>1</v>
      </c>
      <c r="CG37">
        <v>1</v>
      </c>
      <c r="CH37">
        <v>0</v>
      </c>
      <c r="CI37">
        <v>0</v>
      </c>
      <c r="CJ37">
        <v>0</v>
      </c>
      <c r="CK37">
        <v>0</v>
      </c>
      <c r="CL37">
        <v>0</v>
      </c>
      <c r="CM37">
        <v>0</v>
      </c>
      <c r="CN37" s="18">
        <v>0</v>
      </c>
      <c r="CO37">
        <v>0.03</v>
      </c>
      <c r="CP37">
        <v>16</v>
      </c>
      <c r="CQ37">
        <v>1</v>
      </c>
      <c r="CR37">
        <v>0</v>
      </c>
      <c r="CS37">
        <v>17</v>
      </c>
      <c r="CY37" s="34"/>
    </row>
    <row r="38" spans="1:103"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9"/>
        <v>1.9566906583893002E-2</v>
      </c>
      <c r="J38" s="33">
        <f t="shared" si="10"/>
        <v>3.5199726129754604E-3</v>
      </c>
      <c r="K38" s="33">
        <f t="shared" si="11"/>
        <v>284.09311945035051</v>
      </c>
      <c r="L38" s="8">
        <v>1</v>
      </c>
      <c r="M38" s="9">
        <v>0</v>
      </c>
      <c r="N38" s="8">
        <v>0</v>
      </c>
      <c r="O38" s="9">
        <v>0</v>
      </c>
      <c r="P38" s="9">
        <v>0</v>
      </c>
      <c r="Q38" s="9">
        <v>1</v>
      </c>
      <c r="R38" s="9">
        <v>0</v>
      </c>
      <c r="S38" s="8">
        <f t="shared" si="13"/>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v>0</v>
      </c>
      <c r="BF38" s="18">
        <v>0</v>
      </c>
      <c r="BG38">
        <v>1</v>
      </c>
      <c r="BH38">
        <v>0</v>
      </c>
      <c r="BI38" s="18">
        <v>0</v>
      </c>
      <c r="BJ38">
        <v>11381</v>
      </c>
      <c r="BK38">
        <v>12488</v>
      </c>
      <c r="BL38" s="25">
        <v>27.56</v>
      </c>
      <c r="BM38">
        <v>1</v>
      </c>
      <c r="BN38">
        <v>0</v>
      </c>
      <c r="BO38">
        <v>0</v>
      </c>
      <c r="BP38">
        <v>0</v>
      </c>
      <c r="BQ38">
        <v>0</v>
      </c>
      <c r="BR38">
        <v>0</v>
      </c>
      <c r="BS38">
        <v>0</v>
      </c>
      <c r="BT38" s="18">
        <v>0</v>
      </c>
      <c r="BU38">
        <v>1</v>
      </c>
      <c r="BV38">
        <v>0</v>
      </c>
      <c r="BW38">
        <v>0</v>
      </c>
      <c r="BX38" s="18">
        <v>0</v>
      </c>
      <c r="BY38">
        <v>0</v>
      </c>
      <c r="BZ38">
        <v>0</v>
      </c>
      <c r="CA38">
        <v>0</v>
      </c>
      <c r="CB38">
        <v>0</v>
      </c>
      <c r="CC38" s="18">
        <v>0</v>
      </c>
      <c r="CD38">
        <v>0</v>
      </c>
      <c r="CE38">
        <v>0</v>
      </c>
      <c r="CF38">
        <v>1</v>
      </c>
      <c r="CG38">
        <v>1</v>
      </c>
      <c r="CH38">
        <v>0</v>
      </c>
      <c r="CI38">
        <v>0</v>
      </c>
      <c r="CJ38">
        <v>0</v>
      </c>
      <c r="CK38">
        <v>0</v>
      </c>
      <c r="CL38">
        <v>0</v>
      </c>
      <c r="CM38">
        <v>0</v>
      </c>
      <c r="CN38" s="18">
        <v>0</v>
      </c>
      <c r="CO38">
        <v>0.03</v>
      </c>
      <c r="CP38">
        <v>16</v>
      </c>
      <c r="CQ38">
        <v>1</v>
      </c>
      <c r="CR38">
        <v>0</v>
      </c>
      <c r="CS38">
        <v>17</v>
      </c>
      <c r="CY38" s="34"/>
    </row>
    <row r="39" spans="1:103"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9"/>
        <v>0.15863499997865846</v>
      </c>
      <c r="J39" s="33">
        <f t="shared" si="10"/>
        <v>3.4760657365841491E-3</v>
      </c>
      <c r="K39" s="33">
        <f t="shared" si="11"/>
        <v>287.68155604061656</v>
      </c>
      <c r="L39" s="8">
        <v>1</v>
      </c>
      <c r="M39" s="9">
        <v>0</v>
      </c>
      <c r="N39" s="8">
        <v>0</v>
      </c>
      <c r="O39" s="9">
        <v>0</v>
      </c>
      <c r="P39" s="9">
        <v>0</v>
      </c>
      <c r="Q39" s="9">
        <v>1</v>
      </c>
      <c r="R39" s="9">
        <v>0</v>
      </c>
      <c r="S39" s="8">
        <f t="shared" si="13"/>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v>0</v>
      </c>
      <c r="BF39" s="18">
        <v>0</v>
      </c>
      <c r="BG39">
        <v>1</v>
      </c>
      <c r="BH39">
        <v>0</v>
      </c>
      <c r="BI39" s="18">
        <v>0</v>
      </c>
      <c r="BJ39">
        <v>11381</v>
      </c>
      <c r="BK39">
        <v>12488</v>
      </c>
      <c r="BL39" s="25">
        <v>27.56</v>
      </c>
      <c r="BM39">
        <v>1</v>
      </c>
      <c r="BN39">
        <v>0</v>
      </c>
      <c r="BO39">
        <v>0</v>
      </c>
      <c r="BP39">
        <v>0</v>
      </c>
      <c r="BQ39">
        <v>0</v>
      </c>
      <c r="BR39">
        <v>0</v>
      </c>
      <c r="BS39">
        <v>0</v>
      </c>
      <c r="BT39" s="18">
        <v>0</v>
      </c>
      <c r="BU39">
        <v>1</v>
      </c>
      <c r="BV39">
        <v>0</v>
      </c>
      <c r="BW39">
        <v>0</v>
      </c>
      <c r="BX39" s="18">
        <v>0</v>
      </c>
      <c r="BY39">
        <v>0</v>
      </c>
      <c r="BZ39">
        <v>0</v>
      </c>
      <c r="CA39">
        <v>0</v>
      </c>
      <c r="CB39">
        <v>0</v>
      </c>
      <c r="CC39" s="18">
        <v>0</v>
      </c>
      <c r="CD39">
        <v>0</v>
      </c>
      <c r="CE39">
        <v>0</v>
      </c>
      <c r="CF39">
        <v>1</v>
      </c>
      <c r="CG39">
        <v>1</v>
      </c>
      <c r="CH39">
        <v>0</v>
      </c>
      <c r="CI39">
        <v>0</v>
      </c>
      <c r="CJ39">
        <v>0</v>
      </c>
      <c r="CK39">
        <v>0</v>
      </c>
      <c r="CL39">
        <v>0</v>
      </c>
      <c r="CM39">
        <v>0</v>
      </c>
      <c r="CN39" s="18">
        <v>0</v>
      </c>
      <c r="CO39">
        <v>0.03</v>
      </c>
      <c r="CP39">
        <v>16</v>
      </c>
      <c r="CQ39">
        <v>1</v>
      </c>
      <c r="CR39">
        <v>0</v>
      </c>
      <c r="CS39">
        <v>17</v>
      </c>
      <c r="CY39" s="34"/>
    </row>
    <row r="40" spans="1:103"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9"/>
        <v>9.3510231611987529E-2</v>
      </c>
      <c r="J40" s="33">
        <f t="shared" si="10"/>
        <v>3.5052202901712372E-3</v>
      </c>
      <c r="K40" s="33">
        <f t="shared" si="11"/>
        <v>285.28877423311616</v>
      </c>
      <c r="L40" s="8">
        <v>1</v>
      </c>
      <c r="M40" s="9">
        <v>0</v>
      </c>
      <c r="N40" s="8">
        <v>0</v>
      </c>
      <c r="O40" s="9">
        <v>0</v>
      </c>
      <c r="P40" s="9">
        <v>0</v>
      </c>
      <c r="Q40" s="9">
        <v>1</v>
      </c>
      <c r="R40" s="9">
        <v>0</v>
      </c>
      <c r="S40" s="8">
        <f t="shared" si="13"/>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v>0</v>
      </c>
      <c r="BF40" s="18">
        <v>0</v>
      </c>
      <c r="BG40">
        <v>1</v>
      </c>
      <c r="BH40">
        <v>0</v>
      </c>
      <c r="BI40" s="18">
        <v>0</v>
      </c>
      <c r="BJ40">
        <v>11381</v>
      </c>
      <c r="BK40">
        <v>12488</v>
      </c>
      <c r="BL40" s="25">
        <v>27.56</v>
      </c>
      <c r="BM40">
        <v>1</v>
      </c>
      <c r="BN40">
        <v>0</v>
      </c>
      <c r="BO40">
        <v>0</v>
      </c>
      <c r="BP40">
        <v>0</v>
      </c>
      <c r="BQ40">
        <v>0</v>
      </c>
      <c r="BR40">
        <v>0</v>
      </c>
      <c r="BS40">
        <v>0</v>
      </c>
      <c r="BT40" s="18">
        <v>0</v>
      </c>
      <c r="BU40">
        <v>1</v>
      </c>
      <c r="BV40">
        <v>0</v>
      </c>
      <c r="BW40">
        <v>0</v>
      </c>
      <c r="BX40" s="18">
        <v>0</v>
      </c>
      <c r="BY40">
        <v>0</v>
      </c>
      <c r="BZ40">
        <v>0</v>
      </c>
      <c r="CA40">
        <v>0</v>
      </c>
      <c r="CB40">
        <v>0</v>
      </c>
      <c r="CC40" s="18">
        <v>0</v>
      </c>
      <c r="CD40">
        <v>0</v>
      </c>
      <c r="CE40">
        <v>0</v>
      </c>
      <c r="CF40">
        <v>1</v>
      </c>
      <c r="CG40">
        <v>1</v>
      </c>
      <c r="CH40">
        <v>0</v>
      </c>
      <c r="CI40">
        <v>0</v>
      </c>
      <c r="CJ40">
        <v>0</v>
      </c>
      <c r="CK40">
        <v>0</v>
      </c>
      <c r="CL40">
        <v>0</v>
      </c>
      <c r="CM40">
        <v>0</v>
      </c>
      <c r="CN40" s="18">
        <v>0</v>
      </c>
      <c r="CO40">
        <v>0.03</v>
      </c>
      <c r="CP40">
        <v>16</v>
      </c>
      <c r="CQ40">
        <v>1</v>
      </c>
      <c r="CR40">
        <v>0</v>
      </c>
      <c r="CS40">
        <v>17</v>
      </c>
      <c r="CY40" s="34"/>
    </row>
    <row r="41" spans="1:103"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9"/>
        <v>7.127141567119534E-2</v>
      </c>
      <c r="J41" s="33">
        <f t="shared" si="10"/>
        <v>3.5116934933175754E-3</v>
      </c>
      <c r="K41" s="33">
        <f t="shared" si="11"/>
        <v>284.76289343102025</v>
      </c>
      <c r="L41" s="8">
        <v>1</v>
      </c>
      <c r="M41" s="9">
        <v>0</v>
      </c>
      <c r="N41" s="8">
        <v>0</v>
      </c>
      <c r="O41" s="9">
        <v>0</v>
      </c>
      <c r="P41" s="9">
        <v>0</v>
      </c>
      <c r="Q41" s="9">
        <v>1</v>
      </c>
      <c r="R41" s="9">
        <v>0</v>
      </c>
      <c r="S41" s="8">
        <f t="shared" si="13"/>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v>0</v>
      </c>
      <c r="BF41" s="18">
        <v>0</v>
      </c>
      <c r="BG41">
        <v>1</v>
      </c>
      <c r="BH41">
        <v>0</v>
      </c>
      <c r="BI41" s="18">
        <v>0</v>
      </c>
      <c r="BJ41">
        <v>11381</v>
      </c>
      <c r="BK41">
        <v>12488</v>
      </c>
      <c r="BL41" s="25">
        <v>27.56</v>
      </c>
      <c r="BM41">
        <v>1</v>
      </c>
      <c r="BN41">
        <v>0</v>
      </c>
      <c r="BO41">
        <v>0</v>
      </c>
      <c r="BP41">
        <v>0</v>
      </c>
      <c r="BQ41">
        <v>0</v>
      </c>
      <c r="BR41">
        <v>0</v>
      </c>
      <c r="BS41">
        <v>0</v>
      </c>
      <c r="BT41" s="18">
        <v>0</v>
      </c>
      <c r="BU41">
        <v>1</v>
      </c>
      <c r="BV41">
        <v>0</v>
      </c>
      <c r="BW41">
        <v>0</v>
      </c>
      <c r="BX41" s="18">
        <v>0</v>
      </c>
      <c r="BY41">
        <v>0</v>
      </c>
      <c r="BZ41">
        <v>0</v>
      </c>
      <c r="CA41">
        <v>0</v>
      </c>
      <c r="CB41">
        <v>0</v>
      </c>
      <c r="CC41" s="18">
        <v>0</v>
      </c>
      <c r="CD41">
        <v>0</v>
      </c>
      <c r="CE41">
        <v>0</v>
      </c>
      <c r="CF41">
        <v>1</v>
      </c>
      <c r="CG41">
        <v>1</v>
      </c>
      <c r="CH41">
        <v>0</v>
      </c>
      <c r="CI41">
        <v>0</v>
      </c>
      <c r="CJ41">
        <v>0</v>
      </c>
      <c r="CK41">
        <v>0</v>
      </c>
      <c r="CL41">
        <v>0</v>
      </c>
      <c r="CM41">
        <v>0</v>
      </c>
      <c r="CN41" s="18">
        <v>0</v>
      </c>
      <c r="CO41">
        <v>0.03</v>
      </c>
      <c r="CP41">
        <v>16</v>
      </c>
      <c r="CQ41">
        <v>1</v>
      </c>
      <c r="CR41">
        <v>0</v>
      </c>
      <c r="CS41">
        <v>17</v>
      </c>
      <c r="CY41" s="34"/>
    </row>
    <row r="42" spans="1:103"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9"/>
        <v>7.5901513821338782E-3</v>
      </c>
      <c r="J42" s="33">
        <f t="shared" si="10"/>
        <v>3.2605579880997655E-3</v>
      </c>
      <c r="K42" s="33">
        <f t="shared" si="11"/>
        <v>306.69597156368758</v>
      </c>
      <c r="L42" s="8">
        <v>1</v>
      </c>
      <c r="M42" s="9">
        <v>0</v>
      </c>
      <c r="N42" s="8">
        <v>0</v>
      </c>
      <c r="O42" s="9">
        <v>0</v>
      </c>
      <c r="P42" s="9">
        <v>0</v>
      </c>
      <c r="Q42" s="9">
        <v>1</v>
      </c>
      <c r="R42" s="9">
        <v>0</v>
      </c>
      <c r="S42" s="8">
        <f t="shared" ref="S42:S53" si="14">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v>0</v>
      </c>
      <c r="BF42" s="18">
        <v>0</v>
      </c>
      <c r="BG42">
        <v>1</v>
      </c>
      <c r="BH42">
        <v>0</v>
      </c>
      <c r="BI42" s="18">
        <v>0</v>
      </c>
      <c r="BJ42">
        <v>10169</v>
      </c>
      <c r="BK42">
        <v>11952</v>
      </c>
      <c r="BL42" s="25">
        <v>27.56</v>
      </c>
      <c r="BM42">
        <v>1</v>
      </c>
      <c r="BN42">
        <v>0</v>
      </c>
      <c r="BO42">
        <v>0</v>
      </c>
      <c r="BP42">
        <v>0</v>
      </c>
      <c r="BQ42">
        <v>0</v>
      </c>
      <c r="BR42">
        <v>0</v>
      </c>
      <c r="BS42">
        <v>0</v>
      </c>
      <c r="BT42" s="18">
        <v>0</v>
      </c>
      <c r="BU42">
        <v>1</v>
      </c>
      <c r="BV42">
        <v>0</v>
      </c>
      <c r="BW42">
        <v>0</v>
      </c>
      <c r="BX42" s="18">
        <v>0</v>
      </c>
      <c r="BY42">
        <v>0</v>
      </c>
      <c r="BZ42">
        <v>0</v>
      </c>
      <c r="CA42">
        <v>0</v>
      </c>
      <c r="CB42">
        <v>0</v>
      </c>
      <c r="CC42" s="18">
        <v>0</v>
      </c>
      <c r="CD42">
        <v>0</v>
      </c>
      <c r="CE42">
        <v>0</v>
      </c>
      <c r="CF42">
        <v>1</v>
      </c>
      <c r="CG42">
        <v>1</v>
      </c>
      <c r="CH42">
        <v>0</v>
      </c>
      <c r="CI42">
        <v>0</v>
      </c>
      <c r="CJ42">
        <v>0</v>
      </c>
      <c r="CK42">
        <v>0</v>
      </c>
      <c r="CL42">
        <v>0</v>
      </c>
      <c r="CM42">
        <v>0</v>
      </c>
      <c r="CN42" s="18">
        <v>0</v>
      </c>
      <c r="CO42">
        <v>0.03</v>
      </c>
      <c r="CP42">
        <v>16</v>
      </c>
      <c r="CQ42">
        <v>1</v>
      </c>
      <c r="CR42">
        <v>0</v>
      </c>
      <c r="CS42">
        <v>17</v>
      </c>
      <c r="CY42" s="34"/>
    </row>
    <row r="43" spans="1:103" x14ac:dyDescent="0.25">
      <c r="A43">
        <v>42</v>
      </c>
      <c r="B43">
        <v>2</v>
      </c>
      <c r="C43" s="25" t="s">
        <v>122</v>
      </c>
      <c r="D43" s="12">
        <v>7.4005352510223332</v>
      </c>
      <c r="E43" s="14">
        <v>0.37951462825755561</v>
      </c>
      <c r="F43" s="7">
        <v>19.5</v>
      </c>
      <c r="G43" s="7">
        <f t="shared" si="0"/>
        <v>7.0210206227647776</v>
      </c>
      <c r="H43" s="16">
        <f t="shared" si="1"/>
        <v>7.7800498792798889</v>
      </c>
      <c r="I43" s="11">
        <f t="shared" si="9"/>
        <v>6.3454575830800636E-2</v>
      </c>
      <c r="J43" s="33">
        <f t="shared" si="10"/>
        <v>3.2540808118359296E-3</v>
      </c>
      <c r="K43" s="33">
        <f t="shared" si="11"/>
        <v>307.30644314755261</v>
      </c>
      <c r="L43" s="8">
        <v>1</v>
      </c>
      <c r="M43" s="9">
        <v>0</v>
      </c>
      <c r="N43" s="8">
        <v>0</v>
      </c>
      <c r="O43" s="9">
        <v>0</v>
      </c>
      <c r="P43" s="9">
        <v>0</v>
      </c>
      <c r="Q43" s="9">
        <v>1</v>
      </c>
      <c r="R43" s="9">
        <v>0</v>
      </c>
      <c r="S43" s="8">
        <f t="shared" si="14"/>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v>0</v>
      </c>
      <c r="BF43" s="18">
        <v>0</v>
      </c>
      <c r="BG43">
        <v>1</v>
      </c>
      <c r="BH43">
        <v>0</v>
      </c>
      <c r="BI43" s="18">
        <v>0</v>
      </c>
      <c r="BJ43">
        <v>10169</v>
      </c>
      <c r="BK43">
        <v>11952</v>
      </c>
      <c r="BL43" s="25">
        <v>27.56</v>
      </c>
      <c r="BM43">
        <v>1</v>
      </c>
      <c r="BN43">
        <v>0</v>
      </c>
      <c r="BO43">
        <v>0</v>
      </c>
      <c r="BP43">
        <v>0</v>
      </c>
      <c r="BQ43">
        <v>0</v>
      </c>
      <c r="BR43">
        <v>0</v>
      </c>
      <c r="BS43">
        <v>0</v>
      </c>
      <c r="BT43" s="18">
        <v>0</v>
      </c>
      <c r="BU43">
        <v>1</v>
      </c>
      <c r="BV43">
        <v>0</v>
      </c>
      <c r="BW43">
        <v>0</v>
      </c>
      <c r="BX43" s="18">
        <v>0</v>
      </c>
      <c r="BY43">
        <v>0</v>
      </c>
      <c r="BZ43">
        <v>0</v>
      </c>
      <c r="CA43">
        <v>0</v>
      </c>
      <c r="CB43">
        <v>0</v>
      </c>
      <c r="CC43" s="18">
        <v>0</v>
      </c>
      <c r="CD43">
        <v>0</v>
      </c>
      <c r="CE43">
        <v>0</v>
      </c>
      <c r="CF43">
        <v>1</v>
      </c>
      <c r="CG43">
        <v>1</v>
      </c>
      <c r="CH43">
        <v>0</v>
      </c>
      <c r="CI43">
        <v>0</v>
      </c>
      <c r="CJ43">
        <v>0</v>
      </c>
      <c r="CK43">
        <v>0</v>
      </c>
      <c r="CL43">
        <v>0</v>
      </c>
      <c r="CM43">
        <v>0</v>
      </c>
      <c r="CN43" s="18">
        <v>0</v>
      </c>
      <c r="CO43">
        <v>0.03</v>
      </c>
      <c r="CP43">
        <v>16</v>
      </c>
      <c r="CQ43">
        <v>1</v>
      </c>
      <c r="CR43">
        <v>0</v>
      </c>
      <c r="CS43">
        <v>17</v>
      </c>
      <c r="CY43" s="34"/>
    </row>
    <row r="44" spans="1:103"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9"/>
        <v>3.1321206372090613E-2</v>
      </c>
      <c r="J44" s="33">
        <f t="shared" si="10"/>
        <v>3.2590521416742692E-3</v>
      </c>
      <c r="K44" s="33">
        <f t="shared" si="11"/>
        <v>306.83768056753797</v>
      </c>
      <c r="L44" s="8">
        <v>1</v>
      </c>
      <c r="M44" s="9">
        <v>0</v>
      </c>
      <c r="N44" s="8">
        <v>0</v>
      </c>
      <c r="O44" s="9">
        <v>0</v>
      </c>
      <c r="P44" s="9">
        <v>0</v>
      </c>
      <c r="Q44" s="9">
        <v>1</v>
      </c>
      <c r="R44" s="9">
        <v>0</v>
      </c>
      <c r="S44" s="8">
        <f t="shared" si="14"/>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v>0</v>
      </c>
      <c r="BF44" s="18">
        <v>0</v>
      </c>
      <c r="BG44">
        <v>1</v>
      </c>
      <c r="BH44">
        <v>0</v>
      </c>
      <c r="BI44" s="18">
        <v>0</v>
      </c>
      <c r="BJ44">
        <v>10169</v>
      </c>
      <c r="BK44">
        <v>11952</v>
      </c>
      <c r="BL44" s="25">
        <v>27.56</v>
      </c>
      <c r="BM44">
        <v>1</v>
      </c>
      <c r="BN44">
        <v>0</v>
      </c>
      <c r="BO44">
        <v>0</v>
      </c>
      <c r="BP44">
        <v>0</v>
      </c>
      <c r="BQ44">
        <v>0</v>
      </c>
      <c r="BR44">
        <v>0</v>
      </c>
      <c r="BS44">
        <v>0</v>
      </c>
      <c r="BT44" s="18">
        <v>0</v>
      </c>
      <c r="BU44">
        <v>1</v>
      </c>
      <c r="BV44">
        <v>0</v>
      </c>
      <c r="BW44">
        <v>0</v>
      </c>
      <c r="BX44" s="18">
        <v>0</v>
      </c>
      <c r="BY44">
        <v>0</v>
      </c>
      <c r="BZ44">
        <v>0</v>
      </c>
      <c r="CA44">
        <v>0</v>
      </c>
      <c r="CB44">
        <v>0</v>
      </c>
      <c r="CC44" s="18">
        <v>0</v>
      </c>
      <c r="CD44">
        <v>0</v>
      </c>
      <c r="CE44">
        <v>0</v>
      </c>
      <c r="CF44">
        <v>1</v>
      </c>
      <c r="CG44">
        <v>1</v>
      </c>
      <c r="CH44">
        <v>0</v>
      </c>
      <c r="CI44">
        <v>0</v>
      </c>
      <c r="CJ44">
        <v>0</v>
      </c>
      <c r="CK44">
        <v>0</v>
      </c>
      <c r="CL44">
        <v>0</v>
      </c>
      <c r="CM44">
        <v>0</v>
      </c>
      <c r="CN44" s="18">
        <v>0</v>
      </c>
      <c r="CO44">
        <v>0.03</v>
      </c>
      <c r="CP44">
        <v>16</v>
      </c>
      <c r="CQ44">
        <v>1</v>
      </c>
      <c r="CR44">
        <v>0</v>
      </c>
      <c r="CS44">
        <v>17</v>
      </c>
      <c r="CY44" s="34"/>
    </row>
    <row r="45" spans="1:103"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9"/>
        <v>-4.2263791024517248E-3</v>
      </c>
      <c r="J45" s="33">
        <f t="shared" si="10"/>
        <v>3.2606227917104948E-3</v>
      </c>
      <c r="K45" s="33">
        <f t="shared" si="11"/>
        <v>306.6898761004515</v>
      </c>
      <c r="L45" s="8">
        <v>1</v>
      </c>
      <c r="M45" s="9">
        <v>0</v>
      </c>
      <c r="N45" s="8">
        <v>0</v>
      </c>
      <c r="O45" s="9">
        <v>0</v>
      </c>
      <c r="P45" s="9">
        <v>0</v>
      </c>
      <c r="Q45" s="9">
        <v>1</v>
      </c>
      <c r="R45" s="9">
        <v>0</v>
      </c>
      <c r="S45" s="8">
        <f t="shared" si="14"/>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v>0</v>
      </c>
      <c r="BF45" s="18">
        <v>0</v>
      </c>
      <c r="BG45">
        <v>1</v>
      </c>
      <c r="BH45">
        <v>0</v>
      </c>
      <c r="BI45" s="18">
        <v>0</v>
      </c>
      <c r="BJ45">
        <v>10169</v>
      </c>
      <c r="BK45">
        <v>11952</v>
      </c>
      <c r="BL45" s="25">
        <v>27.56</v>
      </c>
      <c r="BM45">
        <v>1</v>
      </c>
      <c r="BN45">
        <v>0</v>
      </c>
      <c r="BO45">
        <v>0</v>
      </c>
      <c r="BP45">
        <v>0</v>
      </c>
      <c r="BQ45">
        <v>0</v>
      </c>
      <c r="BR45">
        <v>0</v>
      </c>
      <c r="BS45">
        <v>0</v>
      </c>
      <c r="BT45" s="18">
        <v>0</v>
      </c>
      <c r="BU45">
        <v>1</v>
      </c>
      <c r="BV45">
        <v>0</v>
      </c>
      <c r="BW45">
        <v>0</v>
      </c>
      <c r="BX45" s="18">
        <v>0</v>
      </c>
      <c r="BY45">
        <v>0</v>
      </c>
      <c r="BZ45">
        <v>0</v>
      </c>
      <c r="CA45">
        <v>0</v>
      </c>
      <c r="CB45">
        <v>0</v>
      </c>
      <c r="CC45" s="18">
        <v>0</v>
      </c>
      <c r="CD45">
        <v>0</v>
      </c>
      <c r="CE45">
        <v>0</v>
      </c>
      <c r="CF45">
        <v>1</v>
      </c>
      <c r="CG45">
        <v>1</v>
      </c>
      <c r="CH45">
        <v>0</v>
      </c>
      <c r="CI45">
        <v>0</v>
      </c>
      <c r="CJ45">
        <v>0</v>
      </c>
      <c r="CK45">
        <v>0</v>
      </c>
      <c r="CL45">
        <v>0</v>
      </c>
      <c r="CM45">
        <v>0</v>
      </c>
      <c r="CN45" s="18">
        <v>0</v>
      </c>
      <c r="CO45">
        <v>0.03</v>
      </c>
      <c r="CP45">
        <v>16</v>
      </c>
      <c r="CQ45">
        <v>1</v>
      </c>
      <c r="CR45">
        <v>0</v>
      </c>
      <c r="CS45">
        <v>17</v>
      </c>
      <c r="CY45" s="34"/>
    </row>
    <row r="46" spans="1:103"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9"/>
        <v>1.3186378938327706E-2</v>
      </c>
      <c r="J46" s="33">
        <f t="shared" si="10"/>
        <v>3.2603684188172903E-3</v>
      </c>
      <c r="K46" s="33">
        <f t="shared" si="11"/>
        <v>306.71380394573731</v>
      </c>
      <c r="L46" s="8">
        <v>1</v>
      </c>
      <c r="M46" s="9">
        <v>0</v>
      </c>
      <c r="N46" s="8">
        <v>0</v>
      </c>
      <c r="O46" s="9">
        <v>0</v>
      </c>
      <c r="P46" s="9">
        <v>0</v>
      </c>
      <c r="Q46" s="9">
        <v>1</v>
      </c>
      <c r="R46" s="9">
        <v>0</v>
      </c>
      <c r="S46" s="8">
        <f t="shared" si="14"/>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v>0</v>
      </c>
      <c r="BF46" s="18">
        <v>0</v>
      </c>
      <c r="BG46">
        <v>1</v>
      </c>
      <c r="BH46">
        <v>0</v>
      </c>
      <c r="BI46" s="18">
        <v>0</v>
      </c>
      <c r="BJ46">
        <v>10461</v>
      </c>
      <c r="BK46">
        <v>12348</v>
      </c>
      <c r="BL46" s="25">
        <v>27.56</v>
      </c>
      <c r="BM46">
        <v>1</v>
      </c>
      <c r="BN46">
        <v>0</v>
      </c>
      <c r="BO46">
        <v>0</v>
      </c>
      <c r="BP46">
        <v>0</v>
      </c>
      <c r="BQ46">
        <v>0</v>
      </c>
      <c r="BR46">
        <v>0</v>
      </c>
      <c r="BS46">
        <v>0</v>
      </c>
      <c r="BT46" s="18">
        <v>0</v>
      </c>
      <c r="BU46">
        <v>1</v>
      </c>
      <c r="BV46">
        <v>0</v>
      </c>
      <c r="BW46">
        <v>0</v>
      </c>
      <c r="BX46" s="18">
        <v>0</v>
      </c>
      <c r="BY46">
        <v>0</v>
      </c>
      <c r="BZ46">
        <v>0</v>
      </c>
      <c r="CA46">
        <v>0</v>
      </c>
      <c r="CB46">
        <v>0</v>
      </c>
      <c r="CC46" s="18">
        <v>0</v>
      </c>
      <c r="CD46">
        <v>0</v>
      </c>
      <c r="CE46">
        <v>0</v>
      </c>
      <c r="CF46">
        <v>1</v>
      </c>
      <c r="CG46">
        <v>1</v>
      </c>
      <c r="CH46">
        <v>0</v>
      </c>
      <c r="CI46">
        <v>0</v>
      </c>
      <c r="CJ46">
        <v>0</v>
      </c>
      <c r="CK46">
        <v>0</v>
      </c>
      <c r="CL46">
        <v>0</v>
      </c>
      <c r="CM46">
        <v>0</v>
      </c>
      <c r="CN46" s="18">
        <v>0</v>
      </c>
      <c r="CO46">
        <v>0.03</v>
      </c>
      <c r="CP46">
        <v>16</v>
      </c>
      <c r="CQ46">
        <v>1</v>
      </c>
      <c r="CR46">
        <v>0</v>
      </c>
      <c r="CS46">
        <v>17</v>
      </c>
      <c r="CY46" s="34"/>
    </row>
    <row r="47" spans="1:103" x14ac:dyDescent="0.25">
      <c r="A47">
        <v>46</v>
      </c>
      <c r="B47">
        <v>2</v>
      </c>
      <c r="C47" s="25" t="s">
        <v>122</v>
      </c>
      <c r="D47" s="12">
        <v>6.498652656427617</v>
      </c>
      <c r="E47" s="14">
        <v>0.28102281757524827</v>
      </c>
      <c r="F47" s="7">
        <v>23.125</v>
      </c>
      <c r="G47" s="7">
        <f t="shared" si="0"/>
        <v>6.2176298388523685</v>
      </c>
      <c r="H47" s="16">
        <f t="shared" si="1"/>
        <v>6.7796754740028655</v>
      </c>
      <c r="I47" s="11">
        <f t="shared" si="9"/>
        <v>7.5189132720802507E-2</v>
      </c>
      <c r="J47" s="33">
        <f t="shared" si="10"/>
        <v>3.2514219554941621E-3</v>
      </c>
      <c r="K47" s="33">
        <f t="shared" si="11"/>
        <v>307.55774356208303</v>
      </c>
      <c r="L47" s="8">
        <v>1</v>
      </c>
      <c r="M47" s="9">
        <v>0</v>
      </c>
      <c r="N47" s="8">
        <v>0</v>
      </c>
      <c r="O47" s="9">
        <v>0</v>
      </c>
      <c r="P47" s="9">
        <v>0</v>
      </c>
      <c r="Q47" s="9">
        <v>1</v>
      </c>
      <c r="R47" s="9">
        <v>0</v>
      </c>
      <c r="S47" s="8">
        <f t="shared" si="14"/>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v>0</v>
      </c>
      <c r="BF47" s="18">
        <v>0</v>
      </c>
      <c r="BG47">
        <v>1</v>
      </c>
      <c r="BH47">
        <v>0</v>
      </c>
      <c r="BI47" s="18">
        <v>0</v>
      </c>
      <c r="BJ47">
        <v>10461</v>
      </c>
      <c r="BK47">
        <v>12348</v>
      </c>
      <c r="BL47" s="25">
        <v>27.56</v>
      </c>
      <c r="BM47">
        <v>1</v>
      </c>
      <c r="BN47">
        <v>0</v>
      </c>
      <c r="BO47">
        <v>0</v>
      </c>
      <c r="BP47">
        <v>0</v>
      </c>
      <c r="BQ47">
        <v>0</v>
      </c>
      <c r="BR47">
        <v>0</v>
      </c>
      <c r="BS47">
        <v>0</v>
      </c>
      <c r="BT47" s="18">
        <v>0</v>
      </c>
      <c r="BU47">
        <v>1</v>
      </c>
      <c r="BV47">
        <v>0</v>
      </c>
      <c r="BW47">
        <v>0</v>
      </c>
      <c r="BX47" s="18">
        <v>0</v>
      </c>
      <c r="BY47">
        <v>0</v>
      </c>
      <c r="BZ47">
        <v>0</v>
      </c>
      <c r="CA47">
        <v>0</v>
      </c>
      <c r="CB47">
        <v>0</v>
      </c>
      <c r="CC47" s="18">
        <v>0</v>
      </c>
      <c r="CD47">
        <v>0</v>
      </c>
      <c r="CE47">
        <v>0</v>
      </c>
      <c r="CF47">
        <v>1</v>
      </c>
      <c r="CG47">
        <v>1</v>
      </c>
      <c r="CH47">
        <v>0</v>
      </c>
      <c r="CI47">
        <v>0</v>
      </c>
      <c r="CJ47">
        <v>0</v>
      </c>
      <c r="CK47">
        <v>0</v>
      </c>
      <c r="CL47">
        <v>0</v>
      </c>
      <c r="CM47">
        <v>0</v>
      </c>
      <c r="CN47" s="18">
        <v>0</v>
      </c>
      <c r="CO47">
        <v>0.03</v>
      </c>
      <c r="CP47">
        <v>16</v>
      </c>
      <c r="CQ47">
        <v>1</v>
      </c>
      <c r="CR47">
        <v>0</v>
      </c>
      <c r="CS47">
        <v>17</v>
      </c>
      <c r="CY47" s="34"/>
    </row>
    <row r="48" spans="1:103"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9"/>
        <v>3.705645487844917E-2</v>
      </c>
      <c r="J48" s="33">
        <f t="shared" si="10"/>
        <v>3.2584124117257035E-3</v>
      </c>
      <c r="K48" s="33">
        <f t="shared" si="11"/>
        <v>306.89792255928256</v>
      </c>
      <c r="L48" s="8">
        <v>1</v>
      </c>
      <c r="M48" s="9">
        <v>0</v>
      </c>
      <c r="N48" s="8">
        <v>0</v>
      </c>
      <c r="O48" s="9">
        <v>0</v>
      </c>
      <c r="P48" s="9">
        <v>0</v>
      </c>
      <c r="Q48" s="9">
        <v>1</v>
      </c>
      <c r="R48" s="9">
        <v>0</v>
      </c>
      <c r="S48" s="8">
        <f t="shared" si="14"/>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v>0</v>
      </c>
      <c r="BF48" s="18">
        <v>0</v>
      </c>
      <c r="BG48">
        <v>1</v>
      </c>
      <c r="BH48">
        <v>0</v>
      </c>
      <c r="BI48" s="18">
        <v>0</v>
      </c>
      <c r="BJ48">
        <v>10461</v>
      </c>
      <c r="BK48">
        <v>12348</v>
      </c>
      <c r="BL48" s="25">
        <v>27.56</v>
      </c>
      <c r="BM48">
        <v>1</v>
      </c>
      <c r="BN48">
        <v>0</v>
      </c>
      <c r="BO48">
        <v>0</v>
      </c>
      <c r="BP48">
        <v>0</v>
      </c>
      <c r="BQ48">
        <v>0</v>
      </c>
      <c r="BR48">
        <v>0</v>
      </c>
      <c r="BS48">
        <v>0</v>
      </c>
      <c r="BT48" s="18">
        <v>0</v>
      </c>
      <c r="BU48">
        <v>1</v>
      </c>
      <c r="BV48">
        <v>0</v>
      </c>
      <c r="BW48">
        <v>0</v>
      </c>
      <c r="BX48" s="18">
        <v>0</v>
      </c>
      <c r="BY48">
        <v>0</v>
      </c>
      <c r="BZ48">
        <v>0</v>
      </c>
      <c r="CA48">
        <v>0</v>
      </c>
      <c r="CB48">
        <v>0</v>
      </c>
      <c r="CC48" s="18">
        <v>0</v>
      </c>
      <c r="CD48">
        <v>0</v>
      </c>
      <c r="CE48">
        <v>0</v>
      </c>
      <c r="CF48">
        <v>1</v>
      </c>
      <c r="CG48">
        <v>1</v>
      </c>
      <c r="CH48">
        <v>0</v>
      </c>
      <c r="CI48">
        <v>0</v>
      </c>
      <c r="CJ48">
        <v>0</v>
      </c>
      <c r="CK48">
        <v>0</v>
      </c>
      <c r="CL48">
        <v>0</v>
      </c>
      <c r="CM48">
        <v>0</v>
      </c>
      <c r="CN48" s="18">
        <v>0</v>
      </c>
      <c r="CO48">
        <v>0.03</v>
      </c>
      <c r="CP48">
        <v>16</v>
      </c>
      <c r="CQ48">
        <v>1</v>
      </c>
      <c r="CR48">
        <v>0</v>
      </c>
      <c r="CS48">
        <v>17</v>
      </c>
      <c r="CY48" s="34"/>
    </row>
    <row r="49" spans="1:103"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9"/>
        <v>0.19447204297233545</v>
      </c>
      <c r="J49" s="33">
        <f t="shared" si="10"/>
        <v>3.198399746363741E-3</v>
      </c>
      <c r="K49" s="33">
        <f t="shared" si="11"/>
        <v>312.6563529580377</v>
      </c>
      <c r="L49" s="8">
        <v>1</v>
      </c>
      <c r="M49" s="9">
        <v>0</v>
      </c>
      <c r="N49" s="8">
        <v>0</v>
      </c>
      <c r="O49" s="9">
        <v>0</v>
      </c>
      <c r="P49" s="9">
        <v>0</v>
      </c>
      <c r="Q49" s="9">
        <v>1</v>
      </c>
      <c r="R49" s="9">
        <v>0</v>
      </c>
      <c r="S49" s="8">
        <f t="shared" si="14"/>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v>0</v>
      </c>
      <c r="BF49" s="18">
        <v>0</v>
      </c>
      <c r="BG49">
        <v>1</v>
      </c>
      <c r="BH49">
        <v>0</v>
      </c>
      <c r="BI49" s="18">
        <v>0</v>
      </c>
      <c r="BJ49">
        <v>10461</v>
      </c>
      <c r="BK49">
        <v>12348</v>
      </c>
      <c r="BL49" s="25">
        <v>27.56</v>
      </c>
      <c r="BM49">
        <v>1</v>
      </c>
      <c r="BN49">
        <v>0</v>
      </c>
      <c r="BO49">
        <v>0</v>
      </c>
      <c r="BP49">
        <v>0</v>
      </c>
      <c r="BQ49">
        <v>0</v>
      </c>
      <c r="BR49">
        <v>0</v>
      </c>
      <c r="BS49">
        <v>0</v>
      </c>
      <c r="BT49" s="18">
        <v>0</v>
      </c>
      <c r="BU49">
        <v>1</v>
      </c>
      <c r="BV49">
        <v>0</v>
      </c>
      <c r="BW49">
        <v>0</v>
      </c>
      <c r="BX49" s="18">
        <v>0</v>
      </c>
      <c r="BY49">
        <v>0</v>
      </c>
      <c r="BZ49">
        <v>0</v>
      </c>
      <c r="CA49">
        <v>0</v>
      </c>
      <c r="CB49">
        <v>0</v>
      </c>
      <c r="CC49" s="18">
        <v>0</v>
      </c>
      <c r="CD49">
        <v>0</v>
      </c>
      <c r="CE49">
        <v>0</v>
      </c>
      <c r="CF49">
        <v>1</v>
      </c>
      <c r="CG49">
        <v>1</v>
      </c>
      <c r="CH49">
        <v>0</v>
      </c>
      <c r="CI49">
        <v>0</v>
      </c>
      <c r="CJ49">
        <v>0</v>
      </c>
      <c r="CK49">
        <v>0</v>
      </c>
      <c r="CL49">
        <v>0</v>
      </c>
      <c r="CM49">
        <v>0</v>
      </c>
      <c r="CN49" s="18">
        <v>0</v>
      </c>
      <c r="CO49">
        <v>0.03</v>
      </c>
      <c r="CP49">
        <v>16</v>
      </c>
      <c r="CQ49">
        <v>1</v>
      </c>
      <c r="CR49">
        <v>0</v>
      </c>
      <c r="CS49">
        <v>17</v>
      </c>
      <c r="CY49" s="34"/>
    </row>
    <row r="50" spans="1:103"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9"/>
        <v>1.286039670303234E-2</v>
      </c>
      <c r="J50" s="33">
        <f t="shared" si="10"/>
        <v>3.2603822627405941E-3</v>
      </c>
      <c r="K50" s="33">
        <f t="shared" si="11"/>
        <v>306.71250160692063</v>
      </c>
      <c r="L50" s="8">
        <v>1</v>
      </c>
      <c r="M50" s="9">
        <v>0</v>
      </c>
      <c r="N50" s="8">
        <v>0</v>
      </c>
      <c r="O50" s="9">
        <v>0</v>
      </c>
      <c r="P50" s="9">
        <v>0</v>
      </c>
      <c r="Q50" s="9">
        <v>1</v>
      </c>
      <c r="R50" s="9">
        <v>0</v>
      </c>
      <c r="S50" s="8">
        <f t="shared" si="14"/>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v>0</v>
      </c>
      <c r="BF50" s="18">
        <v>0</v>
      </c>
      <c r="BG50">
        <v>1</v>
      </c>
      <c r="BH50">
        <v>0</v>
      </c>
      <c r="BI50" s="18">
        <v>0</v>
      </c>
      <c r="BJ50">
        <v>11381</v>
      </c>
      <c r="BK50">
        <v>12488</v>
      </c>
      <c r="BL50" s="25">
        <v>27.56</v>
      </c>
      <c r="BM50">
        <v>1</v>
      </c>
      <c r="BN50">
        <v>0</v>
      </c>
      <c r="BO50">
        <v>0</v>
      </c>
      <c r="BP50">
        <v>0</v>
      </c>
      <c r="BQ50">
        <v>0</v>
      </c>
      <c r="BR50">
        <v>0</v>
      </c>
      <c r="BS50">
        <v>0</v>
      </c>
      <c r="BT50" s="18">
        <v>0</v>
      </c>
      <c r="BU50">
        <v>1</v>
      </c>
      <c r="BV50">
        <v>0</v>
      </c>
      <c r="BW50">
        <v>0</v>
      </c>
      <c r="BX50" s="18">
        <v>0</v>
      </c>
      <c r="BY50">
        <v>0</v>
      </c>
      <c r="BZ50">
        <v>0</v>
      </c>
      <c r="CA50">
        <v>0</v>
      </c>
      <c r="CB50">
        <v>0</v>
      </c>
      <c r="CC50" s="18">
        <v>0</v>
      </c>
      <c r="CD50">
        <v>0</v>
      </c>
      <c r="CE50">
        <v>0</v>
      </c>
      <c r="CF50">
        <v>1</v>
      </c>
      <c r="CG50">
        <v>1</v>
      </c>
      <c r="CH50">
        <v>0</v>
      </c>
      <c r="CI50">
        <v>0</v>
      </c>
      <c r="CJ50">
        <v>0</v>
      </c>
      <c r="CK50">
        <v>0</v>
      </c>
      <c r="CL50">
        <v>0</v>
      </c>
      <c r="CM50">
        <v>0</v>
      </c>
      <c r="CN50" s="18">
        <v>0</v>
      </c>
      <c r="CO50">
        <v>0.03</v>
      </c>
      <c r="CP50">
        <v>16</v>
      </c>
      <c r="CQ50">
        <v>1</v>
      </c>
      <c r="CR50">
        <v>0</v>
      </c>
      <c r="CS50">
        <v>17</v>
      </c>
      <c r="CY50" s="34"/>
    </row>
    <row r="51" spans="1:103"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9"/>
        <v>9.067238931490941E-2</v>
      </c>
      <c r="J51" s="33">
        <f t="shared" si="10"/>
        <v>3.2472205539774723E-3</v>
      </c>
      <c r="K51" s="33">
        <f t="shared" si="11"/>
        <v>307.9556757470985</v>
      </c>
      <c r="L51" s="8">
        <v>1</v>
      </c>
      <c r="M51" s="9">
        <v>0</v>
      </c>
      <c r="N51" s="8">
        <v>0</v>
      </c>
      <c r="O51" s="9">
        <v>0</v>
      </c>
      <c r="P51" s="9">
        <v>0</v>
      </c>
      <c r="Q51" s="9">
        <v>1</v>
      </c>
      <c r="R51" s="9">
        <v>0</v>
      </c>
      <c r="S51" s="8">
        <f t="shared" si="14"/>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v>0</v>
      </c>
      <c r="BF51" s="18">
        <v>0</v>
      </c>
      <c r="BG51">
        <v>1</v>
      </c>
      <c r="BH51">
        <v>0</v>
      </c>
      <c r="BI51" s="18">
        <v>0</v>
      </c>
      <c r="BJ51">
        <v>11381</v>
      </c>
      <c r="BK51">
        <v>12488</v>
      </c>
      <c r="BL51" s="25">
        <v>27.56</v>
      </c>
      <c r="BM51">
        <v>1</v>
      </c>
      <c r="BN51">
        <v>0</v>
      </c>
      <c r="BO51">
        <v>0</v>
      </c>
      <c r="BP51">
        <v>0</v>
      </c>
      <c r="BQ51">
        <v>0</v>
      </c>
      <c r="BR51">
        <v>0</v>
      </c>
      <c r="BS51">
        <v>0</v>
      </c>
      <c r="BT51" s="18">
        <v>0</v>
      </c>
      <c r="BU51">
        <v>1</v>
      </c>
      <c r="BV51">
        <v>0</v>
      </c>
      <c r="BW51">
        <v>0</v>
      </c>
      <c r="BX51" s="18">
        <v>0</v>
      </c>
      <c r="BY51">
        <v>0</v>
      </c>
      <c r="BZ51">
        <v>0</v>
      </c>
      <c r="CA51">
        <v>0</v>
      </c>
      <c r="CB51">
        <v>0</v>
      </c>
      <c r="CC51" s="18">
        <v>0</v>
      </c>
      <c r="CD51">
        <v>0</v>
      </c>
      <c r="CE51">
        <v>0</v>
      </c>
      <c r="CF51">
        <v>1</v>
      </c>
      <c r="CG51">
        <v>1</v>
      </c>
      <c r="CH51">
        <v>0</v>
      </c>
      <c r="CI51">
        <v>0</v>
      </c>
      <c r="CJ51">
        <v>0</v>
      </c>
      <c r="CK51">
        <v>0</v>
      </c>
      <c r="CL51">
        <v>0</v>
      </c>
      <c r="CM51">
        <v>0</v>
      </c>
      <c r="CN51" s="18">
        <v>0</v>
      </c>
      <c r="CO51">
        <v>0.03</v>
      </c>
      <c r="CP51">
        <v>16</v>
      </c>
      <c r="CQ51">
        <v>1</v>
      </c>
      <c r="CR51">
        <v>0</v>
      </c>
      <c r="CS51">
        <v>17</v>
      </c>
      <c r="CY51" s="34"/>
    </row>
    <row r="52" spans="1:103"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9"/>
        <v>5.7411193354901198E-2</v>
      </c>
      <c r="J52" s="33">
        <f t="shared" si="10"/>
        <v>3.2552738500201722E-3</v>
      </c>
      <c r="K52" s="33">
        <f t="shared" si="11"/>
        <v>307.19381719415196</v>
      </c>
      <c r="L52" s="8">
        <v>1</v>
      </c>
      <c r="M52" s="9">
        <v>0</v>
      </c>
      <c r="N52" s="8">
        <v>0</v>
      </c>
      <c r="O52" s="9">
        <v>0</v>
      </c>
      <c r="P52" s="9">
        <v>0</v>
      </c>
      <c r="Q52" s="9">
        <v>1</v>
      </c>
      <c r="R52" s="9">
        <v>0</v>
      </c>
      <c r="S52" s="8">
        <f t="shared" si="14"/>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v>0</v>
      </c>
      <c r="BF52" s="18">
        <v>0</v>
      </c>
      <c r="BG52">
        <v>1</v>
      </c>
      <c r="BH52">
        <v>0</v>
      </c>
      <c r="BI52" s="18">
        <v>0</v>
      </c>
      <c r="BJ52">
        <v>11381</v>
      </c>
      <c r="BK52">
        <v>12488</v>
      </c>
      <c r="BL52" s="25">
        <v>27.56</v>
      </c>
      <c r="BM52">
        <v>1</v>
      </c>
      <c r="BN52">
        <v>0</v>
      </c>
      <c r="BO52">
        <v>0</v>
      </c>
      <c r="BP52">
        <v>0</v>
      </c>
      <c r="BQ52">
        <v>0</v>
      </c>
      <c r="BR52">
        <v>0</v>
      </c>
      <c r="BS52">
        <v>0</v>
      </c>
      <c r="BT52" s="18">
        <v>0</v>
      </c>
      <c r="BU52">
        <v>1</v>
      </c>
      <c r="BV52">
        <v>0</v>
      </c>
      <c r="BW52">
        <v>0</v>
      </c>
      <c r="BX52" s="18">
        <v>0</v>
      </c>
      <c r="BY52">
        <v>0</v>
      </c>
      <c r="BZ52">
        <v>0</v>
      </c>
      <c r="CA52">
        <v>0</v>
      </c>
      <c r="CB52">
        <v>0</v>
      </c>
      <c r="CC52" s="18">
        <v>0</v>
      </c>
      <c r="CD52">
        <v>0</v>
      </c>
      <c r="CE52">
        <v>0</v>
      </c>
      <c r="CF52">
        <v>1</v>
      </c>
      <c r="CG52">
        <v>1</v>
      </c>
      <c r="CH52">
        <v>0</v>
      </c>
      <c r="CI52">
        <v>0</v>
      </c>
      <c r="CJ52">
        <v>0</v>
      </c>
      <c r="CK52">
        <v>0</v>
      </c>
      <c r="CL52">
        <v>0</v>
      </c>
      <c r="CM52">
        <v>0</v>
      </c>
      <c r="CN52" s="18">
        <v>0</v>
      </c>
      <c r="CO52">
        <v>0.03</v>
      </c>
      <c r="CP52">
        <v>16</v>
      </c>
      <c r="CQ52">
        <v>1</v>
      </c>
      <c r="CR52">
        <v>0</v>
      </c>
      <c r="CS52">
        <v>17</v>
      </c>
      <c r="CY52" s="34"/>
    </row>
    <row r="53" spans="1:103"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11">
        <f t="shared" si="9"/>
        <v>3.0865578564325355E-2</v>
      </c>
      <c r="J53" s="33">
        <f t="shared" si="10"/>
        <v>3.2590983577237957E-3</v>
      </c>
      <c r="K53" s="33">
        <f t="shared" si="11"/>
        <v>306.83332941765383</v>
      </c>
      <c r="L53" s="59">
        <v>1</v>
      </c>
      <c r="M53" s="60">
        <v>0</v>
      </c>
      <c r="N53" s="59">
        <v>0</v>
      </c>
      <c r="O53" s="60">
        <v>0</v>
      </c>
      <c r="P53" s="60">
        <v>0</v>
      </c>
      <c r="Q53" s="60">
        <v>1</v>
      </c>
      <c r="R53" s="60">
        <v>0</v>
      </c>
      <c r="S53" s="59">
        <f t="shared" si="14"/>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v>0</v>
      </c>
      <c r="BF53" s="65">
        <v>0</v>
      </c>
      <c r="BG53">
        <v>1</v>
      </c>
      <c r="BH53">
        <v>0</v>
      </c>
      <c r="BI53" s="65">
        <v>0</v>
      </c>
      <c r="BJ53">
        <v>11381</v>
      </c>
      <c r="BK53">
        <v>12488</v>
      </c>
      <c r="BL53" s="52">
        <v>27.56</v>
      </c>
      <c r="BM53" s="51">
        <v>1</v>
      </c>
      <c r="BN53" s="51">
        <v>0</v>
      </c>
      <c r="BO53" s="51">
        <v>0</v>
      </c>
      <c r="BP53" s="51">
        <v>0</v>
      </c>
      <c r="BQ53" s="51">
        <v>0</v>
      </c>
      <c r="BR53" s="51">
        <v>0</v>
      </c>
      <c r="BS53" s="51">
        <v>0</v>
      </c>
      <c r="BT53" s="65">
        <v>0</v>
      </c>
      <c r="BU53" s="51">
        <v>1</v>
      </c>
      <c r="BV53" s="51">
        <v>0</v>
      </c>
      <c r="BW53" s="51">
        <v>0</v>
      </c>
      <c r="BX53" s="65">
        <v>0</v>
      </c>
      <c r="BY53" s="51">
        <v>0</v>
      </c>
      <c r="BZ53" s="51">
        <v>0</v>
      </c>
      <c r="CA53" s="51">
        <v>0</v>
      </c>
      <c r="CB53" s="51">
        <v>0</v>
      </c>
      <c r="CC53" s="65">
        <v>0</v>
      </c>
      <c r="CD53" s="51">
        <v>0</v>
      </c>
      <c r="CE53" s="51">
        <v>0</v>
      </c>
      <c r="CF53" s="51">
        <v>1</v>
      </c>
      <c r="CG53" s="51">
        <v>1</v>
      </c>
      <c r="CH53" s="51">
        <v>0</v>
      </c>
      <c r="CI53" s="51">
        <v>0</v>
      </c>
      <c r="CJ53" s="51">
        <v>0</v>
      </c>
      <c r="CK53" s="51">
        <v>0</v>
      </c>
      <c r="CL53" s="51">
        <v>0</v>
      </c>
      <c r="CM53" s="51">
        <v>0</v>
      </c>
      <c r="CN53" s="65">
        <v>0</v>
      </c>
      <c r="CO53">
        <v>0.03</v>
      </c>
      <c r="CP53">
        <v>16</v>
      </c>
      <c r="CQ53">
        <v>1</v>
      </c>
      <c r="CR53">
        <v>0</v>
      </c>
      <c r="CS53">
        <v>17</v>
      </c>
      <c r="CT53" s="67"/>
      <c r="CY53" s="67"/>
    </row>
    <row r="54" spans="1:103" x14ac:dyDescent="0.25">
      <c r="A54">
        <v>53</v>
      </c>
      <c r="B54">
        <v>3</v>
      </c>
      <c r="C54" s="25" t="s">
        <v>124</v>
      </c>
      <c r="D54" s="12">
        <v>7.75</v>
      </c>
      <c r="E54" s="14">
        <f t="shared" ref="E54:E63" si="15">D54/F54</f>
        <v>0.59237178017274328</v>
      </c>
      <c r="F54" s="7">
        <v>13.083</v>
      </c>
      <c r="G54" s="7">
        <f t="shared" si="0"/>
        <v>7.1576282198272567</v>
      </c>
      <c r="H54" s="16">
        <f t="shared" si="1"/>
        <v>8.3423717801727442</v>
      </c>
      <c r="I54" s="11">
        <f t="shared" si="9"/>
        <v>0.33914218547776914</v>
      </c>
      <c r="J54" s="33">
        <f t="shared" si="10"/>
        <v>2.5922356147502035E-2</v>
      </c>
      <c r="K54" s="33">
        <f t="shared" si="11"/>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6">1-AT54</f>
        <v>0.1552</v>
      </c>
      <c r="AT54" s="40">
        <v>0.8448</v>
      </c>
      <c r="AU54">
        <v>1</v>
      </c>
      <c r="AV54" s="18">
        <v>0</v>
      </c>
      <c r="AW54" t="s">
        <v>98</v>
      </c>
      <c r="AX54" s="18" t="s">
        <v>98</v>
      </c>
      <c r="AY54" s="18" t="s">
        <v>26</v>
      </c>
      <c r="AZ54">
        <v>1</v>
      </c>
      <c r="BA54">
        <v>0</v>
      </c>
      <c r="BB54">
        <v>0</v>
      </c>
      <c r="BC54">
        <v>0</v>
      </c>
      <c r="BD54">
        <v>0</v>
      </c>
      <c r="BE54">
        <v>0</v>
      </c>
      <c r="BF54" s="18">
        <v>0</v>
      </c>
      <c r="BG54">
        <v>1</v>
      </c>
      <c r="BH54">
        <v>0</v>
      </c>
      <c r="BI54" s="18">
        <v>0</v>
      </c>
      <c r="BJ54">
        <v>12986</v>
      </c>
      <c r="BK54">
        <v>12942</v>
      </c>
      <c r="BL54" s="25" t="s">
        <v>98</v>
      </c>
      <c r="BM54">
        <v>1</v>
      </c>
      <c r="BN54">
        <v>0</v>
      </c>
      <c r="BO54">
        <v>0</v>
      </c>
      <c r="BP54">
        <v>0</v>
      </c>
      <c r="BQ54">
        <v>0</v>
      </c>
      <c r="BR54">
        <v>0</v>
      </c>
      <c r="BS54">
        <v>0</v>
      </c>
      <c r="BT54" s="18">
        <v>0</v>
      </c>
      <c r="BU54">
        <v>0</v>
      </c>
      <c r="BV54">
        <v>0</v>
      </c>
      <c r="BW54">
        <v>1</v>
      </c>
      <c r="BX54" s="18">
        <v>0</v>
      </c>
      <c r="BY54">
        <v>0</v>
      </c>
      <c r="BZ54">
        <v>0</v>
      </c>
      <c r="CA54">
        <v>0</v>
      </c>
      <c r="CB54">
        <v>0</v>
      </c>
      <c r="CC54" s="18">
        <v>0</v>
      </c>
      <c r="CD54">
        <v>0</v>
      </c>
      <c r="CE54">
        <v>0</v>
      </c>
      <c r="CF54">
        <v>1</v>
      </c>
      <c r="CG54">
        <v>1</v>
      </c>
      <c r="CH54">
        <v>0</v>
      </c>
      <c r="CI54">
        <v>0</v>
      </c>
      <c r="CJ54">
        <v>0</v>
      </c>
      <c r="CK54">
        <v>0</v>
      </c>
      <c r="CL54">
        <v>0</v>
      </c>
      <c r="CM54">
        <v>0</v>
      </c>
      <c r="CN54" s="18">
        <v>0</v>
      </c>
      <c r="CO54">
        <v>3.5000000000000003E-2</v>
      </c>
      <c r="CP54">
        <v>33</v>
      </c>
      <c r="CQ54">
        <v>1</v>
      </c>
      <c r="CR54">
        <v>0</v>
      </c>
      <c r="CS54">
        <v>10</v>
      </c>
      <c r="CY54" s="34"/>
    </row>
    <row r="55" spans="1:103" x14ac:dyDescent="0.25">
      <c r="A55">
        <v>54</v>
      </c>
      <c r="B55">
        <v>3</v>
      </c>
      <c r="C55" s="25" t="s">
        <v>124</v>
      </c>
      <c r="D55" s="12">
        <v>13.07</v>
      </c>
      <c r="E55" s="14">
        <f t="shared" si="15"/>
        <v>1.8607630979498861</v>
      </c>
      <c r="F55" s="7">
        <v>7.024</v>
      </c>
      <c r="G55" s="7">
        <f t="shared" si="0"/>
        <v>11.209236902050113</v>
      </c>
      <c r="H55" s="16">
        <f t="shared" si="1"/>
        <v>14.930763097949887</v>
      </c>
      <c r="I55" s="11">
        <f t="shared" si="9"/>
        <v>0.19002277488018446</v>
      </c>
      <c r="J55" s="33">
        <f t="shared" si="10"/>
        <v>2.7053356332600295E-2</v>
      </c>
      <c r="K55" s="33">
        <f t="shared" si="11"/>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6"/>
        <v>0.1552</v>
      </c>
      <c r="AT55" s="40">
        <v>0.8448</v>
      </c>
      <c r="AU55">
        <v>1</v>
      </c>
      <c r="AV55" s="18">
        <v>0</v>
      </c>
      <c r="AW55" t="s">
        <v>98</v>
      </c>
      <c r="AX55" s="18" t="s">
        <v>98</v>
      </c>
      <c r="AY55" s="18" t="s">
        <v>26</v>
      </c>
      <c r="AZ55">
        <v>1</v>
      </c>
      <c r="BA55">
        <v>0</v>
      </c>
      <c r="BB55">
        <v>0</v>
      </c>
      <c r="BC55">
        <v>0</v>
      </c>
      <c r="BD55">
        <v>0</v>
      </c>
      <c r="BE55">
        <v>0</v>
      </c>
      <c r="BF55" s="18">
        <v>0</v>
      </c>
      <c r="BG55">
        <v>1</v>
      </c>
      <c r="BH55">
        <v>0</v>
      </c>
      <c r="BI55" s="18">
        <v>0</v>
      </c>
      <c r="BJ55">
        <v>12986</v>
      </c>
      <c r="BK55">
        <v>12942</v>
      </c>
      <c r="BL55" s="25" t="s">
        <v>98</v>
      </c>
      <c r="BM55">
        <v>0</v>
      </c>
      <c r="BN55">
        <v>0</v>
      </c>
      <c r="BO55">
        <v>0</v>
      </c>
      <c r="BP55">
        <v>0</v>
      </c>
      <c r="BQ55">
        <v>1</v>
      </c>
      <c r="BR55">
        <v>0</v>
      </c>
      <c r="BS55">
        <v>0</v>
      </c>
      <c r="BT55" s="18">
        <v>0</v>
      </c>
      <c r="BU55">
        <v>0</v>
      </c>
      <c r="BV55">
        <v>0</v>
      </c>
      <c r="BW55">
        <v>1</v>
      </c>
      <c r="BX55" s="18">
        <v>0</v>
      </c>
      <c r="BY55">
        <v>1</v>
      </c>
      <c r="BZ55">
        <v>0</v>
      </c>
      <c r="CA55">
        <v>0</v>
      </c>
      <c r="CB55">
        <v>0</v>
      </c>
      <c r="CC55" s="18">
        <v>0</v>
      </c>
      <c r="CD55">
        <v>0</v>
      </c>
      <c r="CE55">
        <v>0</v>
      </c>
      <c r="CF55">
        <v>1</v>
      </c>
      <c r="CG55">
        <v>1</v>
      </c>
      <c r="CH55">
        <v>0</v>
      </c>
      <c r="CI55">
        <v>0</v>
      </c>
      <c r="CJ55">
        <v>0</v>
      </c>
      <c r="CK55">
        <v>0</v>
      </c>
      <c r="CL55">
        <v>0</v>
      </c>
      <c r="CM55">
        <v>0</v>
      </c>
      <c r="CN55" s="18">
        <v>0</v>
      </c>
      <c r="CO55">
        <v>3.5000000000000003E-2</v>
      </c>
      <c r="CP55">
        <v>33</v>
      </c>
      <c r="CQ55">
        <v>1</v>
      </c>
      <c r="CR55">
        <v>0</v>
      </c>
      <c r="CS55">
        <v>10</v>
      </c>
      <c r="CY55" s="34"/>
    </row>
    <row r="56" spans="1:103" x14ac:dyDescent="0.25">
      <c r="A56">
        <v>55</v>
      </c>
      <c r="B56">
        <v>3</v>
      </c>
      <c r="C56" s="25" t="s">
        <v>124</v>
      </c>
      <c r="D56" s="12">
        <v>7.2</v>
      </c>
      <c r="E56" s="14">
        <f t="shared" si="15"/>
        <v>0.59990001666388937</v>
      </c>
      <c r="F56" s="7">
        <v>12.002000000000001</v>
      </c>
      <c r="G56" s="7">
        <f t="shared" si="0"/>
        <v>6.6000999833361105</v>
      </c>
      <c r="H56" s="16">
        <f t="shared" si="1"/>
        <v>7.7999000166638899</v>
      </c>
      <c r="I56" s="11">
        <f t="shared" si="9"/>
        <v>0.31507412029987036</v>
      </c>
      <c r="J56" s="33">
        <f t="shared" si="10"/>
        <v>2.6251801391423957E-2</v>
      </c>
      <c r="K56" s="33">
        <f t="shared" si="11"/>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6"/>
        <v>0.1552</v>
      </c>
      <c r="AT56" s="40">
        <v>0.8448</v>
      </c>
      <c r="AU56">
        <v>1</v>
      </c>
      <c r="AV56" s="18">
        <v>0</v>
      </c>
      <c r="AW56" t="s">
        <v>98</v>
      </c>
      <c r="AX56" s="18" t="s">
        <v>98</v>
      </c>
      <c r="AY56" s="18" t="s">
        <v>26</v>
      </c>
      <c r="AZ56">
        <v>1</v>
      </c>
      <c r="BA56">
        <v>0</v>
      </c>
      <c r="BB56">
        <v>0</v>
      </c>
      <c r="BC56">
        <v>0</v>
      </c>
      <c r="BD56">
        <v>0</v>
      </c>
      <c r="BE56">
        <v>0</v>
      </c>
      <c r="BF56" s="18">
        <v>0</v>
      </c>
      <c r="BG56">
        <v>1</v>
      </c>
      <c r="BH56">
        <v>0</v>
      </c>
      <c r="BI56" s="18">
        <v>0</v>
      </c>
      <c r="BJ56">
        <v>12986</v>
      </c>
      <c r="BK56">
        <v>12942</v>
      </c>
      <c r="BL56" s="25" t="s">
        <v>98</v>
      </c>
      <c r="BM56">
        <v>1</v>
      </c>
      <c r="BN56">
        <v>0</v>
      </c>
      <c r="BO56">
        <v>0</v>
      </c>
      <c r="BP56">
        <v>0</v>
      </c>
      <c r="BQ56">
        <v>0</v>
      </c>
      <c r="BR56">
        <v>0</v>
      </c>
      <c r="BS56">
        <v>0</v>
      </c>
      <c r="BT56" s="18">
        <v>0</v>
      </c>
      <c r="BU56">
        <v>0</v>
      </c>
      <c r="BV56">
        <v>0</v>
      </c>
      <c r="BW56">
        <v>1</v>
      </c>
      <c r="BX56" s="18">
        <v>0</v>
      </c>
      <c r="BY56">
        <v>0</v>
      </c>
      <c r="BZ56">
        <v>0</v>
      </c>
      <c r="CA56">
        <v>0</v>
      </c>
      <c r="CB56">
        <v>0</v>
      </c>
      <c r="CC56" s="18">
        <v>0</v>
      </c>
      <c r="CD56">
        <v>0</v>
      </c>
      <c r="CE56">
        <v>0</v>
      </c>
      <c r="CF56">
        <v>1</v>
      </c>
      <c r="CG56">
        <v>1</v>
      </c>
      <c r="CH56">
        <v>0</v>
      </c>
      <c r="CI56">
        <v>0</v>
      </c>
      <c r="CJ56">
        <v>0</v>
      </c>
      <c r="CK56">
        <v>1</v>
      </c>
      <c r="CL56">
        <v>1</v>
      </c>
      <c r="CM56">
        <v>0</v>
      </c>
      <c r="CN56" s="18">
        <v>1</v>
      </c>
      <c r="CO56">
        <v>3.5000000000000003E-2</v>
      </c>
      <c r="CP56">
        <v>33</v>
      </c>
      <c r="CQ56">
        <v>1</v>
      </c>
      <c r="CR56">
        <v>0</v>
      </c>
      <c r="CS56">
        <v>10</v>
      </c>
      <c r="CY56" s="34"/>
    </row>
    <row r="57" spans="1:103" x14ac:dyDescent="0.25">
      <c r="A57">
        <v>56</v>
      </c>
      <c r="B57">
        <v>3</v>
      </c>
      <c r="C57" s="25" t="s">
        <v>124</v>
      </c>
      <c r="D57" s="12">
        <v>12.06</v>
      </c>
      <c r="E57" s="14">
        <f t="shared" si="15"/>
        <v>1.8116268589454709</v>
      </c>
      <c r="F57" s="7">
        <v>6.657</v>
      </c>
      <c r="G57" s="7">
        <f t="shared" si="0"/>
        <v>10.248373141054529</v>
      </c>
      <c r="H57" s="16">
        <f t="shared" si="1"/>
        <v>13.871626858945472</v>
      </c>
      <c r="I57" s="11">
        <f t="shared" si="9"/>
        <v>0.18109237057577759</v>
      </c>
      <c r="J57" s="33">
        <f t="shared" si="10"/>
        <v>2.7203300371905898E-2</v>
      </c>
      <c r="K57" s="33">
        <f t="shared" si="11"/>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6"/>
        <v>0.1552</v>
      </c>
      <c r="AT57" s="40">
        <v>0.8448</v>
      </c>
      <c r="AU57">
        <v>1</v>
      </c>
      <c r="AV57" s="18">
        <v>0</v>
      </c>
      <c r="AW57" t="s">
        <v>98</v>
      </c>
      <c r="AX57" s="18" t="s">
        <v>98</v>
      </c>
      <c r="AY57" s="18" t="s">
        <v>26</v>
      </c>
      <c r="AZ57">
        <v>1</v>
      </c>
      <c r="BA57">
        <v>0</v>
      </c>
      <c r="BB57">
        <v>0</v>
      </c>
      <c r="BC57">
        <v>0</v>
      </c>
      <c r="BD57">
        <v>0</v>
      </c>
      <c r="BE57">
        <v>0</v>
      </c>
      <c r="BF57" s="18">
        <v>0</v>
      </c>
      <c r="BG57">
        <v>1</v>
      </c>
      <c r="BH57">
        <v>0</v>
      </c>
      <c r="BI57" s="18">
        <v>0</v>
      </c>
      <c r="BJ57">
        <v>12986</v>
      </c>
      <c r="BK57">
        <v>12942</v>
      </c>
      <c r="BL57" s="25" t="s">
        <v>98</v>
      </c>
      <c r="BM57">
        <v>0</v>
      </c>
      <c r="BN57">
        <v>0</v>
      </c>
      <c r="BO57">
        <v>0</v>
      </c>
      <c r="BP57">
        <v>0</v>
      </c>
      <c r="BQ57">
        <v>1</v>
      </c>
      <c r="BR57">
        <v>0</v>
      </c>
      <c r="BS57">
        <v>0</v>
      </c>
      <c r="BT57" s="18">
        <v>0</v>
      </c>
      <c r="BU57">
        <v>0</v>
      </c>
      <c r="BV57">
        <v>0</v>
      </c>
      <c r="BW57">
        <v>1</v>
      </c>
      <c r="BX57" s="18">
        <v>0</v>
      </c>
      <c r="BY57">
        <v>1</v>
      </c>
      <c r="BZ57">
        <v>0</v>
      </c>
      <c r="CA57">
        <v>0</v>
      </c>
      <c r="CB57">
        <v>0</v>
      </c>
      <c r="CC57" s="18">
        <v>0</v>
      </c>
      <c r="CD57">
        <v>0</v>
      </c>
      <c r="CE57">
        <v>0</v>
      </c>
      <c r="CF57">
        <v>1</v>
      </c>
      <c r="CG57">
        <v>1</v>
      </c>
      <c r="CH57">
        <v>0</v>
      </c>
      <c r="CI57">
        <v>0</v>
      </c>
      <c r="CJ57">
        <v>0</v>
      </c>
      <c r="CK57">
        <v>1</v>
      </c>
      <c r="CL57">
        <v>1</v>
      </c>
      <c r="CM57">
        <v>0</v>
      </c>
      <c r="CN57" s="18">
        <v>1</v>
      </c>
      <c r="CO57">
        <v>3.5000000000000003E-2</v>
      </c>
      <c r="CP57">
        <v>33</v>
      </c>
      <c r="CQ57">
        <v>1</v>
      </c>
      <c r="CR57">
        <v>0</v>
      </c>
      <c r="CS57">
        <v>10</v>
      </c>
      <c r="CY57" s="34"/>
    </row>
    <row r="58" spans="1:103" x14ac:dyDescent="0.25">
      <c r="A58">
        <v>57</v>
      </c>
      <c r="B58">
        <v>3</v>
      </c>
      <c r="C58" s="25" t="s">
        <v>124</v>
      </c>
      <c r="D58" s="12">
        <v>7.87</v>
      </c>
      <c r="E58" s="14">
        <f t="shared" si="15"/>
        <v>0.58240213128098872</v>
      </c>
      <c r="F58" s="7">
        <v>13.513</v>
      </c>
      <c r="G58" s="7">
        <f t="shared" si="0"/>
        <v>7.2875978687190113</v>
      </c>
      <c r="H58" s="16">
        <f t="shared" si="1"/>
        <v>8.4524021312809889</v>
      </c>
      <c r="I58" s="11">
        <f t="shared" si="9"/>
        <v>0.34906695957381573</v>
      </c>
      <c r="J58" s="33">
        <f t="shared" si="10"/>
        <v>2.5831936622053998E-2</v>
      </c>
      <c r="K58" s="33">
        <f t="shared" si="11"/>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6"/>
        <v>0.1552</v>
      </c>
      <c r="AT58" s="40">
        <v>0.8448</v>
      </c>
      <c r="AU58">
        <v>1</v>
      </c>
      <c r="AV58" s="18">
        <v>0</v>
      </c>
      <c r="AW58" t="s">
        <v>98</v>
      </c>
      <c r="AX58" s="18" t="s">
        <v>98</v>
      </c>
      <c r="AY58" s="18" t="s">
        <v>26</v>
      </c>
      <c r="AZ58">
        <v>1</v>
      </c>
      <c r="BA58">
        <v>0</v>
      </c>
      <c r="BB58">
        <v>0</v>
      </c>
      <c r="BC58">
        <v>0</v>
      </c>
      <c r="BD58">
        <v>0</v>
      </c>
      <c r="BE58">
        <v>0</v>
      </c>
      <c r="BF58" s="18">
        <v>0</v>
      </c>
      <c r="BG58">
        <v>1</v>
      </c>
      <c r="BH58">
        <v>0</v>
      </c>
      <c r="BI58" s="18">
        <v>0</v>
      </c>
      <c r="BJ58">
        <v>12986</v>
      </c>
      <c r="BK58">
        <v>12942</v>
      </c>
      <c r="BL58" s="25" t="s">
        <v>98</v>
      </c>
      <c r="BM58">
        <v>1</v>
      </c>
      <c r="BN58">
        <v>0</v>
      </c>
      <c r="BO58">
        <v>0</v>
      </c>
      <c r="BP58">
        <v>0</v>
      </c>
      <c r="BQ58">
        <v>0</v>
      </c>
      <c r="BR58">
        <v>0</v>
      </c>
      <c r="BS58">
        <v>0</v>
      </c>
      <c r="BT58" s="18">
        <v>0</v>
      </c>
      <c r="BU58">
        <v>0</v>
      </c>
      <c r="BV58">
        <v>0</v>
      </c>
      <c r="BW58">
        <v>0</v>
      </c>
      <c r="BX58" s="18">
        <v>0</v>
      </c>
      <c r="BY58">
        <v>0</v>
      </c>
      <c r="BZ58">
        <v>0</v>
      </c>
      <c r="CA58">
        <v>0</v>
      </c>
      <c r="CB58">
        <v>0</v>
      </c>
      <c r="CC58" s="18">
        <v>0</v>
      </c>
      <c r="CD58">
        <v>0</v>
      </c>
      <c r="CE58">
        <v>0</v>
      </c>
      <c r="CF58">
        <v>1</v>
      </c>
      <c r="CG58">
        <v>1</v>
      </c>
      <c r="CH58">
        <v>0</v>
      </c>
      <c r="CI58">
        <v>0</v>
      </c>
      <c r="CJ58">
        <v>1</v>
      </c>
      <c r="CK58">
        <v>1</v>
      </c>
      <c r="CL58">
        <v>1</v>
      </c>
      <c r="CM58">
        <v>0</v>
      </c>
      <c r="CN58" s="18">
        <v>1</v>
      </c>
      <c r="CO58">
        <v>3.5000000000000003E-2</v>
      </c>
      <c r="CP58">
        <v>33</v>
      </c>
      <c r="CQ58">
        <v>1</v>
      </c>
      <c r="CR58">
        <v>0</v>
      </c>
      <c r="CS58">
        <v>10</v>
      </c>
      <c r="CY58" s="34"/>
    </row>
    <row r="59" spans="1:103" x14ac:dyDescent="0.25">
      <c r="A59">
        <v>58</v>
      </c>
      <c r="B59">
        <v>3</v>
      </c>
      <c r="C59" s="25" t="s">
        <v>124</v>
      </c>
      <c r="D59" s="12">
        <v>7.27</v>
      </c>
      <c r="E59" s="14">
        <f t="shared" si="15"/>
        <v>0.59187494911666527</v>
      </c>
      <c r="F59" s="7">
        <v>12.282999999999999</v>
      </c>
      <c r="G59" s="7">
        <f t="shared" si="0"/>
        <v>6.6781250508833345</v>
      </c>
      <c r="H59" s="16">
        <f t="shared" si="1"/>
        <v>7.8618749491166646</v>
      </c>
      <c r="I59" s="11">
        <f t="shared" si="9"/>
        <v>0.32180570593240293</v>
      </c>
      <c r="J59" s="33">
        <f t="shared" si="10"/>
        <v>2.6199275904290723E-2</v>
      </c>
      <c r="K59" s="33">
        <f t="shared" si="11"/>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6"/>
        <v>0.1552</v>
      </c>
      <c r="AT59" s="40">
        <v>0.8448</v>
      </c>
      <c r="AU59">
        <v>1</v>
      </c>
      <c r="AV59" s="18">
        <v>0</v>
      </c>
      <c r="AW59" t="s">
        <v>98</v>
      </c>
      <c r="AX59" s="18" t="s">
        <v>98</v>
      </c>
      <c r="AY59" s="18" t="s">
        <v>26</v>
      </c>
      <c r="AZ59">
        <v>1</v>
      </c>
      <c r="BA59">
        <v>0</v>
      </c>
      <c r="BB59">
        <v>0</v>
      </c>
      <c r="BC59">
        <v>0</v>
      </c>
      <c r="BD59">
        <v>0</v>
      </c>
      <c r="BE59">
        <v>0</v>
      </c>
      <c r="BF59" s="18">
        <v>0</v>
      </c>
      <c r="BG59">
        <v>1</v>
      </c>
      <c r="BH59">
        <v>0</v>
      </c>
      <c r="BI59" s="18">
        <v>0</v>
      </c>
      <c r="BJ59">
        <v>12986</v>
      </c>
      <c r="BK59">
        <v>12942</v>
      </c>
      <c r="BL59" s="25" t="s">
        <v>98</v>
      </c>
      <c r="BM59">
        <v>1</v>
      </c>
      <c r="BN59">
        <v>0</v>
      </c>
      <c r="BO59">
        <v>0</v>
      </c>
      <c r="BP59">
        <v>0</v>
      </c>
      <c r="BQ59">
        <v>0</v>
      </c>
      <c r="BR59">
        <v>0</v>
      </c>
      <c r="BS59">
        <v>0</v>
      </c>
      <c r="BT59" s="18">
        <v>0</v>
      </c>
      <c r="BU59">
        <v>0</v>
      </c>
      <c r="BV59">
        <v>0</v>
      </c>
      <c r="BW59">
        <v>0</v>
      </c>
      <c r="BX59" s="18">
        <v>0</v>
      </c>
      <c r="BY59">
        <v>0</v>
      </c>
      <c r="BZ59">
        <v>0</v>
      </c>
      <c r="CA59">
        <v>0</v>
      </c>
      <c r="CB59">
        <v>0</v>
      </c>
      <c r="CC59" s="18">
        <v>0</v>
      </c>
      <c r="CD59">
        <v>0</v>
      </c>
      <c r="CE59">
        <v>0</v>
      </c>
      <c r="CF59">
        <v>1</v>
      </c>
      <c r="CG59">
        <v>1</v>
      </c>
      <c r="CH59">
        <v>0</v>
      </c>
      <c r="CI59">
        <v>0</v>
      </c>
      <c r="CJ59">
        <v>1</v>
      </c>
      <c r="CK59">
        <v>1</v>
      </c>
      <c r="CL59">
        <v>1</v>
      </c>
      <c r="CM59">
        <v>0</v>
      </c>
      <c r="CN59" s="18">
        <v>1</v>
      </c>
      <c r="CO59">
        <v>3.5000000000000003E-2</v>
      </c>
      <c r="CP59">
        <v>33</v>
      </c>
      <c r="CQ59">
        <v>1</v>
      </c>
      <c r="CR59">
        <v>0</v>
      </c>
      <c r="CS59">
        <v>10</v>
      </c>
      <c r="CY59" s="34"/>
    </row>
    <row r="60" spans="1:103" x14ac:dyDescent="0.25">
      <c r="A60">
        <v>59</v>
      </c>
      <c r="B60">
        <v>3</v>
      </c>
      <c r="C60" s="25" t="s">
        <v>124</v>
      </c>
      <c r="D60" s="12">
        <v>7.7720000000000002</v>
      </c>
      <c r="E60" s="14">
        <f t="shared" si="15"/>
        <v>0.60047902341033765</v>
      </c>
      <c r="F60" s="7">
        <v>12.943</v>
      </c>
      <c r="G60" s="7">
        <f t="shared" si="0"/>
        <v>7.1715209765896626</v>
      </c>
      <c r="H60" s="16">
        <f t="shared" si="1"/>
        <v>8.3724790234103388</v>
      </c>
      <c r="I60" s="11">
        <f t="shared" si="9"/>
        <v>0.33603774798577535</v>
      </c>
      <c r="J60" s="33">
        <f t="shared" si="10"/>
        <v>2.5962894845536221E-2</v>
      </c>
      <c r="K60" s="33">
        <f t="shared" si="11"/>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6"/>
        <v>0.1552</v>
      </c>
      <c r="AT60" s="40">
        <v>0.8448</v>
      </c>
      <c r="AU60">
        <v>1</v>
      </c>
      <c r="AV60" s="18">
        <v>0</v>
      </c>
      <c r="AW60" t="s">
        <v>98</v>
      </c>
      <c r="AX60" s="18" t="s">
        <v>98</v>
      </c>
      <c r="AY60" s="18" t="s">
        <v>26</v>
      </c>
      <c r="AZ60">
        <v>1</v>
      </c>
      <c r="BA60">
        <v>0</v>
      </c>
      <c r="BB60">
        <v>0</v>
      </c>
      <c r="BC60">
        <v>0</v>
      </c>
      <c r="BD60">
        <v>0</v>
      </c>
      <c r="BE60">
        <v>0</v>
      </c>
      <c r="BF60" s="18">
        <v>0</v>
      </c>
      <c r="BG60">
        <v>1</v>
      </c>
      <c r="BH60">
        <v>0</v>
      </c>
      <c r="BI60" s="18">
        <v>0</v>
      </c>
      <c r="BJ60">
        <v>12986</v>
      </c>
      <c r="BK60">
        <v>12942</v>
      </c>
      <c r="BL60" s="25" t="s">
        <v>98</v>
      </c>
      <c r="BM60">
        <v>1</v>
      </c>
      <c r="BN60">
        <v>0</v>
      </c>
      <c r="BO60">
        <v>0</v>
      </c>
      <c r="BP60">
        <v>0</v>
      </c>
      <c r="BQ60">
        <v>0</v>
      </c>
      <c r="BR60">
        <v>0</v>
      </c>
      <c r="BS60">
        <v>0</v>
      </c>
      <c r="BT60" s="18">
        <v>0</v>
      </c>
      <c r="BU60">
        <v>0</v>
      </c>
      <c r="BV60">
        <v>1</v>
      </c>
      <c r="BW60">
        <v>0</v>
      </c>
      <c r="BX60" s="18">
        <v>0</v>
      </c>
      <c r="BY60">
        <v>0</v>
      </c>
      <c r="BZ60">
        <v>0</v>
      </c>
      <c r="CA60">
        <v>0</v>
      </c>
      <c r="CB60">
        <v>0</v>
      </c>
      <c r="CC60" s="18">
        <v>0</v>
      </c>
      <c r="CD60">
        <v>0</v>
      </c>
      <c r="CE60">
        <v>0</v>
      </c>
      <c r="CF60">
        <v>1</v>
      </c>
      <c r="CG60">
        <v>1</v>
      </c>
      <c r="CH60">
        <v>0</v>
      </c>
      <c r="CI60">
        <v>0</v>
      </c>
      <c r="CJ60">
        <v>0</v>
      </c>
      <c r="CK60">
        <v>1</v>
      </c>
      <c r="CL60">
        <v>1</v>
      </c>
      <c r="CM60">
        <v>0</v>
      </c>
      <c r="CN60" s="18">
        <v>1</v>
      </c>
      <c r="CO60">
        <v>3.5000000000000003E-2</v>
      </c>
      <c r="CP60">
        <v>33</v>
      </c>
      <c r="CQ60">
        <v>1</v>
      </c>
      <c r="CR60">
        <v>0</v>
      </c>
      <c r="CS60">
        <v>10</v>
      </c>
      <c r="CY60" s="34"/>
    </row>
    <row r="61" spans="1:103" x14ac:dyDescent="0.25">
      <c r="A61">
        <v>60</v>
      </c>
      <c r="B61">
        <v>3</v>
      </c>
      <c r="C61" s="25" t="s">
        <v>124</v>
      </c>
      <c r="D61" s="12">
        <v>12.96</v>
      </c>
      <c r="E61" s="14">
        <f t="shared" si="15"/>
        <v>1.8861883277543299</v>
      </c>
      <c r="F61" s="7">
        <v>6.8710000000000004</v>
      </c>
      <c r="G61" s="7">
        <f t="shared" si="0"/>
        <v>11.073811672245672</v>
      </c>
      <c r="H61" s="16">
        <f t="shared" si="1"/>
        <v>14.84618832775433</v>
      </c>
      <c r="I61" s="11">
        <f t="shared" si="9"/>
        <v>0.18678295696006994</v>
      </c>
      <c r="J61" s="33">
        <f t="shared" si="10"/>
        <v>2.7184246392092843E-2</v>
      </c>
      <c r="K61" s="33">
        <f t="shared" si="11"/>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6"/>
        <v>0.1552</v>
      </c>
      <c r="AT61" s="40">
        <v>0.8448</v>
      </c>
      <c r="AU61">
        <v>1</v>
      </c>
      <c r="AV61" s="18">
        <v>0</v>
      </c>
      <c r="AW61" t="s">
        <v>98</v>
      </c>
      <c r="AX61" s="18" t="s">
        <v>98</v>
      </c>
      <c r="AY61" s="18" t="s">
        <v>26</v>
      </c>
      <c r="AZ61">
        <v>1</v>
      </c>
      <c r="BA61">
        <v>0</v>
      </c>
      <c r="BB61">
        <v>0</v>
      </c>
      <c r="BC61">
        <v>0</v>
      </c>
      <c r="BD61">
        <v>0</v>
      </c>
      <c r="BE61">
        <v>0</v>
      </c>
      <c r="BF61" s="18">
        <v>0</v>
      </c>
      <c r="BG61">
        <v>1</v>
      </c>
      <c r="BH61">
        <v>0</v>
      </c>
      <c r="BI61" s="18">
        <v>0</v>
      </c>
      <c r="BJ61">
        <v>12986</v>
      </c>
      <c r="BK61">
        <v>12942</v>
      </c>
      <c r="BL61" s="25" t="s">
        <v>98</v>
      </c>
      <c r="BM61">
        <v>0</v>
      </c>
      <c r="BN61">
        <v>0</v>
      </c>
      <c r="BO61">
        <v>0</v>
      </c>
      <c r="BP61">
        <v>0</v>
      </c>
      <c r="BQ61">
        <v>1</v>
      </c>
      <c r="BR61">
        <v>0</v>
      </c>
      <c r="BS61">
        <v>0</v>
      </c>
      <c r="BT61" s="18">
        <v>0</v>
      </c>
      <c r="BU61">
        <v>0</v>
      </c>
      <c r="BV61">
        <v>1</v>
      </c>
      <c r="BW61">
        <v>0</v>
      </c>
      <c r="BX61" s="18">
        <v>0</v>
      </c>
      <c r="BY61">
        <v>1</v>
      </c>
      <c r="BZ61">
        <v>0</v>
      </c>
      <c r="CA61">
        <v>0</v>
      </c>
      <c r="CB61">
        <v>0</v>
      </c>
      <c r="CC61" s="18">
        <v>0</v>
      </c>
      <c r="CD61">
        <v>0</v>
      </c>
      <c r="CE61">
        <v>0</v>
      </c>
      <c r="CF61">
        <v>1</v>
      </c>
      <c r="CG61">
        <v>1</v>
      </c>
      <c r="CH61">
        <v>0</v>
      </c>
      <c r="CI61">
        <v>0</v>
      </c>
      <c r="CJ61">
        <v>0</v>
      </c>
      <c r="CK61">
        <v>1</v>
      </c>
      <c r="CL61">
        <v>1</v>
      </c>
      <c r="CM61">
        <v>0</v>
      </c>
      <c r="CN61" s="18">
        <v>1</v>
      </c>
      <c r="CO61">
        <v>3.5000000000000003E-2</v>
      </c>
      <c r="CP61">
        <v>33</v>
      </c>
      <c r="CQ61">
        <v>1</v>
      </c>
      <c r="CR61">
        <v>0</v>
      </c>
      <c r="CS61">
        <v>10</v>
      </c>
      <c r="CY61" s="34"/>
    </row>
    <row r="62" spans="1:103" x14ac:dyDescent="0.25">
      <c r="A62">
        <v>61</v>
      </c>
      <c r="B62">
        <v>3</v>
      </c>
      <c r="C62" s="25" t="s">
        <v>124</v>
      </c>
      <c r="D62" s="12">
        <v>7.18</v>
      </c>
      <c r="E62" s="14">
        <f t="shared" si="15"/>
        <v>0.60224794497567513</v>
      </c>
      <c r="F62" s="7">
        <v>11.922000000000001</v>
      </c>
      <c r="G62" s="7">
        <f t="shared" si="0"/>
        <v>6.5777520550243249</v>
      </c>
      <c r="H62" s="16">
        <f t="shared" si="1"/>
        <v>7.7822479449756745</v>
      </c>
      <c r="I62" s="11">
        <f t="shared" si="9"/>
        <v>0.31221257172325378</v>
      </c>
      <c r="J62" s="33">
        <f t="shared" si="10"/>
        <v>2.6187935893579414E-2</v>
      </c>
      <c r="K62" s="33">
        <f t="shared" si="11"/>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6"/>
        <v>0.1552</v>
      </c>
      <c r="AT62" s="40">
        <v>0.8448</v>
      </c>
      <c r="AU62">
        <v>1</v>
      </c>
      <c r="AV62" s="18">
        <v>0</v>
      </c>
      <c r="AW62" t="s">
        <v>98</v>
      </c>
      <c r="AX62" s="18" t="s">
        <v>98</v>
      </c>
      <c r="AY62" s="18" t="s">
        <v>26</v>
      </c>
      <c r="AZ62">
        <v>1</v>
      </c>
      <c r="BA62">
        <v>0</v>
      </c>
      <c r="BB62">
        <v>0</v>
      </c>
      <c r="BC62">
        <v>0</v>
      </c>
      <c r="BD62">
        <v>0</v>
      </c>
      <c r="BE62">
        <v>0</v>
      </c>
      <c r="BF62" s="18">
        <v>0</v>
      </c>
      <c r="BG62">
        <v>1</v>
      </c>
      <c r="BH62">
        <v>0</v>
      </c>
      <c r="BI62" s="18">
        <v>0</v>
      </c>
      <c r="BJ62">
        <v>12986</v>
      </c>
      <c r="BK62">
        <v>12942</v>
      </c>
      <c r="BL62" s="25" t="s">
        <v>98</v>
      </c>
      <c r="BM62">
        <v>1</v>
      </c>
      <c r="BN62">
        <v>0</v>
      </c>
      <c r="BO62">
        <v>0</v>
      </c>
      <c r="BP62">
        <v>0</v>
      </c>
      <c r="BQ62">
        <v>0</v>
      </c>
      <c r="BR62">
        <v>0</v>
      </c>
      <c r="BS62">
        <v>0</v>
      </c>
      <c r="BT62" s="18">
        <v>0</v>
      </c>
      <c r="BU62">
        <v>0</v>
      </c>
      <c r="BV62">
        <v>1</v>
      </c>
      <c r="BW62">
        <v>0</v>
      </c>
      <c r="BX62" s="18">
        <v>0</v>
      </c>
      <c r="BY62">
        <v>0</v>
      </c>
      <c r="BZ62">
        <v>0</v>
      </c>
      <c r="CA62">
        <v>0</v>
      </c>
      <c r="CB62">
        <v>0</v>
      </c>
      <c r="CC62" s="18">
        <v>0</v>
      </c>
      <c r="CD62">
        <v>0</v>
      </c>
      <c r="CE62">
        <v>0</v>
      </c>
      <c r="CF62">
        <v>1</v>
      </c>
      <c r="CG62">
        <v>1</v>
      </c>
      <c r="CH62">
        <v>0</v>
      </c>
      <c r="CI62">
        <v>0</v>
      </c>
      <c r="CJ62">
        <v>0</v>
      </c>
      <c r="CK62">
        <v>1</v>
      </c>
      <c r="CL62">
        <v>1</v>
      </c>
      <c r="CM62">
        <v>0</v>
      </c>
      <c r="CN62" s="18">
        <v>1</v>
      </c>
      <c r="CO62">
        <v>3.5000000000000003E-2</v>
      </c>
      <c r="CP62">
        <v>33</v>
      </c>
      <c r="CQ62">
        <v>1</v>
      </c>
      <c r="CR62">
        <v>0</v>
      </c>
      <c r="CS62">
        <v>10</v>
      </c>
      <c r="CY62" s="34"/>
    </row>
    <row r="63" spans="1:103" s="51" customFormat="1" x14ac:dyDescent="0.25">
      <c r="A63" s="51">
        <v>62</v>
      </c>
      <c r="B63" s="51">
        <v>3</v>
      </c>
      <c r="C63" s="52" t="s">
        <v>124</v>
      </c>
      <c r="D63" s="53">
        <v>11.97</v>
      </c>
      <c r="E63" s="54">
        <f t="shared" si="15"/>
        <v>1.8274809160305345</v>
      </c>
      <c r="F63" s="55">
        <v>6.55</v>
      </c>
      <c r="G63" s="55">
        <f t="shared" si="0"/>
        <v>10.142519083969466</v>
      </c>
      <c r="H63" s="56">
        <f t="shared" si="1"/>
        <v>13.797480916030535</v>
      </c>
      <c r="I63" s="11">
        <f t="shared" si="9"/>
        <v>0.17834092719289177</v>
      </c>
      <c r="J63" s="33">
        <f t="shared" si="10"/>
        <v>2.7227622472197219E-2</v>
      </c>
      <c r="K63" s="33">
        <f t="shared" si="11"/>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6"/>
        <v>0.1552</v>
      </c>
      <c r="AT63" s="66">
        <v>0.8448</v>
      </c>
      <c r="AU63">
        <v>1</v>
      </c>
      <c r="AV63" s="65">
        <v>0</v>
      </c>
      <c r="AW63" s="51" t="s">
        <v>98</v>
      </c>
      <c r="AX63" s="65" t="s">
        <v>98</v>
      </c>
      <c r="AY63" s="65" t="s">
        <v>26</v>
      </c>
      <c r="AZ63">
        <v>1</v>
      </c>
      <c r="BA63">
        <v>0</v>
      </c>
      <c r="BB63">
        <v>0</v>
      </c>
      <c r="BC63">
        <v>0</v>
      </c>
      <c r="BD63">
        <v>0</v>
      </c>
      <c r="BE63">
        <v>0</v>
      </c>
      <c r="BF63" s="65">
        <v>0</v>
      </c>
      <c r="BG63">
        <v>1</v>
      </c>
      <c r="BH63">
        <v>0</v>
      </c>
      <c r="BI63" s="65">
        <v>0</v>
      </c>
      <c r="BJ63">
        <v>12986</v>
      </c>
      <c r="BK63">
        <v>12942</v>
      </c>
      <c r="BL63" s="52" t="s">
        <v>98</v>
      </c>
      <c r="BM63" s="51">
        <v>0</v>
      </c>
      <c r="BN63" s="51">
        <v>0</v>
      </c>
      <c r="BO63" s="51">
        <v>0</v>
      </c>
      <c r="BP63" s="51">
        <v>0</v>
      </c>
      <c r="BQ63" s="51">
        <v>1</v>
      </c>
      <c r="BR63" s="51">
        <v>0</v>
      </c>
      <c r="BS63" s="51">
        <v>0</v>
      </c>
      <c r="BT63" s="65">
        <v>0</v>
      </c>
      <c r="BU63" s="51">
        <v>0</v>
      </c>
      <c r="BV63" s="51">
        <v>1</v>
      </c>
      <c r="BW63" s="51">
        <v>0</v>
      </c>
      <c r="BX63" s="65">
        <v>0</v>
      </c>
      <c r="BY63" s="51">
        <v>1</v>
      </c>
      <c r="BZ63" s="51">
        <v>0</v>
      </c>
      <c r="CA63" s="51">
        <v>0</v>
      </c>
      <c r="CB63" s="51">
        <v>0</v>
      </c>
      <c r="CC63" s="65">
        <v>0</v>
      </c>
      <c r="CD63" s="51">
        <v>0</v>
      </c>
      <c r="CE63" s="51">
        <v>0</v>
      </c>
      <c r="CF63" s="51">
        <v>1</v>
      </c>
      <c r="CG63" s="51">
        <v>1</v>
      </c>
      <c r="CH63" s="51">
        <v>0</v>
      </c>
      <c r="CI63" s="51">
        <v>0</v>
      </c>
      <c r="CJ63" s="51">
        <v>0</v>
      </c>
      <c r="CK63" s="51">
        <v>1</v>
      </c>
      <c r="CL63" s="51">
        <v>1</v>
      </c>
      <c r="CM63" s="51">
        <v>0</v>
      </c>
      <c r="CN63" s="65">
        <v>1</v>
      </c>
      <c r="CO63">
        <v>3.5000000000000003E-2</v>
      </c>
      <c r="CP63">
        <v>33</v>
      </c>
      <c r="CQ63">
        <v>1</v>
      </c>
      <c r="CR63">
        <v>0</v>
      </c>
      <c r="CS63">
        <v>10</v>
      </c>
      <c r="CT63" s="67"/>
      <c r="CY63" s="67"/>
    </row>
    <row r="64" spans="1:103" x14ac:dyDescent="0.25">
      <c r="A64">
        <v>63</v>
      </c>
      <c r="B64">
        <v>4</v>
      </c>
      <c r="C64" s="25" t="s">
        <v>125</v>
      </c>
      <c r="D64" s="12">
        <v>6.8</v>
      </c>
      <c r="E64" s="14">
        <v>0.18</v>
      </c>
      <c r="F64" s="7">
        <f t="shared" ref="F64:F76" si="17">D64/E64</f>
        <v>37.777777777777779</v>
      </c>
      <c r="G64" s="7">
        <f t="shared" si="0"/>
        <v>6.62</v>
      </c>
      <c r="H64" s="16">
        <f t="shared" si="1"/>
        <v>6.9799999999999995</v>
      </c>
      <c r="I64" s="11">
        <f t="shared" si="9"/>
        <v>0.26682149061827387</v>
      </c>
      <c r="J64" s="33">
        <f t="shared" si="10"/>
        <v>7.0629218104837199E-3</v>
      </c>
      <c r="K64" s="33">
        <f t="shared" si="11"/>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v>0</v>
      </c>
      <c r="BF64" s="18">
        <v>0</v>
      </c>
      <c r="BG64">
        <v>1</v>
      </c>
      <c r="BH64">
        <v>0</v>
      </c>
      <c r="BI64" s="18">
        <v>0</v>
      </c>
      <c r="BJ64">
        <v>15116</v>
      </c>
      <c r="BK64">
        <v>12548</v>
      </c>
      <c r="BL64" s="25" t="s">
        <v>98</v>
      </c>
      <c r="BM64">
        <v>0</v>
      </c>
      <c r="BN64">
        <v>0</v>
      </c>
      <c r="BO64">
        <v>0</v>
      </c>
      <c r="BP64">
        <v>0</v>
      </c>
      <c r="BQ64">
        <v>0</v>
      </c>
      <c r="BR64">
        <v>0</v>
      </c>
      <c r="BS64">
        <v>0</v>
      </c>
      <c r="BT64" s="18">
        <v>1</v>
      </c>
      <c r="BU64">
        <v>0</v>
      </c>
      <c r="BV64">
        <v>0</v>
      </c>
      <c r="BW64">
        <v>1</v>
      </c>
      <c r="BX64" s="18">
        <v>0</v>
      </c>
      <c r="BY64">
        <v>1</v>
      </c>
      <c r="BZ64">
        <v>0</v>
      </c>
      <c r="CA64">
        <v>0</v>
      </c>
      <c r="CB64">
        <v>0</v>
      </c>
      <c r="CC64" s="18">
        <v>0</v>
      </c>
      <c r="CD64">
        <v>0</v>
      </c>
      <c r="CE64">
        <v>0</v>
      </c>
      <c r="CF64">
        <v>1</v>
      </c>
      <c r="CG64">
        <v>1</v>
      </c>
      <c r="CH64">
        <v>0</v>
      </c>
      <c r="CI64">
        <v>0</v>
      </c>
      <c r="CJ64">
        <v>0</v>
      </c>
      <c r="CK64">
        <v>0</v>
      </c>
      <c r="CL64">
        <v>0</v>
      </c>
      <c r="CM64">
        <v>0</v>
      </c>
      <c r="CN64" s="18">
        <v>0</v>
      </c>
      <c r="CO64">
        <v>1.2E-2</v>
      </c>
      <c r="CP64">
        <v>36</v>
      </c>
      <c r="CQ64">
        <v>1</v>
      </c>
      <c r="CR64">
        <v>0</v>
      </c>
      <c r="CS64">
        <v>14</v>
      </c>
      <c r="CY64" s="34"/>
    </row>
    <row r="65" spans="1:103" x14ac:dyDescent="0.25">
      <c r="A65">
        <v>64</v>
      </c>
      <c r="B65">
        <v>4</v>
      </c>
      <c r="C65" s="25" t="s">
        <v>125</v>
      </c>
      <c r="D65" s="12">
        <v>7.23</v>
      </c>
      <c r="E65" s="14">
        <v>0.23</v>
      </c>
      <c r="F65" s="7">
        <f t="shared" si="17"/>
        <v>31.434782608695652</v>
      </c>
      <c r="G65" s="7">
        <f t="shared" si="0"/>
        <v>7</v>
      </c>
      <c r="H65" s="16">
        <f t="shared" si="1"/>
        <v>7.4600000000000009</v>
      </c>
      <c r="I65" s="11">
        <f t="shared" si="9"/>
        <v>0.31722953329131282</v>
      </c>
      <c r="J65" s="33">
        <f t="shared" si="10"/>
        <v>1.0091672566666935E-2</v>
      </c>
      <c r="K65" s="33">
        <f t="shared" si="11"/>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v>0</v>
      </c>
      <c r="BF65" s="18">
        <v>0</v>
      </c>
      <c r="BG65">
        <v>1</v>
      </c>
      <c r="BH65">
        <v>0</v>
      </c>
      <c r="BI65" s="18">
        <v>0</v>
      </c>
      <c r="BJ65">
        <v>15116</v>
      </c>
      <c r="BK65">
        <v>12548</v>
      </c>
      <c r="BL65" s="25" t="s">
        <v>98</v>
      </c>
      <c r="BM65">
        <v>0</v>
      </c>
      <c r="BN65">
        <v>0</v>
      </c>
      <c r="BO65">
        <v>0</v>
      </c>
      <c r="BP65">
        <v>0</v>
      </c>
      <c r="BQ65">
        <v>0</v>
      </c>
      <c r="BR65">
        <v>0</v>
      </c>
      <c r="BS65">
        <v>0</v>
      </c>
      <c r="BT65" s="18">
        <v>1</v>
      </c>
      <c r="BU65">
        <v>0</v>
      </c>
      <c r="BV65">
        <v>0</v>
      </c>
      <c r="BW65">
        <v>1</v>
      </c>
      <c r="BX65" s="18">
        <v>0</v>
      </c>
      <c r="BY65">
        <v>1</v>
      </c>
      <c r="BZ65">
        <v>0</v>
      </c>
      <c r="CA65">
        <v>0</v>
      </c>
      <c r="CB65">
        <v>0</v>
      </c>
      <c r="CC65" s="18">
        <v>0</v>
      </c>
      <c r="CD65">
        <v>0</v>
      </c>
      <c r="CE65">
        <v>0</v>
      </c>
      <c r="CF65">
        <v>1</v>
      </c>
      <c r="CG65">
        <v>1</v>
      </c>
      <c r="CH65">
        <v>0</v>
      </c>
      <c r="CI65">
        <v>0</v>
      </c>
      <c r="CJ65">
        <v>0</v>
      </c>
      <c r="CK65">
        <v>0</v>
      </c>
      <c r="CL65">
        <v>0</v>
      </c>
      <c r="CM65">
        <v>0</v>
      </c>
      <c r="CN65" s="18">
        <v>0</v>
      </c>
      <c r="CO65">
        <v>1.2E-2</v>
      </c>
      <c r="CP65">
        <v>36</v>
      </c>
      <c r="CQ65">
        <v>1</v>
      </c>
      <c r="CR65">
        <v>0</v>
      </c>
      <c r="CS65">
        <v>14</v>
      </c>
      <c r="CY65" s="34"/>
    </row>
    <row r="66" spans="1:103" x14ac:dyDescent="0.25">
      <c r="A66">
        <v>65</v>
      </c>
      <c r="B66">
        <v>4</v>
      </c>
      <c r="C66" s="25" t="s">
        <v>125</v>
      </c>
      <c r="D66" s="12">
        <v>6.4</v>
      </c>
      <c r="E66" s="14">
        <v>0.27</v>
      </c>
      <c r="F66" s="7">
        <f t="shared" si="17"/>
        <v>23.703703703703702</v>
      </c>
      <c r="G66" s="7">
        <f t="shared" ref="G66:G129" si="18">D66-E66</f>
        <v>6.1300000000000008</v>
      </c>
      <c r="H66" s="16">
        <f t="shared" ref="H66:H129" si="19">D66+E66</f>
        <v>6.67</v>
      </c>
      <c r="I66" s="11">
        <f t="shared" si="9"/>
        <v>0.23315395335818478</v>
      </c>
      <c r="J66" s="33">
        <f t="shared" si="10"/>
        <v>9.8361824072984213E-3</v>
      </c>
      <c r="K66" s="33">
        <f t="shared" si="11"/>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v>0</v>
      </c>
      <c r="BF66" s="18">
        <v>0</v>
      </c>
      <c r="BG66">
        <v>1</v>
      </c>
      <c r="BH66">
        <v>0</v>
      </c>
      <c r="BI66" s="18">
        <v>0</v>
      </c>
      <c r="BJ66">
        <v>15116</v>
      </c>
      <c r="BK66">
        <v>12548</v>
      </c>
      <c r="BL66" s="25" t="s">
        <v>98</v>
      </c>
      <c r="BM66">
        <v>0</v>
      </c>
      <c r="BN66">
        <v>0</v>
      </c>
      <c r="BO66">
        <v>0</v>
      </c>
      <c r="BP66">
        <v>0</v>
      </c>
      <c r="BQ66">
        <v>0</v>
      </c>
      <c r="BR66">
        <v>0</v>
      </c>
      <c r="BS66">
        <v>0</v>
      </c>
      <c r="BT66" s="18">
        <v>1</v>
      </c>
      <c r="BU66">
        <v>0</v>
      </c>
      <c r="BV66">
        <v>0</v>
      </c>
      <c r="BW66">
        <v>1</v>
      </c>
      <c r="BX66" s="18">
        <v>0</v>
      </c>
      <c r="BY66">
        <v>1</v>
      </c>
      <c r="BZ66">
        <v>0</v>
      </c>
      <c r="CA66">
        <v>0</v>
      </c>
      <c r="CB66">
        <v>0</v>
      </c>
      <c r="CC66" s="18">
        <v>0</v>
      </c>
      <c r="CD66">
        <v>0</v>
      </c>
      <c r="CE66">
        <v>0</v>
      </c>
      <c r="CF66">
        <v>1</v>
      </c>
      <c r="CG66">
        <v>1</v>
      </c>
      <c r="CH66">
        <v>0</v>
      </c>
      <c r="CI66">
        <v>0</v>
      </c>
      <c r="CJ66">
        <v>0</v>
      </c>
      <c r="CK66">
        <v>0</v>
      </c>
      <c r="CL66">
        <v>0</v>
      </c>
      <c r="CM66">
        <v>0</v>
      </c>
      <c r="CN66" s="18">
        <v>0</v>
      </c>
      <c r="CO66">
        <v>1.2E-2</v>
      </c>
      <c r="CP66">
        <v>36</v>
      </c>
      <c r="CQ66">
        <v>1</v>
      </c>
      <c r="CR66">
        <v>0</v>
      </c>
      <c r="CS66">
        <v>14</v>
      </c>
      <c r="CY66" s="34"/>
    </row>
    <row r="67" spans="1:103" x14ac:dyDescent="0.25">
      <c r="A67">
        <v>66</v>
      </c>
      <c r="B67">
        <v>4</v>
      </c>
      <c r="C67" s="25" t="s">
        <v>125</v>
      </c>
      <c r="D67" s="12">
        <v>7.51</v>
      </c>
      <c r="E67" s="14">
        <v>0.22</v>
      </c>
      <c r="F67" s="7">
        <f t="shared" si="17"/>
        <v>34.136363636363633</v>
      </c>
      <c r="G67" s="7">
        <f t="shared" si="18"/>
        <v>7.29</v>
      </c>
      <c r="H67" s="16">
        <f t="shared" si="19"/>
        <v>7.7299999999999995</v>
      </c>
      <c r="I67" s="11">
        <f t="shared" si="9"/>
        <v>0.30012044195995219</v>
      </c>
      <c r="J67" s="33">
        <f t="shared" si="10"/>
        <v>8.7918105500918095E-3</v>
      </c>
      <c r="K67" s="33">
        <f t="shared" si="11"/>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v>0</v>
      </c>
      <c r="BF67" s="18">
        <v>0</v>
      </c>
      <c r="BG67">
        <v>1</v>
      </c>
      <c r="BH67">
        <v>0</v>
      </c>
      <c r="BI67" s="18">
        <v>0</v>
      </c>
      <c r="BJ67">
        <v>15116</v>
      </c>
      <c r="BK67">
        <v>12548</v>
      </c>
      <c r="BL67" s="25" t="s">
        <v>98</v>
      </c>
      <c r="BM67">
        <v>0</v>
      </c>
      <c r="BN67">
        <v>0</v>
      </c>
      <c r="BO67">
        <v>0</v>
      </c>
      <c r="BP67">
        <v>0</v>
      </c>
      <c r="BQ67">
        <v>0</v>
      </c>
      <c r="BR67">
        <v>0</v>
      </c>
      <c r="BS67">
        <v>0</v>
      </c>
      <c r="BT67" s="18">
        <v>1</v>
      </c>
      <c r="BU67">
        <v>0</v>
      </c>
      <c r="BV67">
        <v>0</v>
      </c>
      <c r="BW67">
        <v>1</v>
      </c>
      <c r="BX67" s="18">
        <v>0</v>
      </c>
      <c r="BY67">
        <v>1</v>
      </c>
      <c r="BZ67">
        <v>0</v>
      </c>
      <c r="CA67">
        <v>0</v>
      </c>
      <c r="CB67">
        <v>0</v>
      </c>
      <c r="CC67" s="18">
        <v>0</v>
      </c>
      <c r="CD67">
        <v>0</v>
      </c>
      <c r="CE67">
        <v>0</v>
      </c>
      <c r="CF67">
        <v>1</v>
      </c>
      <c r="CG67">
        <v>1</v>
      </c>
      <c r="CH67">
        <v>0</v>
      </c>
      <c r="CI67">
        <v>0</v>
      </c>
      <c r="CJ67">
        <v>0</v>
      </c>
      <c r="CK67">
        <v>0</v>
      </c>
      <c r="CL67">
        <v>0</v>
      </c>
      <c r="CM67">
        <v>0</v>
      </c>
      <c r="CN67" s="18">
        <v>0</v>
      </c>
      <c r="CO67">
        <v>1.2E-2</v>
      </c>
      <c r="CP67">
        <v>36</v>
      </c>
      <c r="CQ67">
        <v>1</v>
      </c>
      <c r="CR67">
        <v>0</v>
      </c>
      <c r="CS67">
        <v>14</v>
      </c>
      <c r="CY67" s="34"/>
    </row>
    <row r="68" spans="1:103" s="51" customFormat="1" x14ac:dyDescent="0.25">
      <c r="A68" s="51">
        <v>67</v>
      </c>
      <c r="B68" s="51">
        <v>4</v>
      </c>
      <c r="C68" s="52" t="s">
        <v>125</v>
      </c>
      <c r="D68" s="53">
        <v>6.4</v>
      </c>
      <c r="E68" s="54">
        <v>0.31</v>
      </c>
      <c r="F68" s="55">
        <f t="shared" si="17"/>
        <v>20.645161290322584</v>
      </c>
      <c r="G68" s="55">
        <f t="shared" si="18"/>
        <v>6.0900000000000007</v>
      </c>
      <c r="H68" s="56">
        <f t="shared" si="19"/>
        <v>6.71</v>
      </c>
      <c r="I68" s="11">
        <f t="shared" si="9"/>
        <v>0.24231105060910629</v>
      </c>
      <c r="J68" s="33">
        <f t="shared" si="10"/>
        <v>1.1736941513878585E-2</v>
      </c>
      <c r="K68" s="33">
        <f t="shared" si="11"/>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v>0</v>
      </c>
      <c r="BF68" s="65">
        <v>0</v>
      </c>
      <c r="BG68">
        <v>1</v>
      </c>
      <c r="BH68">
        <v>0</v>
      </c>
      <c r="BI68" s="65">
        <v>0</v>
      </c>
      <c r="BJ68">
        <v>15116</v>
      </c>
      <c r="BK68">
        <v>12548</v>
      </c>
      <c r="BL68" s="52" t="s">
        <v>98</v>
      </c>
      <c r="BM68" s="51">
        <v>0</v>
      </c>
      <c r="BN68" s="51">
        <v>0</v>
      </c>
      <c r="BO68" s="51">
        <v>0</v>
      </c>
      <c r="BP68" s="51">
        <v>0</v>
      </c>
      <c r="BQ68" s="51">
        <v>0</v>
      </c>
      <c r="BR68" s="51">
        <v>0</v>
      </c>
      <c r="BS68" s="51">
        <v>0</v>
      </c>
      <c r="BT68" s="65">
        <v>1</v>
      </c>
      <c r="BU68" s="51">
        <v>0</v>
      </c>
      <c r="BV68" s="51">
        <v>0</v>
      </c>
      <c r="BW68" s="51">
        <v>1</v>
      </c>
      <c r="BX68" s="65">
        <v>0</v>
      </c>
      <c r="BY68" s="51">
        <v>1</v>
      </c>
      <c r="BZ68" s="51">
        <v>0</v>
      </c>
      <c r="CA68" s="51">
        <v>0</v>
      </c>
      <c r="CB68" s="51">
        <v>0</v>
      </c>
      <c r="CC68" s="65">
        <v>0</v>
      </c>
      <c r="CD68" s="51">
        <v>0</v>
      </c>
      <c r="CE68" s="51">
        <v>0</v>
      </c>
      <c r="CF68" s="51">
        <v>1</v>
      </c>
      <c r="CG68" s="51">
        <v>1</v>
      </c>
      <c r="CH68" s="51">
        <v>0</v>
      </c>
      <c r="CI68" s="51">
        <v>0</v>
      </c>
      <c r="CJ68" s="51">
        <v>0</v>
      </c>
      <c r="CK68" s="51">
        <v>0</v>
      </c>
      <c r="CL68" s="51">
        <v>0</v>
      </c>
      <c r="CM68" s="51">
        <v>0</v>
      </c>
      <c r="CN68" s="65">
        <v>0</v>
      </c>
      <c r="CO68">
        <v>1.2E-2</v>
      </c>
      <c r="CP68">
        <v>36</v>
      </c>
      <c r="CQ68">
        <v>1</v>
      </c>
      <c r="CR68">
        <v>0</v>
      </c>
      <c r="CS68">
        <v>14</v>
      </c>
      <c r="CT68" s="67"/>
      <c r="CY68" s="67"/>
    </row>
    <row r="69" spans="1:103" x14ac:dyDescent="0.25">
      <c r="A69">
        <v>68</v>
      </c>
      <c r="B69">
        <v>5</v>
      </c>
      <c r="C69" s="25" t="s">
        <v>128</v>
      </c>
      <c r="D69" s="12">
        <v>8.1199999999999992</v>
      </c>
      <c r="E69" s="14">
        <v>7.0000000000000007E-2</v>
      </c>
      <c r="F69" s="7">
        <f t="shared" si="17"/>
        <v>115.99999999999997</v>
      </c>
      <c r="G69" s="7">
        <f t="shared" si="18"/>
        <v>8.0499999999999989</v>
      </c>
      <c r="H69" s="16">
        <f t="shared" si="19"/>
        <v>8.19</v>
      </c>
      <c r="I69" s="11">
        <f t="shared" si="9"/>
        <v>0.11732222220965668</v>
      </c>
      <c r="J69" s="33">
        <f t="shared" si="10"/>
        <v>1.0113984673246269E-3</v>
      </c>
      <c r="K69" s="33">
        <f t="shared" si="11"/>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v>0</v>
      </c>
      <c r="BF69" s="18">
        <v>0</v>
      </c>
      <c r="BG69">
        <v>1</v>
      </c>
      <c r="BH69">
        <v>0</v>
      </c>
      <c r="BI69" s="18">
        <v>0</v>
      </c>
      <c r="BJ69">
        <v>5548</v>
      </c>
      <c r="BK69">
        <v>312</v>
      </c>
      <c r="BL69" s="25" t="s">
        <v>98</v>
      </c>
      <c r="BM69">
        <v>1</v>
      </c>
      <c r="BN69">
        <v>0</v>
      </c>
      <c r="BO69">
        <v>0</v>
      </c>
      <c r="BP69">
        <v>0</v>
      </c>
      <c r="BQ69">
        <v>0</v>
      </c>
      <c r="BR69">
        <v>0</v>
      </c>
      <c r="BS69">
        <v>0</v>
      </c>
      <c r="BT69" s="18">
        <v>0</v>
      </c>
      <c r="BU69">
        <v>0</v>
      </c>
      <c r="BV69">
        <v>0</v>
      </c>
      <c r="BW69">
        <v>1</v>
      </c>
      <c r="BX69" s="18">
        <v>0</v>
      </c>
      <c r="BY69">
        <v>0</v>
      </c>
      <c r="BZ69">
        <v>0</v>
      </c>
      <c r="CA69">
        <v>0</v>
      </c>
      <c r="CB69">
        <v>0</v>
      </c>
      <c r="CC69" s="18">
        <v>0</v>
      </c>
      <c r="CD69">
        <v>0</v>
      </c>
      <c r="CE69">
        <v>0</v>
      </c>
      <c r="CF69">
        <v>1</v>
      </c>
      <c r="CG69">
        <v>1</v>
      </c>
      <c r="CH69">
        <v>0</v>
      </c>
      <c r="CI69">
        <v>0</v>
      </c>
      <c r="CJ69">
        <v>1</v>
      </c>
      <c r="CK69">
        <v>1</v>
      </c>
      <c r="CL69">
        <v>1</v>
      </c>
      <c r="CM69">
        <v>0</v>
      </c>
      <c r="CN69" s="18">
        <v>1</v>
      </c>
      <c r="CO69">
        <v>9.7000000000000003E-2</v>
      </c>
      <c r="CP69">
        <v>2</v>
      </c>
      <c r="CQ69">
        <v>1</v>
      </c>
      <c r="CR69">
        <v>0</v>
      </c>
      <c r="CS69">
        <v>24</v>
      </c>
      <c r="CY69" s="34"/>
    </row>
    <row r="70" spans="1:103" x14ac:dyDescent="0.25">
      <c r="A70">
        <v>69</v>
      </c>
      <c r="B70">
        <v>5</v>
      </c>
      <c r="C70" s="25" t="s">
        <v>128</v>
      </c>
      <c r="D70" s="12">
        <v>7.19</v>
      </c>
      <c r="E70" s="14">
        <v>0.1</v>
      </c>
      <c r="F70" s="7">
        <f t="shared" si="17"/>
        <v>71.900000000000006</v>
      </c>
      <c r="G70" s="7">
        <f t="shared" si="18"/>
        <v>7.0900000000000007</v>
      </c>
      <c r="H70" s="16">
        <f t="shared" si="19"/>
        <v>7.29</v>
      </c>
      <c r="I70" s="11">
        <f t="shared" si="9"/>
        <v>7.3029759659608812E-2</v>
      </c>
      <c r="J70" s="33">
        <f t="shared" si="10"/>
        <v>1.0157129298972018E-3</v>
      </c>
      <c r="K70" s="33">
        <f t="shared" si="11"/>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v>0</v>
      </c>
      <c r="BF70" s="18">
        <v>0</v>
      </c>
      <c r="BG70">
        <v>1</v>
      </c>
      <c r="BH70">
        <v>0</v>
      </c>
      <c r="BI70" s="18">
        <v>0</v>
      </c>
      <c r="BJ70">
        <v>5548</v>
      </c>
      <c r="BK70">
        <v>312</v>
      </c>
      <c r="BL70" s="25" t="s">
        <v>98</v>
      </c>
      <c r="BM70">
        <v>1</v>
      </c>
      <c r="BN70">
        <v>0</v>
      </c>
      <c r="BO70">
        <v>0</v>
      </c>
      <c r="BP70">
        <v>0</v>
      </c>
      <c r="BQ70">
        <v>0</v>
      </c>
      <c r="BR70">
        <v>0</v>
      </c>
      <c r="BS70">
        <v>0</v>
      </c>
      <c r="BT70" s="18">
        <v>0</v>
      </c>
      <c r="BU70">
        <v>0</v>
      </c>
      <c r="BV70">
        <v>0</v>
      </c>
      <c r="BW70">
        <v>1</v>
      </c>
      <c r="BX70" s="18">
        <v>0</v>
      </c>
      <c r="BY70">
        <v>0</v>
      </c>
      <c r="BZ70">
        <v>0</v>
      </c>
      <c r="CA70">
        <v>0</v>
      </c>
      <c r="CB70">
        <v>0</v>
      </c>
      <c r="CC70" s="18">
        <v>0</v>
      </c>
      <c r="CD70">
        <v>0</v>
      </c>
      <c r="CE70">
        <v>0</v>
      </c>
      <c r="CF70">
        <v>1</v>
      </c>
      <c r="CG70">
        <v>1</v>
      </c>
      <c r="CH70">
        <v>0</v>
      </c>
      <c r="CI70">
        <v>0</v>
      </c>
      <c r="CJ70">
        <v>1</v>
      </c>
      <c r="CK70">
        <v>1</v>
      </c>
      <c r="CL70">
        <v>1</v>
      </c>
      <c r="CM70">
        <v>0</v>
      </c>
      <c r="CN70" s="18">
        <v>1</v>
      </c>
      <c r="CO70">
        <v>9.7000000000000003E-2</v>
      </c>
      <c r="CP70">
        <v>2</v>
      </c>
      <c r="CQ70">
        <v>1</v>
      </c>
      <c r="CR70">
        <v>0</v>
      </c>
      <c r="CS70">
        <v>24</v>
      </c>
      <c r="CY70" s="34"/>
    </row>
    <row r="71" spans="1:103" x14ac:dyDescent="0.25">
      <c r="A71">
        <v>70</v>
      </c>
      <c r="B71">
        <v>5</v>
      </c>
      <c r="C71" s="25" t="s">
        <v>128</v>
      </c>
      <c r="D71" s="12">
        <v>7.4</v>
      </c>
      <c r="E71" s="14">
        <v>7.0000000000000007E-2</v>
      </c>
      <c r="F71" s="7">
        <f t="shared" si="17"/>
        <v>105.71428571428571</v>
      </c>
      <c r="G71" s="7">
        <f t="shared" si="18"/>
        <v>7.33</v>
      </c>
      <c r="H71" s="16">
        <f t="shared" si="19"/>
        <v>7.4700000000000006</v>
      </c>
      <c r="I71" s="11">
        <f t="shared" si="9"/>
        <v>0.1070442492936699</v>
      </c>
      <c r="J71" s="33">
        <f t="shared" si="10"/>
        <v>1.0125807365617423E-3</v>
      </c>
      <c r="K71" s="33">
        <f t="shared" si="11"/>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v>0</v>
      </c>
      <c r="BF71" s="18">
        <v>0</v>
      </c>
      <c r="BG71">
        <v>1</v>
      </c>
      <c r="BH71">
        <v>0</v>
      </c>
      <c r="BI71" s="18">
        <v>0</v>
      </c>
      <c r="BJ71">
        <v>5548</v>
      </c>
      <c r="BK71">
        <v>312</v>
      </c>
      <c r="BL71" s="25" t="s">
        <v>98</v>
      </c>
      <c r="BM71">
        <v>1</v>
      </c>
      <c r="BN71">
        <v>0</v>
      </c>
      <c r="BO71">
        <v>0</v>
      </c>
      <c r="BP71">
        <v>0</v>
      </c>
      <c r="BQ71">
        <v>0</v>
      </c>
      <c r="BR71">
        <v>0</v>
      </c>
      <c r="BS71">
        <v>0</v>
      </c>
      <c r="BT71" s="18">
        <v>0</v>
      </c>
      <c r="BU71">
        <v>0</v>
      </c>
      <c r="BV71">
        <v>0</v>
      </c>
      <c r="BW71">
        <v>1</v>
      </c>
      <c r="BX71" s="18">
        <v>0</v>
      </c>
      <c r="BY71">
        <v>0</v>
      </c>
      <c r="BZ71">
        <v>0</v>
      </c>
      <c r="CA71">
        <v>0</v>
      </c>
      <c r="CB71">
        <v>0</v>
      </c>
      <c r="CC71" s="18">
        <v>0</v>
      </c>
      <c r="CD71">
        <v>0</v>
      </c>
      <c r="CE71">
        <v>0</v>
      </c>
      <c r="CF71">
        <v>1</v>
      </c>
      <c r="CG71">
        <v>1</v>
      </c>
      <c r="CH71">
        <v>0</v>
      </c>
      <c r="CI71">
        <v>0</v>
      </c>
      <c r="CJ71">
        <v>1</v>
      </c>
      <c r="CK71">
        <v>1</v>
      </c>
      <c r="CL71">
        <v>1</v>
      </c>
      <c r="CM71">
        <v>0</v>
      </c>
      <c r="CN71" s="18">
        <v>0</v>
      </c>
      <c r="CO71">
        <v>9.7000000000000003E-2</v>
      </c>
      <c r="CP71">
        <v>2</v>
      </c>
      <c r="CQ71">
        <v>1</v>
      </c>
      <c r="CR71">
        <v>0</v>
      </c>
      <c r="CS71">
        <v>24</v>
      </c>
      <c r="CY71" s="34"/>
    </row>
    <row r="72" spans="1:103" x14ac:dyDescent="0.25">
      <c r="A72">
        <v>71</v>
      </c>
      <c r="B72">
        <v>5</v>
      </c>
      <c r="C72" s="25" t="s">
        <v>128</v>
      </c>
      <c r="D72" s="12">
        <v>6.45</v>
      </c>
      <c r="E72" s="14">
        <v>0.1</v>
      </c>
      <c r="F72" s="7">
        <f t="shared" si="17"/>
        <v>64.5</v>
      </c>
      <c r="G72" s="7">
        <f t="shared" si="18"/>
        <v>6.3500000000000005</v>
      </c>
      <c r="H72" s="16">
        <f t="shared" si="19"/>
        <v>6.55</v>
      </c>
      <c r="I72" s="11">
        <f t="shared" ref="I72:I135" si="23">IFERROR(F72/SQRT(F72^2+U72), "X")</f>
        <v>6.554765504121858E-2</v>
      </c>
      <c r="J72" s="33">
        <f t="shared" ref="J72:J135" si="24">IFERROR(SQRT((1-I72^2)/U72), "X")</f>
        <v>1.0162427138173424E-3</v>
      </c>
      <c r="K72" s="33">
        <f t="shared" ref="K72:K135" si="25">IFERROR(1/J72, "X")</f>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v>0</v>
      </c>
      <c r="BF72" s="18">
        <v>0</v>
      </c>
      <c r="BG72">
        <v>1</v>
      </c>
      <c r="BH72">
        <v>0</v>
      </c>
      <c r="BI72" s="18">
        <v>0</v>
      </c>
      <c r="BJ72">
        <v>5548</v>
      </c>
      <c r="BK72">
        <v>312</v>
      </c>
      <c r="BL72" s="25" t="s">
        <v>98</v>
      </c>
      <c r="BM72">
        <v>1</v>
      </c>
      <c r="BN72">
        <v>0</v>
      </c>
      <c r="BO72">
        <v>0</v>
      </c>
      <c r="BP72">
        <v>0</v>
      </c>
      <c r="BQ72">
        <v>0</v>
      </c>
      <c r="BR72">
        <v>0</v>
      </c>
      <c r="BS72">
        <v>0</v>
      </c>
      <c r="BT72" s="18">
        <v>0</v>
      </c>
      <c r="BU72">
        <v>0</v>
      </c>
      <c r="BV72">
        <v>0</v>
      </c>
      <c r="BW72">
        <v>1</v>
      </c>
      <c r="BX72" s="18">
        <v>0</v>
      </c>
      <c r="BY72">
        <v>0</v>
      </c>
      <c r="BZ72">
        <v>0</v>
      </c>
      <c r="CA72">
        <v>0</v>
      </c>
      <c r="CB72">
        <v>0</v>
      </c>
      <c r="CC72" s="18">
        <v>0</v>
      </c>
      <c r="CD72">
        <v>0</v>
      </c>
      <c r="CE72">
        <v>0</v>
      </c>
      <c r="CF72">
        <v>1</v>
      </c>
      <c r="CG72">
        <v>1</v>
      </c>
      <c r="CH72">
        <v>0</v>
      </c>
      <c r="CI72">
        <v>0</v>
      </c>
      <c r="CJ72">
        <v>1</v>
      </c>
      <c r="CK72">
        <v>1</v>
      </c>
      <c r="CL72">
        <v>1</v>
      </c>
      <c r="CM72">
        <v>0</v>
      </c>
      <c r="CN72" s="18">
        <v>0</v>
      </c>
      <c r="CO72">
        <v>9.7000000000000003E-2</v>
      </c>
      <c r="CP72">
        <v>2</v>
      </c>
      <c r="CQ72">
        <v>1</v>
      </c>
      <c r="CR72">
        <v>0</v>
      </c>
      <c r="CS72">
        <v>24</v>
      </c>
      <c r="CY72" s="34"/>
    </row>
    <row r="73" spans="1:103" x14ac:dyDescent="0.25">
      <c r="A73">
        <v>72</v>
      </c>
      <c r="B73">
        <v>5</v>
      </c>
      <c r="C73" s="25" t="s">
        <v>128</v>
      </c>
      <c r="D73" s="12">
        <v>8.01</v>
      </c>
      <c r="E73" s="14">
        <v>1.17</v>
      </c>
      <c r="F73" s="7">
        <f t="shared" si="17"/>
        <v>6.8461538461538467</v>
      </c>
      <c r="G73" s="7">
        <f t="shared" si="18"/>
        <v>6.84</v>
      </c>
      <c r="H73" s="16">
        <f t="shared" si="19"/>
        <v>9.18</v>
      </c>
      <c r="I73" s="11">
        <f t="shared" si="23"/>
        <v>6.9447151564347356E-3</v>
      </c>
      <c r="J73" s="33">
        <f t="shared" si="24"/>
        <v>1.0143965958837253E-3</v>
      </c>
      <c r="K73" s="33">
        <f t="shared" si="25"/>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v>0</v>
      </c>
      <c r="BF73" s="18">
        <v>0</v>
      </c>
      <c r="BG73">
        <v>1</v>
      </c>
      <c r="BH73">
        <v>0</v>
      </c>
      <c r="BI73" s="18">
        <v>0</v>
      </c>
      <c r="BJ73">
        <v>5548</v>
      </c>
      <c r="BK73">
        <v>312</v>
      </c>
      <c r="BL73" s="25" t="s">
        <v>98</v>
      </c>
      <c r="BM73">
        <v>1</v>
      </c>
      <c r="BN73">
        <v>0</v>
      </c>
      <c r="BO73">
        <v>0</v>
      </c>
      <c r="BP73">
        <v>0</v>
      </c>
      <c r="BQ73">
        <v>0</v>
      </c>
      <c r="BR73">
        <v>0</v>
      </c>
      <c r="BS73">
        <v>0</v>
      </c>
      <c r="BT73" s="18">
        <v>0</v>
      </c>
      <c r="BU73">
        <v>0</v>
      </c>
      <c r="BV73">
        <v>0</v>
      </c>
      <c r="BW73">
        <v>1</v>
      </c>
      <c r="BX73" s="18">
        <v>0</v>
      </c>
      <c r="BY73">
        <v>0</v>
      </c>
      <c r="BZ73">
        <v>0</v>
      </c>
      <c r="CA73">
        <v>0</v>
      </c>
      <c r="CB73">
        <v>0</v>
      </c>
      <c r="CC73" s="18">
        <v>0</v>
      </c>
      <c r="CD73">
        <v>0</v>
      </c>
      <c r="CE73">
        <v>0</v>
      </c>
      <c r="CF73">
        <v>1</v>
      </c>
      <c r="CG73">
        <v>1</v>
      </c>
      <c r="CH73">
        <v>0</v>
      </c>
      <c r="CI73">
        <v>0</v>
      </c>
      <c r="CJ73">
        <v>1</v>
      </c>
      <c r="CK73">
        <v>0</v>
      </c>
      <c r="CL73">
        <v>0</v>
      </c>
      <c r="CM73">
        <v>0</v>
      </c>
      <c r="CN73" s="18">
        <v>0</v>
      </c>
      <c r="CO73">
        <v>9.7000000000000003E-2</v>
      </c>
      <c r="CP73">
        <v>2</v>
      </c>
      <c r="CQ73">
        <v>1</v>
      </c>
      <c r="CR73">
        <v>0</v>
      </c>
      <c r="CS73">
        <v>24</v>
      </c>
      <c r="CY73" s="34"/>
    </row>
    <row r="74" spans="1:103" x14ac:dyDescent="0.25">
      <c r="A74">
        <v>73</v>
      </c>
      <c r="B74">
        <v>5</v>
      </c>
      <c r="C74" s="25" t="s">
        <v>128</v>
      </c>
      <c r="D74" s="12">
        <v>7.09</v>
      </c>
      <c r="E74" s="14">
        <v>0.85</v>
      </c>
      <c r="F74" s="7">
        <f t="shared" si="17"/>
        <v>8.3411764705882359</v>
      </c>
      <c r="G74" s="7">
        <f t="shared" si="18"/>
        <v>6.24</v>
      </c>
      <c r="H74" s="16">
        <f t="shared" si="19"/>
        <v>7.9399999999999995</v>
      </c>
      <c r="I74" s="11">
        <f t="shared" si="23"/>
        <v>8.4946221700158073E-3</v>
      </c>
      <c r="J74" s="33">
        <f t="shared" si="24"/>
        <v>1.01839616988906E-3</v>
      </c>
      <c r="K74" s="33">
        <f t="shared" si="25"/>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v>0</v>
      </c>
      <c r="BF74" s="18">
        <v>0</v>
      </c>
      <c r="BG74">
        <v>1</v>
      </c>
      <c r="BH74">
        <v>0</v>
      </c>
      <c r="BI74" s="18">
        <v>0</v>
      </c>
      <c r="BJ74">
        <v>5548</v>
      </c>
      <c r="BK74">
        <v>312</v>
      </c>
      <c r="BL74" s="25" t="s">
        <v>98</v>
      </c>
      <c r="BM74">
        <v>1</v>
      </c>
      <c r="BN74">
        <v>0</v>
      </c>
      <c r="BO74">
        <v>0</v>
      </c>
      <c r="BP74">
        <v>0</v>
      </c>
      <c r="BQ74">
        <v>0</v>
      </c>
      <c r="BR74">
        <v>0</v>
      </c>
      <c r="BS74">
        <v>0</v>
      </c>
      <c r="BT74" s="18">
        <v>0</v>
      </c>
      <c r="BU74">
        <v>0</v>
      </c>
      <c r="BV74">
        <v>0</v>
      </c>
      <c r="BW74">
        <v>1</v>
      </c>
      <c r="BX74" s="18">
        <v>0</v>
      </c>
      <c r="BY74">
        <v>0</v>
      </c>
      <c r="BZ74">
        <v>0</v>
      </c>
      <c r="CA74">
        <v>0</v>
      </c>
      <c r="CB74">
        <v>0</v>
      </c>
      <c r="CC74" s="18">
        <v>0</v>
      </c>
      <c r="CD74">
        <v>0</v>
      </c>
      <c r="CE74">
        <v>0</v>
      </c>
      <c r="CF74">
        <v>1</v>
      </c>
      <c r="CG74">
        <v>1</v>
      </c>
      <c r="CH74">
        <v>0</v>
      </c>
      <c r="CI74">
        <v>0</v>
      </c>
      <c r="CJ74">
        <v>1</v>
      </c>
      <c r="CK74">
        <v>1</v>
      </c>
      <c r="CL74">
        <v>1</v>
      </c>
      <c r="CM74">
        <v>0</v>
      </c>
      <c r="CN74" s="18">
        <v>0</v>
      </c>
      <c r="CO74">
        <v>9.7000000000000003E-2</v>
      </c>
      <c r="CP74">
        <v>2</v>
      </c>
      <c r="CQ74">
        <v>1</v>
      </c>
      <c r="CR74">
        <v>0</v>
      </c>
      <c r="CS74">
        <v>24</v>
      </c>
      <c r="CY74" s="34"/>
    </row>
    <row r="75" spans="1:103" x14ac:dyDescent="0.25">
      <c r="A75">
        <v>74</v>
      </c>
      <c r="B75">
        <v>5</v>
      </c>
      <c r="C75" s="25" t="s">
        <v>128</v>
      </c>
      <c r="D75" s="12">
        <v>7.08</v>
      </c>
      <c r="E75" s="14">
        <v>0.85</v>
      </c>
      <c r="F75" s="7">
        <f t="shared" si="17"/>
        <v>8.329411764705883</v>
      </c>
      <c r="G75" s="7">
        <f t="shared" si="18"/>
        <v>6.23</v>
      </c>
      <c r="H75" s="16">
        <f t="shared" si="19"/>
        <v>7.93</v>
      </c>
      <c r="I75" s="11">
        <f t="shared" si="23"/>
        <v>8.4826463001277368E-3</v>
      </c>
      <c r="J75" s="33">
        <f t="shared" si="24"/>
        <v>1.018396801569008E-3</v>
      </c>
      <c r="K75" s="33">
        <f t="shared" si="25"/>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v>0</v>
      </c>
      <c r="BF75" s="18">
        <v>0</v>
      </c>
      <c r="BG75">
        <v>1</v>
      </c>
      <c r="BH75">
        <v>0</v>
      </c>
      <c r="BI75" s="18">
        <v>0</v>
      </c>
      <c r="BJ75">
        <v>5548</v>
      </c>
      <c r="BK75">
        <v>312</v>
      </c>
      <c r="BL75" s="25" t="s">
        <v>98</v>
      </c>
      <c r="BM75">
        <v>1</v>
      </c>
      <c r="BN75">
        <v>0</v>
      </c>
      <c r="BO75">
        <v>0</v>
      </c>
      <c r="BP75">
        <v>0</v>
      </c>
      <c r="BQ75">
        <v>0</v>
      </c>
      <c r="BR75">
        <v>0</v>
      </c>
      <c r="BS75">
        <v>0</v>
      </c>
      <c r="BT75" s="18">
        <v>0</v>
      </c>
      <c r="BU75">
        <v>0</v>
      </c>
      <c r="BV75">
        <v>0</v>
      </c>
      <c r="BW75">
        <v>1</v>
      </c>
      <c r="BX75" s="18">
        <v>0</v>
      </c>
      <c r="BY75">
        <v>0</v>
      </c>
      <c r="BZ75">
        <v>0</v>
      </c>
      <c r="CA75">
        <v>0</v>
      </c>
      <c r="CB75">
        <v>0</v>
      </c>
      <c r="CC75" s="18">
        <v>0</v>
      </c>
      <c r="CD75">
        <v>0</v>
      </c>
      <c r="CE75">
        <v>0</v>
      </c>
      <c r="CF75">
        <v>1</v>
      </c>
      <c r="CG75">
        <v>1</v>
      </c>
      <c r="CH75">
        <v>0</v>
      </c>
      <c r="CI75">
        <v>0</v>
      </c>
      <c r="CJ75">
        <v>1</v>
      </c>
      <c r="CK75">
        <v>1</v>
      </c>
      <c r="CL75">
        <v>1</v>
      </c>
      <c r="CM75">
        <v>0</v>
      </c>
      <c r="CN75" s="18">
        <v>0</v>
      </c>
      <c r="CO75">
        <v>9.7000000000000003E-2</v>
      </c>
      <c r="CP75">
        <v>2</v>
      </c>
      <c r="CQ75">
        <v>1</v>
      </c>
      <c r="CR75">
        <v>0</v>
      </c>
      <c r="CS75">
        <v>24</v>
      </c>
      <c r="CY75" s="34"/>
    </row>
    <row r="76" spans="1:103" s="51" customFormat="1" x14ac:dyDescent="0.25">
      <c r="A76" s="51">
        <v>75</v>
      </c>
      <c r="B76" s="51">
        <v>5</v>
      </c>
      <c r="C76" s="52" t="s">
        <v>128</v>
      </c>
      <c r="D76" s="53">
        <v>6.22</v>
      </c>
      <c r="E76" s="54">
        <v>0.9</v>
      </c>
      <c r="F76" s="55">
        <f t="shared" si="17"/>
        <v>6.9111111111111105</v>
      </c>
      <c r="G76" s="55">
        <f t="shared" si="18"/>
        <v>5.3199999999999994</v>
      </c>
      <c r="H76" s="56">
        <f t="shared" si="19"/>
        <v>7.12</v>
      </c>
      <c r="I76" s="11">
        <f t="shared" si="23"/>
        <v>7.0383359948511404E-3</v>
      </c>
      <c r="J76" s="33">
        <f t="shared" si="24"/>
        <v>1.0184087452356956E-3</v>
      </c>
      <c r="K76" s="33">
        <f t="shared" si="25"/>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v>0</v>
      </c>
      <c r="BF76" s="65">
        <v>0</v>
      </c>
      <c r="BG76">
        <v>1</v>
      </c>
      <c r="BH76">
        <v>0</v>
      </c>
      <c r="BI76" s="65">
        <v>0</v>
      </c>
      <c r="BJ76">
        <v>5548</v>
      </c>
      <c r="BK76">
        <v>312</v>
      </c>
      <c r="BL76" s="52" t="s">
        <v>98</v>
      </c>
      <c r="BM76" s="51">
        <v>1</v>
      </c>
      <c r="BN76" s="51">
        <v>0</v>
      </c>
      <c r="BO76" s="51">
        <v>0</v>
      </c>
      <c r="BP76" s="51">
        <v>0</v>
      </c>
      <c r="BQ76" s="51">
        <v>0</v>
      </c>
      <c r="BR76" s="51">
        <v>0</v>
      </c>
      <c r="BS76" s="51">
        <v>0</v>
      </c>
      <c r="BT76" s="65">
        <v>0</v>
      </c>
      <c r="BU76" s="51">
        <v>0</v>
      </c>
      <c r="BV76" s="51">
        <v>0</v>
      </c>
      <c r="BW76" s="51">
        <v>1</v>
      </c>
      <c r="BX76" s="65">
        <v>0</v>
      </c>
      <c r="BY76" s="51">
        <v>0</v>
      </c>
      <c r="BZ76" s="51">
        <v>0</v>
      </c>
      <c r="CA76" s="51">
        <v>0</v>
      </c>
      <c r="CB76" s="51">
        <v>0</v>
      </c>
      <c r="CC76" s="65">
        <v>0</v>
      </c>
      <c r="CD76" s="51">
        <v>0</v>
      </c>
      <c r="CE76" s="51">
        <v>0</v>
      </c>
      <c r="CF76" s="51">
        <v>1</v>
      </c>
      <c r="CG76" s="51">
        <v>1</v>
      </c>
      <c r="CH76" s="51">
        <v>0</v>
      </c>
      <c r="CI76" s="51">
        <v>0</v>
      </c>
      <c r="CJ76" s="51">
        <v>1</v>
      </c>
      <c r="CK76" s="51">
        <v>1</v>
      </c>
      <c r="CL76" s="51">
        <v>1</v>
      </c>
      <c r="CM76" s="51">
        <v>0</v>
      </c>
      <c r="CN76" s="65">
        <v>1</v>
      </c>
      <c r="CO76">
        <v>9.7000000000000003E-2</v>
      </c>
      <c r="CP76">
        <v>2</v>
      </c>
      <c r="CQ76">
        <v>1</v>
      </c>
      <c r="CR76">
        <v>0</v>
      </c>
      <c r="CS76">
        <v>24</v>
      </c>
      <c r="CT76" s="67"/>
      <c r="CY76" s="67"/>
    </row>
    <row r="77" spans="1:103" x14ac:dyDescent="0.25">
      <c r="A77">
        <v>76</v>
      </c>
      <c r="B77">
        <v>6</v>
      </c>
      <c r="C77" s="25" t="s">
        <v>129</v>
      </c>
      <c r="D77" s="12">
        <v>1.6</v>
      </c>
      <c r="E77" s="14">
        <f>D77/F77</f>
        <v>2.5330082639394611</v>
      </c>
      <c r="F77" s="7">
        <v>0.63166</v>
      </c>
      <c r="G77" s="7">
        <f t="shared" si="18"/>
        <v>-0.93300826393946101</v>
      </c>
      <c r="H77" s="16">
        <f t="shared" si="19"/>
        <v>4.1330082639394607</v>
      </c>
      <c r="I77" s="11">
        <f t="shared" si="23"/>
        <v>2.1204298527480476E-2</v>
      </c>
      <c r="J77" s="33">
        <f t="shared" si="24"/>
        <v>3.3569164625717123E-2</v>
      </c>
      <c r="K77" s="33">
        <f t="shared" si="25"/>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v>0</v>
      </c>
      <c r="BF77" s="18">
        <v>1</v>
      </c>
      <c r="BG77">
        <v>0</v>
      </c>
      <c r="BH77">
        <v>1</v>
      </c>
      <c r="BI77" s="18">
        <v>0</v>
      </c>
      <c r="BJ77">
        <v>994</v>
      </c>
      <c r="BK77">
        <v>44</v>
      </c>
      <c r="BL77" s="25">
        <v>30</v>
      </c>
      <c r="BM77">
        <v>1</v>
      </c>
      <c r="BN77">
        <v>0</v>
      </c>
      <c r="BO77">
        <v>0</v>
      </c>
      <c r="BP77">
        <v>0</v>
      </c>
      <c r="BQ77">
        <v>0</v>
      </c>
      <c r="BR77">
        <v>0</v>
      </c>
      <c r="BS77">
        <v>0</v>
      </c>
      <c r="BT77" s="18">
        <v>0</v>
      </c>
      <c r="BU77">
        <v>0</v>
      </c>
      <c r="BV77">
        <v>0</v>
      </c>
      <c r="BW77">
        <v>0</v>
      </c>
      <c r="BX77" s="18">
        <v>1</v>
      </c>
      <c r="BY77">
        <v>0</v>
      </c>
      <c r="BZ77">
        <v>0</v>
      </c>
      <c r="CA77">
        <v>0</v>
      </c>
      <c r="CB77">
        <v>0</v>
      </c>
      <c r="CC77" s="18">
        <v>0</v>
      </c>
      <c r="CD77">
        <v>0</v>
      </c>
      <c r="CE77">
        <v>0</v>
      </c>
      <c r="CF77">
        <v>1</v>
      </c>
      <c r="CG77">
        <v>1</v>
      </c>
      <c r="CH77">
        <v>0</v>
      </c>
      <c r="CI77">
        <v>0</v>
      </c>
      <c r="CJ77">
        <v>0</v>
      </c>
      <c r="CK77">
        <v>0</v>
      </c>
      <c r="CL77">
        <v>0</v>
      </c>
      <c r="CM77">
        <v>0</v>
      </c>
      <c r="CN77" s="18">
        <v>0</v>
      </c>
      <c r="CO77">
        <v>0</v>
      </c>
      <c r="CP77">
        <v>65</v>
      </c>
      <c r="CQ77">
        <v>1</v>
      </c>
      <c r="CR77">
        <v>0</v>
      </c>
      <c r="CS77">
        <v>8</v>
      </c>
      <c r="CY77" s="34"/>
    </row>
    <row r="78" spans="1:103" x14ac:dyDescent="0.25">
      <c r="A78">
        <v>77</v>
      </c>
      <c r="B78">
        <v>6</v>
      </c>
      <c r="C78" s="25" t="s">
        <v>129</v>
      </c>
      <c r="D78" s="12">
        <v>12.7</v>
      </c>
      <c r="E78" s="14">
        <f>D78/F78</f>
        <v>2.2898561177022105</v>
      </c>
      <c r="F78" s="7">
        <v>5.5461999999999998</v>
      </c>
      <c r="G78" s="7">
        <f t="shared" si="18"/>
        <v>10.410143882297788</v>
      </c>
      <c r="H78" s="16">
        <f t="shared" si="19"/>
        <v>14.98985611770221</v>
      </c>
      <c r="I78" s="11">
        <f t="shared" si="23"/>
        <v>0.18307577644744008</v>
      </c>
      <c r="J78" s="33">
        <f t="shared" si="24"/>
        <v>3.3009227299311251E-2</v>
      </c>
      <c r="K78" s="33">
        <f t="shared" si="25"/>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v>0</v>
      </c>
      <c r="BF78" s="18">
        <v>1</v>
      </c>
      <c r="BG78">
        <v>0</v>
      </c>
      <c r="BH78">
        <v>1</v>
      </c>
      <c r="BI78" s="18">
        <v>0</v>
      </c>
      <c r="BJ78">
        <v>994</v>
      </c>
      <c r="BK78">
        <v>44</v>
      </c>
      <c r="BL78" s="25">
        <v>37.799999999999997</v>
      </c>
      <c r="BM78">
        <v>1</v>
      </c>
      <c r="BN78">
        <v>0</v>
      </c>
      <c r="BO78">
        <v>0</v>
      </c>
      <c r="BP78">
        <v>0</v>
      </c>
      <c r="BQ78">
        <v>0</v>
      </c>
      <c r="BR78">
        <v>0</v>
      </c>
      <c r="BS78">
        <v>0</v>
      </c>
      <c r="BT78" s="18">
        <v>0</v>
      </c>
      <c r="BU78">
        <v>0</v>
      </c>
      <c r="BV78">
        <v>0</v>
      </c>
      <c r="BW78">
        <v>0</v>
      </c>
      <c r="BX78" s="18">
        <v>1</v>
      </c>
      <c r="BY78">
        <v>0</v>
      </c>
      <c r="BZ78">
        <v>0</v>
      </c>
      <c r="CA78">
        <v>0</v>
      </c>
      <c r="CB78">
        <v>0</v>
      </c>
      <c r="CC78" s="18">
        <v>0</v>
      </c>
      <c r="CD78">
        <v>0</v>
      </c>
      <c r="CE78">
        <v>0</v>
      </c>
      <c r="CF78">
        <v>1</v>
      </c>
      <c r="CG78">
        <v>1</v>
      </c>
      <c r="CH78">
        <v>0</v>
      </c>
      <c r="CI78">
        <v>0</v>
      </c>
      <c r="CJ78">
        <v>0</v>
      </c>
      <c r="CK78">
        <v>0</v>
      </c>
      <c r="CL78">
        <v>0</v>
      </c>
      <c r="CM78">
        <v>0</v>
      </c>
      <c r="CN78" s="18">
        <v>0</v>
      </c>
      <c r="CO78">
        <v>0</v>
      </c>
      <c r="CP78">
        <v>65</v>
      </c>
      <c r="CQ78">
        <v>1</v>
      </c>
      <c r="CR78">
        <v>0</v>
      </c>
      <c r="CS78">
        <v>8</v>
      </c>
      <c r="CY78" s="34"/>
    </row>
    <row r="79" spans="1:103" x14ac:dyDescent="0.25">
      <c r="A79">
        <v>78</v>
      </c>
      <c r="B79">
        <v>6</v>
      </c>
      <c r="C79" s="25" t="s">
        <v>129</v>
      </c>
      <c r="D79" s="12">
        <v>10.7</v>
      </c>
      <c r="E79" s="14">
        <f>D79/F79</f>
        <v>0.82090468299269626</v>
      </c>
      <c r="F79" s="7">
        <v>13.0344</v>
      </c>
      <c r="G79" s="7">
        <f t="shared" si="18"/>
        <v>9.8790953170073035</v>
      </c>
      <c r="H79" s="16">
        <f t="shared" si="19"/>
        <v>11.520904682992695</v>
      </c>
      <c r="I79" s="11">
        <f t="shared" si="23"/>
        <v>0.40093595358979528</v>
      </c>
      <c r="J79" s="33">
        <f t="shared" si="24"/>
        <v>3.0759831951589284E-2</v>
      </c>
      <c r="K79" s="33">
        <f t="shared" si="25"/>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v>0</v>
      </c>
      <c r="BF79" s="18">
        <v>1</v>
      </c>
      <c r="BG79">
        <v>0</v>
      </c>
      <c r="BH79">
        <v>1</v>
      </c>
      <c r="BI79" s="18">
        <v>0</v>
      </c>
      <c r="BJ79">
        <v>994</v>
      </c>
      <c r="BK79">
        <v>44</v>
      </c>
      <c r="BL79" s="25">
        <v>37.799999999999997</v>
      </c>
      <c r="BM79">
        <v>1</v>
      </c>
      <c r="BN79">
        <v>0</v>
      </c>
      <c r="BO79">
        <v>0</v>
      </c>
      <c r="BP79">
        <v>0</v>
      </c>
      <c r="BQ79">
        <v>0</v>
      </c>
      <c r="BR79">
        <v>0</v>
      </c>
      <c r="BS79">
        <v>0</v>
      </c>
      <c r="BT79" s="18">
        <v>0</v>
      </c>
      <c r="BU79">
        <v>0</v>
      </c>
      <c r="BV79">
        <v>0</v>
      </c>
      <c r="BW79">
        <v>0</v>
      </c>
      <c r="BX79" s="18">
        <v>1</v>
      </c>
      <c r="BY79">
        <v>0</v>
      </c>
      <c r="BZ79">
        <v>0</v>
      </c>
      <c r="CA79">
        <v>0</v>
      </c>
      <c r="CB79">
        <v>0</v>
      </c>
      <c r="CC79" s="18">
        <v>0</v>
      </c>
      <c r="CD79">
        <v>0</v>
      </c>
      <c r="CE79">
        <v>0</v>
      </c>
      <c r="CF79">
        <v>1</v>
      </c>
      <c r="CG79">
        <v>1</v>
      </c>
      <c r="CH79">
        <v>0</v>
      </c>
      <c r="CI79">
        <v>0</v>
      </c>
      <c r="CJ79">
        <v>0</v>
      </c>
      <c r="CK79">
        <v>0</v>
      </c>
      <c r="CL79">
        <v>0</v>
      </c>
      <c r="CM79">
        <v>0</v>
      </c>
      <c r="CN79" s="18">
        <v>0</v>
      </c>
      <c r="CO79">
        <v>0</v>
      </c>
      <c r="CP79">
        <v>65</v>
      </c>
      <c r="CQ79">
        <v>1</v>
      </c>
      <c r="CR79">
        <v>0</v>
      </c>
      <c r="CS79">
        <v>8</v>
      </c>
      <c r="CY79" s="34"/>
    </row>
    <row r="80" spans="1:103" s="51" customFormat="1" x14ac:dyDescent="0.25">
      <c r="A80" s="51">
        <v>79</v>
      </c>
      <c r="B80" s="51">
        <v>6</v>
      </c>
      <c r="C80" s="52" t="s">
        <v>129</v>
      </c>
      <c r="D80" s="53">
        <v>16.7</v>
      </c>
      <c r="E80" s="54">
        <f>D80/F80</f>
        <v>0.82927798192471935</v>
      </c>
      <c r="F80" s="55">
        <v>20.138000000000002</v>
      </c>
      <c r="G80" s="55">
        <f t="shared" si="18"/>
        <v>15.870722018075281</v>
      </c>
      <c r="H80" s="56">
        <f t="shared" si="19"/>
        <v>17.529277981924718</v>
      </c>
      <c r="I80" s="11">
        <f t="shared" si="23"/>
        <v>0.56013730963505137</v>
      </c>
      <c r="J80" s="33">
        <f t="shared" si="24"/>
        <v>2.7814942379335152E-2</v>
      </c>
      <c r="K80" s="33">
        <f t="shared" si="25"/>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v>0</v>
      </c>
      <c r="BF80" s="65">
        <v>1</v>
      </c>
      <c r="BG80">
        <v>0</v>
      </c>
      <c r="BH80">
        <v>1</v>
      </c>
      <c r="BI80" s="65">
        <v>0</v>
      </c>
      <c r="BJ80">
        <v>994</v>
      </c>
      <c r="BK80">
        <v>44</v>
      </c>
      <c r="BL80" s="52">
        <v>37.799999999999997</v>
      </c>
      <c r="BM80" s="51">
        <v>1</v>
      </c>
      <c r="BN80" s="51">
        <v>0</v>
      </c>
      <c r="BO80" s="51">
        <v>0</v>
      </c>
      <c r="BP80" s="51">
        <v>0</v>
      </c>
      <c r="BQ80" s="51">
        <v>0</v>
      </c>
      <c r="BR80" s="51">
        <v>0</v>
      </c>
      <c r="BS80" s="51">
        <v>0</v>
      </c>
      <c r="BT80" s="65">
        <v>0</v>
      </c>
      <c r="BU80" s="51">
        <v>0</v>
      </c>
      <c r="BV80" s="51">
        <v>0</v>
      </c>
      <c r="BW80" s="51">
        <v>0</v>
      </c>
      <c r="BX80" s="65">
        <v>1</v>
      </c>
      <c r="BY80" s="51">
        <v>0</v>
      </c>
      <c r="BZ80" s="51">
        <v>0</v>
      </c>
      <c r="CA80" s="51">
        <v>0</v>
      </c>
      <c r="CB80" s="51">
        <v>0</v>
      </c>
      <c r="CC80" s="65">
        <v>0</v>
      </c>
      <c r="CD80" s="51">
        <v>0</v>
      </c>
      <c r="CE80" s="51">
        <v>0</v>
      </c>
      <c r="CF80" s="51">
        <v>1</v>
      </c>
      <c r="CG80" s="51">
        <v>1</v>
      </c>
      <c r="CH80" s="51">
        <v>0</v>
      </c>
      <c r="CI80" s="51">
        <v>0</v>
      </c>
      <c r="CJ80" s="51">
        <v>0</v>
      </c>
      <c r="CK80" s="51">
        <v>0</v>
      </c>
      <c r="CL80" s="51">
        <v>0</v>
      </c>
      <c r="CM80" s="51">
        <v>0</v>
      </c>
      <c r="CN80" s="65">
        <v>0</v>
      </c>
      <c r="CO80">
        <v>0</v>
      </c>
      <c r="CP80">
        <v>65</v>
      </c>
      <c r="CQ80">
        <v>1</v>
      </c>
      <c r="CR80">
        <v>0</v>
      </c>
      <c r="CS80">
        <v>8</v>
      </c>
      <c r="CT80" s="67"/>
      <c r="CY80" s="67"/>
    </row>
    <row r="81" spans="1:103" x14ac:dyDescent="0.25">
      <c r="A81">
        <v>80</v>
      </c>
      <c r="B81">
        <v>7</v>
      </c>
      <c r="C81" s="25" t="s">
        <v>131</v>
      </c>
      <c r="D81" s="12">
        <v>4.6028263992595297</v>
      </c>
      <c r="E81" s="14">
        <v>6.137101865679373E-2</v>
      </c>
      <c r="F81" s="7">
        <v>75</v>
      </c>
      <c r="G81" s="7">
        <f t="shared" si="18"/>
        <v>4.541455380602736</v>
      </c>
      <c r="H81" s="16">
        <f t="shared" si="19"/>
        <v>4.6641974179163235</v>
      </c>
      <c r="I81" s="11">
        <f t="shared" si="23"/>
        <v>0.28534648402565804</v>
      </c>
      <c r="J81" s="33">
        <f t="shared" si="24"/>
        <v>3.8046197870087737E-3</v>
      </c>
      <c r="K81" s="33">
        <f t="shared" si="25"/>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v>0</v>
      </c>
      <c r="BF81" s="18">
        <v>0</v>
      </c>
      <c r="BG81">
        <v>1</v>
      </c>
      <c r="BH81">
        <v>0</v>
      </c>
      <c r="BI81" s="18">
        <v>0</v>
      </c>
      <c r="BJ81">
        <v>17971</v>
      </c>
      <c r="BK81">
        <v>1451</v>
      </c>
      <c r="BL81" s="25">
        <v>34.975000000000001</v>
      </c>
      <c r="BM81">
        <v>1</v>
      </c>
      <c r="BN81">
        <v>0</v>
      </c>
      <c r="BO81">
        <v>0</v>
      </c>
      <c r="BP81">
        <v>0</v>
      </c>
      <c r="BQ81">
        <v>0</v>
      </c>
      <c r="BR81">
        <v>0</v>
      </c>
      <c r="BS81">
        <v>0</v>
      </c>
      <c r="BT81" s="18">
        <v>0</v>
      </c>
      <c r="BU81">
        <v>0</v>
      </c>
      <c r="BV81">
        <v>0</v>
      </c>
      <c r="BW81">
        <v>1</v>
      </c>
      <c r="BX81" s="18">
        <v>0</v>
      </c>
      <c r="BY81">
        <v>0</v>
      </c>
      <c r="BZ81">
        <v>0</v>
      </c>
      <c r="CA81">
        <v>0</v>
      </c>
      <c r="CB81">
        <v>0</v>
      </c>
      <c r="CC81" s="18">
        <v>0</v>
      </c>
      <c r="CD81">
        <v>1</v>
      </c>
      <c r="CE81">
        <v>1</v>
      </c>
      <c r="CF81">
        <v>1</v>
      </c>
      <c r="CG81">
        <v>1</v>
      </c>
      <c r="CH81">
        <v>0</v>
      </c>
      <c r="CI81">
        <v>0</v>
      </c>
      <c r="CJ81">
        <v>1</v>
      </c>
      <c r="CK81">
        <v>0</v>
      </c>
      <c r="CL81">
        <v>0</v>
      </c>
      <c r="CM81">
        <v>0</v>
      </c>
      <c r="CN81" s="18">
        <v>0</v>
      </c>
      <c r="CO81">
        <v>0</v>
      </c>
      <c r="CP81">
        <v>0</v>
      </c>
      <c r="CQ81">
        <v>0</v>
      </c>
      <c r="CR81">
        <v>1</v>
      </c>
      <c r="CS81">
        <v>8</v>
      </c>
      <c r="CY81" s="34"/>
    </row>
    <row r="82" spans="1:103" x14ac:dyDescent="0.25">
      <c r="A82">
        <v>81</v>
      </c>
      <c r="B82">
        <v>7</v>
      </c>
      <c r="C82" s="25" t="s">
        <v>131</v>
      </c>
      <c r="D82" s="12">
        <v>4.6028263992595297</v>
      </c>
      <c r="E82" s="14">
        <v>7.7750445933438009E-2</v>
      </c>
      <c r="F82" s="7">
        <v>59.2</v>
      </c>
      <c r="G82" s="7">
        <f t="shared" si="18"/>
        <v>4.525075953326092</v>
      </c>
      <c r="H82" s="16">
        <f t="shared" si="19"/>
        <v>4.6805768451929675</v>
      </c>
      <c r="I82" s="11">
        <f t="shared" si="23"/>
        <v>0.28123074336448528</v>
      </c>
      <c r="J82" s="33">
        <f t="shared" si="24"/>
        <v>4.7505193135892777E-3</v>
      </c>
      <c r="K82" s="33">
        <f t="shared" si="25"/>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v>0</v>
      </c>
      <c r="BF82" s="18">
        <v>0</v>
      </c>
      <c r="BG82">
        <v>1</v>
      </c>
      <c r="BH82">
        <v>0</v>
      </c>
      <c r="BI82" s="18">
        <v>0</v>
      </c>
      <c r="BJ82">
        <v>17971</v>
      </c>
      <c r="BK82">
        <v>1451</v>
      </c>
      <c r="BL82" s="25">
        <v>34.975000000000001</v>
      </c>
      <c r="BM82">
        <v>1</v>
      </c>
      <c r="BN82">
        <v>0</v>
      </c>
      <c r="BO82">
        <v>0</v>
      </c>
      <c r="BP82">
        <v>0</v>
      </c>
      <c r="BQ82">
        <v>0</v>
      </c>
      <c r="BR82">
        <v>0</v>
      </c>
      <c r="BS82">
        <v>0</v>
      </c>
      <c r="BT82" s="18">
        <v>0</v>
      </c>
      <c r="BU82">
        <v>0</v>
      </c>
      <c r="BV82">
        <v>0</v>
      </c>
      <c r="BW82">
        <v>1</v>
      </c>
      <c r="BX82" s="18">
        <v>0</v>
      </c>
      <c r="BY82">
        <v>0</v>
      </c>
      <c r="BZ82">
        <v>0</v>
      </c>
      <c r="CA82">
        <v>0</v>
      </c>
      <c r="CB82">
        <v>0</v>
      </c>
      <c r="CC82" s="18">
        <v>0</v>
      </c>
      <c r="CD82">
        <v>1</v>
      </c>
      <c r="CE82">
        <v>1</v>
      </c>
      <c r="CF82">
        <v>1</v>
      </c>
      <c r="CG82">
        <v>1</v>
      </c>
      <c r="CH82">
        <v>0</v>
      </c>
      <c r="CI82">
        <v>0</v>
      </c>
      <c r="CJ82">
        <v>1</v>
      </c>
      <c r="CK82">
        <v>0</v>
      </c>
      <c r="CL82">
        <v>0</v>
      </c>
      <c r="CM82">
        <v>0</v>
      </c>
      <c r="CN82" s="18">
        <v>0</v>
      </c>
      <c r="CO82">
        <v>0</v>
      </c>
      <c r="CP82">
        <v>0</v>
      </c>
      <c r="CQ82">
        <v>0</v>
      </c>
      <c r="CR82">
        <v>1</v>
      </c>
      <c r="CS82">
        <v>8</v>
      </c>
      <c r="CY82" s="34"/>
    </row>
    <row r="83" spans="1:103" s="51" customFormat="1" x14ac:dyDescent="0.25">
      <c r="A83" s="51">
        <v>82</v>
      </c>
      <c r="B83" s="51">
        <v>7</v>
      </c>
      <c r="C83" s="52" t="s">
        <v>131</v>
      </c>
      <c r="D83" s="53">
        <v>4.6028263992595297</v>
      </c>
      <c r="E83" s="54">
        <v>9.2210211671309453E-2</v>
      </c>
      <c r="F83" s="55">
        <v>49.916666666666657</v>
      </c>
      <c r="G83" s="55">
        <f t="shared" si="18"/>
        <v>4.5106161875882202</v>
      </c>
      <c r="H83" s="56">
        <f t="shared" si="19"/>
        <v>4.6950366109308392</v>
      </c>
      <c r="I83" s="11">
        <f t="shared" si="23"/>
        <v>0.31487260047577154</v>
      </c>
      <c r="J83" s="33">
        <f t="shared" si="24"/>
        <v>6.3079652849904163E-3</v>
      </c>
      <c r="K83" s="33">
        <f t="shared" si="25"/>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v>0</v>
      </c>
      <c r="BF83" s="65">
        <v>0</v>
      </c>
      <c r="BG83">
        <v>1</v>
      </c>
      <c r="BH83">
        <v>0</v>
      </c>
      <c r="BI83" s="65">
        <v>0</v>
      </c>
      <c r="BJ83">
        <v>17971</v>
      </c>
      <c r="BK83">
        <v>1451</v>
      </c>
      <c r="BL83" s="52">
        <v>34.975000000000001</v>
      </c>
      <c r="BM83" s="51">
        <v>1</v>
      </c>
      <c r="BN83" s="51">
        <v>0</v>
      </c>
      <c r="BO83" s="51">
        <v>0</v>
      </c>
      <c r="BP83" s="51">
        <v>0</v>
      </c>
      <c r="BQ83" s="51">
        <v>0</v>
      </c>
      <c r="BR83" s="51">
        <v>0</v>
      </c>
      <c r="BS83" s="51">
        <v>0</v>
      </c>
      <c r="BT83" s="65">
        <v>0</v>
      </c>
      <c r="BU83" s="51">
        <v>0</v>
      </c>
      <c r="BV83" s="51">
        <v>0</v>
      </c>
      <c r="BW83" s="51">
        <v>1</v>
      </c>
      <c r="BX83" s="65">
        <v>0</v>
      </c>
      <c r="BY83" s="51">
        <v>0</v>
      </c>
      <c r="BZ83" s="51">
        <v>0</v>
      </c>
      <c r="CA83" s="51">
        <v>0</v>
      </c>
      <c r="CB83" s="51">
        <v>0</v>
      </c>
      <c r="CC83" s="65">
        <v>0</v>
      </c>
      <c r="CD83" s="51">
        <v>1</v>
      </c>
      <c r="CE83" s="51">
        <v>1</v>
      </c>
      <c r="CF83" s="51">
        <v>1</v>
      </c>
      <c r="CG83" s="51">
        <v>1</v>
      </c>
      <c r="CH83" s="51">
        <v>0</v>
      </c>
      <c r="CI83" s="51">
        <v>0</v>
      </c>
      <c r="CJ83" s="51">
        <v>1</v>
      </c>
      <c r="CK83" s="51">
        <v>0</v>
      </c>
      <c r="CL83" s="51">
        <v>0</v>
      </c>
      <c r="CM83" s="51">
        <v>0</v>
      </c>
      <c r="CN83" s="65">
        <v>0</v>
      </c>
      <c r="CO83">
        <v>0</v>
      </c>
      <c r="CP83">
        <v>0</v>
      </c>
      <c r="CQ83">
        <v>0</v>
      </c>
      <c r="CR83">
        <v>1</v>
      </c>
      <c r="CS83">
        <v>8</v>
      </c>
      <c r="CT83" s="67"/>
      <c r="CY83" s="67"/>
    </row>
    <row r="84" spans="1:103" x14ac:dyDescent="0.25">
      <c r="A84">
        <v>83</v>
      </c>
      <c r="B84">
        <v>8</v>
      </c>
      <c r="C84" s="25" t="s">
        <v>17</v>
      </c>
      <c r="D84" s="12">
        <v>12.1</v>
      </c>
      <c r="E84" s="14">
        <v>0.1</v>
      </c>
      <c r="F84" s="7">
        <f t="shared" ref="F84:F99" si="26">D84/E84</f>
        <v>120.99999999999999</v>
      </c>
      <c r="G84" s="7">
        <f t="shared" si="18"/>
        <v>12</v>
      </c>
      <c r="H84" s="16">
        <f t="shared" si="19"/>
        <v>12.2</v>
      </c>
      <c r="I84" s="11">
        <f t="shared" si="23"/>
        <v>0.53580225874082865</v>
      </c>
      <c r="J84" s="33">
        <f t="shared" si="24"/>
        <v>4.428117840833295E-3</v>
      </c>
      <c r="K84" s="33">
        <f t="shared" si="25"/>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7">1-AW84</f>
        <v>0.41849999999999998</v>
      </c>
      <c r="AY84" s="18" t="s">
        <v>16</v>
      </c>
      <c r="AZ84">
        <v>0</v>
      </c>
      <c r="BA84">
        <v>1</v>
      </c>
      <c r="BB84">
        <v>0</v>
      </c>
      <c r="BC84">
        <v>0</v>
      </c>
      <c r="BD84">
        <v>0</v>
      </c>
      <c r="BE84">
        <v>0</v>
      </c>
      <c r="BF84" s="18">
        <v>0</v>
      </c>
      <c r="BG84">
        <v>0</v>
      </c>
      <c r="BH84">
        <v>1</v>
      </c>
      <c r="BI84" s="18">
        <v>0</v>
      </c>
      <c r="BJ84">
        <v>3648</v>
      </c>
      <c r="BK84">
        <v>236</v>
      </c>
      <c r="BL84" s="25">
        <v>37</v>
      </c>
      <c r="BM84">
        <v>1</v>
      </c>
      <c r="BN84">
        <v>0</v>
      </c>
      <c r="BO84">
        <v>0</v>
      </c>
      <c r="BP84">
        <v>0</v>
      </c>
      <c r="BQ84">
        <v>0</v>
      </c>
      <c r="BR84">
        <v>0</v>
      </c>
      <c r="BS84">
        <v>0</v>
      </c>
      <c r="BT84" s="18">
        <v>0</v>
      </c>
      <c r="BU84">
        <v>0</v>
      </c>
      <c r="BV84">
        <v>0</v>
      </c>
      <c r="BW84">
        <v>1</v>
      </c>
      <c r="BX84" s="18">
        <v>0</v>
      </c>
      <c r="BY84">
        <v>0</v>
      </c>
      <c r="BZ84">
        <v>0</v>
      </c>
      <c r="CA84">
        <v>0</v>
      </c>
      <c r="CB84">
        <v>0</v>
      </c>
      <c r="CC84" s="18">
        <v>0</v>
      </c>
      <c r="CD84">
        <v>0</v>
      </c>
      <c r="CE84">
        <v>0</v>
      </c>
      <c r="CF84">
        <v>1</v>
      </c>
      <c r="CG84">
        <v>1</v>
      </c>
      <c r="CH84">
        <v>1</v>
      </c>
      <c r="CI84">
        <v>0</v>
      </c>
      <c r="CJ84">
        <v>1</v>
      </c>
      <c r="CK84">
        <v>0</v>
      </c>
      <c r="CL84">
        <v>0</v>
      </c>
      <c r="CM84">
        <v>0</v>
      </c>
      <c r="CN84" s="18">
        <v>1</v>
      </c>
      <c r="CO84">
        <v>2.5000000000000001E-2</v>
      </c>
      <c r="CP84">
        <v>44</v>
      </c>
      <c r="CQ84">
        <v>1</v>
      </c>
      <c r="CR84">
        <v>0</v>
      </c>
      <c r="CS84">
        <v>17</v>
      </c>
      <c r="CY84" s="34"/>
    </row>
    <row r="85" spans="1:103" x14ac:dyDescent="0.25">
      <c r="A85">
        <v>84</v>
      </c>
      <c r="B85">
        <v>8</v>
      </c>
      <c r="C85" s="25" t="s">
        <v>17</v>
      </c>
      <c r="D85" s="12">
        <v>14.5</v>
      </c>
      <c r="E85" s="14">
        <v>0.2</v>
      </c>
      <c r="F85" s="7">
        <f t="shared" si="26"/>
        <v>72.5</v>
      </c>
      <c r="G85" s="7">
        <f t="shared" si="18"/>
        <v>14.3</v>
      </c>
      <c r="H85" s="16">
        <f t="shared" si="19"/>
        <v>14.7</v>
      </c>
      <c r="I85" s="11">
        <f t="shared" si="23"/>
        <v>0.46997485226817143</v>
      </c>
      <c r="J85" s="33">
        <f t="shared" si="24"/>
        <v>6.4824117554230553E-3</v>
      </c>
      <c r="K85" s="33">
        <f t="shared" si="25"/>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7"/>
        <v>0.41849999999999998</v>
      </c>
      <c r="AY85" s="18" t="s">
        <v>16</v>
      </c>
      <c r="AZ85">
        <v>0</v>
      </c>
      <c r="BA85">
        <v>1</v>
      </c>
      <c r="BB85">
        <v>0</v>
      </c>
      <c r="BC85">
        <v>0</v>
      </c>
      <c r="BD85">
        <v>0</v>
      </c>
      <c r="BE85">
        <v>0</v>
      </c>
      <c r="BF85" s="18">
        <v>0</v>
      </c>
      <c r="BG85">
        <v>0</v>
      </c>
      <c r="BH85">
        <v>1</v>
      </c>
      <c r="BI85" s="18">
        <v>0</v>
      </c>
      <c r="BJ85">
        <v>3648</v>
      </c>
      <c r="BK85">
        <v>236</v>
      </c>
      <c r="BL85" s="25">
        <v>37</v>
      </c>
      <c r="BM85">
        <v>1</v>
      </c>
      <c r="BN85">
        <v>0</v>
      </c>
      <c r="BO85">
        <v>0</v>
      </c>
      <c r="BP85">
        <v>0</v>
      </c>
      <c r="BQ85">
        <v>0</v>
      </c>
      <c r="BR85">
        <v>0</v>
      </c>
      <c r="BS85">
        <v>0</v>
      </c>
      <c r="BT85" s="18">
        <v>0</v>
      </c>
      <c r="BU85">
        <v>0</v>
      </c>
      <c r="BV85">
        <v>0</v>
      </c>
      <c r="BW85">
        <v>1</v>
      </c>
      <c r="BX85" s="18">
        <v>0</v>
      </c>
      <c r="BY85">
        <v>0</v>
      </c>
      <c r="BZ85">
        <v>0</v>
      </c>
      <c r="CA85">
        <v>0</v>
      </c>
      <c r="CB85">
        <v>0</v>
      </c>
      <c r="CC85" s="18">
        <v>0</v>
      </c>
      <c r="CD85">
        <v>0</v>
      </c>
      <c r="CE85">
        <v>0</v>
      </c>
      <c r="CF85">
        <v>1</v>
      </c>
      <c r="CG85">
        <v>1</v>
      </c>
      <c r="CH85">
        <v>1</v>
      </c>
      <c r="CI85">
        <v>0</v>
      </c>
      <c r="CJ85">
        <v>1</v>
      </c>
      <c r="CK85">
        <v>0</v>
      </c>
      <c r="CL85">
        <v>0</v>
      </c>
      <c r="CM85">
        <v>0</v>
      </c>
      <c r="CN85" s="18">
        <v>1</v>
      </c>
      <c r="CO85">
        <v>2.5000000000000001E-2</v>
      </c>
      <c r="CP85">
        <v>44</v>
      </c>
      <c r="CQ85">
        <v>1</v>
      </c>
      <c r="CR85">
        <v>0</v>
      </c>
      <c r="CS85">
        <v>17</v>
      </c>
      <c r="CY85" s="34"/>
    </row>
    <row r="86" spans="1:103" x14ac:dyDescent="0.25">
      <c r="A86">
        <v>85</v>
      </c>
      <c r="B86">
        <v>8</v>
      </c>
      <c r="C86" s="25" t="s">
        <v>17</v>
      </c>
      <c r="D86" s="12">
        <v>15.4</v>
      </c>
      <c r="E86" s="14">
        <v>0.2</v>
      </c>
      <c r="F86" s="7">
        <f t="shared" si="26"/>
        <v>77</v>
      </c>
      <c r="G86" s="7">
        <f t="shared" si="18"/>
        <v>15.200000000000001</v>
      </c>
      <c r="H86" s="16">
        <f t="shared" si="19"/>
        <v>15.6</v>
      </c>
      <c r="I86" s="11">
        <f t="shared" si="23"/>
        <v>0.49224647486232498</v>
      </c>
      <c r="J86" s="33">
        <f t="shared" si="24"/>
        <v>6.3928113618483759E-3</v>
      </c>
      <c r="K86" s="33">
        <f t="shared" si="25"/>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7"/>
        <v>0.41849999999999998</v>
      </c>
      <c r="AY86" s="18" t="s">
        <v>16</v>
      </c>
      <c r="AZ86">
        <v>0</v>
      </c>
      <c r="BA86">
        <v>1</v>
      </c>
      <c r="BB86">
        <v>0</v>
      </c>
      <c r="BC86">
        <v>0</v>
      </c>
      <c r="BD86">
        <v>0</v>
      </c>
      <c r="BE86">
        <v>0</v>
      </c>
      <c r="BF86" s="18">
        <v>0</v>
      </c>
      <c r="BG86">
        <v>0</v>
      </c>
      <c r="BH86">
        <v>1</v>
      </c>
      <c r="BI86" s="18">
        <v>0</v>
      </c>
      <c r="BJ86">
        <v>3648</v>
      </c>
      <c r="BK86">
        <v>236</v>
      </c>
      <c r="BL86" s="25">
        <v>37</v>
      </c>
      <c r="BM86">
        <v>0</v>
      </c>
      <c r="BN86">
        <v>0</v>
      </c>
      <c r="BO86">
        <v>0</v>
      </c>
      <c r="BP86">
        <v>0</v>
      </c>
      <c r="BQ86">
        <v>0</v>
      </c>
      <c r="BR86">
        <v>1</v>
      </c>
      <c r="BS86">
        <v>0</v>
      </c>
      <c r="BT86" s="18">
        <v>0</v>
      </c>
      <c r="BU86">
        <v>0</v>
      </c>
      <c r="BV86">
        <v>0</v>
      </c>
      <c r="BW86">
        <v>1</v>
      </c>
      <c r="BX86" s="18">
        <v>0</v>
      </c>
      <c r="BY86">
        <v>0</v>
      </c>
      <c r="BZ86">
        <v>0</v>
      </c>
      <c r="CA86">
        <v>0</v>
      </c>
      <c r="CB86">
        <v>0</v>
      </c>
      <c r="CC86" s="18">
        <v>0</v>
      </c>
      <c r="CD86">
        <v>0</v>
      </c>
      <c r="CE86">
        <v>0</v>
      </c>
      <c r="CF86">
        <v>1</v>
      </c>
      <c r="CG86">
        <v>1</v>
      </c>
      <c r="CH86">
        <v>1</v>
      </c>
      <c r="CI86">
        <v>0</v>
      </c>
      <c r="CJ86">
        <v>1</v>
      </c>
      <c r="CK86">
        <v>0</v>
      </c>
      <c r="CL86">
        <v>0</v>
      </c>
      <c r="CM86">
        <v>0</v>
      </c>
      <c r="CN86" s="18">
        <v>1</v>
      </c>
      <c r="CO86">
        <v>2.5000000000000001E-2</v>
      </c>
      <c r="CP86">
        <v>44</v>
      </c>
      <c r="CQ86">
        <v>1</v>
      </c>
      <c r="CR86">
        <v>0</v>
      </c>
      <c r="CS86">
        <v>17</v>
      </c>
      <c r="CY86" s="34"/>
    </row>
    <row r="87" spans="1:103" s="51" customFormat="1" x14ac:dyDescent="0.25">
      <c r="A87" s="51">
        <v>86</v>
      </c>
      <c r="B87" s="51">
        <v>8</v>
      </c>
      <c r="C87" s="52" t="s">
        <v>17</v>
      </c>
      <c r="D87" s="53">
        <v>7.1</v>
      </c>
      <c r="E87" s="54">
        <v>0.4</v>
      </c>
      <c r="F87" s="55">
        <f t="shared" si="26"/>
        <v>17.749999999999996</v>
      </c>
      <c r="G87" s="55">
        <f t="shared" si="18"/>
        <v>6.6999999999999993</v>
      </c>
      <c r="H87" s="56">
        <f t="shared" si="19"/>
        <v>7.5</v>
      </c>
      <c r="I87" s="11">
        <f t="shared" si="23"/>
        <v>0.12250395627520262</v>
      </c>
      <c r="J87" s="33">
        <f t="shared" si="24"/>
        <v>6.9016313394480366E-3</v>
      </c>
      <c r="K87" s="33">
        <f t="shared" si="25"/>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7"/>
        <v>0.41849999999999998</v>
      </c>
      <c r="AY87" s="65" t="s">
        <v>16</v>
      </c>
      <c r="AZ87">
        <v>0</v>
      </c>
      <c r="BA87">
        <v>1</v>
      </c>
      <c r="BB87">
        <v>0</v>
      </c>
      <c r="BC87">
        <v>0</v>
      </c>
      <c r="BD87">
        <v>0</v>
      </c>
      <c r="BE87">
        <v>0</v>
      </c>
      <c r="BF87" s="65">
        <v>0</v>
      </c>
      <c r="BG87">
        <v>0</v>
      </c>
      <c r="BH87">
        <v>1</v>
      </c>
      <c r="BI87" s="65">
        <v>0</v>
      </c>
      <c r="BJ87">
        <v>3648</v>
      </c>
      <c r="BK87">
        <v>236</v>
      </c>
      <c r="BL87" s="52">
        <v>37</v>
      </c>
      <c r="BM87" s="51">
        <v>0</v>
      </c>
      <c r="BN87" s="51">
        <v>0</v>
      </c>
      <c r="BO87" s="51">
        <v>0</v>
      </c>
      <c r="BP87" s="51">
        <v>0</v>
      </c>
      <c r="BQ87" s="51">
        <v>0</v>
      </c>
      <c r="BR87" s="51">
        <v>0</v>
      </c>
      <c r="BS87" s="51">
        <v>1</v>
      </c>
      <c r="BT87" s="65">
        <v>0</v>
      </c>
      <c r="BU87" s="51">
        <v>0</v>
      </c>
      <c r="BV87" s="51">
        <v>0</v>
      </c>
      <c r="BW87" s="51">
        <v>1</v>
      </c>
      <c r="BX87" s="65">
        <v>0</v>
      </c>
      <c r="BY87" s="51">
        <v>0</v>
      </c>
      <c r="BZ87" s="51">
        <v>0</v>
      </c>
      <c r="CA87" s="51">
        <v>0</v>
      </c>
      <c r="CB87" s="51">
        <v>0</v>
      </c>
      <c r="CC87" s="65">
        <v>0</v>
      </c>
      <c r="CD87" s="51">
        <v>0</v>
      </c>
      <c r="CE87" s="51">
        <v>0</v>
      </c>
      <c r="CF87" s="51">
        <v>1</v>
      </c>
      <c r="CG87" s="51">
        <v>1</v>
      </c>
      <c r="CH87" s="51">
        <v>1</v>
      </c>
      <c r="CI87" s="51">
        <v>0</v>
      </c>
      <c r="CJ87" s="51">
        <v>1</v>
      </c>
      <c r="CK87" s="51">
        <v>0</v>
      </c>
      <c r="CL87" s="51">
        <v>0</v>
      </c>
      <c r="CM87" s="51">
        <v>0</v>
      </c>
      <c r="CN87" s="65">
        <v>1</v>
      </c>
      <c r="CO87">
        <v>2.5000000000000001E-2</v>
      </c>
      <c r="CP87">
        <v>44</v>
      </c>
      <c r="CQ87">
        <v>1</v>
      </c>
      <c r="CR87">
        <v>0</v>
      </c>
      <c r="CS87">
        <v>17</v>
      </c>
      <c r="CT87" s="67"/>
      <c r="CY87" s="67"/>
    </row>
    <row r="88" spans="1:103" x14ac:dyDescent="0.25">
      <c r="A88">
        <v>87</v>
      </c>
      <c r="B88">
        <v>9</v>
      </c>
      <c r="C88" s="25" t="s">
        <v>4</v>
      </c>
      <c r="D88" s="12">
        <v>7.1</v>
      </c>
      <c r="E88" s="14">
        <v>0.2</v>
      </c>
      <c r="F88" s="7">
        <f t="shared" si="26"/>
        <v>35.499999999999993</v>
      </c>
      <c r="G88" s="7">
        <f t="shared" si="18"/>
        <v>6.8999999999999995</v>
      </c>
      <c r="H88" s="16">
        <f t="shared" si="19"/>
        <v>7.3</v>
      </c>
      <c r="I88" s="11">
        <f t="shared" si="23"/>
        <v>0.42671320708183785</v>
      </c>
      <c r="J88" s="33">
        <f t="shared" si="24"/>
        <v>1.2020090340333465E-2</v>
      </c>
      <c r="K88" s="33">
        <f t="shared" si="25"/>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8">1-AQ88</f>
        <v>0.45589999999999997</v>
      </c>
      <c r="AS88" t="s">
        <v>98</v>
      </c>
      <c r="AT88" s="40" t="s">
        <v>98</v>
      </c>
      <c r="AU88">
        <v>0</v>
      </c>
      <c r="AV88" s="18">
        <v>1</v>
      </c>
      <c r="AW88">
        <v>0.58699999999999997</v>
      </c>
      <c r="AX88" s="18">
        <f t="shared" si="27"/>
        <v>0.41300000000000003</v>
      </c>
      <c r="AY88" s="18" t="s">
        <v>3</v>
      </c>
      <c r="AZ88">
        <v>0</v>
      </c>
      <c r="BA88">
        <v>0</v>
      </c>
      <c r="BB88">
        <v>0</v>
      </c>
      <c r="BC88">
        <v>0</v>
      </c>
      <c r="BD88">
        <v>0</v>
      </c>
      <c r="BE88">
        <v>1</v>
      </c>
      <c r="BF88" s="18">
        <v>0</v>
      </c>
      <c r="BG88">
        <v>0</v>
      </c>
      <c r="BH88">
        <v>1</v>
      </c>
      <c r="BI88" s="18">
        <v>0</v>
      </c>
      <c r="BJ88">
        <v>538</v>
      </c>
      <c r="BK88">
        <v>46</v>
      </c>
      <c r="BL88" s="25">
        <v>42</v>
      </c>
      <c r="BM88">
        <v>1</v>
      </c>
      <c r="BN88">
        <v>0</v>
      </c>
      <c r="BO88">
        <v>0</v>
      </c>
      <c r="BP88">
        <v>0</v>
      </c>
      <c r="BQ88">
        <v>0</v>
      </c>
      <c r="BR88">
        <v>0</v>
      </c>
      <c r="BS88">
        <v>0</v>
      </c>
      <c r="BT88" s="18">
        <v>0</v>
      </c>
      <c r="BU88">
        <v>0</v>
      </c>
      <c r="BV88">
        <v>0</v>
      </c>
      <c r="BW88">
        <v>0</v>
      </c>
      <c r="BX88" s="18">
        <v>1</v>
      </c>
      <c r="BY88">
        <v>0</v>
      </c>
      <c r="BZ88">
        <v>0</v>
      </c>
      <c r="CA88">
        <v>0</v>
      </c>
      <c r="CB88">
        <v>0</v>
      </c>
      <c r="CC88" s="18">
        <v>0</v>
      </c>
      <c r="CD88">
        <v>0</v>
      </c>
      <c r="CE88">
        <v>0</v>
      </c>
      <c r="CF88">
        <v>1</v>
      </c>
      <c r="CG88">
        <v>1</v>
      </c>
      <c r="CH88">
        <v>1</v>
      </c>
      <c r="CI88">
        <v>0</v>
      </c>
      <c r="CJ88">
        <v>1</v>
      </c>
      <c r="CK88">
        <v>0</v>
      </c>
      <c r="CL88">
        <v>0</v>
      </c>
      <c r="CM88">
        <v>1</v>
      </c>
      <c r="CN88" s="18">
        <v>0</v>
      </c>
      <c r="CO88">
        <v>0.14599999999999999</v>
      </c>
      <c r="CP88">
        <v>187</v>
      </c>
      <c r="CQ88">
        <v>1</v>
      </c>
      <c r="CR88">
        <v>0</v>
      </c>
      <c r="CS88">
        <v>10</v>
      </c>
      <c r="CY88" s="34"/>
    </row>
    <row r="89" spans="1:103" x14ac:dyDescent="0.25">
      <c r="A89">
        <v>88</v>
      </c>
      <c r="B89">
        <v>9</v>
      </c>
      <c r="C89" s="25" t="s">
        <v>4</v>
      </c>
      <c r="D89" s="12">
        <v>7.1</v>
      </c>
      <c r="E89" s="14">
        <v>0.2</v>
      </c>
      <c r="F89" s="7">
        <f t="shared" si="26"/>
        <v>35.499999999999993</v>
      </c>
      <c r="G89" s="7">
        <f t="shared" si="18"/>
        <v>6.8999999999999995</v>
      </c>
      <c r="H89" s="16">
        <f t="shared" si="19"/>
        <v>7.3</v>
      </c>
      <c r="I89" s="11">
        <f t="shared" si="23"/>
        <v>0.42674403673342659</v>
      </c>
      <c r="J89" s="33">
        <f t="shared" si="24"/>
        <v>1.2020958781223286E-2</v>
      </c>
      <c r="K89" s="33">
        <f t="shared" si="25"/>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8"/>
        <v>0.45589999999999997</v>
      </c>
      <c r="AS89" t="s">
        <v>98</v>
      </c>
      <c r="AT89" s="40" t="s">
        <v>98</v>
      </c>
      <c r="AU89">
        <v>0</v>
      </c>
      <c r="AV89" s="18">
        <v>1</v>
      </c>
      <c r="AW89">
        <v>0.58699999999999997</v>
      </c>
      <c r="AX89" s="18">
        <f t="shared" si="27"/>
        <v>0.41300000000000003</v>
      </c>
      <c r="AY89" s="18" t="s">
        <v>3</v>
      </c>
      <c r="AZ89">
        <v>0</v>
      </c>
      <c r="BA89">
        <v>0</v>
      </c>
      <c r="BB89">
        <v>0</v>
      </c>
      <c r="BC89">
        <v>0</v>
      </c>
      <c r="BD89">
        <v>0</v>
      </c>
      <c r="BE89">
        <v>1</v>
      </c>
      <c r="BF89" s="18">
        <v>0</v>
      </c>
      <c r="BG89">
        <v>0</v>
      </c>
      <c r="BH89">
        <v>1</v>
      </c>
      <c r="BI89" s="18">
        <v>0</v>
      </c>
      <c r="BJ89">
        <v>538</v>
      </c>
      <c r="BK89">
        <v>46</v>
      </c>
      <c r="BL89" s="25">
        <v>42</v>
      </c>
      <c r="BM89">
        <v>1</v>
      </c>
      <c r="BN89">
        <v>0</v>
      </c>
      <c r="BO89">
        <v>0</v>
      </c>
      <c r="BP89">
        <v>0</v>
      </c>
      <c r="BQ89">
        <v>0</v>
      </c>
      <c r="BR89">
        <v>1</v>
      </c>
      <c r="BS89">
        <v>0</v>
      </c>
      <c r="BT89" s="18">
        <v>0</v>
      </c>
      <c r="BU89">
        <v>0</v>
      </c>
      <c r="BV89">
        <v>0</v>
      </c>
      <c r="BW89">
        <v>0</v>
      </c>
      <c r="BX89" s="18">
        <v>1</v>
      </c>
      <c r="BY89">
        <v>0</v>
      </c>
      <c r="BZ89">
        <v>0</v>
      </c>
      <c r="CA89">
        <v>0</v>
      </c>
      <c r="CB89">
        <v>0</v>
      </c>
      <c r="CC89" s="18">
        <v>0</v>
      </c>
      <c r="CD89">
        <v>0</v>
      </c>
      <c r="CE89">
        <v>0</v>
      </c>
      <c r="CF89">
        <v>1</v>
      </c>
      <c r="CG89">
        <v>1</v>
      </c>
      <c r="CH89">
        <v>1</v>
      </c>
      <c r="CI89">
        <v>0</v>
      </c>
      <c r="CJ89">
        <v>1</v>
      </c>
      <c r="CK89">
        <v>0</v>
      </c>
      <c r="CL89">
        <v>0</v>
      </c>
      <c r="CM89">
        <v>1</v>
      </c>
      <c r="CN89" s="18">
        <v>0</v>
      </c>
      <c r="CO89">
        <v>0.14599999999999999</v>
      </c>
      <c r="CP89">
        <v>187</v>
      </c>
      <c r="CQ89">
        <v>1</v>
      </c>
      <c r="CR89">
        <v>0</v>
      </c>
      <c r="CS89">
        <v>10</v>
      </c>
      <c r="CY89" s="34"/>
    </row>
    <row r="90" spans="1:103" x14ac:dyDescent="0.25">
      <c r="A90">
        <v>89</v>
      </c>
      <c r="B90">
        <v>9</v>
      </c>
      <c r="C90" s="25" t="s">
        <v>4</v>
      </c>
      <c r="D90" s="12">
        <v>-0.7</v>
      </c>
      <c r="E90" s="14">
        <v>0.3</v>
      </c>
      <c r="F90" s="7">
        <f t="shared" si="26"/>
        <v>-2.3333333333333335</v>
      </c>
      <c r="G90" s="7">
        <f t="shared" si="18"/>
        <v>-1</v>
      </c>
      <c r="H90" s="16">
        <f t="shared" si="19"/>
        <v>-0.39999999999999997</v>
      </c>
      <c r="I90" s="11">
        <f t="shared" si="23"/>
        <v>-1.625929627638574E-2</v>
      </c>
      <c r="J90" s="33">
        <f t="shared" si="24"/>
        <v>6.9682698327367442E-3</v>
      </c>
      <c r="K90" s="33">
        <f t="shared" si="25"/>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8"/>
        <v>0.45589999999999997</v>
      </c>
      <c r="AS90" t="s">
        <v>98</v>
      </c>
      <c r="AT90" s="40" t="s">
        <v>98</v>
      </c>
      <c r="AU90">
        <v>0</v>
      </c>
      <c r="AV90" s="18">
        <v>1</v>
      </c>
      <c r="AW90">
        <v>0.58699999999999997</v>
      </c>
      <c r="AX90" s="18">
        <f t="shared" si="27"/>
        <v>0.41300000000000003</v>
      </c>
      <c r="AY90" s="18" t="s">
        <v>3</v>
      </c>
      <c r="AZ90">
        <v>0</v>
      </c>
      <c r="BA90">
        <v>0</v>
      </c>
      <c r="BB90">
        <v>0</v>
      </c>
      <c r="BC90">
        <v>0</v>
      </c>
      <c r="BD90">
        <v>0</v>
      </c>
      <c r="BE90">
        <v>1</v>
      </c>
      <c r="BF90" s="18">
        <v>0</v>
      </c>
      <c r="BG90">
        <v>0</v>
      </c>
      <c r="BH90">
        <v>1</v>
      </c>
      <c r="BI90" s="18">
        <v>0</v>
      </c>
      <c r="BJ90">
        <v>538</v>
      </c>
      <c r="BK90">
        <v>46</v>
      </c>
      <c r="BL90" s="25">
        <v>42</v>
      </c>
      <c r="BM90">
        <v>1</v>
      </c>
      <c r="BN90">
        <v>0</v>
      </c>
      <c r="BO90">
        <v>0</v>
      </c>
      <c r="BP90">
        <v>0</v>
      </c>
      <c r="BQ90">
        <v>0</v>
      </c>
      <c r="BR90">
        <v>0</v>
      </c>
      <c r="BS90">
        <v>1</v>
      </c>
      <c r="BT90" s="18">
        <v>0</v>
      </c>
      <c r="BU90">
        <v>0</v>
      </c>
      <c r="BV90">
        <v>0</v>
      </c>
      <c r="BW90">
        <v>0</v>
      </c>
      <c r="BX90" s="18">
        <v>1</v>
      </c>
      <c r="BY90">
        <v>0</v>
      </c>
      <c r="BZ90">
        <v>0</v>
      </c>
      <c r="CA90">
        <v>0</v>
      </c>
      <c r="CB90">
        <v>0</v>
      </c>
      <c r="CC90" s="18">
        <v>0</v>
      </c>
      <c r="CD90">
        <v>0</v>
      </c>
      <c r="CE90">
        <v>0</v>
      </c>
      <c r="CF90">
        <v>1</v>
      </c>
      <c r="CG90">
        <v>1</v>
      </c>
      <c r="CH90">
        <v>1</v>
      </c>
      <c r="CI90">
        <v>0</v>
      </c>
      <c r="CJ90">
        <v>1</v>
      </c>
      <c r="CK90">
        <v>0</v>
      </c>
      <c r="CL90">
        <v>0</v>
      </c>
      <c r="CM90">
        <v>1</v>
      </c>
      <c r="CN90" s="18">
        <v>1</v>
      </c>
      <c r="CO90">
        <v>0.14599999999999999</v>
      </c>
      <c r="CP90">
        <v>187</v>
      </c>
      <c r="CQ90">
        <v>1</v>
      </c>
      <c r="CR90">
        <v>0</v>
      </c>
      <c r="CS90">
        <v>10</v>
      </c>
      <c r="CY90" s="34"/>
    </row>
    <row r="91" spans="1:103" x14ac:dyDescent="0.25">
      <c r="A91">
        <v>90</v>
      </c>
      <c r="B91">
        <v>9</v>
      </c>
      <c r="C91" s="25" t="s">
        <v>4</v>
      </c>
      <c r="D91" s="12">
        <v>8.1</v>
      </c>
      <c r="E91" s="14">
        <v>0.3</v>
      </c>
      <c r="F91" s="7">
        <f t="shared" si="26"/>
        <v>27</v>
      </c>
      <c r="G91" s="7">
        <f t="shared" si="18"/>
        <v>7.8</v>
      </c>
      <c r="H91" s="16">
        <f t="shared" si="19"/>
        <v>8.4</v>
      </c>
      <c r="I91" s="11">
        <f t="shared" si="23"/>
        <v>0.48769524889134491</v>
      </c>
      <c r="J91" s="33">
        <f t="shared" si="24"/>
        <v>1.8062786995975737E-2</v>
      </c>
      <c r="K91" s="33">
        <f t="shared" si="25"/>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8"/>
        <v>0.45589999999999997</v>
      </c>
      <c r="AS91" t="s">
        <v>98</v>
      </c>
      <c r="AT91" s="40" t="s">
        <v>98</v>
      </c>
      <c r="AU91">
        <v>0</v>
      </c>
      <c r="AV91" s="18">
        <v>1</v>
      </c>
      <c r="AW91">
        <v>0.58699999999999997</v>
      </c>
      <c r="AX91" s="18">
        <f t="shared" si="27"/>
        <v>0.41300000000000003</v>
      </c>
      <c r="AY91" s="18" t="s">
        <v>3</v>
      </c>
      <c r="AZ91">
        <v>0</v>
      </c>
      <c r="BA91">
        <v>0</v>
      </c>
      <c r="BB91">
        <v>0</v>
      </c>
      <c r="BC91">
        <v>0</v>
      </c>
      <c r="BD91">
        <v>0</v>
      </c>
      <c r="BE91">
        <v>1</v>
      </c>
      <c r="BF91" s="18">
        <v>0</v>
      </c>
      <c r="BG91">
        <v>0</v>
      </c>
      <c r="BH91">
        <v>1</v>
      </c>
      <c r="BI91" s="18">
        <v>0</v>
      </c>
      <c r="BJ91">
        <v>538</v>
      </c>
      <c r="BK91">
        <v>46</v>
      </c>
      <c r="BL91" s="25">
        <v>42</v>
      </c>
      <c r="BM91">
        <v>1</v>
      </c>
      <c r="BN91">
        <v>0</v>
      </c>
      <c r="BO91">
        <v>0</v>
      </c>
      <c r="BP91">
        <v>0</v>
      </c>
      <c r="BQ91">
        <v>0</v>
      </c>
      <c r="BR91">
        <v>0</v>
      </c>
      <c r="BS91">
        <v>0</v>
      </c>
      <c r="BT91" s="18">
        <v>0</v>
      </c>
      <c r="BU91">
        <v>0</v>
      </c>
      <c r="BV91">
        <v>0</v>
      </c>
      <c r="BW91">
        <v>0</v>
      </c>
      <c r="BX91" s="18">
        <v>1</v>
      </c>
      <c r="BY91">
        <v>0</v>
      </c>
      <c r="BZ91">
        <v>0</v>
      </c>
      <c r="CA91">
        <v>0</v>
      </c>
      <c r="CB91">
        <v>0</v>
      </c>
      <c r="CC91" s="18">
        <v>0</v>
      </c>
      <c r="CD91">
        <v>0</v>
      </c>
      <c r="CE91">
        <v>0</v>
      </c>
      <c r="CF91">
        <v>1</v>
      </c>
      <c r="CG91">
        <v>1</v>
      </c>
      <c r="CH91">
        <v>1</v>
      </c>
      <c r="CI91">
        <v>0</v>
      </c>
      <c r="CJ91">
        <v>1</v>
      </c>
      <c r="CK91">
        <v>0</v>
      </c>
      <c r="CL91">
        <v>0</v>
      </c>
      <c r="CM91">
        <v>1</v>
      </c>
      <c r="CN91" s="18">
        <v>0</v>
      </c>
      <c r="CO91">
        <v>0.14599999999999999</v>
      </c>
      <c r="CP91">
        <v>187</v>
      </c>
      <c r="CQ91">
        <v>1</v>
      </c>
      <c r="CR91">
        <v>0</v>
      </c>
      <c r="CS91">
        <v>10</v>
      </c>
      <c r="CY91" s="34"/>
    </row>
    <row r="92" spans="1:103" x14ac:dyDescent="0.25">
      <c r="A92">
        <v>91</v>
      </c>
      <c r="B92">
        <v>9</v>
      </c>
      <c r="C92" s="25" t="s">
        <v>4</v>
      </c>
      <c r="D92" s="12">
        <v>8.1</v>
      </c>
      <c r="E92" s="14">
        <v>0.3</v>
      </c>
      <c r="F92" s="7">
        <f t="shared" si="26"/>
        <v>27</v>
      </c>
      <c r="G92" s="7">
        <f t="shared" si="18"/>
        <v>7.8</v>
      </c>
      <c r="H92" s="16">
        <f t="shared" si="19"/>
        <v>8.4</v>
      </c>
      <c r="I92" s="11">
        <f t="shared" si="23"/>
        <v>0.48777482713269882</v>
      </c>
      <c r="J92" s="33">
        <f t="shared" si="24"/>
        <v>1.8065734338248103E-2</v>
      </c>
      <c r="K92" s="33">
        <f t="shared" si="25"/>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8"/>
        <v>0.45589999999999997</v>
      </c>
      <c r="AS92" t="s">
        <v>98</v>
      </c>
      <c r="AT92" s="40" t="s">
        <v>98</v>
      </c>
      <c r="AU92">
        <v>0</v>
      </c>
      <c r="AV92" s="18">
        <v>1</v>
      </c>
      <c r="AW92">
        <v>0.58699999999999997</v>
      </c>
      <c r="AX92" s="18">
        <f t="shared" si="27"/>
        <v>0.41300000000000003</v>
      </c>
      <c r="AY92" s="18" t="s">
        <v>3</v>
      </c>
      <c r="AZ92">
        <v>0</v>
      </c>
      <c r="BA92">
        <v>0</v>
      </c>
      <c r="BB92">
        <v>0</v>
      </c>
      <c r="BC92">
        <v>0</v>
      </c>
      <c r="BD92">
        <v>0</v>
      </c>
      <c r="BE92">
        <v>1</v>
      </c>
      <c r="BF92" s="18">
        <v>0</v>
      </c>
      <c r="BG92">
        <v>0</v>
      </c>
      <c r="BH92">
        <v>1</v>
      </c>
      <c r="BI92" s="18">
        <v>0</v>
      </c>
      <c r="BJ92">
        <v>538</v>
      </c>
      <c r="BK92">
        <v>46</v>
      </c>
      <c r="BL92" s="25">
        <v>42</v>
      </c>
      <c r="BM92">
        <v>0</v>
      </c>
      <c r="BN92">
        <v>0</v>
      </c>
      <c r="BO92">
        <v>0</v>
      </c>
      <c r="BP92">
        <v>0</v>
      </c>
      <c r="BQ92">
        <v>0</v>
      </c>
      <c r="BR92">
        <v>1</v>
      </c>
      <c r="BS92">
        <v>0</v>
      </c>
      <c r="BT92" s="18">
        <v>0</v>
      </c>
      <c r="BU92">
        <v>0</v>
      </c>
      <c r="BV92">
        <v>0</v>
      </c>
      <c r="BW92">
        <v>0</v>
      </c>
      <c r="BX92" s="18">
        <v>1</v>
      </c>
      <c r="BY92">
        <v>0</v>
      </c>
      <c r="BZ92">
        <v>0</v>
      </c>
      <c r="CA92">
        <v>0</v>
      </c>
      <c r="CB92">
        <v>0</v>
      </c>
      <c r="CC92" s="18">
        <v>0</v>
      </c>
      <c r="CD92">
        <v>0</v>
      </c>
      <c r="CE92">
        <v>0</v>
      </c>
      <c r="CF92">
        <v>1</v>
      </c>
      <c r="CG92">
        <v>1</v>
      </c>
      <c r="CH92">
        <v>1</v>
      </c>
      <c r="CI92">
        <v>0</v>
      </c>
      <c r="CJ92">
        <v>1</v>
      </c>
      <c r="CK92">
        <v>0</v>
      </c>
      <c r="CL92">
        <v>0</v>
      </c>
      <c r="CM92">
        <v>1</v>
      </c>
      <c r="CN92" s="18">
        <v>0</v>
      </c>
      <c r="CO92">
        <v>0.14599999999999999</v>
      </c>
      <c r="CP92">
        <v>187</v>
      </c>
      <c r="CQ92">
        <v>1</v>
      </c>
      <c r="CR92">
        <v>0</v>
      </c>
      <c r="CS92">
        <v>10</v>
      </c>
      <c r="CY92" s="34"/>
    </row>
    <row r="93" spans="1:103" x14ac:dyDescent="0.25">
      <c r="A93">
        <v>92</v>
      </c>
      <c r="B93">
        <v>9</v>
      </c>
      <c r="C93" s="25" t="s">
        <v>4</v>
      </c>
      <c r="D93" s="12">
        <v>-1.1000000000000001</v>
      </c>
      <c r="E93" s="14">
        <v>0.5</v>
      </c>
      <c r="F93" s="7">
        <f t="shared" si="26"/>
        <v>-2.2000000000000002</v>
      </c>
      <c r="G93" s="7">
        <f t="shared" si="18"/>
        <v>-1.6</v>
      </c>
      <c r="H93" s="16">
        <f t="shared" si="19"/>
        <v>-0.60000000000000009</v>
      </c>
      <c r="I93" s="11">
        <f t="shared" si="23"/>
        <v>-2.7244002328770587E-2</v>
      </c>
      <c r="J93" s="33">
        <f t="shared" si="24"/>
        <v>1.2383637422168447E-2</v>
      </c>
      <c r="K93" s="33">
        <f t="shared" si="25"/>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8"/>
        <v>0.45589999999999997</v>
      </c>
      <c r="AS93" t="s">
        <v>98</v>
      </c>
      <c r="AT93" s="40" t="s">
        <v>98</v>
      </c>
      <c r="AU93">
        <v>0</v>
      </c>
      <c r="AV93" s="18">
        <v>1</v>
      </c>
      <c r="AW93">
        <v>0.58699999999999997</v>
      </c>
      <c r="AX93" s="18">
        <f t="shared" si="27"/>
        <v>0.41300000000000003</v>
      </c>
      <c r="AY93" s="18" t="s">
        <v>3</v>
      </c>
      <c r="AZ93">
        <v>0</v>
      </c>
      <c r="BA93">
        <v>0</v>
      </c>
      <c r="BB93">
        <v>0</v>
      </c>
      <c r="BC93">
        <v>0</v>
      </c>
      <c r="BD93">
        <v>0</v>
      </c>
      <c r="BE93">
        <v>1</v>
      </c>
      <c r="BF93" s="18">
        <v>0</v>
      </c>
      <c r="BG93">
        <v>0</v>
      </c>
      <c r="BH93">
        <v>1</v>
      </c>
      <c r="BI93" s="18">
        <v>0</v>
      </c>
      <c r="BJ93">
        <v>538</v>
      </c>
      <c r="BK93">
        <v>46</v>
      </c>
      <c r="BL93" s="25">
        <v>42</v>
      </c>
      <c r="BM93">
        <v>0</v>
      </c>
      <c r="BN93">
        <v>0</v>
      </c>
      <c r="BO93">
        <v>0</v>
      </c>
      <c r="BP93">
        <v>0</v>
      </c>
      <c r="BQ93">
        <v>0</v>
      </c>
      <c r="BR93">
        <v>0</v>
      </c>
      <c r="BS93">
        <v>1</v>
      </c>
      <c r="BT93" s="18">
        <v>0</v>
      </c>
      <c r="BU93">
        <v>0</v>
      </c>
      <c r="BV93">
        <v>0</v>
      </c>
      <c r="BW93">
        <v>0</v>
      </c>
      <c r="BX93" s="18">
        <v>1</v>
      </c>
      <c r="BY93">
        <v>0</v>
      </c>
      <c r="BZ93">
        <v>0</v>
      </c>
      <c r="CA93">
        <v>0</v>
      </c>
      <c r="CB93">
        <v>0</v>
      </c>
      <c r="CC93" s="18">
        <v>0</v>
      </c>
      <c r="CD93">
        <v>0</v>
      </c>
      <c r="CE93">
        <v>0</v>
      </c>
      <c r="CF93">
        <v>1</v>
      </c>
      <c r="CG93">
        <v>1</v>
      </c>
      <c r="CH93">
        <v>1</v>
      </c>
      <c r="CI93">
        <v>0</v>
      </c>
      <c r="CJ93">
        <v>1</v>
      </c>
      <c r="CK93">
        <v>0</v>
      </c>
      <c r="CL93">
        <v>0</v>
      </c>
      <c r="CM93">
        <v>1</v>
      </c>
      <c r="CN93" s="18">
        <v>1</v>
      </c>
      <c r="CO93">
        <v>0.14599999999999999</v>
      </c>
      <c r="CP93">
        <v>187</v>
      </c>
      <c r="CQ93">
        <v>1</v>
      </c>
      <c r="CR93">
        <v>0</v>
      </c>
      <c r="CS93">
        <v>10</v>
      </c>
      <c r="CY93" s="34"/>
    </row>
    <row r="94" spans="1:103" x14ac:dyDescent="0.25">
      <c r="A94">
        <v>93</v>
      </c>
      <c r="B94">
        <v>9</v>
      </c>
      <c r="C94" s="25" t="s">
        <v>4</v>
      </c>
      <c r="D94" s="12">
        <v>5.7</v>
      </c>
      <c r="E94" s="14">
        <v>0.4</v>
      </c>
      <c r="F94" s="7">
        <f t="shared" si="26"/>
        <v>14.25</v>
      </c>
      <c r="G94" s="7">
        <f t="shared" si="18"/>
        <v>5.3</v>
      </c>
      <c r="H94" s="16">
        <f t="shared" si="19"/>
        <v>6.1000000000000005</v>
      </c>
      <c r="I94" s="11">
        <f t="shared" si="23"/>
        <v>0.24014745989109584</v>
      </c>
      <c r="J94" s="33">
        <f t="shared" si="24"/>
        <v>1.6852453325690936E-2</v>
      </c>
      <c r="K94" s="33">
        <f t="shared" si="25"/>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8"/>
        <v>0.45589999999999997</v>
      </c>
      <c r="AS94" t="s">
        <v>98</v>
      </c>
      <c r="AT94" s="40" t="s">
        <v>98</v>
      </c>
      <c r="AU94">
        <v>0</v>
      </c>
      <c r="AV94" s="18">
        <v>1</v>
      </c>
      <c r="AW94">
        <v>0.58699999999999997</v>
      </c>
      <c r="AX94" s="18">
        <f t="shared" si="27"/>
        <v>0.41300000000000003</v>
      </c>
      <c r="AY94" s="18" t="s">
        <v>3</v>
      </c>
      <c r="AZ94">
        <v>0</v>
      </c>
      <c r="BA94">
        <v>0</v>
      </c>
      <c r="BB94">
        <v>0</v>
      </c>
      <c r="BC94">
        <v>0</v>
      </c>
      <c r="BD94">
        <v>0</v>
      </c>
      <c r="BE94">
        <v>1</v>
      </c>
      <c r="BF94" s="18">
        <v>0</v>
      </c>
      <c r="BG94">
        <v>0</v>
      </c>
      <c r="BH94">
        <v>1</v>
      </c>
      <c r="BI94" s="18">
        <v>0</v>
      </c>
      <c r="BJ94">
        <v>538</v>
      </c>
      <c r="BK94">
        <v>46</v>
      </c>
      <c r="BL94" s="25">
        <v>42</v>
      </c>
      <c r="BM94">
        <v>1</v>
      </c>
      <c r="BN94">
        <v>0</v>
      </c>
      <c r="BO94">
        <v>0</v>
      </c>
      <c r="BP94">
        <v>0</v>
      </c>
      <c r="BQ94">
        <v>0</v>
      </c>
      <c r="BR94">
        <v>0</v>
      </c>
      <c r="BS94">
        <v>0</v>
      </c>
      <c r="BT94" s="18">
        <v>0</v>
      </c>
      <c r="BU94">
        <v>0</v>
      </c>
      <c r="BV94">
        <v>0</v>
      </c>
      <c r="BW94">
        <v>0</v>
      </c>
      <c r="BX94" s="18">
        <v>1</v>
      </c>
      <c r="BY94">
        <v>0</v>
      </c>
      <c r="BZ94">
        <v>0</v>
      </c>
      <c r="CA94">
        <v>0</v>
      </c>
      <c r="CB94">
        <v>0</v>
      </c>
      <c r="CC94" s="18">
        <v>0</v>
      </c>
      <c r="CD94">
        <v>0</v>
      </c>
      <c r="CE94">
        <v>0</v>
      </c>
      <c r="CF94">
        <v>1</v>
      </c>
      <c r="CG94">
        <v>1</v>
      </c>
      <c r="CH94">
        <v>1</v>
      </c>
      <c r="CI94">
        <v>0</v>
      </c>
      <c r="CJ94">
        <v>1</v>
      </c>
      <c r="CK94">
        <v>0</v>
      </c>
      <c r="CL94">
        <v>0</v>
      </c>
      <c r="CM94">
        <v>1</v>
      </c>
      <c r="CN94" s="18">
        <v>0</v>
      </c>
      <c r="CO94">
        <v>0.14599999999999999</v>
      </c>
      <c r="CP94">
        <v>187</v>
      </c>
      <c r="CQ94">
        <v>1</v>
      </c>
      <c r="CR94">
        <v>0</v>
      </c>
      <c r="CS94">
        <v>10</v>
      </c>
      <c r="CY94" s="34"/>
    </row>
    <row r="95" spans="1:103" x14ac:dyDescent="0.25">
      <c r="A95">
        <v>94</v>
      </c>
      <c r="B95">
        <v>9</v>
      </c>
      <c r="C95" s="25" t="s">
        <v>4</v>
      </c>
      <c r="D95" s="12">
        <v>5.7</v>
      </c>
      <c r="E95" s="14">
        <v>0.3</v>
      </c>
      <c r="F95" s="7">
        <f t="shared" si="26"/>
        <v>19</v>
      </c>
      <c r="G95" s="7">
        <f t="shared" si="18"/>
        <v>5.4</v>
      </c>
      <c r="H95" s="16">
        <f t="shared" si="19"/>
        <v>6</v>
      </c>
      <c r="I95" s="11">
        <f t="shared" si="23"/>
        <v>0.31329086982171811</v>
      </c>
      <c r="J95" s="33">
        <f t="shared" si="24"/>
        <v>1.6488993148511478E-2</v>
      </c>
      <c r="K95" s="33">
        <f t="shared" si="25"/>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8"/>
        <v>0.45589999999999997</v>
      </c>
      <c r="AS95" t="s">
        <v>98</v>
      </c>
      <c r="AT95" s="40" t="s">
        <v>98</v>
      </c>
      <c r="AU95">
        <v>0</v>
      </c>
      <c r="AV95" s="18">
        <v>1</v>
      </c>
      <c r="AW95">
        <v>0.58699999999999997</v>
      </c>
      <c r="AX95" s="18">
        <f t="shared" si="27"/>
        <v>0.41300000000000003</v>
      </c>
      <c r="AY95" s="18" t="s">
        <v>3</v>
      </c>
      <c r="AZ95">
        <v>0</v>
      </c>
      <c r="BA95">
        <v>0</v>
      </c>
      <c r="BB95">
        <v>0</v>
      </c>
      <c r="BC95">
        <v>0</v>
      </c>
      <c r="BD95">
        <v>0</v>
      </c>
      <c r="BE95">
        <v>1</v>
      </c>
      <c r="BF95" s="18">
        <v>0</v>
      </c>
      <c r="BG95">
        <v>0</v>
      </c>
      <c r="BH95">
        <v>1</v>
      </c>
      <c r="BI95" s="18">
        <v>0</v>
      </c>
      <c r="BJ95">
        <v>538</v>
      </c>
      <c r="BK95">
        <v>46</v>
      </c>
      <c r="BL95" s="25">
        <v>42</v>
      </c>
      <c r="BM95">
        <v>0</v>
      </c>
      <c r="BN95">
        <v>0</v>
      </c>
      <c r="BO95">
        <v>0</v>
      </c>
      <c r="BP95">
        <v>0</v>
      </c>
      <c r="BQ95">
        <v>0</v>
      </c>
      <c r="BR95">
        <v>1</v>
      </c>
      <c r="BS95">
        <v>0</v>
      </c>
      <c r="BT95" s="18">
        <v>0</v>
      </c>
      <c r="BU95">
        <v>0</v>
      </c>
      <c r="BV95">
        <v>0</v>
      </c>
      <c r="BW95">
        <v>0</v>
      </c>
      <c r="BX95" s="18">
        <v>1</v>
      </c>
      <c r="BY95">
        <v>0</v>
      </c>
      <c r="BZ95">
        <v>0</v>
      </c>
      <c r="CA95">
        <v>0</v>
      </c>
      <c r="CB95">
        <v>0</v>
      </c>
      <c r="CC95" s="18">
        <v>0</v>
      </c>
      <c r="CD95">
        <v>0</v>
      </c>
      <c r="CE95">
        <v>0</v>
      </c>
      <c r="CF95">
        <v>1</v>
      </c>
      <c r="CG95">
        <v>1</v>
      </c>
      <c r="CH95">
        <v>1</v>
      </c>
      <c r="CI95">
        <v>0</v>
      </c>
      <c r="CJ95">
        <v>1</v>
      </c>
      <c r="CK95">
        <v>0</v>
      </c>
      <c r="CL95">
        <v>0</v>
      </c>
      <c r="CM95">
        <v>1</v>
      </c>
      <c r="CN95" s="18">
        <v>0</v>
      </c>
      <c r="CO95">
        <v>0.14599999999999999</v>
      </c>
      <c r="CP95">
        <v>187</v>
      </c>
      <c r="CQ95">
        <v>1</v>
      </c>
      <c r="CR95">
        <v>0</v>
      </c>
      <c r="CS95">
        <v>10</v>
      </c>
      <c r="CY95" s="34"/>
    </row>
    <row r="96" spans="1:103" x14ac:dyDescent="0.25">
      <c r="A96">
        <v>95</v>
      </c>
      <c r="B96">
        <v>9</v>
      </c>
      <c r="C96" s="25" t="s">
        <v>4</v>
      </c>
      <c r="D96" s="12">
        <v>-1.1000000000000001</v>
      </c>
      <c r="E96" s="14">
        <v>0.4</v>
      </c>
      <c r="F96" s="7">
        <f t="shared" si="26"/>
        <v>-2.75</v>
      </c>
      <c r="G96" s="7">
        <f t="shared" si="18"/>
        <v>-1.5</v>
      </c>
      <c r="H96" s="16">
        <f t="shared" si="19"/>
        <v>-0.70000000000000007</v>
      </c>
      <c r="I96" s="11">
        <f t="shared" si="23"/>
        <v>-2.3185863094754445E-2</v>
      </c>
      <c r="J96" s="33">
        <f t="shared" si="24"/>
        <v>8.4312229435470724E-3</v>
      </c>
      <c r="K96" s="33">
        <f t="shared" si="25"/>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8"/>
        <v>0.45589999999999997</v>
      </c>
      <c r="AS96" t="s">
        <v>98</v>
      </c>
      <c r="AT96" s="40" t="s">
        <v>98</v>
      </c>
      <c r="AU96">
        <v>0</v>
      </c>
      <c r="AV96" s="18">
        <v>1</v>
      </c>
      <c r="AW96">
        <v>0.58699999999999997</v>
      </c>
      <c r="AX96" s="18">
        <f t="shared" si="27"/>
        <v>0.41300000000000003</v>
      </c>
      <c r="AY96" s="18" t="s">
        <v>3</v>
      </c>
      <c r="AZ96">
        <v>0</v>
      </c>
      <c r="BA96">
        <v>0</v>
      </c>
      <c r="BB96">
        <v>0</v>
      </c>
      <c r="BC96">
        <v>0</v>
      </c>
      <c r="BD96">
        <v>0</v>
      </c>
      <c r="BE96">
        <v>1</v>
      </c>
      <c r="BF96" s="18">
        <v>0</v>
      </c>
      <c r="BG96">
        <v>0</v>
      </c>
      <c r="BH96">
        <v>1</v>
      </c>
      <c r="BI96" s="18">
        <v>0</v>
      </c>
      <c r="BJ96">
        <v>538</v>
      </c>
      <c r="BK96">
        <v>46</v>
      </c>
      <c r="BL96" s="25">
        <v>42</v>
      </c>
      <c r="BM96">
        <v>0</v>
      </c>
      <c r="BN96">
        <v>0</v>
      </c>
      <c r="BO96">
        <v>0</v>
      </c>
      <c r="BP96">
        <v>0</v>
      </c>
      <c r="BQ96">
        <v>0</v>
      </c>
      <c r="BR96">
        <v>0</v>
      </c>
      <c r="BS96">
        <v>1</v>
      </c>
      <c r="BT96" s="18">
        <v>0</v>
      </c>
      <c r="BU96">
        <v>0</v>
      </c>
      <c r="BV96">
        <v>0</v>
      </c>
      <c r="BW96">
        <v>0</v>
      </c>
      <c r="BX96" s="18">
        <v>1</v>
      </c>
      <c r="BY96">
        <v>0</v>
      </c>
      <c r="BZ96">
        <v>0</v>
      </c>
      <c r="CA96">
        <v>0</v>
      </c>
      <c r="CB96">
        <v>0</v>
      </c>
      <c r="CC96" s="18">
        <v>0</v>
      </c>
      <c r="CD96">
        <v>0</v>
      </c>
      <c r="CE96">
        <v>0</v>
      </c>
      <c r="CF96">
        <v>1</v>
      </c>
      <c r="CG96">
        <v>1</v>
      </c>
      <c r="CH96">
        <v>1</v>
      </c>
      <c r="CI96">
        <v>0</v>
      </c>
      <c r="CJ96">
        <v>1</v>
      </c>
      <c r="CK96">
        <v>0</v>
      </c>
      <c r="CL96">
        <v>0</v>
      </c>
      <c r="CM96">
        <v>1</v>
      </c>
      <c r="CN96" s="18">
        <v>1</v>
      </c>
      <c r="CO96">
        <v>0.14599999999999999</v>
      </c>
      <c r="CP96">
        <v>187</v>
      </c>
      <c r="CQ96">
        <v>1</v>
      </c>
      <c r="CR96">
        <v>0</v>
      </c>
      <c r="CS96">
        <v>10</v>
      </c>
      <c r="CY96" s="34"/>
    </row>
    <row r="97" spans="1:103" x14ac:dyDescent="0.25">
      <c r="A97">
        <v>96</v>
      </c>
      <c r="B97">
        <v>9</v>
      </c>
      <c r="C97" s="25" t="s">
        <v>4</v>
      </c>
      <c r="D97" s="12">
        <v>6.2</v>
      </c>
      <c r="E97" s="14">
        <v>0.2</v>
      </c>
      <c r="F97" s="7">
        <f t="shared" si="26"/>
        <v>31</v>
      </c>
      <c r="G97" s="7">
        <f t="shared" si="18"/>
        <v>6</v>
      </c>
      <c r="H97" s="16">
        <f t="shared" si="19"/>
        <v>6.4</v>
      </c>
      <c r="I97" s="11">
        <f t="shared" si="23"/>
        <v>0.40655956227172746</v>
      </c>
      <c r="J97" s="33">
        <f t="shared" si="24"/>
        <v>1.3114824589410561E-2</v>
      </c>
      <c r="K97" s="33">
        <f t="shared" si="25"/>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7"/>
        <v>0.41300000000000003</v>
      </c>
      <c r="AY97" s="18" t="s">
        <v>3</v>
      </c>
      <c r="AZ97">
        <v>0</v>
      </c>
      <c r="BA97">
        <v>0</v>
      </c>
      <c r="BB97">
        <v>0</v>
      </c>
      <c r="BC97">
        <v>0</v>
      </c>
      <c r="BD97">
        <v>0</v>
      </c>
      <c r="BE97">
        <v>1</v>
      </c>
      <c r="BF97" s="18">
        <v>0</v>
      </c>
      <c r="BG97">
        <v>0</v>
      </c>
      <c r="BH97">
        <v>1</v>
      </c>
      <c r="BI97" s="18">
        <v>0</v>
      </c>
      <c r="BJ97">
        <v>538</v>
      </c>
      <c r="BK97">
        <v>46</v>
      </c>
      <c r="BL97" s="25">
        <v>42</v>
      </c>
      <c r="BM97">
        <v>1</v>
      </c>
      <c r="BN97">
        <v>0</v>
      </c>
      <c r="BO97">
        <v>0</v>
      </c>
      <c r="BP97">
        <v>0</v>
      </c>
      <c r="BQ97">
        <v>0</v>
      </c>
      <c r="BR97">
        <v>0</v>
      </c>
      <c r="BS97">
        <v>1</v>
      </c>
      <c r="BT97" s="18">
        <v>0</v>
      </c>
      <c r="BU97">
        <v>0</v>
      </c>
      <c r="BV97">
        <v>0</v>
      </c>
      <c r="BW97">
        <v>0</v>
      </c>
      <c r="BX97" s="18">
        <v>1</v>
      </c>
      <c r="BY97">
        <v>0</v>
      </c>
      <c r="BZ97">
        <v>0</v>
      </c>
      <c r="CA97">
        <v>0</v>
      </c>
      <c r="CB97">
        <v>0</v>
      </c>
      <c r="CC97" s="18">
        <v>0</v>
      </c>
      <c r="CD97">
        <v>0</v>
      </c>
      <c r="CE97">
        <v>0</v>
      </c>
      <c r="CF97">
        <v>1</v>
      </c>
      <c r="CG97">
        <v>1</v>
      </c>
      <c r="CH97">
        <v>1</v>
      </c>
      <c r="CI97">
        <v>0</v>
      </c>
      <c r="CJ97">
        <v>1</v>
      </c>
      <c r="CK97">
        <v>0</v>
      </c>
      <c r="CL97">
        <v>0</v>
      </c>
      <c r="CM97">
        <v>1</v>
      </c>
      <c r="CN97" s="18">
        <v>0</v>
      </c>
      <c r="CO97">
        <v>0.14599999999999999</v>
      </c>
      <c r="CP97">
        <v>187</v>
      </c>
      <c r="CQ97">
        <v>1</v>
      </c>
      <c r="CR97">
        <v>0</v>
      </c>
      <c r="CS97">
        <v>10</v>
      </c>
      <c r="CY97" s="34"/>
    </row>
    <row r="98" spans="1:103" x14ac:dyDescent="0.25">
      <c r="A98">
        <v>97</v>
      </c>
      <c r="B98">
        <v>9</v>
      </c>
      <c r="C98" s="25" t="s">
        <v>4</v>
      </c>
      <c r="D98" s="12">
        <v>13.2</v>
      </c>
      <c r="E98" s="14">
        <v>0.8</v>
      </c>
      <c r="F98" s="7">
        <f t="shared" si="26"/>
        <v>16.499999999999996</v>
      </c>
      <c r="G98" s="7">
        <f t="shared" si="18"/>
        <v>12.399999999999999</v>
      </c>
      <c r="H98" s="16">
        <f t="shared" si="19"/>
        <v>14</v>
      </c>
      <c r="I98" s="11">
        <f t="shared" si="23"/>
        <v>0.50318677540878542</v>
      </c>
      <c r="J98" s="33">
        <f t="shared" si="24"/>
        <v>3.0496168206593063E-2</v>
      </c>
      <c r="K98" s="33">
        <f t="shared" si="25"/>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7"/>
        <v>0.41300000000000003</v>
      </c>
      <c r="AY98" s="18" t="s">
        <v>3</v>
      </c>
      <c r="AZ98">
        <v>0</v>
      </c>
      <c r="BA98">
        <v>0</v>
      </c>
      <c r="BB98">
        <v>0</v>
      </c>
      <c r="BC98">
        <v>0</v>
      </c>
      <c r="BD98">
        <v>0</v>
      </c>
      <c r="BE98">
        <v>1</v>
      </c>
      <c r="BF98" s="18">
        <v>0</v>
      </c>
      <c r="BG98">
        <v>0</v>
      </c>
      <c r="BH98">
        <v>1</v>
      </c>
      <c r="BI98" s="18">
        <v>0</v>
      </c>
      <c r="BJ98">
        <v>538</v>
      </c>
      <c r="BK98">
        <v>46</v>
      </c>
      <c r="BL98" s="25">
        <v>42</v>
      </c>
      <c r="BM98">
        <v>1</v>
      </c>
      <c r="BN98">
        <v>0</v>
      </c>
      <c r="BO98">
        <v>0</v>
      </c>
      <c r="BP98">
        <v>0</v>
      </c>
      <c r="BQ98">
        <v>0</v>
      </c>
      <c r="BR98">
        <v>0</v>
      </c>
      <c r="BS98">
        <v>1</v>
      </c>
      <c r="BT98" s="18">
        <v>0</v>
      </c>
      <c r="BU98">
        <v>0</v>
      </c>
      <c r="BV98">
        <v>0</v>
      </c>
      <c r="BW98">
        <v>0</v>
      </c>
      <c r="BX98" s="18">
        <v>1</v>
      </c>
      <c r="BY98">
        <v>0</v>
      </c>
      <c r="BZ98">
        <v>0</v>
      </c>
      <c r="CA98">
        <v>0</v>
      </c>
      <c r="CB98">
        <v>0</v>
      </c>
      <c r="CC98" s="18">
        <v>0</v>
      </c>
      <c r="CD98">
        <v>0</v>
      </c>
      <c r="CE98">
        <v>0</v>
      </c>
      <c r="CF98">
        <v>1</v>
      </c>
      <c r="CG98">
        <v>1</v>
      </c>
      <c r="CH98">
        <v>1</v>
      </c>
      <c r="CI98">
        <v>0</v>
      </c>
      <c r="CJ98">
        <v>1</v>
      </c>
      <c r="CK98">
        <v>0</v>
      </c>
      <c r="CL98">
        <v>0</v>
      </c>
      <c r="CM98">
        <v>1</v>
      </c>
      <c r="CN98" s="18">
        <v>0</v>
      </c>
      <c r="CO98">
        <v>0.14599999999999999</v>
      </c>
      <c r="CP98">
        <v>187</v>
      </c>
      <c r="CQ98">
        <v>1</v>
      </c>
      <c r="CR98">
        <v>0</v>
      </c>
      <c r="CS98">
        <v>10</v>
      </c>
      <c r="CY98" s="34"/>
    </row>
    <row r="99" spans="1:103" s="51" customFormat="1" x14ac:dyDescent="0.25">
      <c r="A99">
        <v>98</v>
      </c>
      <c r="B99" s="51">
        <v>9</v>
      </c>
      <c r="C99" s="52" t="s">
        <v>4</v>
      </c>
      <c r="D99" s="53">
        <v>5.7</v>
      </c>
      <c r="E99" s="54">
        <v>0.3</v>
      </c>
      <c r="F99" s="55">
        <f t="shared" si="26"/>
        <v>19</v>
      </c>
      <c r="G99" s="55">
        <f t="shared" si="18"/>
        <v>5.4</v>
      </c>
      <c r="H99" s="56">
        <f t="shared" si="19"/>
        <v>6</v>
      </c>
      <c r="I99" s="11">
        <f t="shared" si="23"/>
        <v>0.25526937707771807</v>
      </c>
      <c r="J99" s="33">
        <f t="shared" si="24"/>
        <v>1.3435230372511476E-2</v>
      </c>
      <c r="K99" s="33">
        <f t="shared" si="25"/>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7"/>
        <v>0.41300000000000003</v>
      </c>
      <c r="AY99" s="65" t="s">
        <v>3</v>
      </c>
      <c r="AZ99">
        <v>0</v>
      </c>
      <c r="BA99">
        <v>0</v>
      </c>
      <c r="BB99">
        <v>0</v>
      </c>
      <c r="BC99">
        <v>0</v>
      </c>
      <c r="BD99">
        <v>0</v>
      </c>
      <c r="BE99">
        <v>1</v>
      </c>
      <c r="BF99" s="65">
        <v>0</v>
      </c>
      <c r="BG99">
        <v>0</v>
      </c>
      <c r="BH99">
        <v>1</v>
      </c>
      <c r="BI99" s="65">
        <v>0</v>
      </c>
      <c r="BJ99">
        <v>538</v>
      </c>
      <c r="BK99">
        <v>46</v>
      </c>
      <c r="BL99" s="52">
        <v>42</v>
      </c>
      <c r="BM99" s="51">
        <v>1</v>
      </c>
      <c r="BN99" s="51">
        <v>0</v>
      </c>
      <c r="BO99" s="51">
        <v>0</v>
      </c>
      <c r="BP99" s="51">
        <v>0</v>
      </c>
      <c r="BQ99" s="51">
        <v>0</v>
      </c>
      <c r="BR99" s="51">
        <v>0</v>
      </c>
      <c r="BS99" s="51">
        <v>1</v>
      </c>
      <c r="BT99" s="65">
        <v>0</v>
      </c>
      <c r="BU99" s="51">
        <v>0</v>
      </c>
      <c r="BV99" s="51">
        <v>0</v>
      </c>
      <c r="BW99" s="51">
        <v>0</v>
      </c>
      <c r="BX99" s="65">
        <v>1</v>
      </c>
      <c r="BY99" s="51">
        <v>0</v>
      </c>
      <c r="BZ99" s="51">
        <v>0</v>
      </c>
      <c r="CA99" s="51">
        <v>0</v>
      </c>
      <c r="CB99" s="51">
        <v>0</v>
      </c>
      <c r="CC99" s="65">
        <v>0</v>
      </c>
      <c r="CD99" s="51">
        <v>0</v>
      </c>
      <c r="CE99" s="51">
        <v>0</v>
      </c>
      <c r="CF99" s="51">
        <v>1</v>
      </c>
      <c r="CG99" s="51">
        <v>1</v>
      </c>
      <c r="CH99" s="51">
        <v>1</v>
      </c>
      <c r="CI99" s="51">
        <v>0</v>
      </c>
      <c r="CJ99" s="51">
        <v>1</v>
      </c>
      <c r="CK99" s="51">
        <v>0</v>
      </c>
      <c r="CL99" s="51">
        <v>0</v>
      </c>
      <c r="CM99" s="51">
        <v>1</v>
      </c>
      <c r="CN99" s="65">
        <v>0</v>
      </c>
      <c r="CO99">
        <v>0.14599999999999999</v>
      </c>
      <c r="CP99">
        <v>187</v>
      </c>
      <c r="CQ99">
        <v>1</v>
      </c>
      <c r="CR99">
        <v>0</v>
      </c>
      <c r="CS99">
        <v>10</v>
      </c>
      <c r="CT99" s="67"/>
      <c r="CY99" s="67"/>
    </row>
    <row r="100" spans="1:103" x14ac:dyDescent="0.25">
      <c r="A100">
        <v>99</v>
      </c>
      <c r="B100">
        <v>10</v>
      </c>
      <c r="C100" s="25" t="s">
        <v>22</v>
      </c>
      <c r="D100" s="12">
        <v>7.3</v>
      </c>
      <c r="E100" s="14">
        <f t="shared" ref="E100:E114" si="29">D100/F100</f>
        <v>1.1388455538221529</v>
      </c>
      <c r="F100" s="7">
        <v>6.41</v>
      </c>
      <c r="G100" s="7">
        <f t="shared" si="18"/>
        <v>6.1611544461778465</v>
      </c>
      <c r="H100" s="16">
        <f t="shared" si="19"/>
        <v>8.4388455538221532</v>
      </c>
      <c r="I100" s="11">
        <f t="shared" si="23"/>
        <v>0.38030453864855263</v>
      </c>
      <c r="J100" s="33">
        <f t="shared" si="24"/>
        <v>5.9329881224423182E-2</v>
      </c>
      <c r="K100" s="33">
        <f t="shared" si="25"/>
        <v>16.854913230272057</v>
      </c>
      <c r="L100" s="8">
        <v>0</v>
      </c>
      <c r="M100" s="9">
        <v>1</v>
      </c>
      <c r="N100" s="8">
        <v>0</v>
      </c>
      <c r="O100" s="9">
        <v>0</v>
      </c>
      <c r="P100" s="9">
        <v>1</v>
      </c>
      <c r="Q100" s="9">
        <v>0</v>
      </c>
      <c r="R100" s="9">
        <v>0</v>
      </c>
      <c r="S100" s="8">
        <v>250</v>
      </c>
      <c r="T100" s="9">
        <v>6</v>
      </c>
      <c r="U100" s="9">
        <f t="shared" si="20"/>
        <v>243</v>
      </c>
      <c r="V100" s="9">
        <f t="shared" si="21"/>
        <v>15</v>
      </c>
      <c r="W100" s="7">
        <v>8.9</v>
      </c>
      <c r="X100" s="7">
        <f t="shared" ref="X100:X120" si="30">BL100-W100-6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31">(1-$AK$100-$AN$100)/2</f>
        <v>0.16000000000000003</v>
      </c>
      <c r="AM100" s="33">
        <f t="shared" si="31"/>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v>0</v>
      </c>
      <c r="BF100" s="18">
        <v>0</v>
      </c>
      <c r="BG100">
        <v>0</v>
      </c>
      <c r="BH100">
        <v>1</v>
      </c>
      <c r="BI100" s="18">
        <v>0</v>
      </c>
      <c r="BJ100">
        <v>1105</v>
      </c>
      <c r="BK100">
        <v>269</v>
      </c>
      <c r="BL100" s="25">
        <v>27.3</v>
      </c>
      <c r="BM100">
        <v>1</v>
      </c>
      <c r="BN100">
        <v>0</v>
      </c>
      <c r="BO100">
        <v>0</v>
      </c>
      <c r="BP100">
        <v>0</v>
      </c>
      <c r="BQ100">
        <v>0</v>
      </c>
      <c r="BR100">
        <v>0</v>
      </c>
      <c r="BS100">
        <v>0</v>
      </c>
      <c r="BT100" s="18">
        <v>0</v>
      </c>
      <c r="BU100">
        <v>0</v>
      </c>
      <c r="BV100">
        <v>0</v>
      </c>
      <c r="BW100">
        <v>1</v>
      </c>
      <c r="BX100" s="18">
        <v>0</v>
      </c>
      <c r="BY100">
        <v>0</v>
      </c>
      <c r="BZ100">
        <v>0</v>
      </c>
      <c r="CA100">
        <v>0</v>
      </c>
      <c r="CB100">
        <v>0</v>
      </c>
      <c r="CC100" s="18">
        <v>0</v>
      </c>
      <c r="CD100">
        <v>1</v>
      </c>
      <c r="CE100">
        <v>1</v>
      </c>
      <c r="CF100">
        <v>0</v>
      </c>
      <c r="CG100">
        <v>0</v>
      </c>
      <c r="CH100">
        <v>0</v>
      </c>
      <c r="CI100">
        <v>0</v>
      </c>
      <c r="CJ100">
        <v>1</v>
      </c>
      <c r="CK100">
        <v>0</v>
      </c>
      <c r="CL100">
        <v>0</v>
      </c>
      <c r="CM100">
        <v>1</v>
      </c>
      <c r="CN100" s="18">
        <v>0</v>
      </c>
      <c r="CO100">
        <v>0</v>
      </c>
      <c r="CP100">
        <v>110</v>
      </c>
      <c r="CQ100">
        <v>0</v>
      </c>
      <c r="CR100">
        <v>1</v>
      </c>
      <c r="CS100">
        <v>2</v>
      </c>
      <c r="CY100" s="34"/>
    </row>
    <row r="101" spans="1:103" x14ac:dyDescent="0.25">
      <c r="A101">
        <v>100</v>
      </c>
      <c r="B101">
        <v>10</v>
      </c>
      <c r="C101" s="25" t="s">
        <v>22</v>
      </c>
      <c r="D101" s="12">
        <v>14.51</v>
      </c>
      <c r="E101" s="14">
        <f t="shared" si="29"/>
        <v>4.0530726256983236</v>
      </c>
      <c r="F101" s="7">
        <v>3.58</v>
      </c>
      <c r="G101" s="7">
        <f t="shared" si="18"/>
        <v>10.456927374301676</v>
      </c>
      <c r="H101" s="16">
        <f t="shared" si="19"/>
        <v>18.563072625698325</v>
      </c>
      <c r="I101" s="11">
        <f t="shared" si="23"/>
        <v>0.22383027853521564</v>
      </c>
      <c r="J101" s="33">
        <f t="shared" si="24"/>
        <v>6.2522424171847946E-2</v>
      </c>
      <c r="K101" s="33">
        <f t="shared" si="25"/>
        <v>15.994261470915124</v>
      </c>
      <c r="L101" s="8">
        <v>0</v>
      </c>
      <c r="M101" s="9">
        <v>1</v>
      </c>
      <c r="N101" s="8">
        <v>0</v>
      </c>
      <c r="O101" s="9">
        <v>0</v>
      </c>
      <c r="P101" s="9">
        <v>1</v>
      </c>
      <c r="Q101" s="9">
        <v>0</v>
      </c>
      <c r="R101" s="9">
        <v>0</v>
      </c>
      <c r="S101" s="8">
        <v>250</v>
      </c>
      <c r="T101" s="9">
        <v>6</v>
      </c>
      <c r="U101" s="9">
        <f t="shared" si="20"/>
        <v>243</v>
      </c>
      <c r="V101" s="9">
        <f t="shared" si="21"/>
        <v>15</v>
      </c>
      <c r="W101" s="7">
        <v>8.9</v>
      </c>
      <c r="X101" s="7">
        <f t="shared" si="30"/>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31"/>
        <v>0.16000000000000003</v>
      </c>
      <c r="AM101" s="33">
        <f t="shared" si="31"/>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v>0</v>
      </c>
      <c r="BF101" s="18">
        <v>0</v>
      </c>
      <c r="BG101">
        <v>0</v>
      </c>
      <c r="BH101">
        <v>1</v>
      </c>
      <c r="BI101" s="18">
        <v>0</v>
      </c>
      <c r="BJ101">
        <v>1105</v>
      </c>
      <c r="BK101">
        <v>269</v>
      </c>
      <c r="BL101" s="25">
        <v>28.3</v>
      </c>
      <c r="BM101">
        <v>0</v>
      </c>
      <c r="BN101">
        <v>0</v>
      </c>
      <c r="BO101">
        <v>0</v>
      </c>
      <c r="BP101">
        <v>0</v>
      </c>
      <c r="BQ101">
        <v>1</v>
      </c>
      <c r="BR101">
        <v>0</v>
      </c>
      <c r="BS101">
        <v>0</v>
      </c>
      <c r="BT101" s="18">
        <v>0</v>
      </c>
      <c r="BU101">
        <v>0</v>
      </c>
      <c r="BV101">
        <v>0</v>
      </c>
      <c r="BW101">
        <v>1</v>
      </c>
      <c r="BX101" s="18">
        <v>0</v>
      </c>
      <c r="BY101">
        <v>1</v>
      </c>
      <c r="BZ101">
        <v>1</v>
      </c>
      <c r="CA101">
        <v>0</v>
      </c>
      <c r="CB101">
        <v>0</v>
      </c>
      <c r="CC101" s="18">
        <v>1</v>
      </c>
      <c r="CD101">
        <v>1</v>
      </c>
      <c r="CE101">
        <v>1</v>
      </c>
      <c r="CF101">
        <v>0</v>
      </c>
      <c r="CG101">
        <v>0</v>
      </c>
      <c r="CH101">
        <v>0</v>
      </c>
      <c r="CI101">
        <v>0</v>
      </c>
      <c r="CJ101">
        <v>1</v>
      </c>
      <c r="CK101">
        <v>0</v>
      </c>
      <c r="CL101">
        <v>0</v>
      </c>
      <c r="CM101">
        <v>1</v>
      </c>
      <c r="CN101" s="18">
        <v>0</v>
      </c>
      <c r="CO101">
        <v>0</v>
      </c>
      <c r="CP101">
        <v>110</v>
      </c>
      <c r="CQ101">
        <v>0</v>
      </c>
      <c r="CR101">
        <v>1</v>
      </c>
      <c r="CS101">
        <v>2</v>
      </c>
      <c r="CY101" s="34"/>
    </row>
    <row r="102" spans="1:103" x14ac:dyDescent="0.25">
      <c r="A102">
        <v>101</v>
      </c>
      <c r="B102">
        <v>10</v>
      </c>
      <c r="C102" s="25" t="s">
        <v>22</v>
      </c>
      <c r="D102" s="12">
        <v>12.53</v>
      </c>
      <c r="E102" s="14">
        <f t="shared" si="29"/>
        <v>2.4377431906614788</v>
      </c>
      <c r="F102" s="7">
        <v>5.14</v>
      </c>
      <c r="G102" s="7">
        <f t="shared" si="18"/>
        <v>10.092256809338521</v>
      </c>
      <c r="H102" s="16">
        <f t="shared" si="19"/>
        <v>14.967743190661478</v>
      </c>
      <c r="I102" s="11">
        <f t="shared" si="23"/>
        <v>0.31314719471419267</v>
      </c>
      <c r="J102" s="33">
        <f t="shared" si="24"/>
        <v>6.0923578738169781E-2</v>
      </c>
      <c r="K102" s="33">
        <f t="shared" si="25"/>
        <v>16.414006214206207</v>
      </c>
      <c r="L102" s="8">
        <v>0</v>
      </c>
      <c r="M102" s="9">
        <v>1</v>
      </c>
      <c r="N102" s="8">
        <v>0</v>
      </c>
      <c r="O102" s="9">
        <v>0</v>
      </c>
      <c r="P102" s="9">
        <v>1</v>
      </c>
      <c r="Q102" s="9">
        <v>0</v>
      </c>
      <c r="R102" s="9">
        <v>0</v>
      </c>
      <c r="S102" s="8">
        <v>250</v>
      </c>
      <c r="T102" s="9">
        <v>6</v>
      </c>
      <c r="U102" s="9">
        <f t="shared" si="20"/>
        <v>243</v>
      </c>
      <c r="V102" s="9">
        <f t="shared" si="21"/>
        <v>15</v>
      </c>
      <c r="W102" s="7">
        <v>8.9</v>
      </c>
      <c r="X102" s="7">
        <f t="shared" si="30"/>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31"/>
        <v>0.16000000000000003</v>
      </c>
      <c r="AM102" s="33">
        <f t="shared" si="31"/>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v>0</v>
      </c>
      <c r="BF102" s="18">
        <v>0</v>
      </c>
      <c r="BG102">
        <v>0</v>
      </c>
      <c r="BH102">
        <v>1</v>
      </c>
      <c r="BI102" s="18">
        <v>0</v>
      </c>
      <c r="BJ102">
        <v>1105</v>
      </c>
      <c r="BK102">
        <v>269</v>
      </c>
      <c r="BL102" s="25">
        <v>29.3</v>
      </c>
      <c r="BM102">
        <v>0</v>
      </c>
      <c r="BN102">
        <v>0</v>
      </c>
      <c r="BO102">
        <v>0</v>
      </c>
      <c r="BP102">
        <v>0</v>
      </c>
      <c r="BQ102">
        <v>1</v>
      </c>
      <c r="BR102">
        <v>0</v>
      </c>
      <c r="BS102">
        <v>0</v>
      </c>
      <c r="BT102" s="18">
        <v>0</v>
      </c>
      <c r="BU102">
        <v>0</v>
      </c>
      <c r="BV102">
        <v>0</v>
      </c>
      <c r="BW102">
        <v>1</v>
      </c>
      <c r="BX102" s="18">
        <v>0</v>
      </c>
      <c r="BY102">
        <v>1</v>
      </c>
      <c r="BZ102">
        <v>1</v>
      </c>
      <c r="CA102">
        <v>0</v>
      </c>
      <c r="CB102">
        <v>0</v>
      </c>
      <c r="CC102" s="18">
        <v>1</v>
      </c>
      <c r="CD102">
        <v>1</v>
      </c>
      <c r="CE102">
        <v>1</v>
      </c>
      <c r="CF102">
        <v>0</v>
      </c>
      <c r="CG102">
        <v>0</v>
      </c>
      <c r="CH102">
        <v>0</v>
      </c>
      <c r="CI102">
        <v>0</v>
      </c>
      <c r="CJ102">
        <v>1</v>
      </c>
      <c r="CK102">
        <v>0</v>
      </c>
      <c r="CL102">
        <v>0</v>
      </c>
      <c r="CM102">
        <v>1</v>
      </c>
      <c r="CN102" s="18">
        <v>0</v>
      </c>
      <c r="CO102">
        <v>0</v>
      </c>
      <c r="CP102">
        <v>110</v>
      </c>
      <c r="CQ102">
        <v>0</v>
      </c>
      <c r="CR102">
        <v>1</v>
      </c>
      <c r="CS102">
        <v>2</v>
      </c>
      <c r="CY102" s="34"/>
    </row>
    <row r="103" spans="1:103" x14ac:dyDescent="0.25">
      <c r="A103">
        <v>102</v>
      </c>
      <c r="B103">
        <v>10</v>
      </c>
      <c r="C103" s="25" t="s">
        <v>22</v>
      </c>
      <c r="D103" s="12">
        <v>12.33</v>
      </c>
      <c r="E103" s="14">
        <f t="shared" si="29"/>
        <v>2.1113013698630136</v>
      </c>
      <c r="F103" s="7">
        <v>5.84</v>
      </c>
      <c r="G103" s="7">
        <f t="shared" si="18"/>
        <v>10.218698630136986</v>
      </c>
      <c r="H103" s="16">
        <f t="shared" si="19"/>
        <v>14.441301369863014</v>
      </c>
      <c r="I103" s="11">
        <f t="shared" si="23"/>
        <v>0.35082472695207928</v>
      </c>
      <c r="J103" s="33">
        <f t="shared" si="24"/>
        <v>6.0072727217821795E-2</v>
      </c>
      <c r="K103" s="33">
        <f t="shared" si="25"/>
        <v>16.646489119330838</v>
      </c>
      <c r="L103" s="8">
        <v>0</v>
      </c>
      <c r="M103" s="9">
        <v>1</v>
      </c>
      <c r="N103" s="8">
        <v>0</v>
      </c>
      <c r="O103" s="9">
        <v>0</v>
      </c>
      <c r="P103" s="9">
        <v>1</v>
      </c>
      <c r="Q103" s="9">
        <v>0</v>
      </c>
      <c r="R103" s="9">
        <v>0</v>
      </c>
      <c r="S103" s="8">
        <v>250</v>
      </c>
      <c r="T103" s="9">
        <v>6</v>
      </c>
      <c r="U103" s="9">
        <f t="shared" si="20"/>
        <v>243</v>
      </c>
      <c r="V103" s="9">
        <f t="shared" si="21"/>
        <v>15</v>
      </c>
      <c r="W103" s="7">
        <v>8.9</v>
      </c>
      <c r="X103" s="7">
        <f t="shared" si="30"/>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31"/>
        <v>0.16000000000000003</v>
      </c>
      <c r="AM103" s="33">
        <f t="shared" si="31"/>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v>0</v>
      </c>
      <c r="BF103" s="18">
        <v>0</v>
      </c>
      <c r="BG103">
        <v>0</v>
      </c>
      <c r="BH103">
        <v>1</v>
      </c>
      <c r="BI103" s="18">
        <v>0</v>
      </c>
      <c r="BJ103">
        <v>1105</v>
      </c>
      <c r="BK103">
        <v>269</v>
      </c>
      <c r="BL103" s="25">
        <v>30.3</v>
      </c>
      <c r="BM103">
        <v>0</v>
      </c>
      <c r="BN103">
        <v>0</v>
      </c>
      <c r="BO103">
        <v>0</v>
      </c>
      <c r="BP103">
        <v>0</v>
      </c>
      <c r="BQ103">
        <v>1</v>
      </c>
      <c r="BR103">
        <v>0</v>
      </c>
      <c r="BS103">
        <v>0</v>
      </c>
      <c r="BT103" s="18">
        <v>0</v>
      </c>
      <c r="BU103">
        <v>0</v>
      </c>
      <c r="BV103">
        <v>0</v>
      </c>
      <c r="BW103">
        <v>1</v>
      </c>
      <c r="BX103" s="18">
        <v>0</v>
      </c>
      <c r="BY103">
        <v>1</v>
      </c>
      <c r="BZ103">
        <v>1</v>
      </c>
      <c r="CA103">
        <v>0</v>
      </c>
      <c r="CB103">
        <v>0</v>
      </c>
      <c r="CC103" s="18">
        <v>1</v>
      </c>
      <c r="CD103">
        <v>1</v>
      </c>
      <c r="CE103">
        <v>1</v>
      </c>
      <c r="CF103">
        <v>0</v>
      </c>
      <c r="CG103">
        <v>0</v>
      </c>
      <c r="CH103">
        <v>0</v>
      </c>
      <c r="CI103">
        <v>0</v>
      </c>
      <c r="CJ103">
        <v>1</v>
      </c>
      <c r="CK103">
        <v>0</v>
      </c>
      <c r="CL103">
        <v>0</v>
      </c>
      <c r="CM103">
        <v>1</v>
      </c>
      <c r="CN103" s="18">
        <v>0</v>
      </c>
      <c r="CO103">
        <v>0</v>
      </c>
      <c r="CP103">
        <v>110</v>
      </c>
      <c r="CQ103">
        <v>0</v>
      </c>
      <c r="CR103">
        <v>1</v>
      </c>
      <c r="CS103">
        <v>2</v>
      </c>
      <c r="CY103" s="34"/>
    </row>
    <row r="104" spans="1:103" x14ac:dyDescent="0.25">
      <c r="A104">
        <v>103</v>
      </c>
      <c r="B104">
        <v>10</v>
      </c>
      <c r="C104" s="25" t="s">
        <v>22</v>
      </c>
      <c r="D104" s="12">
        <v>6.54</v>
      </c>
      <c r="E104" s="14">
        <f t="shared" si="29"/>
        <v>0.55897435897435899</v>
      </c>
      <c r="F104" s="7">
        <v>11.7</v>
      </c>
      <c r="G104" s="7">
        <f t="shared" si="18"/>
        <v>5.9810256410256413</v>
      </c>
      <c r="H104" s="16">
        <f t="shared" si="19"/>
        <v>7.0989743589743588</v>
      </c>
      <c r="I104" s="11">
        <f t="shared" si="23"/>
        <v>0.60107586511526123</v>
      </c>
      <c r="J104" s="33">
        <f t="shared" si="24"/>
        <v>5.1374005565406944E-2</v>
      </c>
      <c r="K104" s="33">
        <f t="shared" si="25"/>
        <v>19.465096968677038</v>
      </c>
      <c r="L104" s="8">
        <v>0</v>
      </c>
      <c r="M104" s="9">
        <v>1</v>
      </c>
      <c r="N104" s="8">
        <v>0</v>
      </c>
      <c r="O104" s="9">
        <v>0</v>
      </c>
      <c r="P104" s="9">
        <v>1</v>
      </c>
      <c r="Q104" s="9">
        <v>0</v>
      </c>
      <c r="R104" s="9">
        <v>0</v>
      </c>
      <c r="S104" s="8">
        <v>250</v>
      </c>
      <c r="T104" s="9">
        <v>7</v>
      </c>
      <c r="U104" s="9">
        <f t="shared" si="20"/>
        <v>242</v>
      </c>
      <c r="V104" s="9">
        <f t="shared" si="21"/>
        <v>15</v>
      </c>
      <c r="W104" s="7">
        <v>8.9</v>
      </c>
      <c r="X104" s="7">
        <f t="shared" si="30"/>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31"/>
        <v>0.16000000000000003</v>
      </c>
      <c r="AM104" s="33">
        <f t="shared" si="31"/>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v>0</v>
      </c>
      <c r="BF104" s="18">
        <v>0</v>
      </c>
      <c r="BG104">
        <v>0</v>
      </c>
      <c r="BH104">
        <v>1</v>
      </c>
      <c r="BI104" s="18">
        <v>0</v>
      </c>
      <c r="BJ104">
        <v>1105</v>
      </c>
      <c r="BK104">
        <v>269</v>
      </c>
      <c r="BL104" s="25">
        <v>31.3</v>
      </c>
      <c r="BM104">
        <v>1</v>
      </c>
      <c r="BN104">
        <v>0</v>
      </c>
      <c r="BO104">
        <v>0</v>
      </c>
      <c r="BP104">
        <v>0</v>
      </c>
      <c r="BQ104">
        <v>1</v>
      </c>
      <c r="BR104">
        <v>0</v>
      </c>
      <c r="BS104">
        <v>0</v>
      </c>
      <c r="BT104" s="18">
        <v>0</v>
      </c>
      <c r="BU104">
        <v>0</v>
      </c>
      <c r="BV104">
        <v>0</v>
      </c>
      <c r="BW104">
        <v>1</v>
      </c>
      <c r="BX104" s="18">
        <v>0</v>
      </c>
      <c r="BY104">
        <v>0</v>
      </c>
      <c r="BZ104">
        <v>0</v>
      </c>
      <c r="CA104">
        <v>0</v>
      </c>
      <c r="CB104">
        <v>0</v>
      </c>
      <c r="CC104" s="18">
        <v>0</v>
      </c>
      <c r="CD104">
        <v>1</v>
      </c>
      <c r="CE104">
        <v>1</v>
      </c>
      <c r="CF104">
        <v>0</v>
      </c>
      <c r="CG104">
        <v>0</v>
      </c>
      <c r="CH104">
        <v>0</v>
      </c>
      <c r="CI104">
        <v>0</v>
      </c>
      <c r="CJ104">
        <v>1</v>
      </c>
      <c r="CK104">
        <v>0</v>
      </c>
      <c r="CL104">
        <v>0</v>
      </c>
      <c r="CM104">
        <v>1</v>
      </c>
      <c r="CN104" s="18">
        <v>1</v>
      </c>
      <c r="CO104">
        <v>0</v>
      </c>
      <c r="CP104">
        <v>110</v>
      </c>
      <c r="CQ104">
        <v>0</v>
      </c>
      <c r="CR104">
        <v>1</v>
      </c>
      <c r="CS104">
        <v>2</v>
      </c>
      <c r="CY104" s="34"/>
    </row>
    <row r="105" spans="1:103" x14ac:dyDescent="0.25">
      <c r="A105">
        <v>104</v>
      </c>
      <c r="B105">
        <v>10</v>
      </c>
      <c r="C105" s="25" t="s">
        <v>22</v>
      </c>
      <c r="D105" s="12">
        <v>12.58</v>
      </c>
      <c r="E105" s="14">
        <f t="shared" si="29"/>
        <v>3.981012658227848</v>
      </c>
      <c r="F105" s="7">
        <v>3.16</v>
      </c>
      <c r="G105" s="7">
        <f t="shared" si="18"/>
        <v>8.5989873417721512</v>
      </c>
      <c r="H105" s="16">
        <f t="shared" si="19"/>
        <v>16.561012658227849</v>
      </c>
      <c r="I105" s="11">
        <f t="shared" si="23"/>
        <v>0.19906697682735652</v>
      </c>
      <c r="J105" s="33">
        <f t="shared" si="24"/>
        <v>6.2995878742834341E-2</v>
      </c>
      <c r="K105" s="33">
        <f t="shared" si="25"/>
        <v>15.874054302540356</v>
      </c>
      <c r="L105" s="8">
        <v>0</v>
      </c>
      <c r="M105" s="9">
        <v>1</v>
      </c>
      <c r="N105" s="8">
        <v>0</v>
      </c>
      <c r="O105" s="9">
        <v>0</v>
      </c>
      <c r="P105" s="9">
        <v>1</v>
      </c>
      <c r="Q105" s="9">
        <v>0</v>
      </c>
      <c r="R105" s="9">
        <v>0</v>
      </c>
      <c r="S105" s="8">
        <v>250</v>
      </c>
      <c r="T105" s="9">
        <v>7</v>
      </c>
      <c r="U105" s="9">
        <f t="shared" si="20"/>
        <v>242</v>
      </c>
      <c r="V105" s="9">
        <f t="shared" si="21"/>
        <v>15</v>
      </c>
      <c r="W105" s="7">
        <v>8.9</v>
      </c>
      <c r="X105" s="7">
        <f t="shared" si="30"/>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31"/>
        <v>0.16000000000000003</v>
      </c>
      <c r="AM105" s="33">
        <f t="shared" si="31"/>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v>0</v>
      </c>
      <c r="BF105" s="18">
        <v>0</v>
      </c>
      <c r="BG105">
        <v>0</v>
      </c>
      <c r="BH105">
        <v>1</v>
      </c>
      <c r="BI105" s="18">
        <v>0</v>
      </c>
      <c r="BJ105">
        <v>1105</v>
      </c>
      <c r="BK105">
        <v>269</v>
      </c>
      <c r="BL105" s="25">
        <v>32.299999999999997</v>
      </c>
      <c r="BM105">
        <v>1</v>
      </c>
      <c r="BN105">
        <v>0</v>
      </c>
      <c r="BO105">
        <v>0</v>
      </c>
      <c r="BP105">
        <v>0</v>
      </c>
      <c r="BQ105">
        <v>0</v>
      </c>
      <c r="BR105">
        <v>0</v>
      </c>
      <c r="BS105">
        <v>0</v>
      </c>
      <c r="BT105" s="18">
        <v>0</v>
      </c>
      <c r="BU105">
        <v>0</v>
      </c>
      <c r="BV105">
        <v>0</v>
      </c>
      <c r="BW105">
        <v>1</v>
      </c>
      <c r="BX105" s="18">
        <v>0</v>
      </c>
      <c r="BY105">
        <v>1</v>
      </c>
      <c r="BZ105">
        <v>1</v>
      </c>
      <c r="CA105">
        <v>0</v>
      </c>
      <c r="CB105">
        <v>0</v>
      </c>
      <c r="CC105" s="18">
        <v>1</v>
      </c>
      <c r="CD105">
        <v>1</v>
      </c>
      <c r="CE105">
        <v>1</v>
      </c>
      <c r="CF105">
        <v>0</v>
      </c>
      <c r="CG105">
        <v>0</v>
      </c>
      <c r="CH105">
        <v>0</v>
      </c>
      <c r="CI105">
        <v>0</v>
      </c>
      <c r="CJ105">
        <v>1</v>
      </c>
      <c r="CK105">
        <v>0</v>
      </c>
      <c r="CL105">
        <v>0</v>
      </c>
      <c r="CM105">
        <v>1</v>
      </c>
      <c r="CN105" s="18">
        <v>1</v>
      </c>
      <c r="CO105">
        <v>0</v>
      </c>
      <c r="CP105">
        <v>110</v>
      </c>
      <c r="CQ105">
        <v>0</v>
      </c>
      <c r="CR105">
        <v>1</v>
      </c>
      <c r="CS105">
        <v>2</v>
      </c>
      <c r="CY105" s="34"/>
    </row>
    <row r="106" spans="1:103" x14ac:dyDescent="0.25">
      <c r="A106">
        <v>105</v>
      </c>
      <c r="B106">
        <v>10</v>
      </c>
      <c r="C106" s="25" t="s">
        <v>22</v>
      </c>
      <c r="D106" s="12">
        <v>10</v>
      </c>
      <c r="E106" s="14">
        <f t="shared" si="29"/>
        <v>2.9325513196480939</v>
      </c>
      <c r="F106" s="7">
        <v>3.41</v>
      </c>
      <c r="G106" s="7">
        <f t="shared" si="18"/>
        <v>7.0674486803519061</v>
      </c>
      <c r="H106" s="16">
        <f t="shared" si="19"/>
        <v>12.932551319648095</v>
      </c>
      <c r="I106" s="11">
        <f t="shared" si="23"/>
        <v>0.21411924080287578</v>
      </c>
      <c r="J106" s="33">
        <f t="shared" si="24"/>
        <v>6.2791566217852132E-2</v>
      </c>
      <c r="K106" s="33">
        <f t="shared" si="25"/>
        <v>15.925705635858025</v>
      </c>
      <c r="L106" s="8">
        <v>0</v>
      </c>
      <c r="M106" s="9">
        <v>1</v>
      </c>
      <c r="N106" s="8">
        <v>0</v>
      </c>
      <c r="O106" s="9">
        <v>0</v>
      </c>
      <c r="P106" s="9">
        <v>1</v>
      </c>
      <c r="Q106" s="9">
        <v>0</v>
      </c>
      <c r="R106" s="9">
        <v>0</v>
      </c>
      <c r="S106" s="8">
        <v>250</v>
      </c>
      <c r="T106" s="9">
        <v>7</v>
      </c>
      <c r="U106" s="9">
        <f t="shared" si="20"/>
        <v>242</v>
      </c>
      <c r="V106" s="9">
        <f t="shared" si="21"/>
        <v>15</v>
      </c>
      <c r="W106" s="7">
        <v>8.9</v>
      </c>
      <c r="X106" s="7">
        <f t="shared" si="30"/>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31"/>
        <v>0.16000000000000003</v>
      </c>
      <c r="AM106" s="33">
        <f t="shared" si="31"/>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v>0</v>
      </c>
      <c r="BF106" s="18">
        <v>0</v>
      </c>
      <c r="BG106">
        <v>0</v>
      </c>
      <c r="BH106">
        <v>1</v>
      </c>
      <c r="BI106" s="18">
        <v>0</v>
      </c>
      <c r="BJ106">
        <v>1105</v>
      </c>
      <c r="BK106">
        <v>269</v>
      </c>
      <c r="BL106" s="25">
        <v>33.299999999999997</v>
      </c>
      <c r="BM106">
        <v>1</v>
      </c>
      <c r="BN106">
        <v>0</v>
      </c>
      <c r="BO106">
        <v>0</v>
      </c>
      <c r="BP106">
        <v>0</v>
      </c>
      <c r="BQ106">
        <v>0</v>
      </c>
      <c r="BR106">
        <v>0</v>
      </c>
      <c r="BS106">
        <v>0</v>
      </c>
      <c r="BT106" s="18">
        <v>0</v>
      </c>
      <c r="BU106">
        <v>0</v>
      </c>
      <c r="BV106">
        <v>0</v>
      </c>
      <c r="BW106">
        <v>1</v>
      </c>
      <c r="BX106" s="18">
        <v>0</v>
      </c>
      <c r="BY106">
        <v>1</v>
      </c>
      <c r="BZ106">
        <v>1</v>
      </c>
      <c r="CA106">
        <v>0</v>
      </c>
      <c r="CB106">
        <v>0</v>
      </c>
      <c r="CC106" s="18">
        <v>1</v>
      </c>
      <c r="CD106">
        <v>1</v>
      </c>
      <c r="CE106">
        <v>1</v>
      </c>
      <c r="CF106">
        <v>0</v>
      </c>
      <c r="CG106">
        <v>0</v>
      </c>
      <c r="CH106">
        <v>0</v>
      </c>
      <c r="CI106">
        <v>0</v>
      </c>
      <c r="CJ106">
        <v>1</v>
      </c>
      <c r="CK106">
        <v>0</v>
      </c>
      <c r="CL106">
        <v>0</v>
      </c>
      <c r="CM106">
        <v>1</v>
      </c>
      <c r="CN106" s="18">
        <v>1</v>
      </c>
      <c r="CO106">
        <v>0</v>
      </c>
      <c r="CP106">
        <v>110</v>
      </c>
      <c r="CQ106">
        <v>0</v>
      </c>
      <c r="CR106">
        <v>1</v>
      </c>
      <c r="CS106">
        <v>2</v>
      </c>
      <c r="CY106" s="34"/>
    </row>
    <row r="107" spans="1:103" x14ac:dyDescent="0.25">
      <c r="A107">
        <v>106</v>
      </c>
      <c r="B107">
        <v>10</v>
      </c>
      <c r="C107" s="25" t="s">
        <v>22</v>
      </c>
      <c r="D107" s="12">
        <v>11.13</v>
      </c>
      <c r="E107" s="14">
        <f t="shared" si="29"/>
        <v>1.6153846153846156</v>
      </c>
      <c r="F107" s="7">
        <v>6.89</v>
      </c>
      <c r="G107" s="7">
        <f t="shared" si="18"/>
        <v>9.5146153846153858</v>
      </c>
      <c r="H107" s="16">
        <f t="shared" si="19"/>
        <v>12.745384615384616</v>
      </c>
      <c r="I107" s="11">
        <f t="shared" si="23"/>
        <v>0.40496348573045571</v>
      </c>
      <c r="J107" s="33">
        <f t="shared" si="24"/>
        <v>5.8775542196002291E-2</v>
      </c>
      <c r="K107" s="33">
        <f t="shared" si="25"/>
        <v>17.013879628115394</v>
      </c>
      <c r="L107" s="8">
        <v>0</v>
      </c>
      <c r="M107" s="9">
        <v>1</v>
      </c>
      <c r="N107" s="8">
        <v>0</v>
      </c>
      <c r="O107" s="9">
        <v>0</v>
      </c>
      <c r="P107" s="9">
        <v>1</v>
      </c>
      <c r="Q107" s="9">
        <v>0</v>
      </c>
      <c r="R107" s="9">
        <v>0</v>
      </c>
      <c r="S107" s="8">
        <v>250</v>
      </c>
      <c r="T107" s="9">
        <v>7</v>
      </c>
      <c r="U107" s="9">
        <f t="shared" si="20"/>
        <v>242</v>
      </c>
      <c r="V107" s="9">
        <f t="shared" si="21"/>
        <v>15</v>
      </c>
      <c r="W107" s="7">
        <v>8.9</v>
      </c>
      <c r="X107" s="7">
        <f t="shared" si="30"/>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31"/>
        <v>0.16000000000000003</v>
      </c>
      <c r="AM107" s="33">
        <f t="shared" si="31"/>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v>0</v>
      </c>
      <c r="BF107" s="18">
        <v>0</v>
      </c>
      <c r="BG107">
        <v>0</v>
      </c>
      <c r="BH107">
        <v>1</v>
      </c>
      <c r="BI107" s="18">
        <v>0</v>
      </c>
      <c r="BJ107">
        <v>1105</v>
      </c>
      <c r="BK107">
        <v>269</v>
      </c>
      <c r="BL107" s="25">
        <v>34.299999999999997</v>
      </c>
      <c r="BM107">
        <v>1</v>
      </c>
      <c r="BN107">
        <v>0</v>
      </c>
      <c r="BO107">
        <v>0</v>
      </c>
      <c r="BP107">
        <v>0</v>
      </c>
      <c r="BQ107">
        <v>0</v>
      </c>
      <c r="BR107">
        <v>0</v>
      </c>
      <c r="BS107">
        <v>0</v>
      </c>
      <c r="BT107" s="18">
        <v>0</v>
      </c>
      <c r="BU107">
        <v>0</v>
      </c>
      <c r="BV107">
        <v>0</v>
      </c>
      <c r="BW107">
        <v>1</v>
      </c>
      <c r="BX107" s="18">
        <v>0</v>
      </c>
      <c r="BY107">
        <v>1</v>
      </c>
      <c r="BZ107">
        <v>1</v>
      </c>
      <c r="CA107">
        <v>0</v>
      </c>
      <c r="CB107">
        <v>0</v>
      </c>
      <c r="CC107" s="18">
        <v>1</v>
      </c>
      <c r="CD107">
        <v>1</v>
      </c>
      <c r="CE107">
        <v>1</v>
      </c>
      <c r="CF107">
        <v>0</v>
      </c>
      <c r="CG107">
        <v>0</v>
      </c>
      <c r="CH107">
        <v>0</v>
      </c>
      <c r="CI107">
        <v>0</v>
      </c>
      <c r="CJ107">
        <v>1</v>
      </c>
      <c r="CK107">
        <v>0</v>
      </c>
      <c r="CL107">
        <v>0</v>
      </c>
      <c r="CM107">
        <v>1</v>
      </c>
      <c r="CN107" s="18">
        <v>1</v>
      </c>
      <c r="CO107">
        <v>0</v>
      </c>
      <c r="CP107">
        <v>110</v>
      </c>
      <c r="CQ107">
        <v>0</v>
      </c>
      <c r="CR107">
        <v>1</v>
      </c>
      <c r="CS107">
        <v>2</v>
      </c>
      <c r="CY107" s="34"/>
    </row>
    <row r="108" spans="1:103" x14ac:dyDescent="0.25">
      <c r="A108">
        <v>107</v>
      </c>
      <c r="B108">
        <v>10</v>
      </c>
      <c r="C108" s="25" t="s">
        <v>22</v>
      </c>
      <c r="D108" s="12">
        <v>6.03</v>
      </c>
      <c r="E108" s="14">
        <f t="shared" si="29"/>
        <v>1.7179487179487181</v>
      </c>
      <c r="F108" s="7">
        <v>3.51</v>
      </c>
      <c r="G108" s="7">
        <f t="shared" si="18"/>
        <v>4.3120512820512822</v>
      </c>
      <c r="H108" s="16">
        <f t="shared" si="19"/>
        <v>7.7479487179487183</v>
      </c>
      <c r="I108" s="11">
        <f t="shared" si="23"/>
        <v>0.29631059031872276</v>
      </c>
      <c r="J108" s="33">
        <f t="shared" si="24"/>
        <v>8.441897160077573E-2</v>
      </c>
      <c r="K108" s="33">
        <f t="shared" si="25"/>
        <v>11.845678536918008</v>
      </c>
      <c r="L108" s="8">
        <v>0</v>
      </c>
      <c r="M108" s="9">
        <v>1</v>
      </c>
      <c r="N108" s="8">
        <v>0</v>
      </c>
      <c r="O108" s="9">
        <v>0</v>
      </c>
      <c r="P108" s="9">
        <v>1</v>
      </c>
      <c r="Q108" s="9">
        <v>0</v>
      </c>
      <c r="R108" s="9">
        <v>0</v>
      </c>
      <c r="S108" s="8">
        <v>135</v>
      </c>
      <c r="T108" s="9">
        <v>6</v>
      </c>
      <c r="U108" s="9">
        <f t="shared" si="20"/>
        <v>128</v>
      </c>
      <c r="V108" s="9">
        <f t="shared" si="21"/>
        <v>15</v>
      </c>
      <c r="W108" s="7">
        <v>8.9</v>
      </c>
      <c r="X108" s="7">
        <f t="shared" si="30"/>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31"/>
        <v>0.16000000000000003</v>
      </c>
      <c r="AM108" s="33">
        <f t="shared" si="31"/>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v>0</v>
      </c>
      <c r="BF108" s="18">
        <v>0</v>
      </c>
      <c r="BG108">
        <v>0</v>
      </c>
      <c r="BH108">
        <v>1</v>
      </c>
      <c r="BI108" s="18">
        <v>0</v>
      </c>
      <c r="BJ108">
        <v>1105</v>
      </c>
      <c r="BK108">
        <v>269</v>
      </c>
      <c r="BL108" s="25">
        <v>35.299999999999997</v>
      </c>
      <c r="BM108">
        <v>1</v>
      </c>
      <c r="BN108">
        <v>0</v>
      </c>
      <c r="BO108">
        <v>0</v>
      </c>
      <c r="BP108">
        <v>0</v>
      </c>
      <c r="BQ108">
        <v>0</v>
      </c>
      <c r="BR108">
        <v>0</v>
      </c>
      <c r="BS108">
        <v>0</v>
      </c>
      <c r="BT108" s="18">
        <v>0</v>
      </c>
      <c r="BU108">
        <v>0</v>
      </c>
      <c r="BV108">
        <v>0</v>
      </c>
      <c r="BW108">
        <v>1</v>
      </c>
      <c r="BX108" s="18">
        <v>0</v>
      </c>
      <c r="BY108">
        <v>0</v>
      </c>
      <c r="BZ108">
        <v>0</v>
      </c>
      <c r="CA108">
        <v>0</v>
      </c>
      <c r="CB108">
        <v>0</v>
      </c>
      <c r="CC108" s="18">
        <v>0</v>
      </c>
      <c r="CD108">
        <v>1</v>
      </c>
      <c r="CE108">
        <v>1</v>
      </c>
      <c r="CF108">
        <v>0</v>
      </c>
      <c r="CG108">
        <v>0</v>
      </c>
      <c r="CH108">
        <v>0</v>
      </c>
      <c r="CI108">
        <v>0</v>
      </c>
      <c r="CJ108">
        <v>1</v>
      </c>
      <c r="CK108">
        <v>0</v>
      </c>
      <c r="CL108">
        <v>0</v>
      </c>
      <c r="CM108">
        <v>1</v>
      </c>
      <c r="CN108" s="18">
        <v>0</v>
      </c>
      <c r="CO108">
        <v>0</v>
      </c>
      <c r="CP108">
        <v>110</v>
      </c>
      <c r="CQ108">
        <v>0</v>
      </c>
      <c r="CR108">
        <v>1</v>
      </c>
      <c r="CS108">
        <v>2</v>
      </c>
      <c r="CY108" s="34"/>
    </row>
    <row r="109" spans="1:103" x14ac:dyDescent="0.25">
      <c r="A109">
        <v>108</v>
      </c>
      <c r="B109">
        <v>10</v>
      </c>
      <c r="C109" s="25" t="s">
        <v>22</v>
      </c>
      <c r="D109" s="12">
        <v>6.26</v>
      </c>
      <c r="E109" s="14">
        <f t="shared" si="29"/>
        <v>1.68733153638814</v>
      </c>
      <c r="F109" s="7">
        <v>3.71</v>
      </c>
      <c r="G109" s="7">
        <f t="shared" si="18"/>
        <v>4.5726684636118602</v>
      </c>
      <c r="H109" s="16">
        <f t="shared" si="19"/>
        <v>7.9473315363881394</v>
      </c>
      <c r="I109" s="11">
        <f t="shared" si="23"/>
        <v>0.31270005357381991</v>
      </c>
      <c r="J109" s="33">
        <f t="shared" si="24"/>
        <v>8.4285728726097006E-2</v>
      </c>
      <c r="K109" s="33">
        <f t="shared" si="25"/>
        <v>11.864404746973191</v>
      </c>
      <c r="L109" s="8">
        <v>0</v>
      </c>
      <c r="M109" s="9">
        <v>1</v>
      </c>
      <c r="N109" s="8">
        <v>0</v>
      </c>
      <c r="O109" s="9">
        <v>0</v>
      </c>
      <c r="P109" s="9">
        <v>1</v>
      </c>
      <c r="Q109" s="9">
        <v>0</v>
      </c>
      <c r="R109" s="9">
        <v>0</v>
      </c>
      <c r="S109" s="8">
        <v>135</v>
      </c>
      <c r="T109" s="9">
        <v>7</v>
      </c>
      <c r="U109" s="9">
        <f t="shared" si="20"/>
        <v>127</v>
      </c>
      <c r="V109" s="9">
        <f t="shared" si="21"/>
        <v>15</v>
      </c>
      <c r="W109" s="7">
        <v>8.9</v>
      </c>
      <c r="X109" s="7">
        <f t="shared" si="30"/>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31"/>
        <v>0.16000000000000003</v>
      </c>
      <c r="AM109" s="33">
        <f t="shared" si="31"/>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v>0</v>
      </c>
      <c r="BF109" s="18">
        <v>0</v>
      </c>
      <c r="BG109">
        <v>0</v>
      </c>
      <c r="BH109">
        <v>1</v>
      </c>
      <c r="BI109" s="18">
        <v>0</v>
      </c>
      <c r="BJ109">
        <v>1105</v>
      </c>
      <c r="BK109">
        <v>269</v>
      </c>
      <c r="BL109" s="25">
        <v>36.299999999999997</v>
      </c>
      <c r="BM109">
        <v>1</v>
      </c>
      <c r="BN109">
        <v>0</v>
      </c>
      <c r="BO109">
        <v>0</v>
      </c>
      <c r="BP109">
        <v>0</v>
      </c>
      <c r="BQ109">
        <v>0</v>
      </c>
      <c r="BR109">
        <v>0</v>
      </c>
      <c r="BS109">
        <v>0</v>
      </c>
      <c r="BT109" s="18">
        <v>0</v>
      </c>
      <c r="BU109">
        <v>0</v>
      </c>
      <c r="BV109">
        <v>0</v>
      </c>
      <c r="BW109">
        <v>1</v>
      </c>
      <c r="BX109" s="18">
        <v>0</v>
      </c>
      <c r="BY109">
        <v>0</v>
      </c>
      <c r="BZ109">
        <v>0</v>
      </c>
      <c r="CA109">
        <v>0</v>
      </c>
      <c r="CB109">
        <v>0</v>
      </c>
      <c r="CC109" s="18">
        <v>0</v>
      </c>
      <c r="CD109">
        <v>1</v>
      </c>
      <c r="CE109">
        <v>1</v>
      </c>
      <c r="CF109">
        <v>0</v>
      </c>
      <c r="CG109">
        <v>0</v>
      </c>
      <c r="CH109">
        <v>0</v>
      </c>
      <c r="CI109">
        <v>1</v>
      </c>
      <c r="CJ109">
        <v>1</v>
      </c>
      <c r="CK109">
        <v>0</v>
      </c>
      <c r="CL109">
        <v>0</v>
      </c>
      <c r="CM109">
        <v>1</v>
      </c>
      <c r="CN109" s="18">
        <v>0</v>
      </c>
      <c r="CO109">
        <v>0</v>
      </c>
      <c r="CP109">
        <v>110</v>
      </c>
      <c r="CQ109">
        <v>0</v>
      </c>
      <c r="CR109">
        <v>1</v>
      </c>
      <c r="CS109">
        <v>2</v>
      </c>
      <c r="CY109" s="34"/>
    </row>
    <row r="110" spans="1:103" x14ac:dyDescent="0.25">
      <c r="A110">
        <v>109</v>
      </c>
      <c r="B110">
        <v>10</v>
      </c>
      <c r="C110" s="25" t="s">
        <v>22</v>
      </c>
      <c r="D110" s="12">
        <v>13.07</v>
      </c>
      <c r="E110" s="14">
        <f t="shared" si="29"/>
        <v>3.2675000000000001</v>
      </c>
      <c r="F110" s="7">
        <v>4</v>
      </c>
      <c r="G110" s="7">
        <f t="shared" si="18"/>
        <v>9.8025000000000002</v>
      </c>
      <c r="H110" s="16">
        <f t="shared" si="19"/>
        <v>16.337499999999999</v>
      </c>
      <c r="I110" s="11">
        <f t="shared" si="23"/>
        <v>0.33333333333333331</v>
      </c>
      <c r="J110" s="33">
        <f t="shared" si="24"/>
        <v>8.3333333333333329E-2</v>
      </c>
      <c r="K110" s="33">
        <f t="shared" si="25"/>
        <v>12</v>
      </c>
      <c r="L110" s="8">
        <v>0</v>
      </c>
      <c r="M110" s="9">
        <v>1</v>
      </c>
      <c r="N110" s="8">
        <v>0</v>
      </c>
      <c r="O110" s="9">
        <v>0</v>
      </c>
      <c r="P110" s="9">
        <v>1</v>
      </c>
      <c r="Q110" s="9">
        <v>0</v>
      </c>
      <c r="R110" s="9">
        <v>0</v>
      </c>
      <c r="S110" s="8">
        <v>135</v>
      </c>
      <c r="T110" s="9">
        <v>6</v>
      </c>
      <c r="U110" s="9">
        <f t="shared" si="20"/>
        <v>128</v>
      </c>
      <c r="V110" s="9">
        <f t="shared" si="21"/>
        <v>15</v>
      </c>
      <c r="W110" s="7">
        <v>8.9</v>
      </c>
      <c r="X110" s="7">
        <f t="shared" si="30"/>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31"/>
        <v>0.16000000000000003</v>
      </c>
      <c r="AM110" s="33">
        <f t="shared" si="31"/>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v>0</v>
      </c>
      <c r="BF110" s="18">
        <v>0</v>
      </c>
      <c r="BG110">
        <v>0</v>
      </c>
      <c r="BH110">
        <v>1</v>
      </c>
      <c r="BI110" s="18">
        <v>0</v>
      </c>
      <c r="BJ110">
        <v>1105</v>
      </c>
      <c r="BK110">
        <v>269</v>
      </c>
      <c r="BL110" s="25">
        <v>37.299999999999997</v>
      </c>
      <c r="BM110">
        <v>0</v>
      </c>
      <c r="BN110">
        <v>0</v>
      </c>
      <c r="BO110">
        <v>0</v>
      </c>
      <c r="BP110">
        <v>0</v>
      </c>
      <c r="BQ110">
        <v>1</v>
      </c>
      <c r="BR110">
        <v>0</v>
      </c>
      <c r="BS110">
        <v>0</v>
      </c>
      <c r="BT110" s="18">
        <v>0</v>
      </c>
      <c r="BU110">
        <v>0</v>
      </c>
      <c r="BV110">
        <v>0</v>
      </c>
      <c r="BW110">
        <v>1</v>
      </c>
      <c r="BX110" s="18">
        <v>0</v>
      </c>
      <c r="BY110">
        <v>1</v>
      </c>
      <c r="BZ110">
        <v>1</v>
      </c>
      <c r="CA110">
        <v>0</v>
      </c>
      <c r="CB110">
        <v>0</v>
      </c>
      <c r="CC110" s="18">
        <v>1</v>
      </c>
      <c r="CD110">
        <v>1</v>
      </c>
      <c r="CE110">
        <v>1</v>
      </c>
      <c r="CF110">
        <v>0</v>
      </c>
      <c r="CG110">
        <v>0</v>
      </c>
      <c r="CH110">
        <v>0</v>
      </c>
      <c r="CI110">
        <v>0</v>
      </c>
      <c r="CJ110">
        <v>1</v>
      </c>
      <c r="CK110">
        <v>0</v>
      </c>
      <c r="CL110">
        <v>0</v>
      </c>
      <c r="CM110">
        <v>1</v>
      </c>
      <c r="CN110" s="18">
        <v>0</v>
      </c>
      <c r="CO110">
        <v>0</v>
      </c>
      <c r="CP110">
        <v>110</v>
      </c>
      <c r="CQ110">
        <v>0</v>
      </c>
      <c r="CR110">
        <v>1</v>
      </c>
      <c r="CS110">
        <v>2</v>
      </c>
      <c r="CY110" s="34"/>
    </row>
    <row r="111" spans="1:103" x14ac:dyDescent="0.25">
      <c r="A111">
        <v>110</v>
      </c>
      <c r="B111">
        <v>10</v>
      </c>
      <c r="C111" s="25" t="s">
        <v>22</v>
      </c>
      <c r="D111" s="12">
        <v>14.34</v>
      </c>
      <c r="E111" s="14">
        <f t="shared" si="29"/>
        <v>1.2256410256410257</v>
      </c>
      <c r="F111" s="7">
        <v>11.7</v>
      </c>
      <c r="G111" s="7">
        <f t="shared" si="18"/>
        <v>13.114358974358975</v>
      </c>
      <c r="H111" s="16">
        <f t="shared" si="19"/>
        <v>15.565641025641025</v>
      </c>
      <c r="I111" s="11">
        <f t="shared" si="23"/>
        <v>0.72023528688055971</v>
      </c>
      <c r="J111" s="33">
        <f t="shared" si="24"/>
        <v>6.1558571528252976E-2</v>
      </c>
      <c r="K111" s="33">
        <f t="shared" si="25"/>
        <v>16.244691440590675</v>
      </c>
      <c r="L111" s="8">
        <v>0</v>
      </c>
      <c r="M111" s="9">
        <v>1</v>
      </c>
      <c r="N111" s="8">
        <v>0</v>
      </c>
      <c r="O111" s="9">
        <v>0</v>
      </c>
      <c r="P111" s="9">
        <v>1</v>
      </c>
      <c r="Q111" s="9">
        <v>0</v>
      </c>
      <c r="R111" s="9">
        <v>0</v>
      </c>
      <c r="S111" s="8">
        <v>135</v>
      </c>
      <c r="T111" s="9">
        <v>7</v>
      </c>
      <c r="U111" s="9">
        <f t="shared" si="20"/>
        <v>127</v>
      </c>
      <c r="V111" s="9">
        <f t="shared" si="21"/>
        <v>15</v>
      </c>
      <c r="W111" s="7">
        <v>8.9</v>
      </c>
      <c r="X111" s="7">
        <f t="shared" si="30"/>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31"/>
        <v>0.16000000000000003</v>
      </c>
      <c r="AM111" s="33">
        <f t="shared" si="31"/>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v>0</v>
      </c>
      <c r="BF111" s="18">
        <v>0</v>
      </c>
      <c r="BG111">
        <v>0</v>
      </c>
      <c r="BH111">
        <v>1</v>
      </c>
      <c r="BI111" s="18">
        <v>0</v>
      </c>
      <c r="BJ111">
        <v>1105</v>
      </c>
      <c r="BK111">
        <v>269</v>
      </c>
      <c r="BL111" s="25">
        <v>38.299999999999997</v>
      </c>
      <c r="BM111">
        <v>0</v>
      </c>
      <c r="BN111">
        <v>0</v>
      </c>
      <c r="BO111">
        <v>0</v>
      </c>
      <c r="BP111">
        <v>0</v>
      </c>
      <c r="BQ111">
        <v>1</v>
      </c>
      <c r="BR111">
        <v>0</v>
      </c>
      <c r="BS111">
        <v>0</v>
      </c>
      <c r="BT111" s="18">
        <v>0</v>
      </c>
      <c r="BU111">
        <v>0</v>
      </c>
      <c r="BV111">
        <v>0</v>
      </c>
      <c r="BW111">
        <v>1</v>
      </c>
      <c r="BX111" s="18">
        <v>0</v>
      </c>
      <c r="BY111">
        <v>1</v>
      </c>
      <c r="BZ111">
        <v>1</v>
      </c>
      <c r="CA111">
        <v>0</v>
      </c>
      <c r="CB111">
        <v>0</v>
      </c>
      <c r="CC111" s="18">
        <v>1</v>
      </c>
      <c r="CD111">
        <v>1</v>
      </c>
      <c r="CE111">
        <v>1</v>
      </c>
      <c r="CF111">
        <v>0</v>
      </c>
      <c r="CG111">
        <v>0</v>
      </c>
      <c r="CH111">
        <v>0</v>
      </c>
      <c r="CI111">
        <v>1</v>
      </c>
      <c r="CJ111">
        <v>1</v>
      </c>
      <c r="CK111">
        <v>0</v>
      </c>
      <c r="CL111">
        <v>0</v>
      </c>
      <c r="CM111">
        <v>1</v>
      </c>
      <c r="CN111" s="18">
        <v>0</v>
      </c>
      <c r="CO111">
        <v>0</v>
      </c>
      <c r="CP111">
        <v>110</v>
      </c>
      <c r="CQ111">
        <v>0</v>
      </c>
      <c r="CR111">
        <v>1</v>
      </c>
      <c r="CS111">
        <v>2</v>
      </c>
      <c r="CY111" s="34"/>
    </row>
    <row r="112" spans="1:103" x14ac:dyDescent="0.25">
      <c r="A112">
        <v>111</v>
      </c>
      <c r="B112">
        <v>10</v>
      </c>
      <c r="C112" s="25" t="s">
        <v>22</v>
      </c>
      <c r="D112" s="12">
        <v>12.13</v>
      </c>
      <c r="E112" s="14">
        <f t="shared" si="29"/>
        <v>3.9770491803278691</v>
      </c>
      <c r="F112" s="7">
        <v>3.05</v>
      </c>
      <c r="G112" s="7">
        <f t="shared" si="18"/>
        <v>8.1529508196721316</v>
      </c>
      <c r="H112" s="16">
        <f t="shared" si="19"/>
        <v>16.10704918032787</v>
      </c>
      <c r="I112" s="11">
        <f t="shared" si="23"/>
        <v>0.19239839057790684</v>
      </c>
      <c r="J112" s="33">
        <f t="shared" si="24"/>
        <v>6.3081439533739944E-2</v>
      </c>
      <c r="K112" s="33">
        <f t="shared" si="25"/>
        <v>15.852523458427685</v>
      </c>
      <c r="L112" s="8">
        <v>0</v>
      </c>
      <c r="M112" s="9">
        <v>1</v>
      </c>
      <c r="N112" s="8">
        <v>0</v>
      </c>
      <c r="O112" s="9">
        <v>0</v>
      </c>
      <c r="P112" s="9">
        <v>1</v>
      </c>
      <c r="Q112" s="9">
        <v>0</v>
      </c>
      <c r="R112" s="9">
        <v>0</v>
      </c>
      <c r="S112" s="8">
        <v>250</v>
      </c>
      <c r="T112" s="9">
        <v>7</v>
      </c>
      <c r="U112" s="9">
        <f t="shared" si="20"/>
        <v>242</v>
      </c>
      <c r="V112" s="9">
        <f t="shared" si="21"/>
        <v>15</v>
      </c>
      <c r="W112" s="7">
        <v>8.9</v>
      </c>
      <c r="X112" s="7">
        <f t="shared" si="30"/>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31"/>
        <v>0.16000000000000003</v>
      </c>
      <c r="AM112" s="33">
        <f t="shared" si="31"/>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v>0</v>
      </c>
      <c r="BF112" s="18">
        <v>0</v>
      </c>
      <c r="BG112">
        <v>0</v>
      </c>
      <c r="BH112">
        <v>1</v>
      </c>
      <c r="BI112" s="18">
        <v>0</v>
      </c>
      <c r="BJ112">
        <v>1105</v>
      </c>
      <c r="BK112">
        <v>269</v>
      </c>
      <c r="BL112" s="25">
        <v>39.299999999999997</v>
      </c>
      <c r="BM112">
        <v>1</v>
      </c>
      <c r="BN112">
        <v>0</v>
      </c>
      <c r="BO112">
        <v>0</v>
      </c>
      <c r="BP112">
        <v>0</v>
      </c>
      <c r="BQ112">
        <v>0</v>
      </c>
      <c r="BR112">
        <v>0</v>
      </c>
      <c r="BS112">
        <v>0</v>
      </c>
      <c r="BT112" s="18">
        <v>0</v>
      </c>
      <c r="BU112">
        <v>0</v>
      </c>
      <c r="BV112">
        <v>0</v>
      </c>
      <c r="BW112">
        <v>1</v>
      </c>
      <c r="BX112" s="18">
        <v>0</v>
      </c>
      <c r="BY112">
        <v>1</v>
      </c>
      <c r="BZ112">
        <v>1</v>
      </c>
      <c r="CA112">
        <v>0</v>
      </c>
      <c r="CB112">
        <v>0</v>
      </c>
      <c r="CC112" s="18">
        <v>1</v>
      </c>
      <c r="CD112">
        <v>1</v>
      </c>
      <c r="CE112">
        <v>1</v>
      </c>
      <c r="CF112">
        <v>0</v>
      </c>
      <c r="CG112">
        <v>0</v>
      </c>
      <c r="CH112">
        <v>0</v>
      </c>
      <c r="CI112">
        <v>0</v>
      </c>
      <c r="CJ112">
        <v>1</v>
      </c>
      <c r="CK112">
        <v>0</v>
      </c>
      <c r="CL112">
        <v>0</v>
      </c>
      <c r="CM112">
        <v>1</v>
      </c>
      <c r="CN112" s="18">
        <v>1</v>
      </c>
      <c r="CO112">
        <v>0</v>
      </c>
      <c r="CP112">
        <v>110</v>
      </c>
      <c r="CQ112">
        <v>0</v>
      </c>
      <c r="CR112">
        <v>1</v>
      </c>
      <c r="CS112">
        <v>2</v>
      </c>
      <c r="CY112" s="34"/>
    </row>
    <row r="113" spans="1:103" x14ac:dyDescent="0.25">
      <c r="A113">
        <v>112</v>
      </c>
      <c r="B113">
        <v>10</v>
      </c>
      <c r="C113" s="25" t="s">
        <v>22</v>
      </c>
      <c r="D113" s="12">
        <v>9.5299999999999994</v>
      </c>
      <c r="E113" s="14">
        <f t="shared" si="29"/>
        <v>2.9323076923076923</v>
      </c>
      <c r="F113" s="7">
        <v>3.25</v>
      </c>
      <c r="G113" s="7">
        <f t="shared" si="18"/>
        <v>6.5976923076923075</v>
      </c>
      <c r="H113" s="16">
        <f t="shared" si="19"/>
        <v>12.462307692307691</v>
      </c>
      <c r="I113" s="11">
        <f t="shared" si="23"/>
        <v>0.20450264387930378</v>
      </c>
      <c r="J113" s="33">
        <f t="shared" si="24"/>
        <v>6.2923890424401163E-2</v>
      </c>
      <c r="K113" s="33">
        <f t="shared" si="25"/>
        <v>15.892215075312818</v>
      </c>
      <c r="L113" s="8">
        <v>0</v>
      </c>
      <c r="M113" s="9">
        <v>1</v>
      </c>
      <c r="N113" s="8">
        <v>0</v>
      </c>
      <c r="O113" s="9">
        <v>0</v>
      </c>
      <c r="P113" s="9">
        <v>1</v>
      </c>
      <c r="Q113" s="9">
        <v>0</v>
      </c>
      <c r="R113" s="9">
        <v>0</v>
      </c>
      <c r="S113" s="8">
        <v>250</v>
      </c>
      <c r="T113" s="9">
        <v>7</v>
      </c>
      <c r="U113" s="9">
        <f t="shared" si="20"/>
        <v>242</v>
      </c>
      <c r="V113" s="9">
        <f t="shared" si="21"/>
        <v>15</v>
      </c>
      <c r="W113" s="7">
        <v>8.9</v>
      </c>
      <c r="X113" s="7">
        <f t="shared" si="30"/>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31"/>
        <v>0.16000000000000003</v>
      </c>
      <c r="AM113" s="33">
        <f t="shared" si="31"/>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v>0</v>
      </c>
      <c r="BF113" s="18">
        <v>0</v>
      </c>
      <c r="BG113">
        <v>0</v>
      </c>
      <c r="BH113">
        <v>1</v>
      </c>
      <c r="BI113" s="18">
        <v>0</v>
      </c>
      <c r="BJ113">
        <v>1105</v>
      </c>
      <c r="BK113">
        <v>269</v>
      </c>
      <c r="BL113" s="25">
        <v>40.299999999999997</v>
      </c>
      <c r="BM113">
        <v>1</v>
      </c>
      <c r="BN113">
        <v>0</v>
      </c>
      <c r="BO113">
        <v>0</v>
      </c>
      <c r="BP113">
        <v>0</v>
      </c>
      <c r="BQ113">
        <v>0</v>
      </c>
      <c r="BR113">
        <v>0</v>
      </c>
      <c r="BS113">
        <v>0</v>
      </c>
      <c r="BT113" s="18">
        <v>0</v>
      </c>
      <c r="BU113">
        <v>0</v>
      </c>
      <c r="BV113">
        <v>0</v>
      </c>
      <c r="BW113">
        <v>1</v>
      </c>
      <c r="BX113" s="18">
        <v>0</v>
      </c>
      <c r="BY113">
        <v>1</v>
      </c>
      <c r="BZ113">
        <v>1</v>
      </c>
      <c r="CA113">
        <v>0</v>
      </c>
      <c r="CB113">
        <v>0</v>
      </c>
      <c r="CC113" s="18">
        <v>1</v>
      </c>
      <c r="CD113">
        <v>1</v>
      </c>
      <c r="CE113">
        <v>1</v>
      </c>
      <c r="CF113">
        <v>0</v>
      </c>
      <c r="CG113">
        <v>0</v>
      </c>
      <c r="CH113">
        <v>0</v>
      </c>
      <c r="CI113">
        <v>0</v>
      </c>
      <c r="CJ113">
        <v>1</v>
      </c>
      <c r="CK113">
        <v>0</v>
      </c>
      <c r="CL113">
        <v>0</v>
      </c>
      <c r="CM113">
        <v>1</v>
      </c>
      <c r="CN113" s="18">
        <v>1</v>
      </c>
      <c r="CO113">
        <v>0</v>
      </c>
      <c r="CP113">
        <v>110</v>
      </c>
      <c r="CQ113">
        <v>0</v>
      </c>
      <c r="CR113">
        <v>1</v>
      </c>
      <c r="CS113">
        <v>2</v>
      </c>
      <c r="CY113" s="34"/>
    </row>
    <row r="114" spans="1:103" s="51" customFormat="1" x14ac:dyDescent="0.25">
      <c r="A114" s="51">
        <v>113</v>
      </c>
      <c r="B114" s="51">
        <v>10</v>
      </c>
      <c r="C114" s="52" t="s">
        <v>22</v>
      </c>
      <c r="D114" s="53">
        <v>10.99</v>
      </c>
      <c r="E114" s="54">
        <f t="shared" si="29"/>
        <v>1.6138032305433188</v>
      </c>
      <c r="F114" s="55">
        <v>6.81</v>
      </c>
      <c r="G114" s="55">
        <f t="shared" si="18"/>
        <v>9.3761967694566817</v>
      </c>
      <c r="H114" s="56">
        <f t="shared" si="19"/>
        <v>12.603803230543319</v>
      </c>
      <c r="I114" s="11">
        <f t="shared" si="23"/>
        <v>0.40102133631589526</v>
      </c>
      <c r="J114" s="33">
        <f t="shared" si="24"/>
        <v>5.8887127212319423E-2</v>
      </c>
      <c r="K114" s="33">
        <f t="shared" si="25"/>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 t="shared" si="30"/>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31"/>
        <v>0.16000000000000003</v>
      </c>
      <c r="AM114" s="58">
        <f t="shared" si="31"/>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v>0</v>
      </c>
      <c r="BF114" s="65">
        <v>0</v>
      </c>
      <c r="BG114">
        <v>0</v>
      </c>
      <c r="BH114">
        <v>1</v>
      </c>
      <c r="BI114" s="65">
        <v>0</v>
      </c>
      <c r="BJ114">
        <v>1105</v>
      </c>
      <c r="BK114">
        <v>269</v>
      </c>
      <c r="BL114" s="52">
        <v>41.3</v>
      </c>
      <c r="BM114" s="51">
        <v>1</v>
      </c>
      <c r="BN114" s="51">
        <v>0</v>
      </c>
      <c r="BO114" s="51">
        <v>0</v>
      </c>
      <c r="BP114" s="51">
        <v>0</v>
      </c>
      <c r="BQ114" s="51">
        <v>0</v>
      </c>
      <c r="BR114" s="51">
        <v>0</v>
      </c>
      <c r="BS114" s="51">
        <v>0</v>
      </c>
      <c r="BT114" s="65">
        <v>0</v>
      </c>
      <c r="BU114" s="51">
        <v>0</v>
      </c>
      <c r="BV114" s="51">
        <v>0</v>
      </c>
      <c r="BW114" s="51">
        <v>1</v>
      </c>
      <c r="BX114" s="65">
        <v>0</v>
      </c>
      <c r="BY114" s="51">
        <v>1</v>
      </c>
      <c r="BZ114" s="51">
        <v>1</v>
      </c>
      <c r="CA114" s="51">
        <v>0</v>
      </c>
      <c r="CB114" s="51">
        <v>0</v>
      </c>
      <c r="CC114" s="65">
        <v>1</v>
      </c>
      <c r="CD114" s="51">
        <v>1</v>
      </c>
      <c r="CE114" s="51">
        <v>1</v>
      </c>
      <c r="CF114" s="51">
        <v>0</v>
      </c>
      <c r="CG114" s="51">
        <v>0</v>
      </c>
      <c r="CH114" s="51">
        <v>0</v>
      </c>
      <c r="CI114" s="51">
        <v>0</v>
      </c>
      <c r="CJ114" s="51">
        <v>1</v>
      </c>
      <c r="CK114" s="51">
        <v>0</v>
      </c>
      <c r="CL114" s="51">
        <v>0</v>
      </c>
      <c r="CM114" s="51">
        <v>1</v>
      </c>
      <c r="CN114" s="65">
        <v>1</v>
      </c>
      <c r="CO114">
        <v>0</v>
      </c>
      <c r="CP114">
        <v>110</v>
      </c>
      <c r="CQ114">
        <v>0</v>
      </c>
      <c r="CR114">
        <v>1</v>
      </c>
      <c r="CS114">
        <v>2</v>
      </c>
      <c r="CT114" s="67"/>
      <c r="CY114" s="67"/>
    </row>
    <row r="115" spans="1:103" x14ac:dyDescent="0.25">
      <c r="A115">
        <v>114</v>
      </c>
      <c r="B115">
        <v>11</v>
      </c>
      <c r="C115" s="25" t="s">
        <v>138</v>
      </c>
      <c r="D115" s="12">
        <v>11.3</v>
      </c>
      <c r="E115" s="14">
        <v>0.5</v>
      </c>
      <c r="F115" s="7">
        <f t="shared" ref="F115:F136" si="32">D115/E115</f>
        <v>22.6</v>
      </c>
      <c r="G115" s="7">
        <f t="shared" si="18"/>
        <v>10.8</v>
      </c>
      <c r="H115" s="16">
        <f t="shared" si="19"/>
        <v>11.8</v>
      </c>
      <c r="I115" s="11">
        <f t="shared" si="23"/>
        <v>0.32038983361101409</v>
      </c>
      <c r="J115" s="33">
        <f t="shared" si="24"/>
        <v>1.4176541310221863E-2</v>
      </c>
      <c r="K115" s="33">
        <f t="shared" si="25"/>
        <v>70.539067189749545</v>
      </c>
      <c r="L115" s="8">
        <v>0</v>
      </c>
      <c r="M115" s="9">
        <v>1</v>
      </c>
      <c r="N115" s="8">
        <v>0</v>
      </c>
      <c r="O115" s="9">
        <v>1</v>
      </c>
      <c r="P115" s="9">
        <v>0</v>
      </c>
      <c r="Q115" s="9">
        <v>0</v>
      </c>
      <c r="R115" s="9">
        <v>0</v>
      </c>
      <c r="S115" s="8">
        <v>4481</v>
      </c>
      <c r="T115" s="9">
        <v>15</v>
      </c>
      <c r="U115" s="9">
        <f t="shared" si="20"/>
        <v>4465</v>
      </c>
      <c r="V115" s="9">
        <f t="shared" si="21"/>
        <v>6</v>
      </c>
      <c r="W115" s="7">
        <v>9.15</v>
      </c>
      <c r="X115" s="7">
        <f t="shared" si="30"/>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3">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v>0</v>
      </c>
      <c r="BF115" s="18">
        <v>1</v>
      </c>
      <c r="BG115">
        <v>0</v>
      </c>
      <c r="BH115">
        <v>1</v>
      </c>
      <c r="BI115" s="18">
        <v>0</v>
      </c>
      <c r="BJ115">
        <v>3903</v>
      </c>
      <c r="BK115">
        <v>118</v>
      </c>
      <c r="BL115" s="25">
        <v>42.68</v>
      </c>
      <c r="BM115">
        <v>1</v>
      </c>
      <c r="BN115">
        <v>0</v>
      </c>
      <c r="BO115">
        <v>0</v>
      </c>
      <c r="BP115">
        <v>0</v>
      </c>
      <c r="BQ115">
        <v>0</v>
      </c>
      <c r="BR115">
        <v>0</v>
      </c>
      <c r="BS115">
        <v>0</v>
      </c>
      <c r="BT115" s="18">
        <v>0</v>
      </c>
      <c r="BU115">
        <v>0</v>
      </c>
      <c r="BV115">
        <v>0</v>
      </c>
      <c r="BW115">
        <v>0</v>
      </c>
      <c r="BX115" s="18">
        <v>0</v>
      </c>
      <c r="BY115">
        <v>1</v>
      </c>
      <c r="BZ115">
        <v>0</v>
      </c>
      <c r="CA115">
        <v>0</v>
      </c>
      <c r="CB115">
        <v>0</v>
      </c>
      <c r="CC115" s="18">
        <v>0</v>
      </c>
      <c r="CD115">
        <v>1</v>
      </c>
      <c r="CE115">
        <v>1</v>
      </c>
      <c r="CF115">
        <v>0</v>
      </c>
      <c r="CG115">
        <v>0</v>
      </c>
      <c r="CH115">
        <v>1</v>
      </c>
      <c r="CI115">
        <v>0</v>
      </c>
      <c r="CJ115">
        <v>1</v>
      </c>
      <c r="CK115">
        <v>0</v>
      </c>
      <c r="CL115">
        <v>0</v>
      </c>
      <c r="CM115">
        <v>1</v>
      </c>
      <c r="CN115" s="18">
        <v>1</v>
      </c>
      <c r="CO115">
        <v>5.0000000000000001E-3</v>
      </c>
      <c r="CP115">
        <v>12</v>
      </c>
      <c r="CQ115">
        <v>1</v>
      </c>
      <c r="CR115">
        <v>0</v>
      </c>
      <c r="CS115">
        <v>23</v>
      </c>
      <c r="CY115" s="34"/>
    </row>
    <row r="116" spans="1:103" x14ac:dyDescent="0.25">
      <c r="A116">
        <v>115</v>
      </c>
      <c r="B116">
        <v>11</v>
      </c>
      <c r="C116" s="25" t="s">
        <v>138</v>
      </c>
      <c r="D116" s="12">
        <v>18</v>
      </c>
      <c r="E116" s="14">
        <v>1.4</v>
      </c>
      <c r="F116" s="7">
        <f t="shared" si="32"/>
        <v>12.857142857142858</v>
      </c>
      <c r="G116" s="7">
        <f t="shared" si="18"/>
        <v>16.600000000000001</v>
      </c>
      <c r="H116" s="16">
        <f t="shared" si="19"/>
        <v>19.399999999999999</v>
      </c>
      <c r="I116" s="11">
        <f t="shared" si="23"/>
        <v>0.18894683311768237</v>
      </c>
      <c r="J116" s="33">
        <f t="shared" si="24"/>
        <v>1.4695864798041962E-2</v>
      </c>
      <c r="K116" s="33">
        <f t="shared" si="25"/>
        <v>68.04635274905614</v>
      </c>
      <c r="L116" s="8">
        <v>0</v>
      </c>
      <c r="M116" s="9">
        <v>1</v>
      </c>
      <c r="N116" s="8">
        <v>0</v>
      </c>
      <c r="O116" s="9">
        <v>1</v>
      </c>
      <c r="P116" s="9">
        <v>0</v>
      </c>
      <c r="Q116" s="9">
        <v>0</v>
      </c>
      <c r="R116" s="9">
        <v>0</v>
      </c>
      <c r="S116" s="8">
        <v>4481</v>
      </c>
      <c r="T116" s="9">
        <v>15</v>
      </c>
      <c r="U116" s="9">
        <f t="shared" si="20"/>
        <v>4465</v>
      </c>
      <c r="V116" s="9">
        <f t="shared" si="21"/>
        <v>6</v>
      </c>
      <c r="W116" s="7">
        <v>9.15</v>
      </c>
      <c r="X116" s="7">
        <f t="shared" si="30"/>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3"/>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v>0</v>
      </c>
      <c r="BF116" s="18">
        <v>1</v>
      </c>
      <c r="BG116">
        <v>0</v>
      </c>
      <c r="BH116">
        <v>1</v>
      </c>
      <c r="BI116" s="18">
        <v>0</v>
      </c>
      <c r="BJ116">
        <v>3903</v>
      </c>
      <c r="BK116">
        <v>118</v>
      </c>
      <c r="BL116" s="25">
        <v>42.68</v>
      </c>
      <c r="BM116">
        <v>0</v>
      </c>
      <c r="BN116">
        <v>0</v>
      </c>
      <c r="BO116">
        <v>0</v>
      </c>
      <c r="BP116">
        <v>0</v>
      </c>
      <c r="BQ116">
        <v>0</v>
      </c>
      <c r="BR116">
        <v>0</v>
      </c>
      <c r="BS116">
        <v>0</v>
      </c>
      <c r="BT116" s="18">
        <v>1</v>
      </c>
      <c r="BU116">
        <v>0</v>
      </c>
      <c r="BV116">
        <v>1</v>
      </c>
      <c r="BW116">
        <v>0</v>
      </c>
      <c r="BX116" s="18">
        <v>0</v>
      </c>
      <c r="BY116">
        <v>1</v>
      </c>
      <c r="BZ116">
        <v>0</v>
      </c>
      <c r="CA116">
        <v>0</v>
      </c>
      <c r="CB116">
        <v>0</v>
      </c>
      <c r="CC116" s="18">
        <v>0</v>
      </c>
      <c r="CD116">
        <v>1</v>
      </c>
      <c r="CE116">
        <v>1</v>
      </c>
      <c r="CF116">
        <v>0</v>
      </c>
      <c r="CG116">
        <v>0</v>
      </c>
      <c r="CH116">
        <v>1</v>
      </c>
      <c r="CI116">
        <v>0</v>
      </c>
      <c r="CJ116">
        <v>1</v>
      </c>
      <c r="CK116">
        <v>0</v>
      </c>
      <c r="CL116">
        <v>0</v>
      </c>
      <c r="CM116">
        <v>1</v>
      </c>
      <c r="CN116" s="18">
        <v>1</v>
      </c>
      <c r="CO116">
        <v>5.0000000000000001E-3</v>
      </c>
      <c r="CP116">
        <v>12</v>
      </c>
      <c r="CQ116">
        <v>1</v>
      </c>
      <c r="CR116">
        <v>0</v>
      </c>
      <c r="CS116">
        <v>23</v>
      </c>
      <c r="CY116" s="34"/>
    </row>
    <row r="117" spans="1:103" x14ac:dyDescent="0.25">
      <c r="A117">
        <v>116</v>
      </c>
      <c r="B117">
        <v>11</v>
      </c>
      <c r="C117" s="25" t="s">
        <v>138</v>
      </c>
      <c r="D117" s="12">
        <v>21.2</v>
      </c>
      <c r="E117" s="14">
        <v>1.7</v>
      </c>
      <c r="F117" s="7">
        <f t="shared" si="32"/>
        <v>12.470588235294118</v>
      </c>
      <c r="G117" s="7">
        <f t="shared" si="18"/>
        <v>19.5</v>
      </c>
      <c r="H117" s="16">
        <f t="shared" si="19"/>
        <v>22.9</v>
      </c>
      <c r="I117" s="11">
        <f t="shared" si="23"/>
        <v>0.25336910128038576</v>
      </c>
      <c r="J117" s="33">
        <f t="shared" si="24"/>
        <v>2.0317333593238476E-2</v>
      </c>
      <c r="K117" s="33">
        <f t="shared" si="25"/>
        <v>49.219056989485857</v>
      </c>
      <c r="L117" s="8">
        <v>0</v>
      </c>
      <c r="M117" s="9">
        <v>1</v>
      </c>
      <c r="N117" s="8">
        <v>0</v>
      </c>
      <c r="O117" s="9">
        <v>1</v>
      </c>
      <c r="P117" s="9">
        <v>0</v>
      </c>
      <c r="Q117" s="9">
        <v>0</v>
      </c>
      <c r="R117" s="9">
        <v>0</v>
      </c>
      <c r="S117" s="8">
        <v>2282</v>
      </c>
      <c r="T117" s="9">
        <v>14</v>
      </c>
      <c r="U117" s="9">
        <f t="shared" si="20"/>
        <v>2267</v>
      </c>
      <c r="V117" s="9">
        <f t="shared" si="21"/>
        <v>6</v>
      </c>
      <c r="W117" s="7">
        <v>9.15</v>
      </c>
      <c r="X117" s="7">
        <f t="shared" si="30"/>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3"/>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v>0</v>
      </c>
      <c r="BF117" s="18">
        <v>1</v>
      </c>
      <c r="BG117">
        <v>0</v>
      </c>
      <c r="BH117">
        <v>1</v>
      </c>
      <c r="BI117" s="18">
        <v>0</v>
      </c>
      <c r="BJ117">
        <v>3903</v>
      </c>
      <c r="BK117">
        <v>118</v>
      </c>
      <c r="BL117" s="25">
        <v>42.68</v>
      </c>
      <c r="BM117">
        <v>0</v>
      </c>
      <c r="BN117">
        <v>0</v>
      </c>
      <c r="BO117">
        <v>0</v>
      </c>
      <c r="BP117">
        <v>0</v>
      </c>
      <c r="BQ117">
        <v>0</v>
      </c>
      <c r="BR117">
        <v>0</v>
      </c>
      <c r="BS117">
        <v>0</v>
      </c>
      <c r="BT117" s="18">
        <v>1</v>
      </c>
      <c r="BU117">
        <v>0</v>
      </c>
      <c r="BV117">
        <v>1</v>
      </c>
      <c r="BW117">
        <v>0</v>
      </c>
      <c r="BX117" s="18">
        <v>0</v>
      </c>
      <c r="BY117">
        <v>1</v>
      </c>
      <c r="BZ117">
        <v>0</v>
      </c>
      <c r="CA117">
        <v>0</v>
      </c>
      <c r="CB117">
        <v>0</v>
      </c>
      <c r="CC117" s="18">
        <v>0</v>
      </c>
      <c r="CD117">
        <v>1</v>
      </c>
      <c r="CE117">
        <v>1</v>
      </c>
      <c r="CF117">
        <v>0</v>
      </c>
      <c r="CG117">
        <v>0</v>
      </c>
      <c r="CH117">
        <v>1</v>
      </c>
      <c r="CI117">
        <v>0</v>
      </c>
      <c r="CJ117">
        <v>1</v>
      </c>
      <c r="CK117">
        <v>0</v>
      </c>
      <c r="CL117">
        <v>0</v>
      </c>
      <c r="CM117">
        <v>1</v>
      </c>
      <c r="CN117" s="18">
        <v>1</v>
      </c>
      <c r="CO117">
        <v>5.0000000000000001E-3</v>
      </c>
      <c r="CP117">
        <v>12</v>
      </c>
      <c r="CQ117">
        <v>1</v>
      </c>
      <c r="CR117">
        <v>0</v>
      </c>
      <c r="CS117">
        <v>23</v>
      </c>
      <c r="CY117" s="34"/>
    </row>
    <row r="118" spans="1:103" x14ac:dyDescent="0.25">
      <c r="A118">
        <v>117</v>
      </c>
      <c r="B118">
        <v>11</v>
      </c>
      <c r="C118" s="25" t="s">
        <v>138</v>
      </c>
      <c r="D118" s="12">
        <v>15</v>
      </c>
      <c r="E118" s="14">
        <v>2.2999999999999998</v>
      </c>
      <c r="F118" s="7">
        <f t="shared" si="32"/>
        <v>6.5217391304347831</v>
      </c>
      <c r="G118" s="7">
        <f t="shared" si="18"/>
        <v>12.7</v>
      </c>
      <c r="H118" s="16">
        <f t="shared" si="19"/>
        <v>17.3</v>
      </c>
      <c r="I118" s="11">
        <f t="shared" si="23"/>
        <v>0.13821298512211169</v>
      </c>
      <c r="J118" s="33">
        <f t="shared" si="24"/>
        <v>2.1192657718723789E-2</v>
      </c>
      <c r="K118" s="33">
        <f t="shared" si="25"/>
        <v>47.186153491097834</v>
      </c>
      <c r="L118" s="8">
        <v>0</v>
      </c>
      <c r="M118" s="9">
        <v>1</v>
      </c>
      <c r="N118" s="8">
        <v>0</v>
      </c>
      <c r="O118" s="9">
        <v>1</v>
      </c>
      <c r="P118" s="9">
        <v>0</v>
      </c>
      <c r="Q118" s="9">
        <v>0</v>
      </c>
      <c r="R118" s="9">
        <v>0</v>
      </c>
      <c r="S118" s="8">
        <v>2199</v>
      </c>
      <c r="T118" s="9">
        <v>14</v>
      </c>
      <c r="U118" s="9">
        <f t="shared" si="20"/>
        <v>2184</v>
      </c>
      <c r="V118" s="9">
        <f t="shared" si="21"/>
        <v>6</v>
      </c>
      <c r="W118" s="7">
        <v>9.15</v>
      </c>
      <c r="X118" s="7">
        <f t="shared" si="30"/>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3"/>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v>0</v>
      </c>
      <c r="BF118" s="18">
        <v>1</v>
      </c>
      <c r="BG118">
        <v>0</v>
      </c>
      <c r="BH118">
        <v>1</v>
      </c>
      <c r="BI118" s="18">
        <v>0</v>
      </c>
      <c r="BJ118">
        <v>3903</v>
      </c>
      <c r="BK118">
        <v>118</v>
      </c>
      <c r="BL118" s="25">
        <v>42.68</v>
      </c>
      <c r="BM118">
        <v>0</v>
      </c>
      <c r="BN118">
        <v>0</v>
      </c>
      <c r="BO118">
        <v>0</v>
      </c>
      <c r="BP118">
        <v>0</v>
      </c>
      <c r="BQ118">
        <v>0</v>
      </c>
      <c r="BR118">
        <v>0</v>
      </c>
      <c r="BS118">
        <v>0</v>
      </c>
      <c r="BT118" s="18">
        <v>1</v>
      </c>
      <c r="BU118">
        <v>0</v>
      </c>
      <c r="BV118">
        <v>1</v>
      </c>
      <c r="BW118">
        <v>0</v>
      </c>
      <c r="BX118" s="18">
        <v>0</v>
      </c>
      <c r="BY118">
        <v>1</v>
      </c>
      <c r="BZ118">
        <v>0</v>
      </c>
      <c r="CA118">
        <v>0</v>
      </c>
      <c r="CB118">
        <v>0</v>
      </c>
      <c r="CC118" s="18">
        <v>0</v>
      </c>
      <c r="CD118">
        <v>1</v>
      </c>
      <c r="CE118">
        <v>1</v>
      </c>
      <c r="CF118">
        <v>0</v>
      </c>
      <c r="CG118">
        <v>0</v>
      </c>
      <c r="CH118">
        <v>1</v>
      </c>
      <c r="CI118">
        <v>0</v>
      </c>
      <c r="CJ118">
        <v>1</v>
      </c>
      <c r="CK118">
        <v>0</v>
      </c>
      <c r="CL118">
        <v>0</v>
      </c>
      <c r="CM118">
        <v>1</v>
      </c>
      <c r="CN118" s="18">
        <v>1</v>
      </c>
      <c r="CO118">
        <v>5.0000000000000001E-3</v>
      </c>
      <c r="CP118">
        <v>12</v>
      </c>
      <c r="CQ118">
        <v>1</v>
      </c>
      <c r="CR118">
        <v>0</v>
      </c>
      <c r="CS118">
        <v>23</v>
      </c>
      <c r="CY118" s="34"/>
    </row>
    <row r="119" spans="1:103" x14ac:dyDescent="0.25">
      <c r="A119">
        <v>118</v>
      </c>
      <c r="B119">
        <v>11</v>
      </c>
      <c r="C119" s="25" t="s">
        <v>138</v>
      </c>
      <c r="D119" s="12">
        <v>21.4</v>
      </c>
      <c r="E119" s="14">
        <v>1.8</v>
      </c>
      <c r="F119" s="7">
        <f t="shared" si="32"/>
        <v>11.888888888888888</v>
      </c>
      <c r="G119" s="7">
        <f t="shared" si="18"/>
        <v>19.599999999999998</v>
      </c>
      <c r="H119" s="16">
        <f t="shared" si="19"/>
        <v>23.2</v>
      </c>
      <c r="I119" s="11">
        <f t="shared" si="23"/>
        <v>0.22661558764273609</v>
      </c>
      <c r="J119" s="33">
        <f t="shared" si="24"/>
        <v>1.9061124194248831E-2</v>
      </c>
      <c r="K119" s="33">
        <f t="shared" si="25"/>
        <v>52.46280281315844</v>
      </c>
      <c r="L119" s="8">
        <v>0</v>
      </c>
      <c r="M119" s="9">
        <v>1</v>
      </c>
      <c r="N119" s="8">
        <v>0</v>
      </c>
      <c r="O119" s="9">
        <v>1</v>
      </c>
      <c r="P119" s="9">
        <v>0</v>
      </c>
      <c r="Q119" s="9">
        <v>0</v>
      </c>
      <c r="R119" s="9">
        <v>0</v>
      </c>
      <c r="S119" s="8">
        <v>2626</v>
      </c>
      <c r="T119" s="9">
        <v>14</v>
      </c>
      <c r="U119" s="9">
        <f t="shared" si="20"/>
        <v>2611</v>
      </c>
      <c r="V119" s="9">
        <f t="shared" si="21"/>
        <v>6</v>
      </c>
      <c r="W119" s="7">
        <v>9.15</v>
      </c>
      <c r="X119" s="7">
        <f t="shared" si="30"/>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3"/>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v>0</v>
      </c>
      <c r="BF119" s="18">
        <v>1</v>
      </c>
      <c r="BG119">
        <v>0</v>
      </c>
      <c r="BH119">
        <v>1</v>
      </c>
      <c r="BI119" s="18">
        <v>0</v>
      </c>
      <c r="BJ119">
        <v>3903</v>
      </c>
      <c r="BK119">
        <v>118</v>
      </c>
      <c r="BL119" s="25">
        <v>42.68</v>
      </c>
      <c r="BM119">
        <v>0</v>
      </c>
      <c r="BN119">
        <v>0</v>
      </c>
      <c r="BO119">
        <v>0</v>
      </c>
      <c r="BP119">
        <v>0</v>
      </c>
      <c r="BQ119">
        <v>0</v>
      </c>
      <c r="BR119">
        <v>0</v>
      </c>
      <c r="BS119">
        <v>0</v>
      </c>
      <c r="BT119" s="18">
        <v>1</v>
      </c>
      <c r="BU119">
        <v>0</v>
      </c>
      <c r="BV119">
        <v>1</v>
      </c>
      <c r="BW119">
        <v>0</v>
      </c>
      <c r="BX119" s="18">
        <v>0</v>
      </c>
      <c r="BY119">
        <v>1</v>
      </c>
      <c r="BZ119">
        <v>0</v>
      </c>
      <c r="CA119">
        <v>0</v>
      </c>
      <c r="CB119">
        <v>0</v>
      </c>
      <c r="CC119" s="18">
        <v>0</v>
      </c>
      <c r="CD119">
        <v>1</v>
      </c>
      <c r="CE119">
        <v>1</v>
      </c>
      <c r="CF119">
        <v>0</v>
      </c>
      <c r="CG119">
        <v>0</v>
      </c>
      <c r="CH119">
        <v>1</v>
      </c>
      <c r="CI119">
        <v>0</v>
      </c>
      <c r="CJ119">
        <v>1</v>
      </c>
      <c r="CK119">
        <v>0</v>
      </c>
      <c r="CL119">
        <v>0</v>
      </c>
      <c r="CM119">
        <v>1</v>
      </c>
      <c r="CN119" s="18">
        <v>1</v>
      </c>
      <c r="CO119">
        <v>5.0000000000000001E-3</v>
      </c>
      <c r="CP119">
        <v>12</v>
      </c>
      <c r="CQ119">
        <v>1</v>
      </c>
      <c r="CR119">
        <v>0</v>
      </c>
      <c r="CS119">
        <v>23</v>
      </c>
      <c r="CY119" s="34"/>
    </row>
    <row r="120" spans="1:103" s="51" customFormat="1" x14ac:dyDescent="0.25">
      <c r="A120" s="51">
        <v>119</v>
      </c>
      <c r="B120" s="51">
        <v>11</v>
      </c>
      <c r="C120" s="52" t="s">
        <v>138</v>
      </c>
      <c r="D120" s="53">
        <v>13.8</v>
      </c>
      <c r="E120" s="54">
        <v>2.1</v>
      </c>
      <c r="F120" s="55">
        <f t="shared" si="32"/>
        <v>6.5714285714285712</v>
      </c>
      <c r="G120" s="55">
        <f t="shared" si="18"/>
        <v>11.700000000000001</v>
      </c>
      <c r="H120" s="56">
        <f t="shared" si="19"/>
        <v>15.9</v>
      </c>
      <c r="I120" s="11">
        <f t="shared" si="23"/>
        <v>0.15143053318554164</v>
      </c>
      <c r="J120" s="33">
        <f t="shared" si="24"/>
        <v>2.3043776789104162E-2</v>
      </c>
      <c r="K120" s="33">
        <f t="shared" si="25"/>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 t="shared" si="30"/>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3"/>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v>0</v>
      </c>
      <c r="BF120" s="65">
        <v>1</v>
      </c>
      <c r="BG120">
        <v>0</v>
      </c>
      <c r="BH120">
        <v>1</v>
      </c>
      <c r="BI120" s="65">
        <v>0</v>
      </c>
      <c r="BJ120">
        <v>3903</v>
      </c>
      <c r="BK120">
        <v>118</v>
      </c>
      <c r="BL120" s="52">
        <v>42.68</v>
      </c>
      <c r="BM120" s="51">
        <v>0</v>
      </c>
      <c r="BN120" s="51">
        <v>0</v>
      </c>
      <c r="BO120" s="51">
        <v>0</v>
      </c>
      <c r="BP120" s="51">
        <v>0</v>
      </c>
      <c r="BQ120" s="51">
        <v>0</v>
      </c>
      <c r="BR120" s="51">
        <v>0</v>
      </c>
      <c r="BS120" s="51">
        <v>0</v>
      </c>
      <c r="BT120" s="65">
        <v>1</v>
      </c>
      <c r="BU120" s="51">
        <v>0</v>
      </c>
      <c r="BV120" s="51">
        <v>1</v>
      </c>
      <c r="BW120" s="51">
        <v>0</v>
      </c>
      <c r="BX120" s="65">
        <v>0</v>
      </c>
      <c r="BY120" s="51">
        <v>1</v>
      </c>
      <c r="BZ120" s="51">
        <v>0</v>
      </c>
      <c r="CA120" s="51">
        <v>0</v>
      </c>
      <c r="CB120" s="51">
        <v>0</v>
      </c>
      <c r="CC120" s="65">
        <v>0</v>
      </c>
      <c r="CD120" s="51">
        <v>1</v>
      </c>
      <c r="CE120" s="51">
        <v>1</v>
      </c>
      <c r="CF120" s="51">
        <v>0</v>
      </c>
      <c r="CG120" s="51">
        <v>0</v>
      </c>
      <c r="CH120" s="51">
        <v>1</v>
      </c>
      <c r="CI120" s="51">
        <v>0</v>
      </c>
      <c r="CJ120" s="51">
        <v>1</v>
      </c>
      <c r="CK120" s="51">
        <v>0</v>
      </c>
      <c r="CL120" s="51">
        <v>0</v>
      </c>
      <c r="CM120" s="51">
        <v>1</v>
      </c>
      <c r="CN120" s="65">
        <v>1</v>
      </c>
      <c r="CO120">
        <v>5.0000000000000001E-3</v>
      </c>
      <c r="CP120">
        <v>12</v>
      </c>
      <c r="CQ120">
        <v>1</v>
      </c>
      <c r="CR120">
        <v>0</v>
      </c>
      <c r="CS120">
        <v>23</v>
      </c>
      <c r="CT120" s="67"/>
      <c r="CY120" s="67"/>
    </row>
    <row r="121" spans="1:103" x14ac:dyDescent="0.25">
      <c r="A121">
        <v>120</v>
      </c>
      <c r="B121">
        <v>12</v>
      </c>
      <c r="C121" s="25" t="s">
        <v>139</v>
      </c>
      <c r="D121" s="12">
        <v>4.7</v>
      </c>
      <c r="E121" s="14">
        <v>0.1</v>
      </c>
      <c r="F121" s="7">
        <f t="shared" si="32"/>
        <v>47</v>
      </c>
      <c r="G121" s="7">
        <f t="shared" si="18"/>
        <v>4.6000000000000005</v>
      </c>
      <c r="H121" s="16">
        <f t="shared" si="19"/>
        <v>4.8</v>
      </c>
      <c r="I121" s="11">
        <f t="shared" si="23"/>
        <v>0.57012642774554001</v>
      </c>
      <c r="J121" s="33">
        <f t="shared" si="24"/>
        <v>1.2130349526500854E-2</v>
      </c>
      <c r="K121" s="33">
        <f t="shared" si="25"/>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4">1-AX121</f>
        <v>0.32399999999999995</v>
      </c>
      <c r="AX121" s="18">
        <v>0.67600000000000005</v>
      </c>
      <c r="AY121" s="18" t="s">
        <v>13</v>
      </c>
      <c r="AZ121">
        <v>0</v>
      </c>
      <c r="BA121">
        <v>1</v>
      </c>
      <c r="BB121">
        <v>0</v>
      </c>
      <c r="BC121">
        <v>0</v>
      </c>
      <c r="BD121">
        <v>0</v>
      </c>
      <c r="BE121">
        <v>0</v>
      </c>
      <c r="BF121" s="18">
        <v>0</v>
      </c>
      <c r="BG121">
        <v>0</v>
      </c>
      <c r="BH121">
        <v>1</v>
      </c>
      <c r="BI121" s="18">
        <v>0</v>
      </c>
      <c r="BJ121">
        <v>1466</v>
      </c>
      <c r="BK121">
        <v>97</v>
      </c>
      <c r="BL121" s="25">
        <v>35.192</v>
      </c>
      <c r="BM121">
        <v>1</v>
      </c>
      <c r="BN121">
        <v>0</v>
      </c>
      <c r="BO121">
        <v>0</v>
      </c>
      <c r="BP121">
        <v>0</v>
      </c>
      <c r="BQ121">
        <v>0</v>
      </c>
      <c r="BR121">
        <v>0</v>
      </c>
      <c r="BS121">
        <v>0</v>
      </c>
      <c r="BT121" s="18">
        <v>0</v>
      </c>
      <c r="BU121">
        <v>0</v>
      </c>
      <c r="BV121">
        <v>0</v>
      </c>
      <c r="BW121">
        <v>1</v>
      </c>
      <c r="BX121" s="18">
        <v>0</v>
      </c>
      <c r="BY121">
        <v>0</v>
      </c>
      <c r="BZ121">
        <v>0</v>
      </c>
      <c r="CA121">
        <v>0</v>
      </c>
      <c r="CB121">
        <v>0</v>
      </c>
      <c r="CC121" s="18">
        <v>0</v>
      </c>
      <c r="CD121">
        <v>1</v>
      </c>
      <c r="CE121">
        <v>1</v>
      </c>
      <c r="CF121">
        <v>1</v>
      </c>
      <c r="CG121">
        <v>1</v>
      </c>
      <c r="CH121">
        <v>0</v>
      </c>
      <c r="CI121">
        <v>0</v>
      </c>
      <c r="CJ121">
        <v>1</v>
      </c>
      <c r="CK121">
        <v>0</v>
      </c>
      <c r="CL121">
        <v>0</v>
      </c>
      <c r="CM121">
        <v>1</v>
      </c>
      <c r="CN121" s="18">
        <v>0</v>
      </c>
      <c r="CO121">
        <v>1.7999999999999999E-2</v>
      </c>
      <c r="CP121">
        <v>23</v>
      </c>
      <c r="CQ121">
        <v>1</v>
      </c>
      <c r="CR121">
        <v>0</v>
      </c>
      <c r="CS121">
        <v>19</v>
      </c>
      <c r="CY121" s="34"/>
    </row>
    <row r="122" spans="1:103" x14ac:dyDescent="0.25">
      <c r="A122">
        <v>121</v>
      </c>
      <c r="B122">
        <v>12</v>
      </c>
      <c r="C122" s="25" t="s">
        <v>139</v>
      </c>
      <c r="D122" s="12">
        <v>4.4000000000000004</v>
      </c>
      <c r="E122" s="14">
        <v>0.2</v>
      </c>
      <c r="F122" s="7">
        <f t="shared" si="32"/>
        <v>22</v>
      </c>
      <c r="G122" s="7">
        <f t="shared" si="18"/>
        <v>4.2</v>
      </c>
      <c r="H122" s="16">
        <f t="shared" si="19"/>
        <v>4.6000000000000005</v>
      </c>
      <c r="I122" s="11">
        <f t="shared" si="23"/>
        <v>0.36970873993771308</v>
      </c>
      <c r="J122" s="33">
        <f t="shared" si="24"/>
        <v>1.6804942724441503E-2</v>
      </c>
      <c r="K122" s="33">
        <f t="shared" si="25"/>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4"/>
        <v>0.35099999999999998</v>
      </c>
      <c r="AX122" s="18">
        <v>0.64900000000000002</v>
      </c>
      <c r="AY122" s="18" t="s">
        <v>13</v>
      </c>
      <c r="AZ122">
        <v>0</v>
      </c>
      <c r="BA122">
        <v>1</v>
      </c>
      <c r="BB122">
        <v>0</v>
      </c>
      <c r="BC122">
        <v>0</v>
      </c>
      <c r="BD122">
        <v>0</v>
      </c>
      <c r="BE122">
        <v>0</v>
      </c>
      <c r="BF122" s="18">
        <v>0</v>
      </c>
      <c r="BG122">
        <v>0</v>
      </c>
      <c r="BH122">
        <v>1</v>
      </c>
      <c r="BI122" s="18">
        <v>0</v>
      </c>
      <c r="BJ122">
        <v>1466</v>
      </c>
      <c r="BK122">
        <v>97</v>
      </c>
      <c r="BL122" s="25">
        <v>35.417000000000002</v>
      </c>
      <c r="BM122">
        <v>1</v>
      </c>
      <c r="BN122">
        <v>0</v>
      </c>
      <c r="BO122">
        <v>0</v>
      </c>
      <c r="BP122">
        <v>0</v>
      </c>
      <c r="BQ122">
        <v>0</v>
      </c>
      <c r="BR122">
        <v>0</v>
      </c>
      <c r="BS122">
        <v>0</v>
      </c>
      <c r="BT122" s="18">
        <v>0</v>
      </c>
      <c r="BU122">
        <v>0</v>
      </c>
      <c r="BV122">
        <v>0</v>
      </c>
      <c r="BW122">
        <v>1</v>
      </c>
      <c r="BX122" s="18">
        <v>0</v>
      </c>
      <c r="BY122">
        <v>0</v>
      </c>
      <c r="BZ122">
        <v>0</v>
      </c>
      <c r="CA122">
        <v>0</v>
      </c>
      <c r="CB122">
        <v>0</v>
      </c>
      <c r="CC122" s="18">
        <v>0</v>
      </c>
      <c r="CD122">
        <v>1</v>
      </c>
      <c r="CE122">
        <v>1</v>
      </c>
      <c r="CF122">
        <v>1</v>
      </c>
      <c r="CG122">
        <v>1</v>
      </c>
      <c r="CH122">
        <v>0</v>
      </c>
      <c r="CI122">
        <v>0</v>
      </c>
      <c r="CJ122">
        <v>1</v>
      </c>
      <c r="CK122">
        <v>0</v>
      </c>
      <c r="CL122">
        <v>0</v>
      </c>
      <c r="CM122">
        <v>1</v>
      </c>
      <c r="CN122" s="18">
        <v>0</v>
      </c>
      <c r="CO122">
        <v>1.7999999999999999E-2</v>
      </c>
      <c r="CP122">
        <v>23</v>
      </c>
      <c r="CQ122">
        <v>1</v>
      </c>
      <c r="CR122">
        <v>0</v>
      </c>
      <c r="CS122">
        <v>19</v>
      </c>
      <c r="CY122" s="34"/>
    </row>
    <row r="123" spans="1:103" x14ac:dyDescent="0.25">
      <c r="A123">
        <v>122</v>
      </c>
      <c r="B123">
        <v>12</v>
      </c>
      <c r="C123" s="25" t="s">
        <v>139</v>
      </c>
      <c r="D123" s="12">
        <v>5.3</v>
      </c>
      <c r="E123" s="14">
        <v>0.3</v>
      </c>
      <c r="F123" s="7">
        <f t="shared" si="32"/>
        <v>17.666666666666668</v>
      </c>
      <c r="G123" s="7">
        <f t="shared" si="18"/>
        <v>5</v>
      </c>
      <c r="H123" s="16">
        <f t="shared" si="19"/>
        <v>5.6</v>
      </c>
      <c r="I123" s="11">
        <f t="shared" si="23"/>
        <v>0.41240453514173858</v>
      </c>
      <c r="J123" s="33">
        <f t="shared" si="24"/>
        <v>2.3343652932551237E-2</v>
      </c>
      <c r="K123" s="33">
        <f t="shared" si="25"/>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4"/>
        <v>0.27</v>
      </c>
      <c r="AX123" s="18">
        <v>0.73</v>
      </c>
      <c r="AY123" s="18" t="s">
        <v>13</v>
      </c>
      <c r="AZ123">
        <v>0</v>
      </c>
      <c r="BA123">
        <v>1</v>
      </c>
      <c r="BB123">
        <v>0</v>
      </c>
      <c r="BC123">
        <v>0</v>
      </c>
      <c r="BD123">
        <v>0</v>
      </c>
      <c r="BE123">
        <v>0</v>
      </c>
      <c r="BF123" s="18">
        <v>0</v>
      </c>
      <c r="BG123">
        <v>0</v>
      </c>
      <c r="BH123">
        <v>1</v>
      </c>
      <c r="BI123" s="18">
        <v>0</v>
      </c>
      <c r="BJ123">
        <v>1466</v>
      </c>
      <c r="BK123">
        <v>97</v>
      </c>
      <c r="BL123" s="25">
        <v>34.741</v>
      </c>
      <c r="BM123">
        <v>1</v>
      </c>
      <c r="BN123">
        <v>0</v>
      </c>
      <c r="BO123">
        <v>0</v>
      </c>
      <c r="BP123">
        <v>0</v>
      </c>
      <c r="BQ123">
        <v>0</v>
      </c>
      <c r="BR123">
        <v>0</v>
      </c>
      <c r="BS123">
        <v>0</v>
      </c>
      <c r="BT123" s="18">
        <v>0</v>
      </c>
      <c r="BU123">
        <v>0</v>
      </c>
      <c r="BV123">
        <v>0</v>
      </c>
      <c r="BW123">
        <v>1</v>
      </c>
      <c r="BX123" s="18">
        <v>0</v>
      </c>
      <c r="BY123">
        <v>0</v>
      </c>
      <c r="BZ123">
        <v>0</v>
      </c>
      <c r="CA123">
        <v>0</v>
      </c>
      <c r="CB123">
        <v>0</v>
      </c>
      <c r="CC123" s="18">
        <v>0</v>
      </c>
      <c r="CD123">
        <v>1</v>
      </c>
      <c r="CE123">
        <v>1</v>
      </c>
      <c r="CF123">
        <v>1</v>
      </c>
      <c r="CG123">
        <v>1</v>
      </c>
      <c r="CH123">
        <v>0</v>
      </c>
      <c r="CI123">
        <v>0</v>
      </c>
      <c r="CJ123">
        <v>1</v>
      </c>
      <c r="CK123">
        <v>0</v>
      </c>
      <c r="CL123">
        <v>0</v>
      </c>
      <c r="CM123">
        <v>1</v>
      </c>
      <c r="CN123" s="18">
        <v>0</v>
      </c>
      <c r="CO123">
        <v>1.7999999999999999E-2</v>
      </c>
      <c r="CP123">
        <v>23</v>
      </c>
      <c r="CQ123">
        <v>1</v>
      </c>
      <c r="CR123">
        <v>0</v>
      </c>
      <c r="CS123">
        <v>19</v>
      </c>
      <c r="CY123" s="34"/>
    </row>
    <row r="124" spans="1:103" x14ac:dyDescent="0.25">
      <c r="A124">
        <v>123</v>
      </c>
      <c r="B124">
        <v>12</v>
      </c>
      <c r="C124" s="25" t="s">
        <v>139</v>
      </c>
      <c r="D124" s="12">
        <v>-4.3</v>
      </c>
      <c r="E124" s="14">
        <v>3.6</v>
      </c>
      <c r="F124" s="7">
        <f t="shared" si="32"/>
        <v>-1.1944444444444444</v>
      </c>
      <c r="G124" s="7">
        <f t="shared" si="18"/>
        <v>-7.9</v>
      </c>
      <c r="H124" s="16">
        <f t="shared" si="19"/>
        <v>-0.69999999999999973</v>
      </c>
      <c r="I124" s="11">
        <f t="shared" si="23"/>
        <v>-1.7633318655114288E-2</v>
      </c>
      <c r="J124" s="33">
        <f t="shared" si="24"/>
        <v>1.476277840893289E-2</v>
      </c>
      <c r="K124" s="33">
        <f t="shared" si="25"/>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4"/>
        <v>0.32399999999999995</v>
      </c>
      <c r="AX124" s="18">
        <v>0.67600000000000005</v>
      </c>
      <c r="AY124" s="18" t="s">
        <v>13</v>
      </c>
      <c r="AZ124">
        <v>0</v>
      </c>
      <c r="BA124">
        <v>1</v>
      </c>
      <c r="BB124">
        <v>0</v>
      </c>
      <c r="BC124">
        <v>0</v>
      </c>
      <c r="BD124">
        <v>0</v>
      </c>
      <c r="BE124">
        <v>0</v>
      </c>
      <c r="BF124" s="18">
        <v>0</v>
      </c>
      <c r="BG124">
        <v>0</v>
      </c>
      <c r="BH124">
        <v>1</v>
      </c>
      <c r="BI124" s="18">
        <v>0</v>
      </c>
      <c r="BJ124">
        <v>1466</v>
      </c>
      <c r="BK124">
        <v>97</v>
      </c>
      <c r="BL124" s="25">
        <v>35.192</v>
      </c>
      <c r="BM124">
        <v>0</v>
      </c>
      <c r="BN124">
        <v>0</v>
      </c>
      <c r="BO124">
        <v>0</v>
      </c>
      <c r="BP124">
        <v>0</v>
      </c>
      <c r="BQ124">
        <v>0</v>
      </c>
      <c r="BR124">
        <v>0</v>
      </c>
      <c r="BS124">
        <v>0</v>
      </c>
      <c r="BT124" s="18">
        <v>1</v>
      </c>
      <c r="BU124">
        <v>0</v>
      </c>
      <c r="BV124">
        <v>1</v>
      </c>
      <c r="BW124">
        <v>0</v>
      </c>
      <c r="BX124" s="18">
        <v>0</v>
      </c>
      <c r="BY124">
        <v>0</v>
      </c>
      <c r="BZ124">
        <v>0</v>
      </c>
      <c r="CA124">
        <v>0</v>
      </c>
      <c r="CB124">
        <v>0</v>
      </c>
      <c r="CC124" s="18">
        <v>1</v>
      </c>
      <c r="CD124">
        <v>1</v>
      </c>
      <c r="CE124">
        <v>1</v>
      </c>
      <c r="CF124">
        <v>1</v>
      </c>
      <c r="CG124">
        <v>1</v>
      </c>
      <c r="CH124">
        <v>0</v>
      </c>
      <c r="CI124">
        <v>0</v>
      </c>
      <c r="CJ124">
        <v>1</v>
      </c>
      <c r="CK124">
        <v>0</v>
      </c>
      <c r="CL124">
        <v>0</v>
      </c>
      <c r="CM124">
        <v>1</v>
      </c>
      <c r="CN124" s="18">
        <v>0</v>
      </c>
      <c r="CO124">
        <v>1.7999999999999999E-2</v>
      </c>
      <c r="CP124">
        <v>23</v>
      </c>
      <c r="CQ124">
        <v>1</v>
      </c>
      <c r="CR124">
        <v>0</v>
      </c>
      <c r="CS124">
        <v>19</v>
      </c>
      <c r="CY124" s="34"/>
    </row>
    <row r="125" spans="1:103" x14ac:dyDescent="0.25">
      <c r="A125">
        <v>124</v>
      </c>
      <c r="B125">
        <v>12</v>
      </c>
      <c r="C125" s="25" t="s">
        <v>139</v>
      </c>
      <c r="D125" s="12">
        <v>-19.5</v>
      </c>
      <c r="E125" s="14">
        <v>12.6</v>
      </c>
      <c r="F125" s="7">
        <f t="shared" si="32"/>
        <v>-1.5476190476190477</v>
      </c>
      <c r="G125" s="7">
        <f t="shared" si="18"/>
        <v>-32.1</v>
      </c>
      <c r="H125" s="16">
        <f t="shared" si="19"/>
        <v>-6.9</v>
      </c>
      <c r="I125" s="11">
        <f t="shared" si="23"/>
        <v>-2.7979907931522052E-2</v>
      </c>
      <c r="J125" s="33">
        <f t="shared" si="24"/>
        <v>1.8079325124983479E-2</v>
      </c>
      <c r="K125" s="33">
        <f t="shared" si="25"/>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4"/>
        <v>0.35099999999999998</v>
      </c>
      <c r="AX125" s="18">
        <v>0.64900000000000002</v>
      </c>
      <c r="AY125" s="18" t="s">
        <v>13</v>
      </c>
      <c r="AZ125">
        <v>0</v>
      </c>
      <c r="BA125">
        <v>1</v>
      </c>
      <c r="BB125">
        <v>0</v>
      </c>
      <c r="BC125">
        <v>0</v>
      </c>
      <c r="BD125">
        <v>0</v>
      </c>
      <c r="BE125">
        <v>0</v>
      </c>
      <c r="BF125" s="18">
        <v>0</v>
      </c>
      <c r="BG125">
        <v>0</v>
      </c>
      <c r="BH125">
        <v>1</v>
      </c>
      <c r="BI125" s="18">
        <v>0</v>
      </c>
      <c r="BJ125">
        <v>1466</v>
      </c>
      <c r="BK125">
        <v>97</v>
      </c>
      <c r="BL125" s="25">
        <v>35.417000000000002</v>
      </c>
      <c r="BM125">
        <v>0</v>
      </c>
      <c r="BN125">
        <v>0</v>
      </c>
      <c r="BO125">
        <v>0</v>
      </c>
      <c r="BP125">
        <v>0</v>
      </c>
      <c r="BQ125">
        <v>0</v>
      </c>
      <c r="BR125">
        <v>0</v>
      </c>
      <c r="BS125">
        <v>0</v>
      </c>
      <c r="BT125" s="18">
        <v>1</v>
      </c>
      <c r="BU125">
        <v>0</v>
      </c>
      <c r="BV125">
        <v>1</v>
      </c>
      <c r="BW125">
        <v>0</v>
      </c>
      <c r="BX125" s="18">
        <v>0</v>
      </c>
      <c r="BY125">
        <v>0</v>
      </c>
      <c r="BZ125">
        <v>0</v>
      </c>
      <c r="CA125">
        <v>0</v>
      </c>
      <c r="CB125">
        <v>0</v>
      </c>
      <c r="CC125" s="18">
        <v>1</v>
      </c>
      <c r="CD125">
        <v>1</v>
      </c>
      <c r="CE125">
        <v>1</v>
      </c>
      <c r="CF125">
        <v>1</v>
      </c>
      <c r="CG125">
        <v>1</v>
      </c>
      <c r="CH125">
        <v>0</v>
      </c>
      <c r="CI125">
        <v>0</v>
      </c>
      <c r="CJ125">
        <v>1</v>
      </c>
      <c r="CK125">
        <v>0</v>
      </c>
      <c r="CL125">
        <v>0</v>
      </c>
      <c r="CM125">
        <v>1</v>
      </c>
      <c r="CN125" s="18">
        <v>0</v>
      </c>
      <c r="CO125">
        <v>1.7999999999999999E-2</v>
      </c>
      <c r="CP125">
        <v>23</v>
      </c>
      <c r="CQ125">
        <v>1</v>
      </c>
      <c r="CR125">
        <v>0</v>
      </c>
      <c r="CS125">
        <v>19</v>
      </c>
      <c r="CY125" s="34"/>
    </row>
    <row r="126" spans="1:103" x14ac:dyDescent="0.25">
      <c r="A126">
        <v>125</v>
      </c>
      <c r="B126">
        <v>12</v>
      </c>
      <c r="C126" s="25" t="s">
        <v>139</v>
      </c>
      <c r="D126" s="12">
        <v>6.4</v>
      </c>
      <c r="E126" s="14">
        <v>2.6</v>
      </c>
      <c r="F126" s="7">
        <f t="shared" si="32"/>
        <v>2.4615384615384617</v>
      </c>
      <c r="G126" s="7">
        <f t="shared" si="18"/>
        <v>3.8000000000000003</v>
      </c>
      <c r="H126" s="16">
        <f t="shared" si="19"/>
        <v>9</v>
      </c>
      <c r="I126" s="11">
        <f t="shared" si="23"/>
        <v>6.2949818167269231E-2</v>
      </c>
      <c r="J126" s="33">
        <f t="shared" si="24"/>
        <v>2.5573363630453125E-2</v>
      </c>
      <c r="K126" s="33">
        <f t="shared" si="25"/>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4"/>
        <v>0.27</v>
      </c>
      <c r="AX126" s="18">
        <v>0.73</v>
      </c>
      <c r="AY126" s="18" t="s">
        <v>13</v>
      </c>
      <c r="AZ126">
        <v>0</v>
      </c>
      <c r="BA126">
        <v>1</v>
      </c>
      <c r="BB126">
        <v>0</v>
      </c>
      <c r="BC126">
        <v>0</v>
      </c>
      <c r="BD126">
        <v>0</v>
      </c>
      <c r="BE126">
        <v>0</v>
      </c>
      <c r="BF126" s="18">
        <v>0</v>
      </c>
      <c r="BG126">
        <v>0</v>
      </c>
      <c r="BH126">
        <v>1</v>
      </c>
      <c r="BI126" s="18">
        <v>0</v>
      </c>
      <c r="BJ126">
        <v>1466</v>
      </c>
      <c r="BK126">
        <v>97</v>
      </c>
      <c r="BL126" s="25">
        <v>34.741</v>
      </c>
      <c r="BM126">
        <v>0</v>
      </c>
      <c r="BN126">
        <v>0</v>
      </c>
      <c r="BO126">
        <v>0</v>
      </c>
      <c r="BP126">
        <v>0</v>
      </c>
      <c r="BQ126">
        <v>0</v>
      </c>
      <c r="BR126">
        <v>0</v>
      </c>
      <c r="BS126">
        <v>0</v>
      </c>
      <c r="BT126" s="18">
        <v>1</v>
      </c>
      <c r="BU126">
        <v>0</v>
      </c>
      <c r="BV126">
        <v>1</v>
      </c>
      <c r="BW126">
        <v>0</v>
      </c>
      <c r="BX126" s="18">
        <v>0</v>
      </c>
      <c r="BY126">
        <v>0</v>
      </c>
      <c r="BZ126">
        <v>0</v>
      </c>
      <c r="CA126">
        <v>0</v>
      </c>
      <c r="CB126">
        <v>0</v>
      </c>
      <c r="CC126" s="18">
        <v>1</v>
      </c>
      <c r="CD126">
        <v>1</v>
      </c>
      <c r="CE126">
        <v>1</v>
      </c>
      <c r="CF126">
        <v>1</v>
      </c>
      <c r="CG126">
        <v>1</v>
      </c>
      <c r="CH126">
        <v>0</v>
      </c>
      <c r="CI126">
        <v>0</v>
      </c>
      <c r="CJ126">
        <v>1</v>
      </c>
      <c r="CK126">
        <v>0</v>
      </c>
      <c r="CL126">
        <v>0</v>
      </c>
      <c r="CM126">
        <v>1</v>
      </c>
      <c r="CN126" s="18">
        <v>0</v>
      </c>
      <c r="CO126">
        <v>1.7999999999999999E-2</v>
      </c>
      <c r="CP126">
        <v>23</v>
      </c>
      <c r="CQ126">
        <v>1</v>
      </c>
      <c r="CR126">
        <v>0</v>
      </c>
      <c r="CS126">
        <v>19</v>
      </c>
      <c r="CY126" s="34"/>
    </row>
    <row r="127" spans="1:103" x14ac:dyDescent="0.25">
      <c r="A127">
        <v>126</v>
      </c>
      <c r="B127">
        <v>12</v>
      </c>
      <c r="C127" s="25" t="s">
        <v>139</v>
      </c>
      <c r="D127" s="12">
        <v>6.2</v>
      </c>
      <c r="E127" s="14">
        <v>5</v>
      </c>
      <c r="F127" s="7">
        <f t="shared" si="32"/>
        <v>1.24</v>
      </c>
      <c r="G127" s="7">
        <f t="shared" si="18"/>
        <v>1.2000000000000002</v>
      </c>
      <c r="H127" s="16">
        <f t="shared" si="19"/>
        <v>11.2</v>
      </c>
      <c r="I127" s="11">
        <f t="shared" si="23"/>
        <v>1.8305624004556733E-2</v>
      </c>
      <c r="J127" s="33">
        <f t="shared" si="24"/>
        <v>1.4762600003674785E-2</v>
      </c>
      <c r="K127" s="33">
        <f t="shared" si="25"/>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4"/>
        <v>0.32399999999999995</v>
      </c>
      <c r="AX127" s="18">
        <v>0.67600000000000005</v>
      </c>
      <c r="AY127" s="18" t="s">
        <v>13</v>
      </c>
      <c r="AZ127">
        <v>0</v>
      </c>
      <c r="BA127">
        <v>1</v>
      </c>
      <c r="BB127">
        <v>0</v>
      </c>
      <c r="BC127">
        <v>0</v>
      </c>
      <c r="BD127">
        <v>0</v>
      </c>
      <c r="BE127">
        <v>0</v>
      </c>
      <c r="BF127" s="18">
        <v>0</v>
      </c>
      <c r="BG127">
        <v>0</v>
      </c>
      <c r="BH127">
        <v>1</v>
      </c>
      <c r="BI127" s="18">
        <v>0</v>
      </c>
      <c r="BJ127">
        <v>1466</v>
      </c>
      <c r="BK127">
        <v>97</v>
      </c>
      <c r="BL127" s="25">
        <v>35.192</v>
      </c>
      <c r="BM127">
        <v>0</v>
      </c>
      <c r="BN127">
        <v>0</v>
      </c>
      <c r="BO127">
        <v>0</v>
      </c>
      <c r="BP127">
        <v>0</v>
      </c>
      <c r="BQ127">
        <v>0</v>
      </c>
      <c r="BR127">
        <v>0</v>
      </c>
      <c r="BS127">
        <v>0</v>
      </c>
      <c r="BT127" s="18">
        <v>1</v>
      </c>
      <c r="BU127">
        <v>0</v>
      </c>
      <c r="BV127">
        <v>1</v>
      </c>
      <c r="BW127">
        <v>0</v>
      </c>
      <c r="BX127" s="18">
        <v>0</v>
      </c>
      <c r="BY127">
        <v>0</v>
      </c>
      <c r="BZ127">
        <v>0</v>
      </c>
      <c r="CA127">
        <v>0</v>
      </c>
      <c r="CB127">
        <v>0</v>
      </c>
      <c r="CC127" s="18">
        <v>1</v>
      </c>
      <c r="CD127">
        <v>1</v>
      </c>
      <c r="CE127">
        <v>1</v>
      </c>
      <c r="CF127">
        <v>1</v>
      </c>
      <c r="CG127">
        <v>1</v>
      </c>
      <c r="CH127">
        <v>0</v>
      </c>
      <c r="CI127">
        <v>0</v>
      </c>
      <c r="CJ127">
        <v>1</v>
      </c>
      <c r="CK127">
        <v>0</v>
      </c>
      <c r="CL127">
        <v>0</v>
      </c>
      <c r="CM127">
        <v>1</v>
      </c>
      <c r="CN127" s="18">
        <v>1</v>
      </c>
      <c r="CO127">
        <v>1.7999999999999999E-2</v>
      </c>
      <c r="CP127">
        <v>23</v>
      </c>
      <c r="CQ127">
        <v>1</v>
      </c>
      <c r="CR127">
        <v>0</v>
      </c>
      <c r="CS127">
        <v>19</v>
      </c>
      <c r="CY127" s="34"/>
    </row>
    <row r="128" spans="1:103" x14ac:dyDescent="0.25">
      <c r="A128">
        <v>127</v>
      </c>
      <c r="B128">
        <v>12</v>
      </c>
      <c r="C128" s="25" t="s">
        <v>139</v>
      </c>
      <c r="D128" s="12">
        <v>22.1</v>
      </c>
      <c r="E128" s="14">
        <v>17.7</v>
      </c>
      <c r="F128" s="7">
        <f t="shared" si="32"/>
        <v>1.2485875706214691</v>
      </c>
      <c r="G128" s="7">
        <f t="shared" si="18"/>
        <v>4.4000000000000021</v>
      </c>
      <c r="H128" s="16">
        <f t="shared" si="19"/>
        <v>39.799999999999997</v>
      </c>
      <c r="I128" s="11">
        <f t="shared" si="23"/>
        <v>2.257670603186834E-2</v>
      </c>
      <c r="J128" s="33">
        <f t="shared" si="24"/>
        <v>1.8081796233668308E-2</v>
      </c>
      <c r="K128" s="33">
        <f t="shared" si="25"/>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4"/>
        <v>0.35099999999999998</v>
      </c>
      <c r="AX128" s="18">
        <v>0.64900000000000002</v>
      </c>
      <c r="AY128" s="18" t="s">
        <v>13</v>
      </c>
      <c r="AZ128">
        <v>0</v>
      </c>
      <c r="BA128">
        <v>1</v>
      </c>
      <c r="BB128">
        <v>0</v>
      </c>
      <c r="BC128">
        <v>0</v>
      </c>
      <c r="BD128">
        <v>0</v>
      </c>
      <c r="BE128">
        <v>0</v>
      </c>
      <c r="BF128" s="18">
        <v>0</v>
      </c>
      <c r="BG128">
        <v>0</v>
      </c>
      <c r="BH128">
        <v>1</v>
      </c>
      <c r="BI128" s="18">
        <v>0</v>
      </c>
      <c r="BJ128">
        <v>1466</v>
      </c>
      <c r="BK128">
        <v>97</v>
      </c>
      <c r="BL128" s="25">
        <v>35.417000000000002</v>
      </c>
      <c r="BM128">
        <v>0</v>
      </c>
      <c r="BN128">
        <v>0</v>
      </c>
      <c r="BO128">
        <v>0</v>
      </c>
      <c r="BP128">
        <v>0</v>
      </c>
      <c r="BQ128">
        <v>0</v>
      </c>
      <c r="BR128">
        <v>0</v>
      </c>
      <c r="BS128">
        <v>0</v>
      </c>
      <c r="BT128" s="18">
        <v>1</v>
      </c>
      <c r="BU128">
        <v>0</v>
      </c>
      <c r="BV128">
        <v>1</v>
      </c>
      <c r="BW128">
        <v>0</v>
      </c>
      <c r="BX128" s="18">
        <v>0</v>
      </c>
      <c r="BY128">
        <v>0</v>
      </c>
      <c r="BZ128">
        <v>0</v>
      </c>
      <c r="CA128">
        <v>0</v>
      </c>
      <c r="CB128">
        <v>0</v>
      </c>
      <c r="CC128" s="18">
        <v>1</v>
      </c>
      <c r="CD128">
        <v>1</v>
      </c>
      <c r="CE128">
        <v>1</v>
      </c>
      <c r="CF128">
        <v>1</v>
      </c>
      <c r="CG128">
        <v>1</v>
      </c>
      <c r="CH128">
        <v>0</v>
      </c>
      <c r="CI128">
        <v>0</v>
      </c>
      <c r="CJ128">
        <v>1</v>
      </c>
      <c r="CK128">
        <v>0</v>
      </c>
      <c r="CL128">
        <v>0</v>
      </c>
      <c r="CM128">
        <v>1</v>
      </c>
      <c r="CN128" s="18">
        <v>1</v>
      </c>
      <c r="CO128">
        <v>1.7999999999999999E-2</v>
      </c>
      <c r="CP128">
        <v>23</v>
      </c>
      <c r="CQ128">
        <v>1</v>
      </c>
      <c r="CR128">
        <v>0</v>
      </c>
      <c r="CS128">
        <v>19</v>
      </c>
      <c r="CY128" s="34"/>
    </row>
    <row r="129" spans="1:103" x14ac:dyDescent="0.25">
      <c r="A129">
        <v>128</v>
      </c>
      <c r="B129">
        <v>12</v>
      </c>
      <c r="C129" s="25" t="s">
        <v>139</v>
      </c>
      <c r="D129" s="12">
        <v>-6.4</v>
      </c>
      <c r="E129" s="14">
        <v>6.5</v>
      </c>
      <c r="F129" s="7">
        <f t="shared" si="32"/>
        <v>-0.98461538461538467</v>
      </c>
      <c r="G129" s="7">
        <f t="shared" si="18"/>
        <v>-12.9</v>
      </c>
      <c r="H129" s="16">
        <f t="shared" si="19"/>
        <v>9.9999999999999645E-2</v>
      </c>
      <c r="I129" s="11">
        <f t="shared" si="23"/>
        <v>-2.5221939773177167E-2</v>
      </c>
      <c r="J129" s="33">
        <f t="shared" si="24"/>
        <v>2.5616032582133057E-2</v>
      </c>
      <c r="K129" s="33">
        <f t="shared" si="25"/>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4"/>
        <v>0.27</v>
      </c>
      <c r="AX129" s="18">
        <v>0.73</v>
      </c>
      <c r="AY129" s="18" t="s">
        <v>13</v>
      </c>
      <c r="AZ129">
        <v>0</v>
      </c>
      <c r="BA129">
        <v>1</v>
      </c>
      <c r="BB129">
        <v>0</v>
      </c>
      <c r="BC129">
        <v>0</v>
      </c>
      <c r="BD129">
        <v>0</v>
      </c>
      <c r="BE129">
        <v>0</v>
      </c>
      <c r="BF129" s="18">
        <v>0</v>
      </c>
      <c r="BG129">
        <v>0</v>
      </c>
      <c r="BH129">
        <v>1</v>
      </c>
      <c r="BI129" s="18">
        <v>0</v>
      </c>
      <c r="BJ129">
        <v>1466</v>
      </c>
      <c r="BK129">
        <v>97</v>
      </c>
      <c r="BL129" s="25">
        <v>34.741</v>
      </c>
      <c r="BM129">
        <v>0</v>
      </c>
      <c r="BN129">
        <v>0</v>
      </c>
      <c r="BO129">
        <v>0</v>
      </c>
      <c r="BP129">
        <v>0</v>
      </c>
      <c r="BQ129">
        <v>0</v>
      </c>
      <c r="BR129">
        <v>0</v>
      </c>
      <c r="BS129">
        <v>0</v>
      </c>
      <c r="BT129" s="18">
        <v>1</v>
      </c>
      <c r="BU129">
        <v>0</v>
      </c>
      <c r="BV129">
        <v>1</v>
      </c>
      <c r="BW129">
        <v>0</v>
      </c>
      <c r="BX129" s="18">
        <v>0</v>
      </c>
      <c r="BY129">
        <v>0</v>
      </c>
      <c r="BZ129">
        <v>0</v>
      </c>
      <c r="CA129">
        <v>0</v>
      </c>
      <c r="CB129">
        <v>0</v>
      </c>
      <c r="CC129" s="18">
        <v>1</v>
      </c>
      <c r="CD129">
        <v>1</v>
      </c>
      <c r="CE129">
        <v>1</v>
      </c>
      <c r="CF129">
        <v>1</v>
      </c>
      <c r="CG129">
        <v>1</v>
      </c>
      <c r="CH129">
        <v>0</v>
      </c>
      <c r="CI129">
        <v>0</v>
      </c>
      <c r="CJ129">
        <v>1</v>
      </c>
      <c r="CK129">
        <v>0</v>
      </c>
      <c r="CL129">
        <v>0</v>
      </c>
      <c r="CM129">
        <v>1</v>
      </c>
      <c r="CN129" s="18">
        <v>1</v>
      </c>
      <c r="CO129">
        <v>1.7999999999999999E-2</v>
      </c>
      <c r="CP129">
        <v>23</v>
      </c>
      <c r="CQ129">
        <v>1</v>
      </c>
      <c r="CR129">
        <v>0</v>
      </c>
      <c r="CS129">
        <v>19</v>
      </c>
      <c r="CY129" s="34"/>
    </row>
    <row r="130" spans="1:103" x14ac:dyDescent="0.25">
      <c r="A130">
        <v>129</v>
      </c>
      <c r="B130">
        <v>12</v>
      </c>
      <c r="C130" s="25" t="s">
        <v>139</v>
      </c>
      <c r="D130" s="12">
        <v>6.9</v>
      </c>
      <c r="E130" s="14">
        <v>0.4</v>
      </c>
      <c r="F130" s="7">
        <f t="shared" si="32"/>
        <v>17.25</v>
      </c>
      <c r="G130" s="7">
        <f t="shared" ref="G130:G193" si="35">D130-E130</f>
        <v>6.5</v>
      </c>
      <c r="H130" s="16">
        <f t="shared" ref="H130:H193" si="36">D130+E130</f>
        <v>7.3000000000000007</v>
      </c>
      <c r="I130" s="11">
        <f t="shared" si="23"/>
        <v>0.24681767895018253</v>
      </c>
      <c r="J130" s="33">
        <f t="shared" si="24"/>
        <v>1.4308271243488843E-2</v>
      </c>
      <c r="K130" s="33">
        <f t="shared" si="25"/>
        <v>69.889645155773977</v>
      </c>
      <c r="L130" s="8">
        <v>1</v>
      </c>
      <c r="M130" s="9">
        <v>0</v>
      </c>
      <c r="N130" s="8">
        <v>0</v>
      </c>
      <c r="O130" s="9">
        <v>0</v>
      </c>
      <c r="P130" s="9">
        <v>1</v>
      </c>
      <c r="Q130" s="9">
        <v>0</v>
      </c>
      <c r="R130" s="9">
        <v>0</v>
      </c>
      <c r="S130" s="8">
        <v>4596</v>
      </c>
      <c r="T130" s="9">
        <v>8</v>
      </c>
      <c r="U130" s="9">
        <f t="shared" ref="U130:U193" si="37">S130-T130-1</f>
        <v>4587</v>
      </c>
      <c r="V130" s="9">
        <f t="shared" ref="V130:V193" si="38">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4"/>
        <v>0.32399999999999995</v>
      </c>
      <c r="AX130" s="18">
        <v>0.67600000000000005</v>
      </c>
      <c r="AY130" s="18" t="s">
        <v>13</v>
      </c>
      <c r="AZ130">
        <v>0</v>
      </c>
      <c r="BA130">
        <v>1</v>
      </c>
      <c r="BB130">
        <v>0</v>
      </c>
      <c r="BC130">
        <v>0</v>
      </c>
      <c r="BD130">
        <v>0</v>
      </c>
      <c r="BE130">
        <v>0</v>
      </c>
      <c r="BF130" s="18">
        <v>0</v>
      </c>
      <c r="BG130">
        <v>0</v>
      </c>
      <c r="BH130">
        <v>1</v>
      </c>
      <c r="BI130" s="18">
        <v>0</v>
      </c>
      <c r="BJ130">
        <v>1466</v>
      </c>
      <c r="BK130">
        <v>97</v>
      </c>
      <c r="BL130" s="25">
        <v>35.192</v>
      </c>
      <c r="BM130">
        <v>0</v>
      </c>
      <c r="BN130">
        <v>0</v>
      </c>
      <c r="BO130">
        <v>0</v>
      </c>
      <c r="BP130">
        <v>0</v>
      </c>
      <c r="BQ130">
        <v>0</v>
      </c>
      <c r="BR130">
        <v>0</v>
      </c>
      <c r="BS130">
        <v>0</v>
      </c>
      <c r="BT130" s="18">
        <v>1</v>
      </c>
      <c r="BU130">
        <v>0</v>
      </c>
      <c r="BV130">
        <v>1</v>
      </c>
      <c r="BW130">
        <v>0</v>
      </c>
      <c r="BX130" s="18">
        <v>0</v>
      </c>
      <c r="BY130">
        <v>1</v>
      </c>
      <c r="BZ130">
        <v>0</v>
      </c>
      <c r="CA130">
        <v>0</v>
      </c>
      <c r="CB130">
        <v>0</v>
      </c>
      <c r="CC130" s="18">
        <v>0</v>
      </c>
      <c r="CD130">
        <v>1</v>
      </c>
      <c r="CE130">
        <v>1</v>
      </c>
      <c r="CF130">
        <v>1</v>
      </c>
      <c r="CG130">
        <v>1</v>
      </c>
      <c r="CH130">
        <v>0</v>
      </c>
      <c r="CI130">
        <v>0</v>
      </c>
      <c r="CJ130">
        <v>1</v>
      </c>
      <c r="CK130">
        <v>0</v>
      </c>
      <c r="CL130">
        <v>0</v>
      </c>
      <c r="CM130">
        <v>1</v>
      </c>
      <c r="CN130" s="18">
        <v>0</v>
      </c>
      <c r="CO130">
        <v>1.7999999999999999E-2</v>
      </c>
      <c r="CP130">
        <v>23</v>
      </c>
      <c r="CQ130">
        <v>1</v>
      </c>
      <c r="CR130">
        <v>0</v>
      </c>
      <c r="CS130">
        <v>19</v>
      </c>
      <c r="CY130" s="34"/>
    </row>
    <row r="131" spans="1:103" x14ac:dyDescent="0.25">
      <c r="A131">
        <v>130</v>
      </c>
      <c r="B131">
        <v>12</v>
      </c>
      <c r="C131" s="25" t="s">
        <v>139</v>
      </c>
      <c r="D131" s="12">
        <v>6.6</v>
      </c>
      <c r="E131" s="14">
        <v>0.5</v>
      </c>
      <c r="F131" s="7">
        <f t="shared" si="32"/>
        <v>13.2</v>
      </c>
      <c r="G131" s="7">
        <f t="shared" si="35"/>
        <v>6.1</v>
      </c>
      <c r="H131" s="16">
        <f t="shared" si="36"/>
        <v>7.1</v>
      </c>
      <c r="I131" s="11">
        <f t="shared" si="23"/>
        <v>0.23221449381289103</v>
      </c>
      <c r="J131" s="33">
        <f t="shared" si="24"/>
        <v>1.7592007107037198E-2</v>
      </c>
      <c r="K131" s="33">
        <f t="shared" si="25"/>
        <v>56.843997044542888</v>
      </c>
      <c r="L131" s="8">
        <v>1</v>
      </c>
      <c r="M131" s="9">
        <v>0</v>
      </c>
      <c r="N131" s="8">
        <v>0</v>
      </c>
      <c r="O131" s="9">
        <v>0</v>
      </c>
      <c r="P131" s="9">
        <v>1</v>
      </c>
      <c r="Q131" s="9">
        <v>0</v>
      </c>
      <c r="R131" s="9">
        <v>0</v>
      </c>
      <c r="S131" s="8">
        <v>3065</v>
      </c>
      <c r="T131" s="9">
        <v>7</v>
      </c>
      <c r="U131" s="9">
        <f t="shared" si="37"/>
        <v>3057</v>
      </c>
      <c r="V131" s="9">
        <f t="shared" si="38"/>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4"/>
        <v>0.35099999999999998</v>
      </c>
      <c r="AX131" s="18">
        <v>0.64900000000000002</v>
      </c>
      <c r="AY131" s="18" t="s">
        <v>13</v>
      </c>
      <c r="AZ131">
        <v>0</v>
      </c>
      <c r="BA131">
        <v>1</v>
      </c>
      <c r="BB131">
        <v>0</v>
      </c>
      <c r="BC131">
        <v>0</v>
      </c>
      <c r="BD131">
        <v>0</v>
      </c>
      <c r="BE131">
        <v>0</v>
      </c>
      <c r="BF131" s="18">
        <v>0</v>
      </c>
      <c r="BG131">
        <v>0</v>
      </c>
      <c r="BH131">
        <v>1</v>
      </c>
      <c r="BI131" s="18">
        <v>0</v>
      </c>
      <c r="BJ131">
        <v>1466</v>
      </c>
      <c r="BK131">
        <v>97</v>
      </c>
      <c r="BL131" s="25">
        <v>35.417000000000002</v>
      </c>
      <c r="BM131">
        <v>0</v>
      </c>
      <c r="BN131">
        <v>0</v>
      </c>
      <c r="BO131">
        <v>0</v>
      </c>
      <c r="BP131">
        <v>0</v>
      </c>
      <c r="BQ131">
        <v>0</v>
      </c>
      <c r="BR131">
        <v>0</v>
      </c>
      <c r="BS131">
        <v>0</v>
      </c>
      <c r="BT131" s="18">
        <v>1</v>
      </c>
      <c r="BU131">
        <v>0</v>
      </c>
      <c r="BV131">
        <v>1</v>
      </c>
      <c r="BW131">
        <v>0</v>
      </c>
      <c r="BX131" s="18">
        <v>0</v>
      </c>
      <c r="BY131">
        <v>1</v>
      </c>
      <c r="BZ131">
        <v>0</v>
      </c>
      <c r="CA131">
        <v>0</v>
      </c>
      <c r="CB131">
        <v>0</v>
      </c>
      <c r="CC131" s="18">
        <v>0</v>
      </c>
      <c r="CD131">
        <v>1</v>
      </c>
      <c r="CE131">
        <v>1</v>
      </c>
      <c r="CF131">
        <v>1</v>
      </c>
      <c r="CG131">
        <v>1</v>
      </c>
      <c r="CH131">
        <v>0</v>
      </c>
      <c r="CI131">
        <v>0</v>
      </c>
      <c r="CJ131">
        <v>1</v>
      </c>
      <c r="CK131">
        <v>0</v>
      </c>
      <c r="CL131">
        <v>0</v>
      </c>
      <c r="CM131">
        <v>1</v>
      </c>
      <c r="CN131" s="18">
        <v>0</v>
      </c>
      <c r="CO131">
        <v>1.7999999999999999E-2</v>
      </c>
      <c r="CP131">
        <v>23</v>
      </c>
      <c r="CQ131">
        <v>1</v>
      </c>
      <c r="CR131">
        <v>0</v>
      </c>
      <c r="CS131">
        <v>19</v>
      </c>
      <c r="CY131" s="34"/>
    </row>
    <row r="132" spans="1:103" x14ac:dyDescent="0.25">
      <c r="A132">
        <v>131</v>
      </c>
      <c r="B132">
        <v>12</v>
      </c>
      <c r="C132" s="25" t="s">
        <v>139</v>
      </c>
      <c r="D132" s="12">
        <v>7.4</v>
      </c>
      <c r="E132" s="14">
        <v>0.5</v>
      </c>
      <c r="F132" s="7">
        <f t="shared" si="32"/>
        <v>14.8</v>
      </c>
      <c r="G132" s="7">
        <f t="shared" si="35"/>
        <v>6.9</v>
      </c>
      <c r="H132" s="16">
        <f t="shared" si="36"/>
        <v>7.9</v>
      </c>
      <c r="I132" s="11">
        <f t="shared" si="23"/>
        <v>0.35459503793303371</v>
      </c>
      <c r="J132" s="33">
        <f t="shared" si="24"/>
        <v>2.3959124184664435E-2</v>
      </c>
      <c r="K132" s="33">
        <f t="shared" si="25"/>
        <v>41.737752694652841</v>
      </c>
      <c r="L132" s="8">
        <v>1</v>
      </c>
      <c r="M132" s="9">
        <v>0</v>
      </c>
      <c r="N132" s="8">
        <v>0</v>
      </c>
      <c r="O132" s="9">
        <v>0</v>
      </c>
      <c r="P132" s="9">
        <v>1</v>
      </c>
      <c r="Q132" s="9">
        <v>0</v>
      </c>
      <c r="R132" s="9">
        <v>0</v>
      </c>
      <c r="S132" s="8">
        <v>1531</v>
      </c>
      <c r="T132" s="9">
        <v>7</v>
      </c>
      <c r="U132" s="9">
        <f t="shared" si="37"/>
        <v>1523</v>
      </c>
      <c r="V132" s="9">
        <f t="shared" si="38"/>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4"/>
        <v>0.27</v>
      </c>
      <c r="AX132" s="18">
        <v>0.73</v>
      </c>
      <c r="AY132" s="18" t="s">
        <v>13</v>
      </c>
      <c r="AZ132">
        <v>0</v>
      </c>
      <c r="BA132">
        <v>1</v>
      </c>
      <c r="BB132">
        <v>0</v>
      </c>
      <c r="BC132">
        <v>0</v>
      </c>
      <c r="BD132">
        <v>0</v>
      </c>
      <c r="BE132">
        <v>0</v>
      </c>
      <c r="BF132" s="18">
        <v>0</v>
      </c>
      <c r="BG132">
        <v>0</v>
      </c>
      <c r="BH132">
        <v>1</v>
      </c>
      <c r="BI132" s="18">
        <v>0</v>
      </c>
      <c r="BJ132">
        <v>1466</v>
      </c>
      <c r="BK132">
        <v>97</v>
      </c>
      <c r="BL132" s="25">
        <v>34.741</v>
      </c>
      <c r="BM132">
        <v>0</v>
      </c>
      <c r="BN132">
        <v>0</v>
      </c>
      <c r="BO132">
        <v>0</v>
      </c>
      <c r="BP132">
        <v>0</v>
      </c>
      <c r="BQ132">
        <v>0</v>
      </c>
      <c r="BR132">
        <v>0</v>
      </c>
      <c r="BS132">
        <v>0</v>
      </c>
      <c r="BT132" s="18">
        <v>1</v>
      </c>
      <c r="BU132">
        <v>0</v>
      </c>
      <c r="BV132">
        <v>1</v>
      </c>
      <c r="BW132">
        <v>0</v>
      </c>
      <c r="BX132" s="18">
        <v>0</v>
      </c>
      <c r="BY132">
        <v>1</v>
      </c>
      <c r="BZ132">
        <v>0</v>
      </c>
      <c r="CA132">
        <v>0</v>
      </c>
      <c r="CB132">
        <v>0</v>
      </c>
      <c r="CC132" s="18">
        <v>0</v>
      </c>
      <c r="CD132">
        <v>1</v>
      </c>
      <c r="CE132">
        <v>1</v>
      </c>
      <c r="CF132">
        <v>1</v>
      </c>
      <c r="CG132">
        <v>1</v>
      </c>
      <c r="CH132">
        <v>0</v>
      </c>
      <c r="CI132">
        <v>0</v>
      </c>
      <c r="CJ132">
        <v>1</v>
      </c>
      <c r="CK132">
        <v>0</v>
      </c>
      <c r="CL132">
        <v>0</v>
      </c>
      <c r="CM132">
        <v>1</v>
      </c>
      <c r="CN132" s="18">
        <v>0</v>
      </c>
      <c r="CO132">
        <v>1.7999999999999999E-2</v>
      </c>
      <c r="CP132">
        <v>23</v>
      </c>
      <c r="CQ132">
        <v>1</v>
      </c>
      <c r="CR132">
        <v>0</v>
      </c>
      <c r="CS132">
        <v>19</v>
      </c>
      <c r="CY132" s="34"/>
    </row>
    <row r="133" spans="1:103" x14ac:dyDescent="0.25">
      <c r="A133">
        <v>132</v>
      </c>
      <c r="B133">
        <v>12</v>
      </c>
      <c r="C133" s="25" t="s">
        <v>139</v>
      </c>
      <c r="D133" s="12">
        <v>6.2</v>
      </c>
      <c r="E133" s="14">
        <v>0.6</v>
      </c>
      <c r="F133" s="7">
        <f t="shared" si="32"/>
        <v>10.333333333333334</v>
      </c>
      <c r="G133" s="7">
        <f t="shared" si="35"/>
        <v>5.6000000000000005</v>
      </c>
      <c r="H133" s="16">
        <f t="shared" si="36"/>
        <v>6.8</v>
      </c>
      <c r="I133" s="11">
        <f t="shared" si="23"/>
        <v>0.15082702916904969</v>
      </c>
      <c r="J133" s="33">
        <f t="shared" si="24"/>
        <v>1.4596164113133841E-2</v>
      </c>
      <c r="K133" s="33">
        <f t="shared" si="25"/>
        <v>68.511150755025113</v>
      </c>
      <c r="L133" s="8">
        <v>1</v>
      </c>
      <c r="M133" s="9">
        <v>0</v>
      </c>
      <c r="N133" s="8">
        <v>0</v>
      </c>
      <c r="O133" s="9">
        <v>0</v>
      </c>
      <c r="P133" s="9">
        <v>1</v>
      </c>
      <c r="Q133" s="9">
        <v>0</v>
      </c>
      <c r="R133" s="9">
        <v>0</v>
      </c>
      <c r="S133" s="8">
        <v>4596</v>
      </c>
      <c r="T133" s="9">
        <v>8</v>
      </c>
      <c r="U133" s="9">
        <f t="shared" si="37"/>
        <v>4587</v>
      </c>
      <c r="V133" s="9">
        <f t="shared" si="38"/>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4"/>
        <v>0.32399999999999995</v>
      </c>
      <c r="AX133" s="18">
        <v>0.67600000000000005</v>
      </c>
      <c r="AY133" s="18" t="s">
        <v>13</v>
      </c>
      <c r="AZ133">
        <v>0</v>
      </c>
      <c r="BA133">
        <v>1</v>
      </c>
      <c r="BB133">
        <v>0</v>
      </c>
      <c r="BC133">
        <v>0</v>
      </c>
      <c r="BD133">
        <v>0</v>
      </c>
      <c r="BE133">
        <v>0</v>
      </c>
      <c r="BF133" s="18">
        <v>0</v>
      </c>
      <c r="BG133">
        <v>0</v>
      </c>
      <c r="BH133">
        <v>1</v>
      </c>
      <c r="BI133" s="18">
        <v>0</v>
      </c>
      <c r="BJ133">
        <v>1466</v>
      </c>
      <c r="BK133">
        <v>97</v>
      </c>
      <c r="BL133" s="25">
        <v>35.192</v>
      </c>
      <c r="BM133">
        <v>0</v>
      </c>
      <c r="BN133">
        <v>0</v>
      </c>
      <c r="BO133">
        <v>0</v>
      </c>
      <c r="BP133">
        <v>0</v>
      </c>
      <c r="BQ133">
        <v>0</v>
      </c>
      <c r="BR133">
        <v>0</v>
      </c>
      <c r="BS133">
        <v>0</v>
      </c>
      <c r="BT133" s="18">
        <v>1</v>
      </c>
      <c r="BU133">
        <v>0</v>
      </c>
      <c r="BV133">
        <v>1</v>
      </c>
      <c r="BW133">
        <v>0</v>
      </c>
      <c r="BX133" s="18">
        <v>0</v>
      </c>
      <c r="BY133">
        <v>0</v>
      </c>
      <c r="BZ133">
        <v>0</v>
      </c>
      <c r="CA133">
        <v>0</v>
      </c>
      <c r="CB133">
        <v>0</v>
      </c>
      <c r="CC133" s="18">
        <v>1</v>
      </c>
      <c r="CD133">
        <v>1</v>
      </c>
      <c r="CE133">
        <v>1</v>
      </c>
      <c r="CF133">
        <v>1</v>
      </c>
      <c r="CG133">
        <v>1</v>
      </c>
      <c r="CH133">
        <v>0</v>
      </c>
      <c r="CI133">
        <v>0</v>
      </c>
      <c r="CJ133">
        <v>1</v>
      </c>
      <c r="CK133">
        <v>0</v>
      </c>
      <c r="CL133">
        <v>0</v>
      </c>
      <c r="CM133">
        <v>1</v>
      </c>
      <c r="CN133" s="18">
        <v>0</v>
      </c>
      <c r="CO133">
        <v>1.7999999999999999E-2</v>
      </c>
      <c r="CP133">
        <v>23</v>
      </c>
      <c r="CQ133">
        <v>1</v>
      </c>
      <c r="CR133">
        <v>0</v>
      </c>
      <c r="CS133">
        <v>19</v>
      </c>
      <c r="CY133" s="34"/>
    </row>
    <row r="134" spans="1:103" x14ac:dyDescent="0.25">
      <c r="A134">
        <v>133</v>
      </c>
      <c r="B134">
        <v>12</v>
      </c>
      <c r="C134" s="25" t="s">
        <v>139</v>
      </c>
      <c r="D134" s="12">
        <v>6</v>
      </c>
      <c r="E134" s="14">
        <v>0.7</v>
      </c>
      <c r="F134" s="7">
        <f t="shared" si="32"/>
        <v>8.5714285714285712</v>
      </c>
      <c r="G134" s="7">
        <f t="shared" si="35"/>
        <v>5.3</v>
      </c>
      <c r="H134" s="16">
        <f t="shared" si="36"/>
        <v>6.7</v>
      </c>
      <c r="I134" s="11">
        <f t="shared" si="23"/>
        <v>0.15319637175030965</v>
      </c>
      <c r="J134" s="33">
        <f t="shared" si="24"/>
        <v>1.7872910037536129E-2</v>
      </c>
      <c r="K134" s="33">
        <f t="shared" si="25"/>
        <v>55.950597742607734</v>
      </c>
      <c r="L134" s="8">
        <v>1</v>
      </c>
      <c r="M134" s="9">
        <v>0</v>
      </c>
      <c r="N134" s="8">
        <v>0</v>
      </c>
      <c r="O134" s="9">
        <v>0</v>
      </c>
      <c r="P134" s="9">
        <v>1</v>
      </c>
      <c r="Q134" s="9">
        <v>0</v>
      </c>
      <c r="R134" s="9">
        <v>0</v>
      </c>
      <c r="S134" s="8">
        <v>3065</v>
      </c>
      <c r="T134" s="9">
        <v>7</v>
      </c>
      <c r="U134" s="9">
        <f t="shared" si="37"/>
        <v>3057</v>
      </c>
      <c r="V134" s="9">
        <f t="shared" si="38"/>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4"/>
        <v>0.35099999999999998</v>
      </c>
      <c r="AX134" s="18">
        <v>0.64900000000000002</v>
      </c>
      <c r="AY134" s="18" t="s">
        <v>13</v>
      </c>
      <c r="AZ134">
        <v>0</v>
      </c>
      <c r="BA134">
        <v>1</v>
      </c>
      <c r="BB134">
        <v>0</v>
      </c>
      <c r="BC134">
        <v>0</v>
      </c>
      <c r="BD134">
        <v>0</v>
      </c>
      <c r="BE134">
        <v>0</v>
      </c>
      <c r="BF134" s="18">
        <v>0</v>
      </c>
      <c r="BG134">
        <v>0</v>
      </c>
      <c r="BH134">
        <v>1</v>
      </c>
      <c r="BI134" s="18">
        <v>0</v>
      </c>
      <c r="BJ134">
        <v>1466</v>
      </c>
      <c r="BK134">
        <v>97</v>
      </c>
      <c r="BL134" s="25">
        <v>35.417000000000002</v>
      </c>
      <c r="BM134">
        <v>0</v>
      </c>
      <c r="BN134">
        <v>0</v>
      </c>
      <c r="BO134">
        <v>0</v>
      </c>
      <c r="BP134">
        <v>0</v>
      </c>
      <c r="BQ134">
        <v>0</v>
      </c>
      <c r="BR134">
        <v>0</v>
      </c>
      <c r="BS134">
        <v>0</v>
      </c>
      <c r="BT134" s="18">
        <v>1</v>
      </c>
      <c r="BU134">
        <v>0</v>
      </c>
      <c r="BV134">
        <v>1</v>
      </c>
      <c r="BW134">
        <v>0</v>
      </c>
      <c r="BX134" s="18">
        <v>0</v>
      </c>
      <c r="BY134">
        <v>0</v>
      </c>
      <c r="BZ134">
        <v>0</v>
      </c>
      <c r="CA134">
        <v>0</v>
      </c>
      <c r="CB134">
        <v>0</v>
      </c>
      <c r="CC134" s="18">
        <v>1</v>
      </c>
      <c r="CD134">
        <v>1</v>
      </c>
      <c r="CE134">
        <v>1</v>
      </c>
      <c r="CF134">
        <v>1</v>
      </c>
      <c r="CG134">
        <v>1</v>
      </c>
      <c r="CH134">
        <v>0</v>
      </c>
      <c r="CI134">
        <v>0</v>
      </c>
      <c r="CJ134">
        <v>1</v>
      </c>
      <c r="CK134">
        <v>0</v>
      </c>
      <c r="CL134">
        <v>0</v>
      </c>
      <c r="CM134">
        <v>1</v>
      </c>
      <c r="CN134" s="18">
        <v>0</v>
      </c>
      <c r="CO134">
        <v>1.7999999999999999E-2</v>
      </c>
      <c r="CP134">
        <v>23</v>
      </c>
      <c r="CQ134">
        <v>1</v>
      </c>
      <c r="CR134">
        <v>0</v>
      </c>
      <c r="CS134">
        <v>19</v>
      </c>
      <c r="CY134" s="34"/>
    </row>
    <row r="135" spans="1:103" s="51" customFormat="1" x14ac:dyDescent="0.25">
      <c r="A135" s="51">
        <v>134</v>
      </c>
      <c r="B135" s="51">
        <v>12</v>
      </c>
      <c r="C135" s="52" t="s">
        <v>139</v>
      </c>
      <c r="D135" s="53">
        <v>6.6</v>
      </c>
      <c r="E135" s="54">
        <v>0.8</v>
      </c>
      <c r="F135" s="55">
        <f t="shared" si="32"/>
        <v>8.2499999999999982</v>
      </c>
      <c r="G135" s="55">
        <f t="shared" si="35"/>
        <v>5.8</v>
      </c>
      <c r="H135" s="56">
        <f t="shared" si="36"/>
        <v>7.3999999999999995</v>
      </c>
      <c r="I135" s="11">
        <f t="shared" si="23"/>
        <v>0.20682847442746988</v>
      </c>
      <c r="J135" s="33">
        <f t="shared" si="24"/>
        <v>2.5070118112420596E-2</v>
      </c>
      <c r="K135" s="33">
        <f t="shared" si="25"/>
        <v>39.888124799243194</v>
      </c>
      <c r="L135" s="59">
        <v>1</v>
      </c>
      <c r="M135" s="60">
        <v>0</v>
      </c>
      <c r="N135" s="59">
        <v>0</v>
      </c>
      <c r="O135" s="60">
        <v>0</v>
      </c>
      <c r="P135" s="60">
        <v>1</v>
      </c>
      <c r="Q135" s="60">
        <v>0</v>
      </c>
      <c r="R135" s="60">
        <v>0</v>
      </c>
      <c r="S135" s="59">
        <v>1531</v>
      </c>
      <c r="T135" s="60">
        <v>7</v>
      </c>
      <c r="U135" s="60">
        <f t="shared" si="37"/>
        <v>1523</v>
      </c>
      <c r="V135" s="60">
        <f t="shared" si="38"/>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4"/>
        <v>0.27</v>
      </c>
      <c r="AX135" s="65">
        <v>0.73</v>
      </c>
      <c r="AY135" s="65" t="s">
        <v>13</v>
      </c>
      <c r="AZ135">
        <v>0</v>
      </c>
      <c r="BA135">
        <v>1</v>
      </c>
      <c r="BB135">
        <v>0</v>
      </c>
      <c r="BC135">
        <v>0</v>
      </c>
      <c r="BD135">
        <v>0</v>
      </c>
      <c r="BE135">
        <v>0</v>
      </c>
      <c r="BF135" s="65">
        <v>0</v>
      </c>
      <c r="BG135">
        <v>0</v>
      </c>
      <c r="BH135">
        <v>1</v>
      </c>
      <c r="BI135" s="65">
        <v>0</v>
      </c>
      <c r="BJ135">
        <v>1466</v>
      </c>
      <c r="BK135">
        <v>97</v>
      </c>
      <c r="BL135" s="52">
        <v>34.741</v>
      </c>
      <c r="BM135" s="51">
        <v>0</v>
      </c>
      <c r="BN135" s="51">
        <v>0</v>
      </c>
      <c r="BO135" s="51">
        <v>0</v>
      </c>
      <c r="BP135" s="51">
        <v>0</v>
      </c>
      <c r="BQ135" s="51">
        <v>0</v>
      </c>
      <c r="BR135" s="51">
        <v>0</v>
      </c>
      <c r="BS135" s="51">
        <v>0</v>
      </c>
      <c r="BT135" s="65">
        <v>1</v>
      </c>
      <c r="BU135" s="51">
        <v>0</v>
      </c>
      <c r="BV135" s="51">
        <v>1</v>
      </c>
      <c r="BW135" s="51">
        <v>0</v>
      </c>
      <c r="BX135" s="65">
        <v>0</v>
      </c>
      <c r="BY135" s="51">
        <v>0</v>
      </c>
      <c r="BZ135" s="51">
        <v>0</v>
      </c>
      <c r="CA135" s="51">
        <v>0</v>
      </c>
      <c r="CB135" s="51">
        <v>0</v>
      </c>
      <c r="CC135" s="65">
        <v>1</v>
      </c>
      <c r="CD135" s="51">
        <v>1</v>
      </c>
      <c r="CE135" s="51">
        <v>1</v>
      </c>
      <c r="CF135" s="51">
        <v>1</v>
      </c>
      <c r="CG135" s="51">
        <v>1</v>
      </c>
      <c r="CH135" s="51">
        <v>0</v>
      </c>
      <c r="CI135" s="51">
        <v>0</v>
      </c>
      <c r="CJ135" s="51">
        <v>1</v>
      </c>
      <c r="CK135" s="51">
        <v>0</v>
      </c>
      <c r="CL135" s="51">
        <v>0</v>
      </c>
      <c r="CM135" s="51">
        <v>1</v>
      </c>
      <c r="CN135" s="65">
        <v>0</v>
      </c>
      <c r="CO135">
        <v>1.7999999999999999E-2</v>
      </c>
      <c r="CP135">
        <v>23</v>
      </c>
      <c r="CQ135">
        <v>1</v>
      </c>
      <c r="CR135">
        <v>0</v>
      </c>
      <c r="CS135">
        <v>19</v>
      </c>
      <c r="CT135" s="67"/>
      <c r="CY135" s="67"/>
    </row>
    <row r="136" spans="1:103" x14ac:dyDescent="0.25">
      <c r="A136">
        <v>135</v>
      </c>
      <c r="B136">
        <v>13</v>
      </c>
      <c r="C136" s="25" t="s">
        <v>140</v>
      </c>
      <c r="D136" s="12">
        <v>5.51</v>
      </c>
      <c r="E136" s="14">
        <v>0.253</v>
      </c>
      <c r="F136" s="7">
        <f t="shared" si="32"/>
        <v>21.778656126482211</v>
      </c>
      <c r="G136" s="7">
        <f t="shared" si="35"/>
        <v>5.2569999999999997</v>
      </c>
      <c r="H136" s="16">
        <f t="shared" si="36"/>
        <v>5.7629999999999999</v>
      </c>
      <c r="I136" s="11">
        <f t="shared" ref="I136:I199" si="39">IFERROR(F136/SQRT(F136^2+U136), "X")</f>
        <v>0.295080178546265</v>
      </c>
      <c r="J136" s="33">
        <f t="shared" ref="J136:J199" si="40">IFERROR(SQRT((1-I136^2)/U136), "X")</f>
        <v>1.354905357027315E-2</v>
      </c>
      <c r="K136" s="33">
        <f t="shared" ref="K136:K199" si="41">IFERROR(1/J136, "X")</f>
        <v>73.805893143268449</v>
      </c>
      <c r="L136" s="8">
        <v>1</v>
      </c>
      <c r="M136" s="9">
        <v>0</v>
      </c>
      <c r="N136" s="8">
        <v>0</v>
      </c>
      <c r="O136" s="9">
        <v>0</v>
      </c>
      <c r="P136" s="9">
        <v>1</v>
      </c>
      <c r="Q136" s="9">
        <v>0</v>
      </c>
      <c r="R136" s="9">
        <v>0</v>
      </c>
      <c r="S136" s="8">
        <v>4979</v>
      </c>
      <c r="T136" s="9">
        <v>5</v>
      </c>
      <c r="U136" s="9">
        <f t="shared" si="37"/>
        <v>4973</v>
      </c>
      <c r="V136" s="9">
        <f t="shared" si="38"/>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v>0</v>
      </c>
      <c r="BF136" s="18">
        <v>1</v>
      </c>
      <c r="BG136">
        <v>0</v>
      </c>
      <c r="BH136">
        <v>1</v>
      </c>
      <c r="BI136" s="18">
        <v>0</v>
      </c>
      <c r="BJ136">
        <v>2172</v>
      </c>
      <c r="BK136">
        <v>70</v>
      </c>
      <c r="BL136" s="25">
        <v>43</v>
      </c>
      <c r="BM136">
        <v>1</v>
      </c>
      <c r="BN136">
        <v>0</v>
      </c>
      <c r="BO136">
        <v>0</v>
      </c>
      <c r="BP136">
        <v>0</v>
      </c>
      <c r="BQ136">
        <v>0</v>
      </c>
      <c r="BR136">
        <v>0</v>
      </c>
      <c r="BS136">
        <v>0</v>
      </c>
      <c r="BT136" s="18">
        <v>0</v>
      </c>
      <c r="BU136">
        <v>0</v>
      </c>
      <c r="BV136">
        <v>0</v>
      </c>
      <c r="BW136">
        <v>1</v>
      </c>
      <c r="BX136" s="18">
        <v>0</v>
      </c>
      <c r="BY136">
        <v>0</v>
      </c>
      <c r="BZ136">
        <v>0</v>
      </c>
      <c r="CA136">
        <v>0</v>
      </c>
      <c r="CB136">
        <v>0</v>
      </c>
      <c r="CC136" s="18">
        <v>0</v>
      </c>
      <c r="CD136">
        <v>0</v>
      </c>
      <c r="CE136">
        <v>0</v>
      </c>
      <c r="CF136">
        <v>0</v>
      </c>
      <c r="CG136">
        <v>1</v>
      </c>
      <c r="CH136">
        <v>0</v>
      </c>
      <c r="CI136">
        <v>0</v>
      </c>
      <c r="CJ136">
        <v>1</v>
      </c>
      <c r="CK136">
        <v>0</v>
      </c>
      <c r="CL136">
        <v>1</v>
      </c>
      <c r="CM136">
        <v>1</v>
      </c>
      <c r="CN136" s="18">
        <v>0</v>
      </c>
      <c r="CO136">
        <v>0.14599999999999999</v>
      </c>
      <c r="CP136">
        <v>3</v>
      </c>
      <c r="CQ136">
        <v>1</v>
      </c>
      <c r="CR136">
        <v>0</v>
      </c>
      <c r="CS136">
        <v>18</v>
      </c>
      <c r="CY136" s="34"/>
    </row>
    <row r="137" spans="1:103" x14ac:dyDescent="0.25">
      <c r="A137">
        <v>136</v>
      </c>
      <c r="B137">
        <v>13</v>
      </c>
      <c r="C137" s="25" t="s">
        <v>140</v>
      </c>
      <c r="D137" s="12">
        <v>4.8840854459892276</v>
      </c>
      <c r="E137" s="14">
        <f t="shared" ref="E137:E142" si="42">D137/F137</f>
        <v>1.1482677169217248</v>
      </c>
      <c r="F137" s="7">
        <v>4.2534379169715582</v>
      </c>
      <c r="G137" s="7">
        <f t="shared" si="35"/>
        <v>3.7358177290675028</v>
      </c>
      <c r="H137" s="16">
        <f t="shared" si="36"/>
        <v>6.0323531629109528</v>
      </c>
      <c r="I137" s="11">
        <f t="shared" si="39"/>
        <v>6.0224455523967213E-2</v>
      </c>
      <c r="J137" s="33">
        <f t="shared" si="40"/>
        <v>1.4159006596444444E-2</v>
      </c>
      <c r="K137" s="33">
        <f t="shared" si="41"/>
        <v>70.626423766983493</v>
      </c>
      <c r="L137" s="8">
        <v>1</v>
      </c>
      <c r="M137" s="9">
        <v>0</v>
      </c>
      <c r="N137" s="8">
        <v>0</v>
      </c>
      <c r="O137" s="9">
        <v>0</v>
      </c>
      <c r="P137" s="9">
        <v>1</v>
      </c>
      <c r="Q137" s="9">
        <v>0</v>
      </c>
      <c r="R137" s="9">
        <v>0</v>
      </c>
      <c r="S137" s="8">
        <v>4979</v>
      </c>
      <c r="T137" s="9">
        <v>8</v>
      </c>
      <c r="U137" s="9">
        <f t="shared" si="37"/>
        <v>4970</v>
      </c>
      <c r="V137" s="9">
        <f t="shared" si="38"/>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v>0</v>
      </c>
      <c r="BF137" s="18">
        <v>1</v>
      </c>
      <c r="BG137">
        <v>0</v>
      </c>
      <c r="BH137">
        <v>1</v>
      </c>
      <c r="BI137" s="18">
        <v>0</v>
      </c>
      <c r="BJ137">
        <v>2172</v>
      </c>
      <c r="BK137">
        <v>70</v>
      </c>
      <c r="BL137" s="25">
        <v>43</v>
      </c>
      <c r="BM137">
        <v>1</v>
      </c>
      <c r="BN137">
        <v>0</v>
      </c>
      <c r="BO137">
        <v>0</v>
      </c>
      <c r="BP137">
        <v>0</v>
      </c>
      <c r="BQ137">
        <v>0</v>
      </c>
      <c r="BR137">
        <v>0</v>
      </c>
      <c r="BS137">
        <v>0</v>
      </c>
      <c r="BT137" s="18">
        <v>0</v>
      </c>
      <c r="BU137">
        <v>0</v>
      </c>
      <c r="BV137">
        <v>0</v>
      </c>
      <c r="BW137">
        <v>1</v>
      </c>
      <c r="BX137" s="18">
        <v>0</v>
      </c>
      <c r="BY137">
        <v>0</v>
      </c>
      <c r="BZ137">
        <v>0</v>
      </c>
      <c r="CA137">
        <v>0</v>
      </c>
      <c r="CB137">
        <v>0</v>
      </c>
      <c r="CC137" s="18">
        <v>0</v>
      </c>
      <c r="CD137">
        <v>0</v>
      </c>
      <c r="CE137">
        <v>0</v>
      </c>
      <c r="CF137">
        <v>0</v>
      </c>
      <c r="CG137">
        <v>1</v>
      </c>
      <c r="CH137">
        <v>0</v>
      </c>
      <c r="CI137">
        <v>0</v>
      </c>
      <c r="CJ137">
        <v>1</v>
      </c>
      <c r="CK137">
        <v>0</v>
      </c>
      <c r="CL137">
        <v>1</v>
      </c>
      <c r="CM137">
        <v>1</v>
      </c>
      <c r="CN137" s="18">
        <v>0</v>
      </c>
      <c r="CO137">
        <v>0.14599999999999999</v>
      </c>
      <c r="CP137">
        <v>3</v>
      </c>
      <c r="CQ137">
        <v>1</v>
      </c>
      <c r="CR137">
        <v>0</v>
      </c>
      <c r="CS137">
        <v>18</v>
      </c>
      <c r="CY137" s="34"/>
    </row>
    <row r="138" spans="1:103" x14ac:dyDescent="0.25">
      <c r="A138">
        <v>137</v>
      </c>
      <c r="B138">
        <v>13</v>
      </c>
      <c r="C138" s="25" t="s">
        <v>140</v>
      </c>
      <c r="D138" s="12">
        <v>5.5730247103205288</v>
      </c>
      <c r="E138" s="14">
        <f t="shared" si="42"/>
        <v>0.89784986733651528</v>
      </c>
      <c r="F138" s="7">
        <v>6.2070786142153009</v>
      </c>
      <c r="G138" s="7">
        <f t="shared" si="35"/>
        <v>4.6751748429840134</v>
      </c>
      <c r="H138" s="16">
        <f t="shared" si="36"/>
        <v>6.4708745776570442</v>
      </c>
      <c r="I138" s="11">
        <f t="shared" si="39"/>
        <v>8.7706584814015456E-2</v>
      </c>
      <c r="J138" s="33">
        <f t="shared" si="40"/>
        <v>1.4130090863220576E-2</v>
      </c>
      <c r="K138" s="33">
        <f t="shared" si="41"/>
        <v>70.770953257131197</v>
      </c>
      <c r="L138" s="8">
        <v>1</v>
      </c>
      <c r="M138" s="9">
        <v>0</v>
      </c>
      <c r="N138" s="8">
        <v>0</v>
      </c>
      <c r="O138" s="9">
        <v>0</v>
      </c>
      <c r="P138" s="9">
        <v>1</v>
      </c>
      <c r="Q138" s="9">
        <v>0</v>
      </c>
      <c r="R138" s="9">
        <v>0</v>
      </c>
      <c r="S138" s="8">
        <v>4979</v>
      </c>
      <c r="T138" s="9">
        <v>8</v>
      </c>
      <c r="U138" s="9">
        <f t="shared" si="37"/>
        <v>4970</v>
      </c>
      <c r="V138" s="9">
        <f t="shared" si="38"/>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v>0</v>
      </c>
      <c r="BF138" s="18">
        <v>1</v>
      </c>
      <c r="BG138">
        <v>0</v>
      </c>
      <c r="BH138">
        <v>1</v>
      </c>
      <c r="BI138" s="18">
        <v>0</v>
      </c>
      <c r="BJ138">
        <v>2172</v>
      </c>
      <c r="BK138">
        <v>70</v>
      </c>
      <c r="BL138" s="25">
        <v>43</v>
      </c>
      <c r="BM138">
        <v>1</v>
      </c>
      <c r="BN138">
        <v>0</v>
      </c>
      <c r="BO138">
        <v>0</v>
      </c>
      <c r="BP138">
        <v>0</v>
      </c>
      <c r="BQ138">
        <v>0</v>
      </c>
      <c r="BR138">
        <v>0</v>
      </c>
      <c r="BS138">
        <v>0</v>
      </c>
      <c r="BT138" s="18">
        <v>0</v>
      </c>
      <c r="BU138">
        <v>0</v>
      </c>
      <c r="BV138">
        <v>0</v>
      </c>
      <c r="BW138">
        <v>1</v>
      </c>
      <c r="BX138" s="18">
        <v>0</v>
      </c>
      <c r="BY138">
        <v>0</v>
      </c>
      <c r="BZ138">
        <v>0</v>
      </c>
      <c r="CA138">
        <v>0</v>
      </c>
      <c r="CB138">
        <v>0</v>
      </c>
      <c r="CC138" s="18">
        <v>0</v>
      </c>
      <c r="CD138">
        <v>0</v>
      </c>
      <c r="CE138">
        <v>0</v>
      </c>
      <c r="CF138">
        <v>0</v>
      </c>
      <c r="CG138">
        <v>1</v>
      </c>
      <c r="CH138">
        <v>0</v>
      </c>
      <c r="CI138">
        <v>0</v>
      </c>
      <c r="CJ138">
        <v>1</v>
      </c>
      <c r="CK138">
        <v>0</v>
      </c>
      <c r="CL138">
        <v>1</v>
      </c>
      <c r="CM138">
        <v>1</v>
      </c>
      <c r="CN138" s="18">
        <v>0</v>
      </c>
      <c r="CO138">
        <v>0.14599999999999999</v>
      </c>
      <c r="CP138">
        <v>3</v>
      </c>
      <c r="CQ138">
        <v>1</v>
      </c>
      <c r="CR138">
        <v>0</v>
      </c>
      <c r="CS138">
        <v>18</v>
      </c>
      <c r="CY138" s="34"/>
    </row>
    <row r="139" spans="1:103" x14ac:dyDescent="0.25">
      <c r="A139">
        <v>138</v>
      </c>
      <c r="B139">
        <v>13</v>
      </c>
      <c r="C139" s="25" t="s">
        <v>140</v>
      </c>
      <c r="D139" s="12">
        <v>10.70510715693943</v>
      </c>
      <c r="E139" s="14">
        <f t="shared" si="42"/>
        <v>1.3975793543583506</v>
      </c>
      <c r="F139" s="7">
        <v>7.6597490679549312</v>
      </c>
      <c r="G139" s="7">
        <f t="shared" si="35"/>
        <v>9.3075278025810793</v>
      </c>
      <c r="H139" s="16">
        <f t="shared" si="36"/>
        <v>12.102686511297781</v>
      </c>
      <c r="I139" s="11">
        <f t="shared" si="39"/>
        <v>0.10801595217731309</v>
      </c>
      <c r="J139" s="33">
        <f t="shared" si="40"/>
        <v>1.4101761195964629E-2</v>
      </c>
      <c r="K139" s="33">
        <f t="shared" si="41"/>
        <v>70.913128232958641</v>
      </c>
      <c r="L139" s="8">
        <v>1</v>
      </c>
      <c r="M139" s="9">
        <v>0</v>
      </c>
      <c r="N139" s="8">
        <v>0</v>
      </c>
      <c r="O139" s="9">
        <v>0</v>
      </c>
      <c r="P139" s="9">
        <v>1</v>
      </c>
      <c r="Q139" s="9">
        <v>0</v>
      </c>
      <c r="R139" s="9">
        <v>0</v>
      </c>
      <c r="S139" s="8">
        <v>4979</v>
      </c>
      <c r="T139" s="9">
        <v>8</v>
      </c>
      <c r="U139" s="9">
        <f t="shared" si="37"/>
        <v>4970</v>
      </c>
      <c r="V139" s="9">
        <f t="shared" si="38"/>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v>0</v>
      </c>
      <c r="BF139" s="18">
        <v>1</v>
      </c>
      <c r="BG139">
        <v>0</v>
      </c>
      <c r="BH139">
        <v>1</v>
      </c>
      <c r="BI139" s="18">
        <v>0</v>
      </c>
      <c r="BJ139">
        <v>2172</v>
      </c>
      <c r="BK139">
        <v>70</v>
      </c>
      <c r="BL139" s="25">
        <v>43</v>
      </c>
      <c r="BM139">
        <v>1</v>
      </c>
      <c r="BN139">
        <v>0</v>
      </c>
      <c r="BO139">
        <v>0</v>
      </c>
      <c r="BP139">
        <v>0</v>
      </c>
      <c r="BQ139">
        <v>0</v>
      </c>
      <c r="BR139">
        <v>0</v>
      </c>
      <c r="BS139">
        <v>0</v>
      </c>
      <c r="BT139" s="18">
        <v>0</v>
      </c>
      <c r="BU139">
        <v>0</v>
      </c>
      <c r="BV139">
        <v>0</v>
      </c>
      <c r="BW139">
        <v>1</v>
      </c>
      <c r="BX139" s="18">
        <v>0</v>
      </c>
      <c r="BY139">
        <v>0</v>
      </c>
      <c r="BZ139">
        <v>0</v>
      </c>
      <c r="CA139">
        <v>0</v>
      </c>
      <c r="CB139">
        <v>0</v>
      </c>
      <c r="CC139" s="18">
        <v>0</v>
      </c>
      <c r="CD139">
        <v>0</v>
      </c>
      <c r="CE139">
        <v>0</v>
      </c>
      <c r="CF139">
        <v>0</v>
      </c>
      <c r="CG139">
        <v>1</v>
      </c>
      <c r="CH139">
        <v>0</v>
      </c>
      <c r="CI139">
        <v>0</v>
      </c>
      <c r="CJ139">
        <v>1</v>
      </c>
      <c r="CK139">
        <v>0</v>
      </c>
      <c r="CL139">
        <v>1</v>
      </c>
      <c r="CM139">
        <v>1</v>
      </c>
      <c r="CN139" s="18">
        <v>0</v>
      </c>
      <c r="CO139">
        <v>0.14599999999999999</v>
      </c>
      <c r="CP139">
        <v>3</v>
      </c>
      <c r="CQ139">
        <v>1</v>
      </c>
      <c r="CR139">
        <v>0</v>
      </c>
      <c r="CS139">
        <v>18</v>
      </c>
      <c r="CY139" s="34"/>
    </row>
    <row r="140" spans="1:103" x14ac:dyDescent="0.25">
      <c r="A140">
        <v>139</v>
      </c>
      <c r="B140">
        <v>13</v>
      </c>
      <c r="C140" s="25" t="s">
        <v>140</v>
      </c>
      <c r="D140" s="12">
        <v>8.6486779067039983</v>
      </c>
      <c r="E140" s="14">
        <f t="shared" si="42"/>
        <v>0.98694243098033674</v>
      </c>
      <c r="F140" s="7">
        <v>8.7631027253668758</v>
      </c>
      <c r="G140" s="7">
        <f t="shared" si="35"/>
        <v>7.6617354757236615</v>
      </c>
      <c r="H140" s="16">
        <f t="shared" si="36"/>
        <v>9.635620337684335</v>
      </c>
      <c r="I140" s="11">
        <f t="shared" si="39"/>
        <v>0.12343877343338963</v>
      </c>
      <c r="J140" s="33">
        <f t="shared" si="40"/>
        <v>1.408619495878633E-2</v>
      </c>
      <c r="K140" s="33">
        <f t="shared" si="41"/>
        <v>70.99149223234663</v>
      </c>
      <c r="L140" s="8">
        <v>1</v>
      </c>
      <c r="M140" s="9">
        <v>0</v>
      </c>
      <c r="N140" s="8">
        <v>0</v>
      </c>
      <c r="O140" s="9">
        <v>0</v>
      </c>
      <c r="P140" s="9">
        <v>1</v>
      </c>
      <c r="Q140" s="9">
        <v>0</v>
      </c>
      <c r="R140" s="9">
        <v>0</v>
      </c>
      <c r="S140" s="8">
        <v>4979</v>
      </c>
      <c r="T140" s="9">
        <v>15</v>
      </c>
      <c r="U140" s="9">
        <f t="shared" si="37"/>
        <v>4963</v>
      </c>
      <c r="V140" s="9">
        <f t="shared" si="38"/>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v>0</v>
      </c>
      <c r="BF140" s="18">
        <v>1</v>
      </c>
      <c r="BG140">
        <v>0</v>
      </c>
      <c r="BH140">
        <v>1</v>
      </c>
      <c r="BI140" s="18">
        <v>0</v>
      </c>
      <c r="BJ140">
        <v>2172</v>
      </c>
      <c r="BK140">
        <v>70</v>
      </c>
      <c r="BL140" s="25">
        <v>43</v>
      </c>
      <c r="BM140">
        <v>1</v>
      </c>
      <c r="BN140">
        <v>0</v>
      </c>
      <c r="BO140">
        <v>0</v>
      </c>
      <c r="BP140">
        <v>0</v>
      </c>
      <c r="BQ140">
        <v>0</v>
      </c>
      <c r="BR140">
        <v>0</v>
      </c>
      <c r="BS140">
        <v>0</v>
      </c>
      <c r="BT140" s="18">
        <v>0</v>
      </c>
      <c r="BU140">
        <v>0</v>
      </c>
      <c r="BV140">
        <v>0</v>
      </c>
      <c r="BW140">
        <v>1</v>
      </c>
      <c r="BX140" s="18">
        <v>0</v>
      </c>
      <c r="BY140">
        <v>0</v>
      </c>
      <c r="BZ140">
        <v>0</v>
      </c>
      <c r="CA140">
        <v>0</v>
      </c>
      <c r="CB140">
        <v>0</v>
      </c>
      <c r="CC140" s="18">
        <v>0</v>
      </c>
      <c r="CD140">
        <v>0</v>
      </c>
      <c r="CE140">
        <v>0</v>
      </c>
      <c r="CF140">
        <v>0</v>
      </c>
      <c r="CG140">
        <v>1</v>
      </c>
      <c r="CH140">
        <v>0</v>
      </c>
      <c r="CI140">
        <v>0</v>
      </c>
      <c r="CJ140">
        <v>1</v>
      </c>
      <c r="CK140">
        <v>0</v>
      </c>
      <c r="CL140">
        <v>1</v>
      </c>
      <c r="CM140">
        <v>1</v>
      </c>
      <c r="CN140" s="18">
        <v>0</v>
      </c>
      <c r="CO140">
        <v>0.14599999999999999</v>
      </c>
      <c r="CP140">
        <v>3</v>
      </c>
      <c r="CQ140">
        <v>1</v>
      </c>
      <c r="CR140">
        <v>0</v>
      </c>
      <c r="CS140">
        <v>18</v>
      </c>
      <c r="CY140" s="34"/>
    </row>
    <row r="141" spans="1:103" x14ac:dyDescent="0.25">
      <c r="A141">
        <v>140</v>
      </c>
      <c r="B141">
        <v>13</v>
      </c>
      <c r="C141" s="25" t="s">
        <v>140</v>
      </c>
      <c r="D141" s="12">
        <v>6.2610778657974198</v>
      </c>
      <c r="E141" s="14">
        <f t="shared" si="42"/>
        <v>0.41588918524664004</v>
      </c>
      <c r="F141" s="7">
        <v>15.05467823618528</v>
      </c>
      <c r="G141" s="7">
        <f t="shared" si="35"/>
        <v>5.8451886805507796</v>
      </c>
      <c r="H141" s="16">
        <f t="shared" si="36"/>
        <v>6.67696705104406</v>
      </c>
      <c r="I141" s="11">
        <f t="shared" si="39"/>
        <v>0.20897903623751837</v>
      </c>
      <c r="J141" s="33">
        <f t="shared" si="40"/>
        <v>1.3881335287207825E-2</v>
      </c>
      <c r="K141" s="33">
        <f t="shared" si="41"/>
        <v>72.03917917907637</v>
      </c>
      <c r="L141" s="8">
        <v>1</v>
      </c>
      <c r="M141" s="9">
        <v>0</v>
      </c>
      <c r="N141" s="8">
        <v>0</v>
      </c>
      <c r="O141" s="9">
        <v>0</v>
      </c>
      <c r="P141" s="9">
        <v>1</v>
      </c>
      <c r="Q141" s="9">
        <v>0</v>
      </c>
      <c r="R141" s="9">
        <v>0</v>
      </c>
      <c r="S141" s="8">
        <v>4979</v>
      </c>
      <c r="T141" s="9">
        <v>15</v>
      </c>
      <c r="U141" s="9">
        <f t="shared" si="37"/>
        <v>4963</v>
      </c>
      <c r="V141" s="9">
        <f t="shared" si="38"/>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v>0</v>
      </c>
      <c r="BF141" s="18">
        <v>1</v>
      </c>
      <c r="BG141">
        <v>0</v>
      </c>
      <c r="BH141">
        <v>1</v>
      </c>
      <c r="BI141" s="18">
        <v>0</v>
      </c>
      <c r="BJ141">
        <v>2172</v>
      </c>
      <c r="BK141">
        <v>70</v>
      </c>
      <c r="BL141" s="25">
        <v>43</v>
      </c>
      <c r="BM141">
        <v>1</v>
      </c>
      <c r="BN141">
        <v>0</v>
      </c>
      <c r="BO141">
        <v>0</v>
      </c>
      <c r="BP141">
        <v>0</v>
      </c>
      <c r="BQ141">
        <v>0</v>
      </c>
      <c r="BR141">
        <v>0</v>
      </c>
      <c r="BS141">
        <v>0</v>
      </c>
      <c r="BT141" s="18">
        <v>0</v>
      </c>
      <c r="BU141">
        <v>0</v>
      </c>
      <c r="BV141">
        <v>0</v>
      </c>
      <c r="BW141">
        <v>1</v>
      </c>
      <c r="BX141" s="18">
        <v>0</v>
      </c>
      <c r="BY141">
        <v>0</v>
      </c>
      <c r="BZ141">
        <v>0</v>
      </c>
      <c r="CA141">
        <v>0</v>
      </c>
      <c r="CB141">
        <v>0</v>
      </c>
      <c r="CC141" s="18">
        <v>0</v>
      </c>
      <c r="CD141">
        <v>0</v>
      </c>
      <c r="CE141">
        <v>0</v>
      </c>
      <c r="CF141">
        <v>0</v>
      </c>
      <c r="CG141">
        <v>1</v>
      </c>
      <c r="CH141">
        <v>0</v>
      </c>
      <c r="CI141">
        <v>0</v>
      </c>
      <c r="CJ141">
        <v>1</v>
      </c>
      <c r="CK141">
        <v>0</v>
      </c>
      <c r="CL141">
        <v>1</v>
      </c>
      <c r="CM141">
        <v>1</v>
      </c>
      <c r="CN141" s="18">
        <v>0</v>
      </c>
      <c r="CO141">
        <v>0.14599999999999999</v>
      </c>
      <c r="CP141">
        <v>3</v>
      </c>
      <c r="CQ141">
        <v>1</v>
      </c>
      <c r="CR141">
        <v>0</v>
      </c>
      <c r="CS141">
        <v>18</v>
      </c>
      <c r="CY141" s="34"/>
    </row>
    <row r="142" spans="1:103" s="51" customFormat="1" x14ac:dyDescent="0.25">
      <c r="A142" s="51">
        <v>141</v>
      </c>
      <c r="B142" s="51">
        <v>13</v>
      </c>
      <c r="C142" s="52" t="s">
        <v>140</v>
      </c>
      <c r="D142" s="53">
        <v>10.7324983570344</v>
      </c>
      <c r="E142" s="54">
        <f t="shared" si="42"/>
        <v>0.51814326001821898</v>
      </c>
      <c r="F142" s="55">
        <v>20.713380227424022</v>
      </c>
      <c r="G142" s="55">
        <f t="shared" si="35"/>
        <v>10.214355097016181</v>
      </c>
      <c r="H142" s="56">
        <f t="shared" si="36"/>
        <v>11.250641617052619</v>
      </c>
      <c r="I142" s="11">
        <f t="shared" si="39"/>
        <v>0.28208127557332185</v>
      </c>
      <c r="J142" s="33">
        <f t="shared" si="40"/>
        <v>1.3618312051253372E-2</v>
      </c>
      <c r="K142" s="33">
        <f t="shared" si="41"/>
        <v>73.430539426357484</v>
      </c>
      <c r="L142" s="59">
        <v>1</v>
      </c>
      <c r="M142" s="60">
        <v>0</v>
      </c>
      <c r="N142" s="59">
        <v>0</v>
      </c>
      <c r="O142" s="60">
        <v>0</v>
      </c>
      <c r="P142" s="60">
        <v>1</v>
      </c>
      <c r="Q142" s="60">
        <v>0</v>
      </c>
      <c r="R142" s="60">
        <v>0</v>
      </c>
      <c r="S142" s="59">
        <v>4979</v>
      </c>
      <c r="T142" s="60">
        <v>15</v>
      </c>
      <c r="U142" s="60">
        <f t="shared" si="37"/>
        <v>4963</v>
      </c>
      <c r="V142" s="60">
        <f t="shared" si="38"/>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v>0</v>
      </c>
      <c r="BF142" s="65">
        <v>1</v>
      </c>
      <c r="BG142">
        <v>0</v>
      </c>
      <c r="BH142">
        <v>1</v>
      </c>
      <c r="BI142" s="65">
        <v>0</v>
      </c>
      <c r="BJ142">
        <v>2172</v>
      </c>
      <c r="BK142">
        <v>70</v>
      </c>
      <c r="BL142" s="52">
        <v>43</v>
      </c>
      <c r="BM142" s="51">
        <v>1</v>
      </c>
      <c r="BN142" s="51">
        <v>0</v>
      </c>
      <c r="BO142" s="51">
        <v>0</v>
      </c>
      <c r="BP142" s="51">
        <v>0</v>
      </c>
      <c r="BQ142" s="51">
        <v>0</v>
      </c>
      <c r="BR142" s="51">
        <v>0</v>
      </c>
      <c r="BS142" s="51">
        <v>0</v>
      </c>
      <c r="BT142" s="65">
        <v>0</v>
      </c>
      <c r="BU142" s="51">
        <v>0</v>
      </c>
      <c r="BV142" s="51">
        <v>0</v>
      </c>
      <c r="BW142" s="51">
        <v>1</v>
      </c>
      <c r="BX142" s="65">
        <v>0</v>
      </c>
      <c r="BY142" s="51">
        <v>0</v>
      </c>
      <c r="BZ142" s="51">
        <v>0</v>
      </c>
      <c r="CA142" s="51">
        <v>0</v>
      </c>
      <c r="CB142" s="51">
        <v>0</v>
      </c>
      <c r="CC142" s="65">
        <v>0</v>
      </c>
      <c r="CD142" s="51">
        <v>0</v>
      </c>
      <c r="CE142" s="51">
        <v>0</v>
      </c>
      <c r="CF142" s="51">
        <v>0</v>
      </c>
      <c r="CG142" s="51">
        <v>1</v>
      </c>
      <c r="CH142" s="51">
        <v>0</v>
      </c>
      <c r="CI142" s="51">
        <v>0</v>
      </c>
      <c r="CJ142" s="51">
        <v>1</v>
      </c>
      <c r="CK142" s="51">
        <v>0</v>
      </c>
      <c r="CL142" s="51">
        <v>1</v>
      </c>
      <c r="CM142" s="51">
        <v>1</v>
      </c>
      <c r="CN142" s="65">
        <v>0</v>
      </c>
      <c r="CO142">
        <v>0.14599999999999999</v>
      </c>
      <c r="CP142">
        <v>3</v>
      </c>
      <c r="CQ142">
        <v>1</v>
      </c>
      <c r="CR142">
        <v>0</v>
      </c>
      <c r="CS142">
        <v>18</v>
      </c>
      <c r="CT142" s="67"/>
      <c r="CY142" s="67"/>
    </row>
    <row r="143" spans="1:103" x14ac:dyDescent="0.25">
      <c r="A143">
        <v>142</v>
      </c>
      <c r="B143">
        <v>14</v>
      </c>
      <c r="C143" s="25" t="s">
        <v>141</v>
      </c>
      <c r="D143" s="12">
        <v>7.7</v>
      </c>
      <c r="E143" s="14">
        <v>0.3</v>
      </c>
      <c r="F143" s="7">
        <v>21.713380227424</v>
      </c>
      <c r="G143" s="7">
        <f t="shared" si="35"/>
        <v>7.4</v>
      </c>
      <c r="H143" s="16">
        <f t="shared" si="36"/>
        <v>8</v>
      </c>
      <c r="I143" s="11">
        <f t="shared" si="39"/>
        <v>0.12746257641128633</v>
      </c>
      <c r="J143" s="33">
        <f t="shared" si="40"/>
        <v>5.8702318605511773E-3</v>
      </c>
      <c r="K143" s="33">
        <f t="shared" si="41"/>
        <v>170.35102254140034</v>
      </c>
      <c r="L143" s="8">
        <v>1</v>
      </c>
      <c r="M143" s="9">
        <v>0</v>
      </c>
      <c r="N143" s="8">
        <v>0</v>
      </c>
      <c r="O143" s="9">
        <v>0</v>
      </c>
      <c r="P143" s="9">
        <v>0</v>
      </c>
      <c r="Q143" s="9">
        <v>1</v>
      </c>
      <c r="R143" s="9">
        <v>0</v>
      </c>
      <c r="S143" s="8">
        <v>28552</v>
      </c>
      <c r="T143" s="9">
        <v>3</v>
      </c>
      <c r="U143" s="9">
        <f t="shared" si="37"/>
        <v>28548</v>
      </c>
      <c r="V143" s="9">
        <f t="shared" si="38"/>
        <v>12</v>
      </c>
      <c r="W143" s="7">
        <v>12.4</v>
      </c>
      <c r="X143" s="7">
        <f t="shared" ref="X143:X154" si="43">BL143-W143-6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v>0</v>
      </c>
      <c r="BF143" s="18">
        <v>0</v>
      </c>
      <c r="BG143">
        <v>1</v>
      </c>
      <c r="BH143">
        <v>0</v>
      </c>
      <c r="BI143" s="18">
        <v>0</v>
      </c>
      <c r="BJ143">
        <v>29297</v>
      </c>
      <c r="BK143">
        <v>23130</v>
      </c>
      <c r="BL143" s="25">
        <v>44.5</v>
      </c>
      <c r="BM143">
        <v>1</v>
      </c>
      <c r="BN143">
        <v>0</v>
      </c>
      <c r="BO143">
        <v>0</v>
      </c>
      <c r="BP143">
        <v>0</v>
      </c>
      <c r="BQ143">
        <v>0</v>
      </c>
      <c r="BR143">
        <v>0</v>
      </c>
      <c r="BS143">
        <v>0</v>
      </c>
      <c r="BT143" s="18">
        <v>0</v>
      </c>
      <c r="BU143">
        <v>0</v>
      </c>
      <c r="BV143">
        <v>0</v>
      </c>
      <c r="BW143">
        <v>0</v>
      </c>
      <c r="BX143" s="18">
        <v>1</v>
      </c>
      <c r="BY143">
        <v>0</v>
      </c>
      <c r="BZ143">
        <v>0</v>
      </c>
      <c r="CA143">
        <v>0</v>
      </c>
      <c r="CB143">
        <v>0</v>
      </c>
      <c r="CC143" s="18">
        <v>0</v>
      </c>
      <c r="CD143">
        <v>0</v>
      </c>
      <c r="CE143">
        <v>0</v>
      </c>
      <c r="CF143">
        <v>1</v>
      </c>
      <c r="CG143">
        <v>1</v>
      </c>
      <c r="CH143">
        <v>0</v>
      </c>
      <c r="CI143">
        <v>0</v>
      </c>
      <c r="CJ143">
        <v>0</v>
      </c>
      <c r="CK143">
        <v>0</v>
      </c>
      <c r="CL143">
        <v>0</v>
      </c>
      <c r="CM143">
        <v>0</v>
      </c>
      <c r="CN143" s="18">
        <v>0</v>
      </c>
      <c r="CO143">
        <v>0.14599999999999999</v>
      </c>
      <c r="CP143">
        <v>5</v>
      </c>
      <c r="CQ143">
        <v>0</v>
      </c>
      <c r="CR143">
        <v>1</v>
      </c>
      <c r="CS143">
        <v>18</v>
      </c>
      <c r="CY143" s="34"/>
    </row>
    <row r="144" spans="1:103" x14ac:dyDescent="0.25">
      <c r="A144">
        <v>143</v>
      </c>
      <c r="B144">
        <v>14</v>
      </c>
      <c r="C144" s="25" t="s">
        <v>141</v>
      </c>
      <c r="D144" s="12">
        <v>8</v>
      </c>
      <c r="E144" s="14">
        <v>0.5</v>
      </c>
      <c r="F144" s="7">
        <v>22.713380227424</v>
      </c>
      <c r="G144" s="7">
        <f t="shared" si="35"/>
        <v>7.5</v>
      </c>
      <c r="H144" s="16">
        <f t="shared" si="36"/>
        <v>8.5</v>
      </c>
      <c r="I144" s="11">
        <f t="shared" si="39"/>
        <v>0.13316215592883443</v>
      </c>
      <c r="J144" s="33">
        <f t="shared" si="40"/>
        <v>5.8627185648068023E-3</v>
      </c>
      <c r="K144" s="33">
        <f t="shared" si="41"/>
        <v>170.56933382456396</v>
      </c>
      <c r="L144" s="8">
        <v>1</v>
      </c>
      <c r="M144" s="9">
        <v>0</v>
      </c>
      <c r="N144" s="8">
        <v>0</v>
      </c>
      <c r="O144" s="9">
        <v>0</v>
      </c>
      <c r="P144" s="9">
        <v>0</v>
      </c>
      <c r="Q144" s="9">
        <v>1</v>
      </c>
      <c r="R144" s="9">
        <v>0</v>
      </c>
      <c r="S144" s="8">
        <v>28582</v>
      </c>
      <c r="T144" s="9">
        <v>3</v>
      </c>
      <c r="U144" s="9">
        <f t="shared" si="37"/>
        <v>28578</v>
      </c>
      <c r="V144" s="9">
        <f t="shared" si="38"/>
        <v>12</v>
      </c>
      <c r="W144" s="7">
        <v>12.4</v>
      </c>
      <c r="X144" s="7">
        <f t="shared" si="43"/>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v>0</v>
      </c>
      <c r="BF144" s="18">
        <v>0</v>
      </c>
      <c r="BG144">
        <v>1</v>
      </c>
      <c r="BH144">
        <v>0</v>
      </c>
      <c r="BI144" s="18">
        <v>0</v>
      </c>
      <c r="BJ144">
        <v>29297</v>
      </c>
      <c r="BK144">
        <v>23130</v>
      </c>
      <c r="BL144" s="25">
        <v>44.5</v>
      </c>
      <c r="BM144">
        <v>1</v>
      </c>
      <c r="BN144">
        <v>0</v>
      </c>
      <c r="BO144">
        <v>0</v>
      </c>
      <c r="BP144">
        <v>0</v>
      </c>
      <c r="BQ144">
        <v>0</v>
      </c>
      <c r="BR144">
        <v>0</v>
      </c>
      <c r="BS144">
        <v>0</v>
      </c>
      <c r="BT144" s="18">
        <v>0</v>
      </c>
      <c r="BU144">
        <v>0</v>
      </c>
      <c r="BV144">
        <v>0</v>
      </c>
      <c r="BW144">
        <v>0</v>
      </c>
      <c r="BX144" s="18">
        <v>1</v>
      </c>
      <c r="BY144">
        <v>0</v>
      </c>
      <c r="BZ144">
        <v>0</v>
      </c>
      <c r="CA144">
        <v>0</v>
      </c>
      <c r="CB144">
        <v>0</v>
      </c>
      <c r="CC144" s="18">
        <v>0</v>
      </c>
      <c r="CD144">
        <v>0</v>
      </c>
      <c r="CE144">
        <v>0</v>
      </c>
      <c r="CF144">
        <v>1</v>
      </c>
      <c r="CG144">
        <v>1</v>
      </c>
      <c r="CH144">
        <v>0</v>
      </c>
      <c r="CI144">
        <v>0</v>
      </c>
      <c r="CJ144">
        <v>0</v>
      </c>
      <c r="CK144">
        <v>0</v>
      </c>
      <c r="CL144">
        <v>0</v>
      </c>
      <c r="CM144">
        <v>0</v>
      </c>
      <c r="CN144" s="18">
        <v>0</v>
      </c>
      <c r="CO144">
        <v>0.14599999999999999</v>
      </c>
      <c r="CP144">
        <v>5</v>
      </c>
      <c r="CQ144">
        <v>0</v>
      </c>
      <c r="CR144">
        <v>1</v>
      </c>
      <c r="CS144">
        <v>18</v>
      </c>
      <c r="CY144" s="34"/>
    </row>
    <row r="145" spans="1:103" x14ac:dyDescent="0.25">
      <c r="A145">
        <v>144</v>
      </c>
      <c r="B145">
        <v>14</v>
      </c>
      <c r="C145" s="25" t="s">
        <v>141</v>
      </c>
      <c r="D145" s="12">
        <v>9.3000000000000007</v>
      </c>
      <c r="E145" s="14">
        <v>0.5</v>
      </c>
      <c r="F145" s="7">
        <v>23.713380227424</v>
      </c>
      <c r="G145" s="7">
        <f t="shared" si="35"/>
        <v>8.8000000000000007</v>
      </c>
      <c r="H145" s="16">
        <f t="shared" si="36"/>
        <v>9.8000000000000007</v>
      </c>
      <c r="I145" s="11">
        <f t="shared" si="39"/>
        <v>0.13735334900738005</v>
      </c>
      <c r="J145" s="33">
        <f t="shared" si="40"/>
        <v>5.7922298588428973E-3</v>
      </c>
      <c r="K145" s="33">
        <f t="shared" si="41"/>
        <v>172.64508218252377</v>
      </c>
      <c r="L145" s="8">
        <v>1</v>
      </c>
      <c r="M145" s="9">
        <v>0</v>
      </c>
      <c r="N145" s="8">
        <v>0</v>
      </c>
      <c r="O145" s="9">
        <v>0</v>
      </c>
      <c r="P145" s="9">
        <v>0</v>
      </c>
      <c r="Q145" s="9">
        <v>1</v>
      </c>
      <c r="R145" s="9">
        <v>0</v>
      </c>
      <c r="S145" s="8">
        <v>29248</v>
      </c>
      <c r="T145" s="9">
        <v>3</v>
      </c>
      <c r="U145" s="9">
        <f t="shared" si="37"/>
        <v>29244</v>
      </c>
      <c r="V145" s="9">
        <f t="shared" si="38"/>
        <v>12</v>
      </c>
      <c r="W145" s="7">
        <v>12.4</v>
      </c>
      <c r="X145" s="7">
        <f t="shared" si="43"/>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v>0</v>
      </c>
      <c r="BF145" s="18">
        <v>0</v>
      </c>
      <c r="BG145">
        <v>1</v>
      </c>
      <c r="BH145">
        <v>0</v>
      </c>
      <c r="BI145" s="18">
        <v>0</v>
      </c>
      <c r="BJ145">
        <v>29297</v>
      </c>
      <c r="BK145">
        <v>23130</v>
      </c>
      <c r="BL145" s="25">
        <v>44.5</v>
      </c>
      <c r="BM145">
        <v>1</v>
      </c>
      <c r="BN145">
        <v>0</v>
      </c>
      <c r="BO145">
        <v>0</v>
      </c>
      <c r="BP145">
        <v>0</v>
      </c>
      <c r="BQ145">
        <v>0</v>
      </c>
      <c r="BR145">
        <v>0</v>
      </c>
      <c r="BS145">
        <v>0</v>
      </c>
      <c r="BT145" s="18">
        <v>0</v>
      </c>
      <c r="BU145">
        <v>0</v>
      </c>
      <c r="BV145">
        <v>0</v>
      </c>
      <c r="BW145">
        <v>0</v>
      </c>
      <c r="BX145" s="18">
        <v>1</v>
      </c>
      <c r="BY145">
        <v>0</v>
      </c>
      <c r="BZ145">
        <v>0</v>
      </c>
      <c r="CA145">
        <v>0</v>
      </c>
      <c r="CB145">
        <v>0</v>
      </c>
      <c r="CC145" s="18">
        <v>0</v>
      </c>
      <c r="CD145">
        <v>0</v>
      </c>
      <c r="CE145">
        <v>0</v>
      </c>
      <c r="CF145">
        <v>1</v>
      </c>
      <c r="CG145">
        <v>1</v>
      </c>
      <c r="CH145">
        <v>0</v>
      </c>
      <c r="CI145">
        <v>0</v>
      </c>
      <c r="CJ145">
        <v>0</v>
      </c>
      <c r="CK145">
        <v>0</v>
      </c>
      <c r="CL145">
        <v>0</v>
      </c>
      <c r="CM145">
        <v>0</v>
      </c>
      <c r="CN145" s="18">
        <v>0</v>
      </c>
      <c r="CO145">
        <v>0.14599999999999999</v>
      </c>
      <c r="CP145">
        <v>5</v>
      </c>
      <c r="CQ145">
        <v>0</v>
      </c>
      <c r="CR145">
        <v>1</v>
      </c>
      <c r="CS145">
        <v>18</v>
      </c>
      <c r="CY145" s="34"/>
    </row>
    <row r="146" spans="1:103" x14ac:dyDescent="0.25">
      <c r="A146">
        <v>145</v>
      </c>
      <c r="B146">
        <v>14</v>
      </c>
      <c r="C146" s="25" t="s">
        <v>141</v>
      </c>
      <c r="D146" s="12">
        <v>7</v>
      </c>
      <c r="E146" s="14">
        <v>0.2</v>
      </c>
      <c r="F146" s="7">
        <v>24.713380227424</v>
      </c>
      <c r="G146" s="7">
        <f t="shared" si="35"/>
        <v>6.8</v>
      </c>
      <c r="H146" s="16">
        <f t="shared" si="36"/>
        <v>7.2</v>
      </c>
      <c r="I146" s="11">
        <f t="shared" si="39"/>
        <v>0.14675871989868494</v>
      </c>
      <c r="J146" s="33">
        <f t="shared" si="40"/>
        <v>5.9384316733746279E-3</v>
      </c>
      <c r="K146" s="33">
        <f t="shared" si="41"/>
        <v>168.39462925599864</v>
      </c>
      <c r="L146" s="8">
        <v>1</v>
      </c>
      <c r="M146" s="9">
        <v>0</v>
      </c>
      <c r="N146" s="8">
        <v>0</v>
      </c>
      <c r="O146" s="9">
        <v>0</v>
      </c>
      <c r="P146" s="9">
        <v>0</v>
      </c>
      <c r="Q146" s="9">
        <v>1</v>
      </c>
      <c r="R146" s="9">
        <v>0</v>
      </c>
      <c r="S146" s="8">
        <v>27750</v>
      </c>
      <c r="T146" s="9">
        <v>3</v>
      </c>
      <c r="U146" s="9">
        <f t="shared" si="37"/>
        <v>27746</v>
      </c>
      <c r="V146" s="9">
        <f t="shared" si="38"/>
        <v>12</v>
      </c>
      <c r="W146" s="7">
        <v>12.6</v>
      </c>
      <c r="X146" s="7">
        <f t="shared" si="43"/>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v>0</v>
      </c>
      <c r="BF146" s="18">
        <v>0</v>
      </c>
      <c r="BG146">
        <v>1</v>
      </c>
      <c r="BH146">
        <v>0</v>
      </c>
      <c r="BI146" s="18">
        <v>0</v>
      </c>
      <c r="BJ146">
        <v>29297</v>
      </c>
      <c r="BK146">
        <v>23130</v>
      </c>
      <c r="BL146" s="25">
        <v>44.5</v>
      </c>
      <c r="BM146">
        <v>1</v>
      </c>
      <c r="BN146">
        <v>0</v>
      </c>
      <c r="BO146">
        <v>0</v>
      </c>
      <c r="BP146">
        <v>0</v>
      </c>
      <c r="BQ146">
        <v>0</v>
      </c>
      <c r="BR146">
        <v>0</v>
      </c>
      <c r="BS146">
        <v>0</v>
      </c>
      <c r="BT146" s="18">
        <v>0</v>
      </c>
      <c r="BU146">
        <v>0</v>
      </c>
      <c r="BV146">
        <v>0</v>
      </c>
      <c r="BW146">
        <v>0</v>
      </c>
      <c r="BX146" s="18">
        <v>1</v>
      </c>
      <c r="BY146">
        <v>0</v>
      </c>
      <c r="BZ146">
        <v>0</v>
      </c>
      <c r="CA146">
        <v>0</v>
      </c>
      <c r="CB146">
        <v>0</v>
      </c>
      <c r="CC146" s="18">
        <v>0</v>
      </c>
      <c r="CD146">
        <v>0</v>
      </c>
      <c r="CE146">
        <v>0</v>
      </c>
      <c r="CF146">
        <v>1</v>
      </c>
      <c r="CG146">
        <v>1</v>
      </c>
      <c r="CH146">
        <v>0</v>
      </c>
      <c r="CI146">
        <v>0</v>
      </c>
      <c r="CJ146">
        <v>0</v>
      </c>
      <c r="CK146">
        <v>0</v>
      </c>
      <c r="CL146">
        <v>0</v>
      </c>
      <c r="CM146">
        <v>0</v>
      </c>
      <c r="CN146" s="18">
        <v>0</v>
      </c>
      <c r="CO146">
        <v>0.14599999999999999</v>
      </c>
      <c r="CP146">
        <v>5</v>
      </c>
      <c r="CQ146">
        <v>0</v>
      </c>
      <c r="CR146">
        <v>1</v>
      </c>
      <c r="CS146">
        <v>18</v>
      </c>
      <c r="CY146" s="34"/>
    </row>
    <row r="147" spans="1:103" x14ac:dyDescent="0.25">
      <c r="A147">
        <v>146</v>
      </c>
      <c r="B147">
        <v>14</v>
      </c>
      <c r="C147" s="25" t="s">
        <v>141</v>
      </c>
      <c r="D147" s="12">
        <v>10.7</v>
      </c>
      <c r="E147" s="14">
        <v>0.4</v>
      </c>
      <c r="F147" s="7">
        <v>25.713380227424</v>
      </c>
      <c r="G147" s="7">
        <f t="shared" si="35"/>
        <v>10.299999999999999</v>
      </c>
      <c r="H147" s="16">
        <f t="shared" si="36"/>
        <v>11.1</v>
      </c>
      <c r="I147" s="11">
        <f t="shared" si="39"/>
        <v>0.15248911135300705</v>
      </c>
      <c r="J147" s="33">
        <f t="shared" si="40"/>
        <v>5.9303409355092639E-3</v>
      </c>
      <c r="K147" s="33">
        <f t="shared" si="41"/>
        <v>168.62436930266063</v>
      </c>
      <c r="L147" s="8">
        <v>1</v>
      </c>
      <c r="M147" s="9">
        <v>0</v>
      </c>
      <c r="N147" s="8">
        <v>0</v>
      </c>
      <c r="O147" s="9">
        <v>0</v>
      </c>
      <c r="P147" s="9">
        <v>0</v>
      </c>
      <c r="Q147" s="9">
        <v>1</v>
      </c>
      <c r="R147" s="9">
        <v>0</v>
      </c>
      <c r="S147" s="8">
        <v>27777</v>
      </c>
      <c r="T147" s="9">
        <v>3</v>
      </c>
      <c r="U147" s="9">
        <f t="shared" si="37"/>
        <v>27773</v>
      </c>
      <c r="V147" s="9">
        <f t="shared" si="38"/>
        <v>12</v>
      </c>
      <c r="W147" s="7">
        <v>12.6</v>
      </c>
      <c r="X147" s="7">
        <f t="shared" si="43"/>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v>0</v>
      </c>
      <c r="BF147" s="18">
        <v>0</v>
      </c>
      <c r="BG147">
        <v>1</v>
      </c>
      <c r="BH147">
        <v>0</v>
      </c>
      <c r="BI147" s="18">
        <v>0</v>
      </c>
      <c r="BJ147">
        <v>29297</v>
      </c>
      <c r="BK147">
        <v>23130</v>
      </c>
      <c r="BL147" s="25">
        <v>44.5</v>
      </c>
      <c r="BM147">
        <v>1</v>
      </c>
      <c r="BN147">
        <v>0</v>
      </c>
      <c r="BO147">
        <v>0</v>
      </c>
      <c r="BP147">
        <v>0</v>
      </c>
      <c r="BQ147">
        <v>0</v>
      </c>
      <c r="BR147">
        <v>0</v>
      </c>
      <c r="BS147">
        <v>0</v>
      </c>
      <c r="BT147" s="18">
        <v>0</v>
      </c>
      <c r="BU147">
        <v>0</v>
      </c>
      <c r="BV147">
        <v>0</v>
      </c>
      <c r="BW147">
        <v>0</v>
      </c>
      <c r="BX147" s="18">
        <v>1</v>
      </c>
      <c r="BY147">
        <v>0</v>
      </c>
      <c r="BZ147">
        <v>0</v>
      </c>
      <c r="CA147">
        <v>0</v>
      </c>
      <c r="CB147">
        <v>0</v>
      </c>
      <c r="CC147" s="18">
        <v>0</v>
      </c>
      <c r="CD147">
        <v>0</v>
      </c>
      <c r="CE147">
        <v>0</v>
      </c>
      <c r="CF147">
        <v>1</v>
      </c>
      <c r="CG147">
        <v>1</v>
      </c>
      <c r="CH147">
        <v>0</v>
      </c>
      <c r="CI147">
        <v>0</v>
      </c>
      <c r="CJ147">
        <v>0</v>
      </c>
      <c r="CK147">
        <v>0</v>
      </c>
      <c r="CL147">
        <v>0</v>
      </c>
      <c r="CM147">
        <v>0</v>
      </c>
      <c r="CN147" s="18">
        <v>0</v>
      </c>
      <c r="CO147">
        <v>0.14599999999999999</v>
      </c>
      <c r="CP147">
        <v>5</v>
      </c>
      <c r="CQ147">
        <v>0</v>
      </c>
      <c r="CR147">
        <v>1</v>
      </c>
      <c r="CS147">
        <v>18</v>
      </c>
      <c r="CY147" s="34"/>
    </row>
    <row r="148" spans="1:103" x14ac:dyDescent="0.25">
      <c r="A148">
        <v>147</v>
      </c>
      <c r="B148">
        <v>14</v>
      </c>
      <c r="C148" s="25" t="s">
        <v>141</v>
      </c>
      <c r="D148" s="12">
        <v>11.2</v>
      </c>
      <c r="E148" s="14">
        <v>0.5</v>
      </c>
      <c r="F148" s="7">
        <v>26.713380227424</v>
      </c>
      <c r="G148" s="7">
        <f t="shared" si="35"/>
        <v>10.7</v>
      </c>
      <c r="H148" s="16">
        <f t="shared" si="36"/>
        <v>11.7</v>
      </c>
      <c r="I148" s="11">
        <f t="shared" si="39"/>
        <v>0.15809334365207181</v>
      </c>
      <c r="J148" s="33">
        <f t="shared" si="40"/>
        <v>5.9181332465658137E-3</v>
      </c>
      <c r="K148" s="33">
        <f t="shared" si="41"/>
        <v>168.97220091830172</v>
      </c>
      <c r="L148" s="8">
        <v>1</v>
      </c>
      <c r="M148" s="9">
        <v>0</v>
      </c>
      <c r="N148" s="8">
        <v>0</v>
      </c>
      <c r="O148" s="9">
        <v>0</v>
      </c>
      <c r="P148" s="9">
        <v>0</v>
      </c>
      <c r="Q148" s="9">
        <v>1</v>
      </c>
      <c r="R148" s="9">
        <v>0</v>
      </c>
      <c r="S148" s="8">
        <v>27842</v>
      </c>
      <c r="T148" s="9">
        <v>3</v>
      </c>
      <c r="U148" s="9">
        <f t="shared" si="37"/>
        <v>27838</v>
      </c>
      <c r="V148" s="9">
        <f t="shared" si="38"/>
        <v>12</v>
      </c>
      <c r="W148" s="7">
        <v>12.6</v>
      </c>
      <c r="X148" s="7">
        <f t="shared" si="43"/>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v>0</v>
      </c>
      <c r="BF148" s="18">
        <v>0</v>
      </c>
      <c r="BG148">
        <v>1</v>
      </c>
      <c r="BH148">
        <v>0</v>
      </c>
      <c r="BI148" s="18">
        <v>0</v>
      </c>
      <c r="BJ148">
        <v>29297</v>
      </c>
      <c r="BK148">
        <v>23130</v>
      </c>
      <c r="BL148" s="25">
        <v>44.5</v>
      </c>
      <c r="BM148">
        <v>1</v>
      </c>
      <c r="BN148">
        <v>0</v>
      </c>
      <c r="BO148">
        <v>0</v>
      </c>
      <c r="BP148">
        <v>0</v>
      </c>
      <c r="BQ148">
        <v>0</v>
      </c>
      <c r="BR148">
        <v>0</v>
      </c>
      <c r="BS148">
        <v>0</v>
      </c>
      <c r="BT148" s="18">
        <v>0</v>
      </c>
      <c r="BU148">
        <v>0</v>
      </c>
      <c r="BV148">
        <v>0</v>
      </c>
      <c r="BW148">
        <v>0</v>
      </c>
      <c r="BX148" s="18">
        <v>1</v>
      </c>
      <c r="BY148">
        <v>0</v>
      </c>
      <c r="BZ148">
        <v>0</v>
      </c>
      <c r="CA148">
        <v>0</v>
      </c>
      <c r="CB148">
        <v>0</v>
      </c>
      <c r="CC148" s="18">
        <v>0</v>
      </c>
      <c r="CD148">
        <v>0</v>
      </c>
      <c r="CE148">
        <v>0</v>
      </c>
      <c r="CF148">
        <v>1</v>
      </c>
      <c r="CG148">
        <v>1</v>
      </c>
      <c r="CH148">
        <v>0</v>
      </c>
      <c r="CI148">
        <v>0</v>
      </c>
      <c r="CJ148">
        <v>0</v>
      </c>
      <c r="CK148">
        <v>0</v>
      </c>
      <c r="CL148">
        <v>0</v>
      </c>
      <c r="CM148">
        <v>0</v>
      </c>
      <c r="CN148" s="18">
        <v>0</v>
      </c>
      <c r="CO148">
        <v>0.14599999999999999</v>
      </c>
      <c r="CP148">
        <v>5</v>
      </c>
      <c r="CQ148">
        <v>0</v>
      </c>
      <c r="CR148">
        <v>1</v>
      </c>
      <c r="CS148">
        <v>18</v>
      </c>
      <c r="CY148" s="34"/>
    </row>
    <row r="149" spans="1:103" x14ac:dyDescent="0.25">
      <c r="A149">
        <v>148</v>
      </c>
      <c r="B149">
        <v>14</v>
      </c>
      <c r="C149" s="25" t="s">
        <v>141</v>
      </c>
      <c r="D149" s="12">
        <v>8.4</v>
      </c>
      <c r="E149" s="14">
        <v>0.5</v>
      </c>
      <c r="F149" s="7">
        <v>27.713380227424</v>
      </c>
      <c r="G149" s="7">
        <f t="shared" si="35"/>
        <v>7.9</v>
      </c>
      <c r="H149" s="16">
        <f t="shared" si="36"/>
        <v>8.9</v>
      </c>
      <c r="I149" s="11">
        <f t="shared" si="39"/>
        <v>0.15628859800169251</v>
      </c>
      <c r="J149" s="33">
        <f t="shared" si="40"/>
        <v>5.6394635630566577E-3</v>
      </c>
      <c r="K149" s="33">
        <f t="shared" si="41"/>
        <v>177.32183013839492</v>
      </c>
      <c r="L149" s="8">
        <v>1</v>
      </c>
      <c r="M149" s="9">
        <v>0</v>
      </c>
      <c r="N149" s="8">
        <v>0</v>
      </c>
      <c r="O149" s="9">
        <v>0</v>
      </c>
      <c r="P149" s="9">
        <v>0</v>
      </c>
      <c r="Q149" s="9">
        <v>1</v>
      </c>
      <c r="R149" s="9">
        <v>0</v>
      </c>
      <c r="S149" s="8">
        <v>30679</v>
      </c>
      <c r="T149" s="9">
        <v>3</v>
      </c>
      <c r="U149" s="9">
        <f t="shared" si="37"/>
        <v>30675</v>
      </c>
      <c r="V149" s="9">
        <f t="shared" si="38"/>
        <v>12</v>
      </c>
      <c r="W149" s="7">
        <v>12.4</v>
      </c>
      <c r="X149" s="7">
        <f t="shared" si="43"/>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v>0</v>
      </c>
      <c r="BF149" s="18">
        <v>0</v>
      </c>
      <c r="BG149">
        <v>1</v>
      </c>
      <c r="BH149">
        <v>0</v>
      </c>
      <c r="BI149" s="18">
        <v>0</v>
      </c>
      <c r="BJ149">
        <v>29297</v>
      </c>
      <c r="BK149">
        <v>23130</v>
      </c>
      <c r="BL149" s="25">
        <v>44.5</v>
      </c>
      <c r="BM149">
        <v>1</v>
      </c>
      <c r="BN149">
        <v>0</v>
      </c>
      <c r="BO149">
        <v>0</v>
      </c>
      <c r="BP149">
        <v>0</v>
      </c>
      <c r="BQ149">
        <v>0</v>
      </c>
      <c r="BR149">
        <v>0</v>
      </c>
      <c r="BS149">
        <v>0</v>
      </c>
      <c r="BT149" s="18">
        <v>0</v>
      </c>
      <c r="BU149">
        <v>0</v>
      </c>
      <c r="BV149">
        <v>0</v>
      </c>
      <c r="BW149">
        <v>0</v>
      </c>
      <c r="BX149" s="18">
        <v>1</v>
      </c>
      <c r="BY149">
        <v>0</v>
      </c>
      <c r="BZ149">
        <v>0</v>
      </c>
      <c r="CA149">
        <v>0</v>
      </c>
      <c r="CB149">
        <v>0</v>
      </c>
      <c r="CC149" s="18">
        <v>0</v>
      </c>
      <c r="CD149">
        <v>0</v>
      </c>
      <c r="CE149">
        <v>0</v>
      </c>
      <c r="CF149">
        <v>1</v>
      </c>
      <c r="CG149">
        <v>1</v>
      </c>
      <c r="CH149">
        <v>0</v>
      </c>
      <c r="CI149">
        <v>0</v>
      </c>
      <c r="CJ149">
        <v>0</v>
      </c>
      <c r="CK149">
        <v>0</v>
      </c>
      <c r="CL149">
        <v>0</v>
      </c>
      <c r="CM149">
        <v>0</v>
      </c>
      <c r="CN149" s="18">
        <v>0</v>
      </c>
      <c r="CO149">
        <v>0.14599999999999999</v>
      </c>
      <c r="CP149">
        <v>5</v>
      </c>
      <c r="CQ149">
        <v>0</v>
      </c>
      <c r="CR149">
        <v>1</v>
      </c>
      <c r="CS149">
        <v>18</v>
      </c>
      <c r="CY149" s="34"/>
    </row>
    <row r="150" spans="1:103" x14ac:dyDescent="0.25">
      <c r="A150">
        <v>149</v>
      </c>
      <c r="B150">
        <v>14</v>
      </c>
      <c r="C150" s="25" t="s">
        <v>141</v>
      </c>
      <c r="D150" s="12">
        <v>8.6999999999999993</v>
      </c>
      <c r="E150" s="14">
        <v>0.6</v>
      </c>
      <c r="F150" s="7">
        <v>28.713380227424</v>
      </c>
      <c r="G150" s="7">
        <f t="shared" si="35"/>
        <v>8.1</v>
      </c>
      <c r="H150" s="16">
        <f t="shared" si="36"/>
        <v>9.2999999999999989</v>
      </c>
      <c r="I150" s="11">
        <f t="shared" si="39"/>
        <v>0.16170597526401623</v>
      </c>
      <c r="J150" s="33">
        <f t="shared" si="40"/>
        <v>5.6317289703694193E-3</v>
      </c>
      <c r="K150" s="33">
        <f t="shared" si="41"/>
        <v>177.56536318799516</v>
      </c>
      <c r="L150" s="8">
        <v>1</v>
      </c>
      <c r="M150" s="9">
        <v>0</v>
      </c>
      <c r="N150" s="8">
        <v>0</v>
      </c>
      <c r="O150" s="9">
        <v>0</v>
      </c>
      <c r="P150" s="9">
        <v>0</v>
      </c>
      <c r="Q150" s="9">
        <v>1</v>
      </c>
      <c r="R150" s="9">
        <v>0</v>
      </c>
      <c r="S150" s="8">
        <v>30709</v>
      </c>
      <c r="T150" s="9">
        <v>3</v>
      </c>
      <c r="U150" s="9">
        <f t="shared" si="37"/>
        <v>30705</v>
      </c>
      <c r="V150" s="9">
        <f t="shared" si="38"/>
        <v>12</v>
      </c>
      <c r="W150" s="7">
        <v>12.4</v>
      </c>
      <c r="X150" s="7">
        <f t="shared" si="43"/>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v>0</v>
      </c>
      <c r="BF150" s="18">
        <v>0</v>
      </c>
      <c r="BG150">
        <v>1</v>
      </c>
      <c r="BH150">
        <v>0</v>
      </c>
      <c r="BI150" s="18">
        <v>0</v>
      </c>
      <c r="BJ150">
        <v>29297</v>
      </c>
      <c r="BK150">
        <v>23130</v>
      </c>
      <c r="BL150" s="25">
        <v>44.5</v>
      </c>
      <c r="BM150">
        <v>1</v>
      </c>
      <c r="BN150">
        <v>0</v>
      </c>
      <c r="BO150">
        <v>0</v>
      </c>
      <c r="BP150">
        <v>0</v>
      </c>
      <c r="BQ150">
        <v>0</v>
      </c>
      <c r="BR150">
        <v>0</v>
      </c>
      <c r="BS150">
        <v>0</v>
      </c>
      <c r="BT150" s="18">
        <v>0</v>
      </c>
      <c r="BU150">
        <v>0</v>
      </c>
      <c r="BV150">
        <v>0</v>
      </c>
      <c r="BW150">
        <v>0</v>
      </c>
      <c r="BX150" s="18">
        <v>1</v>
      </c>
      <c r="BY150">
        <v>0</v>
      </c>
      <c r="BZ150">
        <v>0</v>
      </c>
      <c r="CA150">
        <v>0</v>
      </c>
      <c r="CB150">
        <v>0</v>
      </c>
      <c r="CC150" s="18">
        <v>0</v>
      </c>
      <c r="CD150">
        <v>0</v>
      </c>
      <c r="CE150">
        <v>0</v>
      </c>
      <c r="CF150">
        <v>1</v>
      </c>
      <c r="CG150">
        <v>1</v>
      </c>
      <c r="CH150">
        <v>0</v>
      </c>
      <c r="CI150">
        <v>0</v>
      </c>
      <c r="CJ150">
        <v>0</v>
      </c>
      <c r="CK150">
        <v>0</v>
      </c>
      <c r="CL150">
        <v>0</v>
      </c>
      <c r="CM150">
        <v>0</v>
      </c>
      <c r="CN150" s="18">
        <v>0</v>
      </c>
      <c r="CO150">
        <v>0.14599999999999999</v>
      </c>
      <c r="CP150">
        <v>5</v>
      </c>
      <c r="CQ150">
        <v>0</v>
      </c>
      <c r="CR150">
        <v>1</v>
      </c>
      <c r="CS150">
        <v>18</v>
      </c>
      <c r="CY150" s="34"/>
    </row>
    <row r="151" spans="1:103" x14ac:dyDescent="0.25">
      <c r="A151">
        <v>150</v>
      </c>
      <c r="B151">
        <v>14</v>
      </c>
      <c r="C151" s="25" t="s">
        <v>141</v>
      </c>
      <c r="D151" s="12">
        <v>9.8000000000000007</v>
      </c>
      <c r="E151" s="14">
        <v>0.6</v>
      </c>
      <c r="F151" s="7">
        <v>29.713380227424</v>
      </c>
      <c r="G151" s="7">
        <f t="shared" si="35"/>
        <v>9.2000000000000011</v>
      </c>
      <c r="H151" s="16">
        <f t="shared" si="36"/>
        <v>10.4</v>
      </c>
      <c r="I151" s="11">
        <f t="shared" si="39"/>
        <v>0.16541448611109594</v>
      </c>
      <c r="J151" s="33">
        <f t="shared" si="40"/>
        <v>5.5670033111354465E-3</v>
      </c>
      <c r="K151" s="33">
        <f t="shared" si="41"/>
        <v>179.62985543761783</v>
      </c>
      <c r="L151" s="8">
        <v>1</v>
      </c>
      <c r="M151" s="9">
        <v>0</v>
      </c>
      <c r="N151" s="8">
        <v>0</v>
      </c>
      <c r="O151" s="9">
        <v>0</v>
      </c>
      <c r="P151" s="9">
        <v>0</v>
      </c>
      <c r="Q151" s="9">
        <v>1</v>
      </c>
      <c r="R151" s="9">
        <v>0</v>
      </c>
      <c r="S151" s="8">
        <v>31388</v>
      </c>
      <c r="T151" s="9">
        <v>3</v>
      </c>
      <c r="U151" s="9">
        <f t="shared" si="37"/>
        <v>31384</v>
      </c>
      <c r="V151" s="9">
        <f t="shared" si="38"/>
        <v>12</v>
      </c>
      <c r="W151" s="7">
        <v>12.4</v>
      </c>
      <c r="X151" s="7">
        <f t="shared" si="43"/>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v>0</v>
      </c>
      <c r="BF151" s="18">
        <v>0</v>
      </c>
      <c r="BG151">
        <v>1</v>
      </c>
      <c r="BH151">
        <v>0</v>
      </c>
      <c r="BI151" s="18">
        <v>0</v>
      </c>
      <c r="BJ151">
        <v>29297</v>
      </c>
      <c r="BK151">
        <v>23130</v>
      </c>
      <c r="BL151" s="25">
        <v>44.5</v>
      </c>
      <c r="BM151">
        <v>1</v>
      </c>
      <c r="BN151">
        <v>0</v>
      </c>
      <c r="BO151">
        <v>0</v>
      </c>
      <c r="BP151">
        <v>0</v>
      </c>
      <c r="BQ151">
        <v>0</v>
      </c>
      <c r="BR151">
        <v>0</v>
      </c>
      <c r="BS151">
        <v>0</v>
      </c>
      <c r="BT151" s="18">
        <v>0</v>
      </c>
      <c r="BU151">
        <v>0</v>
      </c>
      <c r="BV151">
        <v>0</v>
      </c>
      <c r="BW151">
        <v>0</v>
      </c>
      <c r="BX151" s="18">
        <v>1</v>
      </c>
      <c r="BY151">
        <v>0</v>
      </c>
      <c r="BZ151">
        <v>0</v>
      </c>
      <c r="CA151">
        <v>0</v>
      </c>
      <c r="CB151">
        <v>0</v>
      </c>
      <c r="CC151" s="18">
        <v>0</v>
      </c>
      <c r="CD151">
        <v>0</v>
      </c>
      <c r="CE151">
        <v>0</v>
      </c>
      <c r="CF151">
        <v>1</v>
      </c>
      <c r="CG151">
        <v>1</v>
      </c>
      <c r="CH151">
        <v>0</v>
      </c>
      <c r="CI151">
        <v>0</v>
      </c>
      <c r="CJ151">
        <v>0</v>
      </c>
      <c r="CK151">
        <v>0</v>
      </c>
      <c r="CL151">
        <v>0</v>
      </c>
      <c r="CM151">
        <v>0</v>
      </c>
      <c r="CN151" s="18">
        <v>0</v>
      </c>
      <c r="CO151">
        <v>0.14599999999999999</v>
      </c>
      <c r="CP151">
        <v>5</v>
      </c>
      <c r="CQ151">
        <v>0</v>
      </c>
      <c r="CR151">
        <v>1</v>
      </c>
      <c r="CS151">
        <v>18</v>
      </c>
      <c r="CY151" s="34"/>
    </row>
    <row r="152" spans="1:103" x14ac:dyDescent="0.25">
      <c r="A152">
        <v>151</v>
      </c>
      <c r="B152">
        <v>14</v>
      </c>
      <c r="C152" s="25" t="s">
        <v>141</v>
      </c>
      <c r="D152" s="12">
        <v>7.5</v>
      </c>
      <c r="E152" s="14">
        <v>0.3</v>
      </c>
      <c r="F152" s="7">
        <v>30.713380227424</v>
      </c>
      <c r="G152" s="7">
        <f t="shared" si="35"/>
        <v>7.2</v>
      </c>
      <c r="H152" s="16">
        <f t="shared" si="36"/>
        <v>7.8</v>
      </c>
      <c r="I152" s="11">
        <f t="shared" si="39"/>
        <v>0.17506737478084128</v>
      </c>
      <c r="J152" s="33">
        <f t="shared" si="40"/>
        <v>5.7000360586987268E-3</v>
      </c>
      <c r="K152" s="33">
        <f t="shared" si="41"/>
        <v>175.43748665833741</v>
      </c>
      <c r="L152" s="8">
        <v>1</v>
      </c>
      <c r="M152" s="9">
        <v>0</v>
      </c>
      <c r="N152" s="8">
        <v>0</v>
      </c>
      <c r="O152" s="9">
        <v>0</v>
      </c>
      <c r="P152" s="9">
        <v>0</v>
      </c>
      <c r="Q152" s="9">
        <v>1</v>
      </c>
      <c r="R152" s="9">
        <v>0</v>
      </c>
      <c r="S152" s="8">
        <v>29839</v>
      </c>
      <c r="T152" s="9">
        <v>3</v>
      </c>
      <c r="U152" s="9">
        <f t="shared" si="37"/>
        <v>29835</v>
      </c>
      <c r="V152" s="9">
        <f t="shared" si="38"/>
        <v>12</v>
      </c>
      <c r="W152" s="7">
        <v>12.6</v>
      </c>
      <c r="X152" s="7">
        <f t="shared" si="43"/>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v>0</v>
      </c>
      <c r="BF152" s="18">
        <v>0</v>
      </c>
      <c r="BG152">
        <v>1</v>
      </c>
      <c r="BH152">
        <v>0</v>
      </c>
      <c r="BI152" s="18">
        <v>0</v>
      </c>
      <c r="BJ152">
        <v>29297</v>
      </c>
      <c r="BK152">
        <v>23130</v>
      </c>
      <c r="BL152" s="25">
        <v>44.5</v>
      </c>
      <c r="BM152">
        <v>1</v>
      </c>
      <c r="BN152">
        <v>0</v>
      </c>
      <c r="BO152">
        <v>0</v>
      </c>
      <c r="BP152">
        <v>0</v>
      </c>
      <c r="BQ152">
        <v>0</v>
      </c>
      <c r="BR152">
        <v>0</v>
      </c>
      <c r="BS152">
        <v>0</v>
      </c>
      <c r="BT152" s="18">
        <v>0</v>
      </c>
      <c r="BU152">
        <v>0</v>
      </c>
      <c r="BV152">
        <v>0</v>
      </c>
      <c r="BW152">
        <v>0</v>
      </c>
      <c r="BX152" s="18">
        <v>1</v>
      </c>
      <c r="BY152">
        <v>0</v>
      </c>
      <c r="BZ152">
        <v>0</v>
      </c>
      <c r="CA152">
        <v>0</v>
      </c>
      <c r="CB152">
        <v>0</v>
      </c>
      <c r="CC152" s="18">
        <v>0</v>
      </c>
      <c r="CD152">
        <v>0</v>
      </c>
      <c r="CE152">
        <v>0</v>
      </c>
      <c r="CF152">
        <v>1</v>
      </c>
      <c r="CG152">
        <v>1</v>
      </c>
      <c r="CH152">
        <v>0</v>
      </c>
      <c r="CI152">
        <v>0</v>
      </c>
      <c r="CJ152">
        <v>0</v>
      </c>
      <c r="CK152">
        <v>0</v>
      </c>
      <c r="CL152">
        <v>0</v>
      </c>
      <c r="CM152">
        <v>0</v>
      </c>
      <c r="CN152" s="18">
        <v>0</v>
      </c>
      <c r="CO152">
        <v>0.14599999999999999</v>
      </c>
      <c r="CP152">
        <v>5</v>
      </c>
      <c r="CQ152">
        <v>0</v>
      </c>
      <c r="CR152">
        <v>1</v>
      </c>
      <c r="CS152">
        <v>18</v>
      </c>
      <c r="CY152" s="34"/>
    </row>
    <row r="153" spans="1:103" x14ac:dyDescent="0.25">
      <c r="A153">
        <v>152</v>
      </c>
      <c r="B153">
        <v>14</v>
      </c>
      <c r="C153" s="25" t="s">
        <v>141</v>
      </c>
      <c r="D153" s="12">
        <v>10.6</v>
      </c>
      <c r="E153" s="14">
        <v>0.5</v>
      </c>
      <c r="F153" s="7">
        <v>31.713380227424</v>
      </c>
      <c r="G153" s="7">
        <f t="shared" si="35"/>
        <v>10.1</v>
      </c>
      <c r="H153" s="16">
        <f t="shared" si="36"/>
        <v>11.1</v>
      </c>
      <c r="I153" s="11">
        <f t="shared" si="39"/>
        <v>0.18049659984710903</v>
      </c>
      <c r="J153" s="33">
        <f t="shared" si="40"/>
        <v>5.6914967295421072E-3</v>
      </c>
      <c r="K153" s="33">
        <f t="shared" si="41"/>
        <v>175.7007071284836</v>
      </c>
      <c r="L153" s="8">
        <v>1</v>
      </c>
      <c r="M153" s="9">
        <v>0</v>
      </c>
      <c r="N153" s="8">
        <v>0</v>
      </c>
      <c r="O153" s="9">
        <v>0</v>
      </c>
      <c r="P153" s="9">
        <v>0</v>
      </c>
      <c r="Q153" s="9">
        <v>1</v>
      </c>
      <c r="R153" s="9">
        <v>0</v>
      </c>
      <c r="S153" s="8">
        <v>29869</v>
      </c>
      <c r="T153" s="9">
        <v>3</v>
      </c>
      <c r="U153" s="9">
        <f t="shared" si="37"/>
        <v>29865</v>
      </c>
      <c r="V153" s="9">
        <f t="shared" si="38"/>
        <v>12</v>
      </c>
      <c r="W153" s="7">
        <v>12.6</v>
      </c>
      <c r="X153" s="7">
        <f t="shared" si="43"/>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v>0</v>
      </c>
      <c r="BF153" s="18">
        <v>0</v>
      </c>
      <c r="BG153">
        <v>1</v>
      </c>
      <c r="BH153">
        <v>0</v>
      </c>
      <c r="BI153" s="18">
        <v>0</v>
      </c>
      <c r="BJ153">
        <v>29297</v>
      </c>
      <c r="BK153">
        <v>23130</v>
      </c>
      <c r="BL153" s="25">
        <v>44.5</v>
      </c>
      <c r="BM153">
        <v>1</v>
      </c>
      <c r="BN153">
        <v>0</v>
      </c>
      <c r="BO153">
        <v>0</v>
      </c>
      <c r="BP153">
        <v>0</v>
      </c>
      <c r="BQ153">
        <v>0</v>
      </c>
      <c r="BR153">
        <v>0</v>
      </c>
      <c r="BS153">
        <v>0</v>
      </c>
      <c r="BT153" s="18">
        <v>0</v>
      </c>
      <c r="BU153">
        <v>0</v>
      </c>
      <c r="BV153">
        <v>0</v>
      </c>
      <c r="BW153">
        <v>0</v>
      </c>
      <c r="BX153" s="18">
        <v>1</v>
      </c>
      <c r="BY153">
        <v>0</v>
      </c>
      <c r="BZ153">
        <v>0</v>
      </c>
      <c r="CA153">
        <v>0</v>
      </c>
      <c r="CB153">
        <v>0</v>
      </c>
      <c r="CC153" s="18">
        <v>0</v>
      </c>
      <c r="CD153">
        <v>0</v>
      </c>
      <c r="CE153">
        <v>0</v>
      </c>
      <c r="CF153">
        <v>1</v>
      </c>
      <c r="CG153">
        <v>1</v>
      </c>
      <c r="CH153">
        <v>0</v>
      </c>
      <c r="CI153">
        <v>0</v>
      </c>
      <c r="CJ153">
        <v>0</v>
      </c>
      <c r="CK153">
        <v>0</v>
      </c>
      <c r="CL153">
        <v>0</v>
      </c>
      <c r="CM153">
        <v>0</v>
      </c>
      <c r="CN153" s="18">
        <v>0</v>
      </c>
      <c r="CO153">
        <v>0.14599999999999999</v>
      </c>
      <c r="CP153">
        <v>5</v>
      </c>
      <c r="CQ153">
        <v>0</v>
      </c>
      <c r="CR153">
        <v>1</v>
      </c>
      <c r="CS153">
        <v>18</v>
      </c>
      <c r="CY153" s="34"/>
    </row>
    <row r="154" spans="1:103" s="51" customFormat="1" x14ac:dyDescent="0.25">
      <c r="A154" s="51">
        <v>153</v>
      </c>
      <c r="B154" s="51">
        <v>14</v>
      </c>
      <c r="C154" s="52" t="s">
        <v>141</v>
      </c>
      <c r="D154" s="53">
        <v>11.1</v>
      </c>
      <c r="E154" s="54">
        <v>0.6</v>
      </c>
      <c r="F154" s="55">
        <v>32.713380227423997</v>
      </c>
      <c r="G154" s="55">
        <f t="shared" si="35"/>
        <v>10.5</v>
      </c>
      <c r="H154" s="56">
        <f t="shared" si="36"/>
        <v>11.7</v>
      </c>
      <c r="I154" s="11">
        <f t="shared" si="39"/>
        <v>0.18598810220012707</v>
      </c>
      <c r="J154" s="33">
        <f t="shared" si="40"/>
        <v>5.6853831951065434E-3</v>
      </c>
      <c r="K154" s="33">
        <f t="shared" si="41"/>
        <v>175.88963939329687</v>
      </c>
      <c r="L154" s="59">
        <v>1</v>
      </c>
      <c r="M154" s="60">
        <v>0</v>
      </c>
      <c r="N154" s="59">
        <v>0</v>
      </c>
      <c r="O154" s="60">
        <v>0</v>
      </c>
      <c r="P154" s="60">
        <v>0</v>
      </c>
      <c r="Q154" s="60">
        <v>1</v>
      </c>
      <c r="R154" s="60">
        <v>0</v>
      </c>
      <c r="S154" s="59">
        <v>29871</v>
      </c>
      <c r="T154" s="60">
        <v>3</v>
      </c>
      <c r="U154" s="60">
        <f t="shared" si="37"/>
        <v>29867</v>
      </c>
      <c r="V154" s="60">
        <f t="shared" si="38"/>
        <v>12</v>
      </c>
      <c r="W154" s="55">
        <v>12.6</v>
      </c>
      <c r="X154" s="55">
        <f t="shared" si="43"/>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v>0</v>
      </c>
      <c r="BF154" s="65">
        <v>0</v>
      </c>
      <c r="BG154">
        <v>1</v>
      </c>
      <c r="BH154">
        <v>0</v>
      </c>
      <c r="BI154" s="65">
        <v>0</v>
      </c>
      <c r="BJ154">
        <v>29297</v>
      </c>
      <c r="BK154">
        <v>23130</v>
      </c>
      <c r="BL154" s="52">
        <v>44.5</v>
      </c>
      <c r="BM154" s="51">
        <v>1</v>
      </c>
      <c r="BN154" s="51">
        <v>0</v>
      </c>
      <c r="BO154" s="51">
        <v>0</v>
      </c>
      <c r="BP154" s="51">
        <v>0</v>
      </c>
      <c r="BQ154" s="51">
        <v>0</v>
      </c>
      <c r="BR154" s="51">
        <v>0</v>
      </c>
      <c r="BS154" s="51">
        <v>0</v>
      </c>
      <c r="BT154" s="65">
        <v>0</v>
      </c>
      <c r="BU154" s="51">
        <v>0</v>
      </c>
      <c r="BV154" s="51">
        <v>0</v>
      </c>
      <c r="BW154" s="51">
        <v>0</v>
      </c>
      <c r="BX154" s="65">
        <v>1</v>
      </c>
      <c r="BY154" s="51">
        <v>0</v>
      </c>
      <c r="BZ154" s="51">
        <v>0</v>
      </c>
      <c r="CA154" s="51">
        <v>0</v>
      </c>
      <c r="CB154" s="51">
        <v>0</v>
      </c>
      <c r="CC154" s="65">
        <v>0</v>
      </c>
      <c r="CD154" s="51">
        <v>0</v>
      </c>
      <c r="CE154" s="51">
        <v>0</v>
      </c>
      <c r="CF154" s="51">
        <v>1</v>
      </c>
      <c r="CG154" s="51">
        <v>1</v>
      </c>
      <c r="CH154" s="51">
        <v>0</v>
      </c>
      <c r="CI154" s="51">
        <v>0</v>
      </c>
      <c r="CJ154" s="51">
        <v>0</v>
      </c>
      <c r="CK154" s="51">
        <v>0</v>
      </c>
      <c r="CL154" s="51">
        <v>0</v>
      </c>
      <c r="CM154" s="51">
        <v>0</v>
      </c>
      <c r="CN154" s="65">
        <v>0</v>
      </c>
      <c r="CO154">
        <v>0.14599999999999999</v>
      </c>
      <c r="CP154">
        <v>5</v>
      </c>
      <c r="CQ154">
        <v>0</v>
      </c>
      <c r="CR154">
        <v>1</v>
      </c>
      <c r="CS154">
        <v>18</v>
      </c>
      <c r="CT154" s="67"/>
      <c r="CY154" s="67"/>
    </row>
    <row r="155" spans="1:103" x14ac:dyDescent="0.25">
      <c r="A155">
        <v>154</v>
      </c>
      <c r="B155">
        <v>15</v>
      </c>
      <c r="C155" s="25" t="s">
        <v>166</v>
      </c>
      <c r="D155" s="12">
        <v>8.5</v>
      </c>
      <c r="E155" s="14">
        <v>0.1</v>
      </c>
      <c r="F155" s="7">
        <f>D155/E155</f>
        <v>85</v>
      </c>
      <c r="G155" s="7">
        <f t="shared" si="35"/>
        <v>8.4</v>
      </c>
      <c r="H155" s="16">
        <f t="shared" si="36"/>
        <v>8.6</v>
      </c>
      <c r="I155" s="11">
        <f t="shared" si="39"/>
        <v>0.36517364407708086</v>
      </c>
      <c r="J155" s="33">
        <f t="shared" si="40"/>
        <v>4.2961605185538919E-3</v>
      </c>
      <c r="K155" s="33">
        <f t="shared" si="41"/>
        <v>232.76597689524988</v>
      </c>
      <c r="L155" s="8">
        <v>1</v>
      </c>
      <c r="M155" s="9">
        <v>0</v>
      </c>
      <c r="N155" s="8">
        <v>0</v>
      </c>
      <c r="O155" s="9">
        <v>1</v>
      </c>
      <c r="P155" s="9">
        <v>0</v>
      </c>
      <c r="Q155" s="9">
        <v>0</v>
      </c>
      <c r="R155" s="9">
        <v>0</v>
      </c>
      <c r="S155" s="8">
        <v>46965</v>
      </c>
      <c r="T155" s="9">
        <v>9</v>
      </c>
      <c r="U155" s="9">
        <f t="shared" si="37"/>
        <v>46955</v>
      </c>
      <c r="V155" s="9">
        <f t="shared" si="38"/>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4">1-SUM(AK155:AM155)</f>
        <v>0.15199999999999991</v>
      </c>
      <c r="AO155" s="42" t="s">
        <v>98</v>
      </c>
      <c r="AP155" s="18" t="s">
        <v>98</v>
      </c>
      <c r="AQ155">
        <v>0.27300000000000002</v>
      </c>
      <c r="AR155" s="40">
        <f t="shared" ref="AR155:AR218" si="45">1-AQ155</f>
        <v>0.72699999999999998</v>
      </c>
      <c r="AS155" t="s">
        <v>98</v>
      </c>
      <c r="AT155" s="40" t="s">
        <v>98</v>
      </c>
      <c r="AU155">
        <v>0</v>
      </c>
      <c r="AV155" s="18">
        <v>1</v>
      </c>
      <c r="AW155">
        <v>0.32100000000000001</v>
      </c>
      <c r="AX155" s="18">
        <f t="shared" ref="AX155:AX174" si="46">1-AW155</f>
        <v>0.67900000000000005</v>
      </c>
      <c r="AY155" s="18" t="s">
        <v>12</v>
      </c>
      <c r="AZ155">
        <v>0</v>
      </c>
      <c r="BA155" s="40">
        <v>0</v>
      </c>
      <c r="BB155">
        <v>0</v>
      </c>
      <c r="BC155">
        <v>0</v>
      </c>
      <c r="BD155" s="18">
        <v>0</v>
      </c>
      <c r="BE155">
        <v>1</v>
      </c>
      <c r="BF155" s="40">
        <v>0</v>
      </c>
      <c r="BG155">
        <v>0</v>
      </c>
      <c r="BH155" s="18">
        <v>1</v>
      </c>
      <c r="BI155" s="18">
        <v>0</v>
      </c>
      <c r="BJ155">
        <v>584</v>
      </c>
      <c r="BK155" s="40">
        <v>495</v>
      </c>
      <c r="BL155" s="25">
        <v>35.944000000000003</v>
      </c>
      <c r="BM155">
        <v>1</v>
      </c>
      <c r="BN155">
        <v>0</v>
      </c>
      <c r="BO155">
        <v>0</v>
      </c>
      <c r="BP155">
        <v>0</v>
      </c>
      <c r="BQ155">
        <v>0</v>
      </c>
      <c r="BR155">
        <v>0</v>
      </c>
      <c r="BS155">
        <v>0</v>
      </c>
      <c r="BT155" s="18">
        <v>0</v>
      </c>
      <c r="BU155">
        <v>0</v>
      </c>
      <c r="BV155">
        <v>0</v>
      </c>
      <c r="BW155">
        <v>1</v>
      </c>
      <c r="BX155" s="18">
        <v>0</v>
      </c>
      <c r="BY155">
        <v>0</v>
      </c>
      <c r="BZ155">
        <v>0</v>
      </c>
      <c r="CA155">
        <v>0</v>
      </c>
      <c r="CB155">
        <v>0</v>
      </c>
      <c r="CC155" s="18">
        <v>0</v>
      </c>
      <c r="CD155">
        <v>0</v>
      </c>
      <c r="CE155">
        <v>0</v>
      </c>
      <c r="CF155">
        <v>1</v>
      </c>
      <c r="CG155">
        <v>1</v>
      </c>
      <c r="CH155">
        <v>0</v>
      </c>
      <c r="CI155">
        <v>0</v>
      </c>
      <c r="CJ155">
        <v>1</v>
      </c>
      <c r="CK155">
        <v>0</v>
      </c>
      <c r="CL155">
        <v>0</v>
      </c>
      <c r="CM155">
        <v>1</v>
      </c>
      <c r="CN155" s="18">
        <v>1</v>
      </c>
      <c r="CO155">
        <v>0</v>
      </c>
      <c r="CP155">
        <v>106</v>
      </c>
      <c r="CQ155">
        <v>0</v>
      </c>
      <c r="CR155">
        <v>1</v>
      </c>
      <c r="CS155">
        <v>16</v>
      </c>
      <c r="CY155" s="34"/>
    </row>
    <row r="156" spans="1:103" x14ac:dyDescent="0.25">
      <c r="A156">
        <v>155</v>
      </c>
      <c r="B156">
        <v>15</v>
      </c>
      <c r="C156" s="25" t="s">
        <v>166</v>
      </c>
      <c r="D156" s="12">
        <v>7.7</v>
      </c>
      <c r="E156" s="14">
        <v>0.1</v>
      </c>
      <c r="F156" s="7">
        <f>D156/E156</f>
        <v>77</v>
      </c>
      <c r="G156" s="7">
        <f t="shared" si="35"/>
        <v>7.6000000000000005</v>
      </c>
      <c r="H156" s="16">
        <f t="shared" si="36"/>
        <v>7.8</v>
      </c>
      <c r="I156" s="11">
        <f t="shared" si="39"/>
        <v>0.33484591258365215</v>
      </c>
      <c r="J156" s="33">
        <f t="shared" si="40"/>
        <v>4.3486482153721057E-3</v>
      </c>
      <c r="K156" s="33">
        <f t="shared" si="41"/>
        <v>229.95651762887698</v>
      </c>
      <c r="L156" s="8">
        <v>1</v>
      </c>
      <c r="M156" s="9">
        <v>0</v>
      </c>
      <c r="N156" s="8">
        <v>0</v>
      </c>
      <c r="O156" s="9">
        <v>1</v>
      </c>
      <c r="P156" s="9">
        <v>0</v>
      </c>
      <c r="Q156" s="9">
        <v>0</v>
      </c>
      <c r="R156" s="9">
        <v>0</v>
      </c>
      <c r="S156" s="8">
        <v>46965</v>
      </c>
      <c r="T156" s="9">
        <v>13</v>
      </c>
      <c r="U156" s="9">
        <f t="shared" si="37"/>
        <v>46951</v>
      </c>
      <c r="V156" s="9">
        <f t="shared" si="38"/>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4"/>
        <v>0.15199999999999991</v>
      </c>
      <c r="AO156" s="42" t="s">
        <v>98</v>
      </c>
      <c r="AP156" s="18" t="s">
        <v>98</v>
      </c>
      <c r="AQ156">
        <v>0.27300000000000002</v>
      </c>
      <c r="AR156" s="40">
        <f t="shared" si="45"/>
        <v>0.72699999999999998</v>
      </c>
      <c r="AS156" t="s">
        <v>98</v>
      </c>
      <c r="AT156" s="40" t="s">
        <v>98</v>
      </c>
      <c r="AU156">
        <v>0</v>
      </c>
      <c r="AV156" s="18">
        <v>1</v>
      </c>
      <c r="AW156">
        <v>0.32100000000000001</v>
      </c>
      <c r="AX156" s="18">
        <f t="shared" si="46"/>
        <v>0.67900000000000005</v>
      </c>
      <c r="AY156" s="18" t="s">
        <v>12</v>
      </c>
      <c r="AZ156">
        <v>0</v>
      </c>
      <c r="BA156" s="40">
        <v>0</v>
      </c>
      <c r="BB156">
        <v>0</v>
      </c>
      <c r="BC156">
        <v>0</v>
      </c>
      <c r="BD156" s="18">
        <v>0</v>
      </c>
      <c r="BE156">
        <v>1</v>
      </c>
      <c r="BF156" s="40">
        <v>0</v>
      </c>
      <c r="BG156">
        <v>0</v>
      </c>
      <c r="BH156" s="18">
        <v>1</v>
      </c>
      <c r="BI156" s="18">
        <v>0</v>
      </c>
      <c r="BJ156">
        <v>584</v>
      </c>
      <c r="BK156" s="40">
        <v>495</v>
      </c>
      <c r="BL156" s="25">
        <v>35.944000000000003</v>
      </c>
      <c r="BM156">
        <v>1</v>
      </c>
      <c r="BN156">
        <v>0</v>
      </c>
      <c r="BO156">
        <v>0</v>
      </c>
      <c r="BP156">
        <v>0</v>
      </c>
      <c r="BQ156">
        <v>0</v>
      </c>
      <c r="BR156">
        <v>0</v>
      </c>
      <c r="BS156">
        <v>0</v>
      </c>
      <c r="BT156" s="18">
        <v>0</v>
      </c>
      <c r="BU156">
        <v>0</v>
      </c>
      <c r="BV156">
        <v>0</v>
      </c>
      <c r="BW156">
        <v>1</v>
      </c>
      <c r="BX156" s="18">
        <v>0</v>
      </c>
      <c r="BY156">
        <v>0</v>
      </c>
      <c r="BZ156">
        <v>0</v>
      </c>
      <c r="CA156">
        <v>0</v>
      </c>
      <c r="CB156">
        <v>0</v>
      </c>
      <c r="CC156" s="18">
        <v>0</v>
      </c>
      <c r="CD156">
        <v>0</v>
      </c>
      <c r="CE156">
        <v>0</v>
      </c>
      <c r="CF156">
        <v>1</v>
      </c>
      <c r="CG156">
        <v>1</v>
      </c>
      <c r="CH156">
        <v>0</v>
      </c>
      <c r="CI156">
        <v>0</v>
      </c>
      <c r="CJ156">
        <v>1</v>
      </c>
      <c r="CK156">
        <v>0</v>
      </c>
      <c r="CL156">
        <v>0</v>
      </c>
      <c r="CM156">
        <v>1</v>
      </c>
      <c r="CN156" s="18">
        <v>1</v>
      </c>
      <c r="CO156">
        <v>0</v>
      </c>
      <c r="CP156">
        <v>106</v>
      </c>
      <c r="CQ156">
        <v>0</v>
      </c>
      <c r="CR156">
        <v>1</v>
      </c>
      <c r="CS156">
        <v>16</v>
      </c>
      <c r="CY156" s="34"/>
    </row>
    <row r="157" spans="1:103" x14ac:dyDescent="0.25">
      <c r="A157">
        <v>156</v>
      </c>
      <c r="B157">
        <v>15</v>
      </c>
      <c r="C157" s="25" t="s">
        <v>166</v>
      </c>
      <c r="D157" s="12">
        <v>6.8</v>
      </c>
      <c r="E157" s="14">
        <v>0.1</v>
      </c>
      <c r="F157" s="7">
        <f>D157/E157</f>
        <v>68</v>
      </c>
      <c r="G157" s="7">
        <f t="shared" si="35"/>
        <v>6.7</v>
      </c>
      <c r="H157" s="16">
        <f t="shared" si="36"/>
        <v>6.8999999999999995</v>
      </c>
      <c r="I157" s="11">
        <f t="shared" si="39"/>
        <v>0.29942585227104296</v>
      </c>
      <c r="J157" s="33">
        <f t="shared" si="40"/>
        <v>4.4033213569271024E-3</v>
      </c>
      <c r="K157" s="33">
        <f t="shared" si="41"/>
        <v>227.10129898351525</v>
      </c>
      <c r="L157" s="8">
        <v>1</v>
      </c>
      <c r="M157" s="9">
        <v>0</v>
      </c>
      <c r="N157" s="8">
        <v>0</v>
      </c>
      <c r="O157" s="9">
        <v>1</v>
      </c>
      <c r="P157" s="9">
        <v>0</v>
      </c>
      <c r="Q157" s="9">
        <v>0</v>
      </c>
      <c r="R157" s="9">
        <v>0</v>
      </c>
      <c r="S157" s="8">
        <v>46965</v>
      </c>
      <c r="T157" s="9">
        <v>13</v>
      </c>
      <c r="U157" s="9">
        <f t="shared" si="37"/>
        <v>46951</v>
      </c>
      <c r="V157" s="9">
        <f t="shared" si="38"/>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4"/>
        <v>0.15199999999999991</v>
      </c>
      <c r="AO157" s="42" t="s">
        <v>98</v>
      </c>
      <c r="AP157" s="18" t="s">
        <v>98</v>
      </c>
      <c r="AQ157">
        <v>0.27300000000000002</v>
      </c>
      <c r="AR157" s="40">
        <f t="shared" si="45"/>
        <v>0.72699999999999998</v>
      </c>
      <c r="AS157" t="s">
        <v>98</v>
      </c>
      <c r="AT157" s="40" t="s">
        <v>98</v>
      </c>
      <c r="AU157">
        <v>0</v>
      </c>
      <c r="AV157" s="18">
        <v>1</v>
      </c>
      <c r="AW157">
        <v>0.32100000000000001</v>
      </c>
      <c r="AX157" s="18">
        <f t="shared" si="46"/>
        <v>0.67900000000000005</v>
      </c>
      <c r="AY157" s="18" t="s">
        <v>12</v>
      </c>
      <c r="AZ157">
        <v>0</v>
      </c>
      <c r="BA157" s="40">
        <v>0</v>
      </c>
      <c r="BB157">
        <v>0</v>
      </c>
      <c r="BC157">
        <v>0</v>
      </c>
      <c r="BD157" s="18">
        <v>0</v>
      </c>
      <c r="BE157">
        <v>1</v>
      </c>
      <c r="BF157" s="40">
        <v>0</v>
      </c>
      <c r="BG157">
        <v>0</v>
      </c>
      <c r="BH157" s="18">
        <v>1</v>
      </c>
      <c r="BI157" s="18">
        <v>0</v>
      </c>
      <c r="BJ157">
        <v>584</v>
      </c>
      <c r="BK157" s="40">
        <v>495</v>
      </c>
      <c r="BL157" s="25">
        <v>35.944000000000003</v>
      </c>
      <c r="BM157">
        <v>1</v>
      </c>
      <c r="BN157">
        <v>0</v>
      </c>
      <c r="BO157">
        <v>0</v>
      </c>
      <c r="BP157">
        <v>0</v>
      </c>
      <c r="BQ157">
        <v>0</v>
      </c>
      <c r="BR157">
        <v>0</v>
      </c>
      <c r="BS157">
        <v>0</v>
      </c>
      <c r="BT157" s="18">
        <v>0</v>
      </c>
      <c r="BU157">
        <v>0</v>
      </c>
      <c r="BV157">
        <v>0</v>
      </c>
      <c r="BW157">
        <v>1</v>
      </c>
      <c r="BX157" s="18">
        <v>0</v>
      </c>
      <c r="BY157">
        <v>0</v>
      </c>
      <c r="BZ157">
        <v>0</v>
      </c>
      <c r="CA157">
        <v>0</v>
      </c>
      <c r="CB157">
        <v>0</v>
      </c>
      <c r="CC157" s="18">
        <v>0</v>
      </c>
      <c r="CD157">
        <v>0</v>
      </c>
      <c r="CE157">
        <v>0</v>
      </c>
      <c r="CF157">
        <v>1</v>
      </c>
      <c r="CG157">
        <v>1</v>
      </c>
      <c r="CH157">
        <v>0</v>
      </c>
      <c r="CI157">
        <v>0</v>
      </c>
      <c r="CJ157">
        <v>1</v>
      </c>
      <c r="CK157">
        <v>0</v>
      </c>
      <c r="CL157">
        <v>0</v>
      </c>
      <c r="CM157">
        <v>1</v>
      </c>
      <c r="CN157" s="18">
        <v>1</v>
      </c>
      <c r="CO157">
        <v>0</v>
      </c>
      <c r="CP157">
        <v>106</v>
      </c>
      <c r="CQ157">
        <v>0</v>
      </c>
      <c r="CR157">
        <v>1</v>
      </c>
      <c r="CS157">
        <v>16</v>
      </c>
      <c r="CY157" s="34"/>
    </row>
    <row r="158" spans="1:103" x14ac:dyDescent="0.25">
      <c r="A158">
        <v>157</v>
      </c>
      <c r="B158">
        <v>15</v>
      </c>
      <c r="C158" s="25" t="s">
        <v>166</v>
      </c>
      <c r="D158" s="12">
        <v>8.5</v>
      </c>
      <c r="E158" s="14">
        <v>0.1</v>
      </c>
      <c r="F158" s="7">
        <f>D158/E158</f>
        <v>85</v>
      </c>
      <c r="G158" s="7">
        <f t="shared" si="35"/>
        <v>8.4</v>
      </c>
      <c r="H158" s="16">
        <f t="shared" si="36"/>
        <v>8.6</v>
      </c>
      <c r="I158" s="11">
        <f t="shared" si="39"/>
        <v>0.36519386578122887</v>
      </c>
      <c r="J158" s="33">
        <f t="shared" si="40"/>
        <v>4.2963984209556331E-3</v>
      </c>
      <c r="K158" s="33">
        <f t="shared" si="41"/>
        <v>232.75308805685052</v>
      </c>
      <c r="L158" s="8">
        <v>1</v>
      </c>
      <c r="M158" s="9">
        <v>0</v>
      </c>
      <c r="N158" s="8">
        <v>0</v>
      </c>
      <c r="O158" s="9">
        <v>1</v>
      </c>
      <c r="P158" s="9">
        <v>0</v>
      </c>
      <c r="Q158" s="9">
        <v>0</v>
      </c>
      <c r="R158" s="9">
        <v>0</v>
      </c>
      <c r="S158" s="8">
        <v>46965</v>
      </c>
      <c r="T158" s="9">
        <v>15</v>
      </c>
      <c r="U158" s="9">
        <f t="shared" si="37"/>
        <v>46949</v>
      </c>
      <c r="V158" s="9">
        <f t="shared" si="38"/>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4"/>
        <v>0.15199999999999991</v>
      </c>
      <c r="AO158" s="42" t="s">
        <v>98</v>
      </c>
      <c r="AP158" s="18" t="s">
        <v>98</v>
      </c>
      <c r="AQ158">
        <v>0.27300000000000002</v>
      </c>
      <c r="AR158" s="40">
        <f t="shared" si="45"/>
        <v>0.72699999999999998</v>
      </c>
      <c r="AS158" t="s">
        <v>98</v>
      </c>
      <c r="AT158" s="40" t="s">
        <v>98</v>
      </c>
      <c r="AU158">
        <v>0</v>
      </c>
      <c r="AV158" s="18">
        <v>1</v>
      </c>
      <c r="AW158">
        <v>0.32100000000000001</v>
      </c>
      <c r="AX158" s="18">
        <f t="shared" si="46"/>
        <v>0.67900000000000005</v>
      </c>
      <c r="AY158" s="18" t="s">
        <v>12</v>
      </c>
      <c r="AZ158">
        <v>0</v>
      </c>
      <c r="BA158" s="40">
        <v>0</v>
      </c>
      <c r="BB158">
        <v>0</v>
      </c>
      <c r="BC158">
        <v>0</v>
      </c>
      <c r="BD158" s="18">
        <v>0</v>
      </c>
      <c r="BE158">
        <v>1</v>
      </c>
      <c r="BF158" s="40">
        <v>0</v>
      </c>
      <c r="BG158">
        <v>0</v>
      </c>
      <c r="BH158" s="18">
        <v>1</v>
      </c>
      <c r="BI158" s="18">
        <v>0</v>
      </c>
      <c r="BJ158">
        <v>584</v>
      </c>
      <c r="BK158" s="40">
        <v>495</v>
      </c>
      <c r="BL158" s="25">
        <v>35.944000000000003</v>
      </c>
      <c r="BM158">
        <v>1</v>
      </c>
      <c r="BN158">
        <v>0</v>
      </c>
      <c r="BO158">
        <v>0</v>
      </c>
      <c r="BP158">
        <v>0</v>
      </c>
      <c r="BQ158">
        <v>0</v>
      </c>
      <c r="BR158">
        <v>0</v>
      </c>
      <c r="BS158">
        <v>0</v>
      </c>
      <c r="BT158" s="18">
        <v>0</v>
      </c>
      <c r="BU158">
        <v>0</v>
      </c>
      <c r="BV158">
        <v>0</v>
      </c>
      <c r="BW158">
        <v>1</v>
      </c>
      <c r="BX158" s="18">
        <v>0</v>
      </c>
      <c r="BY158">
        <v>0</v>
      </c>
      <c r="BZ158">
        <v>0</v>
      </c>
      <c r="CA158">
        <v>0</v>
      </c>
      <c r="CB158">
        <v>0</v>
      </c>
      <c r="CC158" s="18">
        <v>0</v>
      </c>
      <c r="CD158">
        <v>1</v>
      </c>
      <c r="CE158">
        <v>0</v>
      </c>
      <c r="CF158">
        <v>1</v>
      </c>
      <c r="CG158">
        <v>1</v>
      </c>
      <c r="CH158">
        <v>0</v>
      </c>
      <c r="CI158">
        <v>0</v>
      </c>
      <c r="CJ158">
        <v>1</v>
      </c>
      <c r="CK158">
        <v>0</v>
      </c>
      <c r="CL158">
        <v>0</v>
      </c>
      <c r="CM158">
        <v>1</v>
      </c>
      <c r="CN158" s="18">
        <v>1</v>
      </c>
      <c r="CO158">
        <v>0</v>
      </c>
      <c r="CP158">
        <v>106</v>
      </c>
      <c r="CQ158">
        <v>0</v>
      </c>
      <c r="CR158">
        <v>1</v>
      </c>
      <c r="CS158">
        <v>16</v>
      </c>
      <c r="CY158" s="34"/>
    </row>
    <row r="159" spans="1:103" x14ac:dyDescent="0.25">
      <c r="A159">
        <v>158</v>
      </c>
      <c r="B159">
        <v>15</v>
      </c>
      <c r="C159" s="25" t="s">
        <v>166</v>
      </c>
      <c r="D159" s="12">
        <v>7.7</v>
      </c>
      <c r="E159" s="14">
        <v>0.1</v>
      </c>
      <c r="F159" s="7">
        <f>D159/E159</f>
        <v>77</v>
      </c>
      <c r="G159" s="7">
        <f t="shared" si="35"/>
        <v>7.6000000000000005</v>
      </c>
      <c r="H159" s="16">
        <f t="shared" si="36"/>
        <v>7.8</v>
      </c>
      <c r="I159" s="11">
        <f t="shared" si="39"/>
        <v>0.23671027339789866</v>
      </c>
      <c r="J159" s="33">
        <f t="shared" si="40"/>
        <v>3.0741593947779043E-3</v>
      </c>
      <c r="K159" s="33">
        <f t="shared" si="41"/>
        <v>325.292176358424</v>
      </c>
      <c r="L159" s="8">
        <v>1</v>
      </c>
      <c r="M159" s="9">
        <v>0</v>
      </c>
      <c r="N159" s="8">
        <v>0</v>
      </c>
      <c r="O159" s="9">
        <v>1</v>
      </c>
      <c r="P159" s="9">
        <v>0</v>
      </c>
      <c r="Q159" s="9">
        <v>0</v>
      </c>
      <c r="R159" s="9">
        <v>0</v>
      </c>
      <c r="S159" s="8">
        <v>99900</v>
      </c>
      <c r="T159" s="9">
        <v>13</v>
      </c>
      <c r="U159" s="9">
        <f t="shared" si="37"/>
        <v>99886</v>
      </c>
      <c r="V159" s="9">
        <f t="shared" si="38"/>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4"/>
        <v>0.15199999999999991</v>
      </c>
      <c r="AO159" s="42" t="s">
        <v>98</v>
      </c>
      <c r="AP159" s="18" t="s">
        <v>98</v>
      </c>
      <c r="AQ159">
        <v>0.27300000000000002</v>
      </c>
      <c r="AR159" s="40">
        <f t="shared" si="45"/>
        <v>0.72699999999999998</v>
      </c>
      <c r="AS159" t="s">
        <v>98</v>
      </c>
      <c r="AT159" s="40" t="s">
        <v>98</v>
      </c>
      <c r="AU159">
        <v>0</v>
      </c>
      <c r="AV159" s="18">
        <v>1</v>
      </c>
      <c r="AW159">
        <v>0.32100000000000001</v>
      </c>
      <c r="AX159" s="18">
        <f t="shared" si="46"/>
        <v>0.67900000000000005</v>
      </c>
      <c r="AY159" s="18" t="s">
        <v>12</v>
      </c>
      <c r="AZ159">
        <v>0</v>
      </c>
      <c r="BA159" s="40">
        <v>0</v>
      </c>
      <c r="BB159">
        <v>0</v>
      </c>
      <c r="BC159">
        <v>0</v>
      </c>
      <c r="BD159" s="18">
        <v>0</v>
      </c>
      <c r="BE159">
        <v>1</v>
      </c>
      <c r="BF159" s="40">
        <v>0</v>
      </c>
      <c r="BG159">
        <v>0</v>
      </c>
      <c r="BH159" s="18">
        <v>1</v>
      </c>
      <c r="BI159" s="18">
        <v>0</v>
      </c>
      <c r="BJ159">
        <v>584</v>
      </c>
      <c r="BK159" s="40">
        <v>495</v>
      </c>
      <c r="BL159" s="25">
        <v>35.944000000000003</v>
      </c>
      <c r="BM159">
        <v>1</v>
      </c>
      <c r="BN159">
        <v>0</v>
      </c>
      <c r="BO159">
        <v>0</v>
      </c>
      <c r="BP159">
        <v>0</v>
      </c>
      <c r="BQ159">
        <v>0</v>
      </c>
      <c r="BR159">
        <v>0</v>
      </c>
      <c r="BS159">
        <v>0</v>
      </c>
      <c r="BT159" s="18">
        <v>0</v>
      </c>
      <c r="BU159">
        <v>0</v>
      </c>
      <c r="BV159">
        <v>0</v>
      </c>
      <c r="BW159">
        <v>1</v>
      </c>
      <c r="BX159" s="18">
        <v>0</v>
      </c>
      <c r="BY159">
        <v>0</v>
      </c>
      <c r="BZ159">
        <v>0</v>
      </c>
      <c r="CA159">
        <v>0</v>
      </c>
      <c r="CB159">
        <v>0</v>
      </c>
      <c r="CC159" s="18">
        <v>0</v>
      </c>
      <c r="CD159">
        <v>0</v>
      </c>
      <c r="CE159">
        <v>0</v>
      </c>
      <c r="CF159">
        <v>1</v>
      </c>
      <c r="CG159">
        <v>1</v>
      </c>
      <c r="CH159">
        <v>0</v>
      </c>
      <c r="CI159">
        <v>0</v>
      </c>
      <c r="CJ159">
        <v>1</v>
      </c>
      <c r="CK159">
        <v>0</v>
      </c>
      <c r="CL159">
        <v>0</v>
      </c>
      <c r="CM159">
        <v>1</v>
      </c>
      <c r="CN159" s="18">
        <v>1</v>
      </c>
      <c r="CO159">
        <v>0</v>
      </c>
      <c r="CP159">
        <v>106</v>
      </c>
      <c r="CQ159">
        <v>0</v>
      </c>
      <c r="CR159">
        <v>1</v>
      </c>
      <c r="CS159">
        <v>16</v>
      </c>
      <c r="CY159" s="34"/>
    </row>
    <row r="160" spans="1:103" x14ac:dyDescent="0.25">
      <c r="A160">
        <v>159</v>
      </c>
      <c r="B160">
        <v>15</v>
      </c>
      <c r="C160" s="25" t="s">
        <v>166</v>
      </c>
      <c r="D160" s="12">
        <v>5.1923910316380004</v>
      </c>
      <c r="E160" s="14">
        <v>0.28494828832159752</v>
      </c>
      <c r="F160" s="7">
        <v>18.222222222222221</v>
      </c>
      <c r="G160" s="7">
        <f t="shared" si="35"/>
        <v>4.9074427433164027</v>
      </c>
      <c r="H160" s="16">
        <f t="shared" si="36"/>
        <v>5.4773393199595981</v>
      </c>
      <c r="I160" s="11">
        <f t="shared" si="39"/>
        <v>5.7562153466299733E-2</v>
      </c>
      <c r="J160" s="33">
        <f t="shared" si="40"/>
        <v>3.1588986658335223E-3</v>
      </c>
      <c r="K160" s="33">
        <f t="shared" si="41"/>
        <v>316.56602689283648</v>
      </c>
      <c r="L160" s="8">
        <v>1</v>
      </c>
      <c r="M160" s="9">
        <v>0</v>
      </c>
      <c r="N160" s="8">
        <v>0</v>
      </c>
      <c r="O160" s="9">
        <v>1</v>
      </c>
      <c r="P160" s="9">
        <v>0</v>
      </c>
      <c r="Q160" s="9">
        <v>0</v>
      </c>
      <c r="R160" s="9">
        <v>0</v>
      </c>
      <c r="S160" s="8">
        <v>99900</v>
      </c>
      <c r="T160" s="9">
        <v>17</v>
      </c>
      <c r="U160" s="9">
        <f t="shared" si="37"/>
        <v>99882</v>
      </c>
      <c r="V160" s="9">
        <f t="shared" si="38"/>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4"/>
        <v>0.18599999999999994</v>
      </c>
      <c r="AO160" s="42" t="s">
        <v>98</v>
      </c>
      <c r="AP160" s="18" t="s">
        <v>98</v>
      </c>
      <c r="AQ160">
        <v>0.504</v>
      </c>
      <c r="AR160" s="40">
        <f t="shared" si="45"/>
        <v>0.496</v>
      </c>
      <c r="AS160" t="s">
        <v>98</v>
      </c>
      <c r="AT160" s="40" t="s">
        <v>98</v>
      </c>
      <c r="AU160">
        <v>0</v>
      </c>
      <c r="AV160" s="18">
        <v>1</v>
      </c>
      <c r="AW160">
        <v>0.32100000000000001</v>
      </c>
      <c r="AX160" s="18">
        <f t="shared" si="46"/>
        <v>0.67900000000000005</v>
      </c>
      <c r="AY160" s="18" t="s">
        <v>12</v>
      </c>
      <c r="AZ160">
        <v>0</v>
      </c>
      <c r="BA160" s="40">
        <v>0</v>
      </c>
      <c r="BB160">
        <v>0</v>
      </c>
      <c r="BC160">
        <v>0</v>
      </c>
      <c r="BD160" s="18">
        <v>0</v>
      </c>
      <c r="BE160">
        <v>1</v>
      </c>
      <c r="BF160" s="40">
        <v>0</v>
      </c>
      <c r="BG160">
        <v>0</v>
      </c>
      <c r="BH160" s="18">
        <v>1</v>
      </c>
      <c r="BI160" s="18">
        <v>0</v>
      </c>
      <c r="BJ160">
        <v>584</v>
      </c>
      <c r="BK160" s="40">
        <v>495</v>
      </c>
      <c r="BL160" s="25">
        <v>35.944000000000003</v>
      </c>
      <c r="BM160">
        <v>0</v>
      </c>
      <c r="BN160">
        <v>0</v>
      </c>
      <c r="BO160">
        <v>0</v>
      </c>
      <c r="BP160">
        <v>0</v>
      </c>
      <c r="BQ160">
        <v>0</v>
      </c>
      <c r="BR160">
        <v>1</v>
      </c>
      <c r="BS160">
        <v>0</v>
      </c>
      <c r="BT160" s="18">
        <v>0</v>
      </c>
      <c r="BU160">
        <v>0</v>
      </c>
      <c r="BV160">
        <v>0</v>
      </c>
      <c r="BW160">
        <v>1</v>
      </c>
      <c r="BX160" s="18">
        <v>0</v>
      </c>
      <c r="BY160">
        <v>0</v>
      </c>
      <c r="BZ160">
        <v>0</v>
      </c>
      <c r="CA160">
        <v>0</v>
      </c>
      <c r="CB160">
        <v>0</v>
      </c>
      <c r="CC160" s="18">
        <v>0</v>
      </c>
      <c r="CD160">
        <v>0</v>
      </c>
      <c r="CE160">
        <v>0</v>
      </c>
      <c r="CF160">
        <v>1</v>
      </c>
      <c r="CG160">
        <v>1</v>
      </c>
      <c r="CH160">
        <v>0</v>
      </c>
      <c r="CI160">
        <v>0</v>
      </c>
      <c r="CJ160">
        <v>1</v>
      </c>
      <c r="CK160">
        <v>0</v>
      </c>
      <c r="CL160">
        <v>0</v>
      </c>
      <c r="CM160">
        <v>1</v>
      </c>
      <c r="CN160" s="18">
        <v>1</v>
      </c>
      <c r="CO160">
        <v>0</v>
      </c>
      <c r="CP160">
        <v>106</v>
      </c>
      <c r="CQ160">
        <v>0</v>
      </c>
      <c r="CR160">
        <v>1</v>
      </c>
      <c r="CS160">
        <v>16</v>
      </c>
      <c r="CY160" s="34"/>
    </row>
    <row r="161" spans="1:103" x14ac:dyDescent="0.25">
      <c r="A161">
        <v>160</v>
      </c>
      <c r="B161">
        <v>15</v>
      </c>
      <c r="C161" s="25" t="s">
        <v>166</v>
      </c>
      <c r="D161" s="12">
        <v>5.8212247015734242</v>
      </c>
      <c r="E161" s="14">
        <v>0.15011754244745221</v>
      </c>
      <c r="F161" s="7">
        <v>38.777777777777779</v>
      </c>
      <c r="G161" s="7">
        <f t="shared" si="35"/>
        <v>5.6711071591259721</v>
      </c>
      <c r="H161" s="16">
        <f t="shared" si="36"/>
        <v>5.9713422440208763</v>
      </c>
      <c r="I161" s="11">
        <f t="shared" si="39"/>
        <v>0.12178520489602178</v>
      </c>
      <c r="J161" s="33">
        <f t="shared" si="40"/>
        <v>3.1405926764017074E-3</v>
      </c>
      <c r="K161" s="33">
        <f t="shared" si="41"/>
        <v>318.41123731643444</v>
      </c>
      <c r="L161" s="8">
        <v>1</v>
      </c>
      <c r="M161" s="9">
        <v>0</v>
      </c>
      <c r="N161" s="8">
        <v>0</v>
      </c>
      <c r="O161" s="9">
        <v>1</v>
      </c>
      <c r="P161" s="9">
        <v>0</v>
      </c>
      <c r="Q161" s="9">
        <v>0</v>
      </c>
      <c r="R161" s="9">
        <v>0</v>
      </c>
      <c r="S161" s="8">
        <v>99900</v>
      </c>
      <c r="T161" s="9">
        <v>17</v>
      </c>
      <c r="U161" s="9">
        <f t="shared" si="37"/>
        <v>99882</v>
      </c>
      <c r="V161" s="9">
        <f t="shared" si="38"/>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4"/>
        <v>0.18599999999999994</v>
      </c>
      <c r="AO161" s="42" t="s">
        <v>98</v>
      </c>
      <c r="AP161" s="18" t="s">
        <v>98</v>
      </c>
      <c r="AQ161">
        <v>0.504</v>
      </c>
      <c r="AR161" s="40">
        <f t="shared" si="45"/>
        <v>0.496</v>
      </c>
      <c r="AS161" t="s">
        <v>98</v>
      </c>
      <c r="AT161" s="40" t="s">
        <v>98</v>
      </c>
      <c r="AU161">
        <v>0</v>
      </c>
      <c r="AV161" s="18">
        <v>1</v>
      </c>
      <c r="AW161">
        <v>0.32100000000000001</v>
      </c>
      <c r="AX161" s="18">
        <f t="shared" si="46"/>
        <v>0.67900000000000005</v>
      </c>
      <c r="AY161" s="18" t="s">
        <v>12</v>
      </c>
      <c r="AZ161">
        <v>0</v>
      </c>
      <c r="BA161" s="40">
        <v>0</v>
      </c>
      <c r="BB161">
        <v>0</v>
      </c>
      <c r="BC161">
        <v>0</v>
      </c>
      <c r="BD161" s="18">
        <v>0</v>
      </c>
      <c r="BE161">
        <v>1</v>
      </c>
      <c r="BF161" s="40">
        <v>0</v>
      </c>
      <c r="BG161">
        <v>0</v>
      </c>
      <c r="BH161" s="18">
        <v>1</v>
      </c>
      <c r="BI161" s="18">
        <v>0</v>
      </c>
      <c r="BJ161">
        <v>584</v>
      </c>
      <c r="BK161" s="40">
        <v>495</v>
      </c>
      <c r="BL161" s="25">
        <v>33.494</v>
      </c>
      <c r="BM161">
        <v>0</v>
      </c>
      <c r="BN161">
        <v>0</v>
      </c>
      <c r="BO161">
        <v>0</v>
      </c>
      <c r="BP161">
        <v>0</v>
      </c>
      <c r="BQ161">
        <v>0</v>
      </c>
      <c r="BR161">
        <v>1</v>
      </c>
      <c r="BS161">
        <v>0</v>
      </c>
      <c r="BT161" s="18">
        <v>0</v>
      </c>
      <c r="BU161">
        <v>0</v>
      </c>
      <c r="BV161">
        <v>0</v>
      </c>
      <c r="BW161">
        <v>1</v>
      </c>
      <c r="BX161" s="18">
        <v>0</v>
      </c>
      <c r="BY161">
        <v>0</v>
      </c>
      <c r="BZ161">
        <v>0</v>
      </c>
      <c r="CA161">
        <v>0</v>
      </c>
      <c r="CB161">
        <v>0</v>
      </c>
      <c r="CC161" s="18">
        <v>0</v>
      </c>
      <c r="CD161">
        <v>0</v>
      </c>
      <c r="CE161">
        <v>0</v>
      </c>
      <c r="CF161">
        <v>1</v>
      </c>
      <c r="CG161">
        <v>1</v>
      </c>
      <c r="CH161">
        <v>0</v>
      </c>
      <c r="CI161">
        <v>0</v>
      </c>
      <c r="CJ161">
        <v>1</v>
      </c>
      <c r="CK161">
        <v>0</v>
      </c>
      <c r="CL161">
        <v>0</v>
      </c>
      <c r="CM161">
        <v>1</v>
      </c>
      <c r="CN161" s="18">
        <v>1</v>
      </c>
      <c r="CO161">
        <v>0</v>
      </c>
      <c r="CP161">
        <v>106</v>
      </c>
      <c r="CQ161">
        <v>0</v>
      </c>
      <c r="CR161">
        <v>1</v>
      </c>
      <c r="CS161">
        <v>16</v>
      </c>
      <c r="CY161" s="34"/>
    </row>
    <row r="162" spans="1:103" x14ac:dyDescent="0.25">
      <c r="A162">
        <v>161</v>
      </c>
      <c r="B162">
        <v>15</v>
      </c>
      <c r="C162" s="25" t="s">
        <v>166</v>
      </c>
      <c r="D162" s="12">
        <v>10.770032048383911</v>
      </c>
      <c r="E162" s="14">
        <v>0.18697972306222069</v>
      </c>
      <c r="F162" s="7">
        <v>57.599999999999987</v>
      </c>
      <c r="G162" s="7">
        <f t="shared" si="35"/>
        <v>10.58305232532169</v>
      </c>
      <c r="H162" s="16">
        <f t="shared" si="36"/>
        <v>10.957011771446131</v>
      </c>
      <c r="I162" s="11">
        <f t="shared" si="39"/>
        <v>0.17930117672289236</v>
      </c>
      <c r="J162" s="33">
        <f t="shared" si="40"/>
        <v>3.1128676514391041E-3</v>
      </c>
      <c r="K162" s="33">
        <f t="shared" si="41"/>
        <v>321.24719454027922</v>
      </c>
      <c r="L162" s="8">
        <v>1</v>
      </c>
      <c r="M162" s="9">
        <v>0</v>
      </c>
      <c r="N162" s="8">
        <v>0</v>
      </c>
      <c r="O162" s="9">
        <v>1</v>
      </c>
      <c r="P162" s="9">
        <v>0</v>
      </c>
      <c r="Q162" s="9">
        <v>0</v>
      </c>
      <c r="R162" s="9">
        <v>0</v>
      </c>
      <c r="S162" s="8">
        <v>99900</v>
      </c>
      <c r="T162" s="9">
        <v>17</v>
      </c>
      <c r="U162" s="9">
        <f t="shared" si="37"/>
        <v>99882</v>
      </c>
      <c r="V162" s="9">
        <f t="shared" si="38"/>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4"/>
        <v>0.18599999999999994</v>
      </c>
      <c r="AO162" s="42" t="s">
        <v>98</v>
      </c>
      <c r="AP162" s="18" t="s">
        <v>98</v>
      </c>
      <c r="AQ162">
        <v>0.504</v>
      </c>
      <c r="AR162" s="40">
        <f t="shared" si="45"/>
        <v>0.496</v>
      </c>
      <c r="AS162" t="s">
        <v>98</v>
      </c>
      <c r="AT162" s="40" t="s">
        <v>98</v>
      </c>
      <c r="AU162">
        <v>0</v>
      </c>
      <c r="AV162" s="18">
        <v>1</v>
      </c>
      <c r="AW162">
        <v>0.32100000000000001</v>
      </c>
      <c r="AX162" s="18">
        <f t="shared" si="46"/>
        <v>0.67900000000000005</v>
      </c>
      <c r="AY162" s="18" t="s">
        <v>12</v>
      </c>
      <c r="AZ162">
        <v>0</v>
      </c>
      <c r="BA162" s="40">
        <v>0</v>
      </c>
      <c r="BB162">
        <v>0</v>
      </c>
      <c r="BC162">
        <v>0</v>
      </c>
      <c r="BD162" s="18">
        <v>0</v>
      </c>
      <c r="BE162">
        <v>1</v>
      </c>
      <c r="BF162" s="40">
        <v>0</v>
      </c>
      <c r="BG162">
        <v>0</v>
      </c>
      <c r="BH162" s="18">
        <v>1</v>
      </c>
      <c r="BI162" s="18">
        <v>0</v>
      </c>
      <c r="BJ162">
        <v>584</v>
      </c>
      <c r="BK162" s="40">
        <v>495</v>
      </c>
      <c r="BL162" s="25">
        <v>33.494</v>
      </c>
      <c r="BM162">
        <v>0</v>
      </c>
      <c r="BN162">
        <v>0</v>
      </c>
      <c r="BO162">
        <v>0</v>
      </c>
      <c r="BP162">
        <v>0</v>
      </c>
      <c r="BQ162">
        <v>0</v>
      </c>
      <c r="BR162">
        <v>1</v>
      </c>
      <c r="BS162">
        <v>0</v>
      </c>
      <c r="BT162" s="18">
        <v>0</v>
      </c>
      <c r="BU162">
        <v>0</v>
      </c>
      <c r="BV162">
        <v>0</v>
      </c>
      <c r="BW162">
        <v>1</v>
      </c>
      <c r="BX162" s="18">
        <v>0</v>
      </c>
      <c r="BY162">
        <v>0</v>
      </c>
      <c r="BZ162">
        <v>0</v>
      </c>
      <c r="CA162">
        <v>0</v>
      </c>
      <c r="CB162">
        <v>0</v>
      </c>
      <c r="CC162" s="18">
        <v>0</v>
      </c>
      <c r="CD162">
        <v>0</v>
      </c>
      <c r="CE162">
        <v>0</v>
      </c>
      <c r="CF162">
        <v>1</v>
      </c>
      <c r="CG162">
        <v>1</v>
      </c>
      <c r="CH162">
        <v>0</v>
      </c>
      <c r="CI162">
        <v>0</v>
      </c>
      <c r="CJ162">
        <v>1</v>
      </c>
      <c r="CK162">
        <v>0</v>
      </c>
      <c r="CL162">
        <v>0</v>
      </c>
      <c r="CM162">
        <v>1</v>
      </c>
      <c r="CN162" s="18">
        <v>1</v>
      </c>
      <c r="CO162">
        <v>0</v>
      </c>
      <c r="CP162">
        <v>106</v>
      </c>
      <c r="CQ162">
        <v>0</v>
      </c>
      <c r="CR162">
        <v>1</v>
      </c>
      <c r="CS162">
        <v>16</v>
      </c>
      <c r="CY162" s="34"/>
    </row>
    <row r="163" spans="1:103" x14ac:dyDescent="0.25">
      <c r="A163">
        <v>162</v>
      </c>
      <c r="B163">
        <v>15</v>
      </c>
      <c r="C163" s="25" t="s">
        <v>166</v>
      </c>
      <c r="D163" s="12">
        <v>11.53474794878948</v>
      </c>
      <c r="E163" s="14">
        <v>0.18286795528568689</v>
      </c>
      <c r="F163" s="7">
        <v>63.076923076923073</v>
      </c>
      <c r="G163" s="7">
        <f t="shared" si="35"/>
        <v>11.351879993503793</v>
      </c>
      <c r="H163" s="16">
        <f t="shared" si="36"/>
        <v>11.717615904075167</v>
      </c>
      <c r="I163" s="11">
        <f t="shared" si="39"/>
        <v>0.19572435976928337</v>
      </c>
      <c r="J163" s="33">
        <f t="shared" si="40"/>
        <v>3.1029471670740048E-3</v>
      </c>
      <c r="K163" s="33">
        <f t="shared" si="41"/>
        <v>322.27425932713282</v>
      </c>
      <c r="L163" s="8">
        <v>1</v>
      </c>
      <c r="M163" s="9">
        <v>0</v>
      </c>
      <c r="N163" s="8">
        <v>0</v>
      </c>
      <c r="O163" s="9">
        <v>1</v>
      </c>
      <c r="P163" s="9">
        <v>0</v>
      </c>
      <c r="Q163" s="9">
        <v>0</v>
      </c>
      <c r="R163" s="9">
        <v>0</v>
      </c>
      <c r="S163" s="8">
        <v>99900</v>
      </c>
      <c r="T163" s="9">
        <v>17</v>
      </c>
      <c r="U163" s="9">
        <f t="shared" si="37"/>
        <v>99882</v>
      </c>
      <c r="V163" s="9">
        <f t="shared" si="38"/>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4"/>
        <v>0.18599999999999994</v>
      </c>
      <c r="AO163" s="42" t="s">
        <v>98</v>
      </c>
      <c r="AP163" s="18" t="s">
        <v>98</v>
      </c>
      <c r="AQ163">
        <v>0.504</v>
      </c>
      <c r="AR163" s="40">
        <f t="shared" si="45"/>
        <v>0.496</v>
      </c>
      <c r="AS163" t="s">
        <v>98</v>
      </c>
      <c r="AT163" s="40" t="s">
        <v>98</v>
      </c>
      <c r="AU163">
        <v>0</v>
      </c>
      <c r="AV163" s="18">
        <v>1</v>
      </c>
      <c r="AW163">
        <v>0.32100000000000001</v>
      </c>
      <c r="AX163" s="18">
        <f t="shared" si="46"/>
        <v>0.67900000000000005</v>
      </c>
      <c r="AY163" s="18" t="s">
        <v>12</v>
      </c>
      <c r="AZ163">
        <v>0</v>
      </c>
      <c r="BA163" s="40">
        <v>0</v>
      </c>
      <c r="BB163">
        <v>0</v>
      </c>
      <c r="BC163">
        <v>0</v>
      </c>
      <c r="BD163" s="18">
        <v>0</v>
      </c>
      <c r="BE163">
        <v>1</v>
      </c>
      <c r="BF163" s="40">
        <v>0</v>
      </c>
      <c r="BG163">
        <v>0</v>
      </c>
      <c r="BH163" s="18">
        <v>1</v>
      </c>
      <c r="BI163" s="18">
        <v>0</v>
      </c>
      <c r="BJ163">
        <v>584</v>
      </c>
      <c r="BK163" s="40">
        <v>495</v>
      </c>
      <c r="BL163" s="25">
        <v>33.494</v>
      </c>
      <c r="BM163">
        <v>0</v>
      </c>
      <c r="BN163">
        <v>0</v>
      </c>
      <c r="BO163">
        <v>0</v>
      </c>
      <c r="BP163">
        <v>0</v>
      </c>
      <c r="BQ163">
        <v>0</v>
      </c>
      <c r="BR163">
        <v>1</v>
      </c>
      <c r="BS163">
        <v>0</v>
      </c>
      <c r="BT163" s="18">
        <v>0</v>
      </c>
      <c r="BU163">
        <v>0</v>
      </c>
      <c r="BV163">
        <v>0</v>
      </c>
      <c r="BW163">
        <v>1</v>
      </c>
      <c r="BX163" s="18">
        <v>0</v>
      </c>
      <c r="BY163">
        <v>0</v>
      </c>
      <c r="BZ163">
        <v>0</v>
      </c>
      <c r="CA163">
        <v>0</v>
      </c>
      <c r="CB163">
        <v>0</v>
      </c>
      <c r="CC163" s="18">
        <v>0</v>
      </c>
      <c r="CD163">
        <v>0</v>
      </c>
      <c r="CE163">
        <v>0</v>
      </c>
      <c r="CF163">
        <v>1</v>
      </c>
      <c r="CG163">
        <v>1</v>
      </c>
      <c r="CH163">
        <v>0</v>
      </c>
      <c r="CI163">
        <v>0</v>
      </c>
      <c r="CJ163">
        <v>1</v>
      </c>
      <c r="CK163">
        <v>0</v>
      </c>
      <c r="CL163">
        <v>0</v>
      </c>
      <c r="CM163">
        <v>1</v>
      </c>
      <c r="CN163" s="18">
        <v>1</v>
      </c>
      <c r="CO163">
        <v>0</v>
      </c>
      <c r="CP163">
        <v>106</v>
      </c>
      <c r="CQ163">
        <v>0</v>
      </c>
      <c r="CR163">
        <v>1</v>
      </c>
      <c r="CS163">
        <v>16</v>
      </c>
      <c r="CY163" s="34"/>
    </row>
    <row r="164" spans="1:103" x14ac:dyDescent="0.25">
      <c r="A164">
        <v>163</v>
      </c>
      <c r="B164">
        <v>15</v>
      </c>
      <c r="C164" s="25" t="s">
        <v>166</v>
      </c>
      <c r="D164" s="12">
        <v>13.85762466127971</v>
      </c>
      <c r="E164" s="14">
        <v>0.1390039510776514</v>
      </c>
      <c r="F164" s="7">
        <v>99.692307692307693</v>
      </c>
      <c r="G164" s="7">
        <f t="shared" si="35"/>
        <v>13.718620710202059</v>
      </c>
      <c r="H164" s="16">
        <f t="shared" si="36"/>
        <v>13.996628612357361</v>
      </c>
      <c r="I164" s="11">
        <f t="shared" si="39"/>
        <v>0.30082908983803991</v>
      </c>
      <c r="J164" s="33">
        <f t="shared" si="40"/>
        <v>3.0175757468321905E-3</v>
      </c>
      <c r="K164" s="33">
        <f t="shared" si="41"/>
        <v>331.39184693202355</v>
      </c>
      <c r="L164" s="8">
        <v>1</v>
      </c>
      <c r="M164" s="9">
        <v>0</v>
      </c>
      <c r="N164" s="8">
        <v>0</v>
      </c>
      <c r="O164" s="9">
        <v>1</v>
      </c>
      <c r="P164" s="9">
        <v>0</v>
      </c>
      <c r="Q164" s="9">
        <v>0</v>
      </c>
      <c r="R164" s="9">
        <v>0</v>
      </c>
      <c r="S164" s="8">
        <v>99900</v>
      </c>
      <c r="T164" s="9">
        <v>17</v>
      </c>
      <c r="U164" s="9">
        <f t="shared" si="37"/>
        <v>99882</v>
      </c>
      <c r="V164" s="9">
        <f t="shared" si="38"/>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4"/>
        <v>0.18599999999999994</v>
      </c>
      <c r="AO164" s="42" t="s">
        <v>98</v>
      </c>
      <c r="AP164" s="18" t="s">
        <v>98</v>
      </c>
      <c r="AQ164">
        <v>0.504</v>
      </c>
      <c r="AR164" s="40">
        <f t="shared" si="45"/>
        <v>0.496</v>
      </c>
      <c r="AS164" t="s">
        <v>98</v>
      </c>
      <c r="AT164" s="40" t="s">
        <v>98</v>
      </c>
      <c r="AU164">
        <v>0</v>
      </c>
      <c r="AV164" s="18">
        <v>1</v>
      </c>
      <c r="AW164">
        <v>0.32100000000000001</v>
      </c>
      <c r="AX164" s="18">
        <f t="shared" si="46"/>
        <v>0.67900000000000005</v>
      </c>
      <c r="AY164" s="18" t="s">
        <v>12</v>
      </c>
      <c r="AZ164">
        <v>0</v>
      </c>
      <c r="BA164" s="40">
        <v>0</v>
      </c>
      <c r="BB164">
        <v>0</v>
      </c>
      <c r="BC164">
        <v>0</v>
      </c>
      <c r="BD164" s="18">
        <v>0</v>
      </c>
      <c r="BE164">
        <v>1</v>
      </c>
      <c r="BF164" s="40">
        <v>0</v>
      </c>
      <c r="BG164">
        <v>0</v>
      </c>
      <c r="BH164" s="18">
        <v>1</v>
      </c>
      <c r="BI164" s="18">
        <v>0</v>
      </c>
      <c r="BJ164">
        <v>584</v>
      </c>
      <c r="BK164" s="40">
        <v>495</v>
      </c>
      <c r="BL164" s="25">
        <v>33.494</v>
      </c>
      <c r="BM164">
        <v>0</v>
      </c>
      <c r="BN164">
        <v>0</v>
      </c>
      <c r="BO164">
        <v>0</v>
      </c>
      <c r="BP164">
        <v>0</v>
      </c>
      <c r="BQ164">
        <v>0</v>
      </c>
      <c r="BR164">
        <v>1</v>
      </c>
      <c r="BS164">
        <v>0</v>
      </c>
      <c r="BT164" s="18">
        <v>0</v>
      </c>
      <c r="BU164">
        <v>0</v>
      </c>
      <c r="BV164">
        <v>0</v>
      </c>
      <c r="BW164">
        <v>1</v>
      </c>
      <c r="BX164" s="18">
        <v>0</v>
      </c>
      <c r="BY164">
        <v>0</v>
      </c>
      <c r="BZ164">
        <v>0</v>
      </c>
      <c r="CA164">
        <v>0</v>
      </c>
      <c r="CB164">
        <v>0</v>
      </c>
      <c r="CC164" s="18">
        <v>0</v>
      </c>
      <c r="CD164">
        <v>0</v>
      </c>
      <c r="CE164">
        <v>0</v>
      </c>
      <c r="CF164">
        <v>1</v>
      </c>
      <c r="CG164">
        <v>1</v>
      </c>
      <c r="CH164">
        <v>0</v>
      </c>
      <c r="CI164">
        <v>0</v>
      </c>
      <c r="CJ164">
        <v>1</v>
      </c>
      <c r="CK164">
        <v>0</v>
      </c>
      <c r="CL164">
        <v>0</v>
      </c>
      <c r="CM164">
        <v>1</v>
      </c>
      <c r="CN164" s="18">
        <v>1</v>
      </c>
      <c r="CO164">
        <v>0</v>
      </c>
      <c r="CP164">
        <v>106</v>
      </c>
      <c r="CQ164">
        <v>0</v>
      </c>
      <c r="CR164">
        <v>1</v>
      </c>
      <c r="CS164">
        <v>16</v>
      </c>
      <c r="CY164" s="34"/>
    </row>
    <row r="165" spans="1:103" x14ac:dyDescent="0.25">
      <c r="A165">
        <v>164</v>
      </c>
      <c r="B165">
        <v>15</v>
      </c>
      <c r="C165" s="25" t="s">
        <v>166</v>
      </c>
      <c r="D165" s="12">
        <v>4.4338386024890264</v>
      </c>
      <c r="E165" s="14">
        <v>0.31898119442367101</v>
      </c>
      <c r="F165" s="7">
        <v>13.9</v>
      </c>
      <c r="G165" s="7">
        <f t="shared" si="35"/>
        <v>4.1148574080653555</v>
      </c>
      <c r="H165" s="16">
        <f t="shared" si="36"/>
        <v>4.7528197969126973</v>
      </c>
      <c r="I165" s="11">
        <f t="shared" si="39"/>
        <v>5.7463430514540191E-2</v>
      </c>
      <c r="J165" s="33">
        <f t="shared" si="40"/>
        <v>4.1340597492474955E-3</v>
      </c>
      <c r="K165" s="33">
        <f t="shared" si="41"/>
        <v>241.89297220051682</v>
      </c>
      <c r="L165" s="8">
        <v>1</v>
      </c>
      <c r="M165" s="9">
        <v>0</v>
      </c>
      <c r="N165" s="8">
        <v>0</v>
      </c>
      <c r="O165" s="9">
        <v>1</v>
      </c>
      <c r="P165" s="9">
        <v>0</v>
      </c>
      <c r="Q165" s="9">
        <v>0</v>
      </c>
      <c r="R165" s="9">
        <v>0</v>
      </c>
      <c r="S165" s="8">
        <v>58336</v>
      </c>
      <c r="T165" s="9">
        <v>16</v>
      </c>
      <c r="U165" s="9">
        <f t="shared" si="37"/>
        <v>58319</v>
      </c>
      <c r="V165" s="9">
        <f t="shared" si="38"/>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4"/>
        <v>0.18599999999999994</v>
      </c>
      <c r="AO165" s="42" t="s">
        <v>98</v>
      </c>
      <c r="AP165" s="18" t="s">
        <v>98</v>
      </c>
      <c r="AQ165">
        <v>0.504</v>
      </c>
      <c r="AR165" s="40">
        <f t="shared" si="45"/>
        <v>0.496</v>
      </c>
      <c r="AS165" t="s">
        <v>98</v>
      </c>
      <c r="AT165" s="40" t="s">
        <v>98</v>
      </c>
      <c r="AU165">
        <v>0</v>
      </c>
      <c r="AV165" s="18">
        <v>1</v>
      </c>
      <c r="AW165">
        <v>0.32100000000000001</v>
      </c>
      <c r="AX165" s="18">
        <f t="shared" si="46"/>
        <v>0.67900000000000005</v>
      </c>
      <c r="AY165" s="18" t="s">
        <v>12</v>
      </c>
      <c r="AZ165">
        <v>0</v>
      </c>
      <c r="BA165" s="40">
        <v>0</v>
      </c>
      <c r="BB165">
        <v>0</v>
      </c>
      <c r="BC165">
        <v>0</v>
      </c>
      <c r="BD165" s="18">
        <v>0</v>
      </c>
      <c r="BE165">
        <v>1</v>
      </c>
      <c r="BF165" s="40">
        <v>0</v>
      </c>
      <c r="BG165">
        <v>0</v>
      </c>
      <c r="BH165" s="18">
        <v>1</v>
      </c>
      <c r="BI165" s="18">
        <v>0</v>
      </c>
      <c r="BJ165">
        <v>584</v>
      </c>
      <c r="BK165" s="40">
        <v>495</v>
      </c>
      <c r="BL165" s="25">
        <v>33.494</v>
      </c>
      <c r="BM165">
        <v>0</v>
      </c>
      <c r="BN165">
        <v>0</v>
      </c>
      <c r="BO165">
        <v>0</v>
      </c>
      <c r="BP165">
        <v>0</v>
      </c>
      <c r="BQ165">
        <v>0</v>
      </c>
      <c r="BR165">
        <v>1</v>
      </c>
      <c r="BS165">
        <v>0</v>
      </c>
      <c r="BT165" s="18">
        <v>0</v>
      </c>
      <c r="BU165">
        <v>0</v>
      </c>
      <c r="BV165">
        <v>0</v>
      </c>
      <c r="BW165">
        <v>1</v>
      </c>
      <c r="BX165" s="18">
        <v>0</v>
      </c>
      <c r="BY165">
        <v>0</v>
      </c>
      <c r="BZ165">
        <v>0</v>
      </c>
      <c r="CA165">
        <v>0</v>
      </c>
      <c r="CB165">
        <v>0</v>
      </c>
      <c r="CC165" s="18">
        <v>0</v>
      </c>
      <c r="CD165">
        <v>0</v>
      </c>
      <c r="CE165">
        <v>0</v>
      </c>
      <c r="CF165">
        <v>1</v>
      </c>
      <c r="CG165">
        <v>1</v>
      </c>
      <c r="CH165">
        <v>0</v>
      </c>
      <c r="CI165">
        <v>0</v>
      </c>
      <c r="CJ165">
        <v>1</v>
      </c>
      <c r="CK165">
        <v>0</v>
      </c>
      <c r="CL165">
        <v>0</v>
      </c>
      <c r="CM165">
        <v>0</v>
      </c>
      <c r="CN165" s="18">
        <v>1</v>
      </c>
      <c r="CO165">
        <v>0</v>
      </c>
      <c r="CP165">
        <v>106</v>
      </c>
      <c r="CQ165">
        <v>0</v>
      </c>
      <c r="CR165">
        <v>1</v>
      </c>
      <c r="CS165">
        <v>16</v>
      </c>
      <c r="CY165" s="34"/>
    </row>
    <row r="166" spans="1:103" x14ac:dyDescent="0.25">
      <c r="A166">
        <v>165</v>
      </c>
      <c r="B166">
        <v>15</v>
      </c>
      <c r="C166" s="25" t="s">
        <v>166</v>
      </c>
      <c r="D166" s="12">
        <v>5.4927707062356168</v>
      </c>
      <c r="E166" s="14">
        <v>0.1930366701871942</v>
      </c>
      <c r="F166" s="7">
        <v>28.45454545454545</v>
      </c>
      <c r="G166" s="7">
        <f t="shared" si="35"/>
        <v>5.2997340360484229</v>
      </c>
      <c r="H166" s="16">
        <f t="shared" si="36"/>
        <v>5.6858073764228108</v>
      </c>
      <c r="I166" s="11">
        <f t="shared" si="39"/>
        <v>0.11701798882572796</v>
      </c>
      <c r="J166" s="33">
        <f t="shared" si="40"/>
        <v>4.1124532814153601E-3</v>
      </c>
      <c r="K166" s="33">
        <f t="shared" si="41"/>
        <v>243.16385660090359</v>
      </c>
      <c r="L166" s="8">
        <v>1</v>
      </c>
      <c r="M166" s="9">
        <v>0</v>
      </c>
      <c r="N166" s="8">
        <v>0</v>
      </c>
      <c r="O166" s="9">
        <v>1</v>
      </c>
      <c r="P166" s="9">
        <v>0</v>
      </c>
      <c r="Q166" s="9">
        <v>0</v>
      </c>
      <c r="R166" s="9">
        <v>0</v>
      </c>
      <c r="S166" s="8">
        <v>58336</v>
      </c>
      <c r="T166" s="9">
        <v>16</v>
      </c>
      <c r="U166" s="9">
        <f t="shared" si="37"/>
        <v>58319</v>
      </c>
      <c r="V166" s="9">
        <f t="shared" si="38"/>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4"/>
        <v>0.18599999999999994</v>
      </c>
      <c r="AO166" s="42" t="s">
        <v>98</v>
      </c>
      <c r="AP166" s="18" t="s">
        <v>98</v>
      </c>
      <c r="AQ166">
        <v>0.504</v>
      </c>
      <c r="AR166" s="40">
        <f t="shared" si="45"/>
        <v>0.496</v>
      </c>
      <c r="AS166" t="s">
        <v>98</v>
      </c>
      <c r="AT166" s="40" t="s">
        <v>98</v>
      </c>
      <c r="AU166">
        <v>0</v>
      </c>
      <c r="AV166" s="18">
        <v>1</v>
      </c>
      <c r="AW166">
        <v>0.32100000000000001</v>
      </c>
      <c r="AX166" s="18">
        <f t="shared" si="46"/>
        <v>0.67900000000000005</v>
      </c>
      <c r="AY166" s="18" t="s">
        <v>12</v>
      </c>
      <c r="AZ166">
        <v>0</v>
      </c>
      <c r="BA166" s="40">
        <v>0</v>
      </c>
      <c r="BB166">
        <v>0</v>
      </c>
      <c r="BC166">
        <v>0</v>
      </c>
      <c r="BD166" s="18">
        <v>0</v>
      </c>
      <c r="BE166">
        <v>1</v>
      </c>
      <c r="BF166" s="40">
        <v>0</v>
      </c>
      <c r="BG166">
        <v>0</v>
      </c>
      <c r="BH166" s="18">
        <v>1</v>
      </c>
      <c r="BI166" s="18">
        <v>0</v>
      </c>
      <c r="BJ166">
        <v>584</v>
      </c>
      <c r="BK166" s="40">
        <v>495</v>
      </c>
      <c r="BL166" s="25">
        <v>33.494</v>
      </c>
      <c r="BM166">
        <v>0</v>
      </c>
      <c r="BN166">
        <v>0</v>
      </c>
      <c r="BO166">
        <v>0</v>
      </c>
      <c r="BP166">
        <v>0</v>
      </c>
      <c r="BQ166">
        <v>0</v>
      </c>
      <c r="BR166">
        <v>1</v>
      </c>
      <c r="BS166">
        <v>0</v>
      </c>
      <c r="BT166" s="18">
        <v>0</v>
      </c>
      <c r="BU166">
        <v>0</v>
      </c>
      <c r="BV166">
        <v>0</v>
      </c>
      <c r="BW166">
        <v>1</v>
      </c>
      <c r="BX166" s="18">
        <v>0</v>
      </c>
      <c r="BY166">
        <v>0</v>
      </c>
      <c r="BZ166">
        <v>0</v>
      </c>
      <c r="CA166">
        <v>0</v>
      </c>
      <c r="CB166">
        <v>0</v>
      </c>
      <c r="CC166" s="18">
        <v>0</v>
      </c>
      <c r="CD166">
        <v>0</v>
      </c>
      <c r="CE166">
        <v>0</v>
      </c>
      <c r="CF166">
        <v>1</v>
      </c>
      <c r="CG166">
        <v>1</v>
      </c>
      <c r="CH166">
        <v>0</v>
      </c>
      <c r="CI166">
        <v>0</v>
      </c>
      <c r="CJ166">
        <v>1</v>
      </c>
      <c r="CK166">
        <v>0</v>
      </c>
      <c r="CL166">
        <v>0</v>
      </c>
      <c r="CM166">
        <v>0</v>
      </c>
      <c r="CN166" s="18">
        <v>1</v>
      </c>
      <c r="CO166">
        <v>0</v>
      </c>
      <c r="CP166">
        <v>106</v>
      </c>
      <c r="CQ166">
        <v>0</v>
      </c>
      <c r="CR166">
        <v>1</v>
      </c>
      <c r="CS166">
        <v>16</v>
      </c>
      <c r="CY166" s="34"/>
    </row>
    <row r="167" spans="1:103" x14ac:dyDescent="0.25">
      <c r="A167">
        <v>166</v>
      </c>
      <c r="B167">
        <v>15</v>
      </c>
      <c r="C167" s="25" t="s">
        <v>166</v>
      </c>
      <c r="D167" s="12">
        <v>9.8180313063387601</v>
      </c>
      <c r="E167" s="14">
        <v>0.22700650419280369</v>
      </c>
      <c r="F167" s="7">
        <v>43.25</v>
      </c>
      <c r="G167" s="7">
        <f t="shared" si="35"/>
        <v>9.5910248021459559</v>
      </c>
      <c r="H167" s="16">
        <f t="shared" si="36"/>
        <v>10.045037810531564</v>
      </c>
      <c r="I167" s="11">
        <f t="shared" si="39"/>
        <v>0.17628912351109532</v>
      </c>
      <c r="J167" s="33">
        <f t="shared" si="40"/>
        <v>4.0760490985224359E-3</v>
      </c>
      <c r="K167" s="33">
        <f t="shared" si="41"/>
        <v>245.33561196858474</v>
      </c>
      <c r="L167" s="8">
        <v>1</v>
      </c>
      <c r="M167" s="9">
        <v>0</v>
      </c>
      <c r="N167" s="8">
        <v>0</v>
      </c>
      <c r="O167" s="9">
        <v>1</v>
      </c>
      <c r="P167" s="9">
        <v>0</v>
      </c>
      <c r="Q167" s="9">
        <v>0</v>
      </c>
      <c r="R167" s="9">
        <v>0</v>
      </c>
      <c r="S167" s="8">
        <v>58336</v>
      </c>
      <c r="T167" s="9">
        <v>16</v>
      </c>
      <c r="U167" s="9">
        <f t="shared" si="37"/>
        <v>58319</v>
      </c>
      <c r="V167" s="9">
        <f t="shared" si="38"/>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4"/>
        <v>0.18599999999999994</v>
      </c>
      <c r="AO167" s="42" t="s">
        <v>98</v>
      </c>
      <c r="AP167" s="18" t="s">
        <v>98</v>
      </c>
      <c r="AQ167">
        <v>0.504</v>
      </c>
      <c r="AR167" s="40">
        <f t="shared" si="45"/>
        <v>0.496</v>
      </c>
      <c r="AS167" t="s">
        <v>98</v>
      </c>
      <c r="AT167" s="40" t="s">
        <v>98</v>
      </c>
      <c r="AU167">
        <v>0</v>
      </c>
      <c r="AV167" s="18">
        <v>1</v>
      </c>
      <c r="AW167">
        <v>0.32100000000000001</v>
      </c>
      <c r="AX167" s="18">
        <f t="shared" si="46"/>
        <v>0.67900000000000005</v>
      </c>
      <c r="AY167" s="18" t="s">
        <v>12</v>
      </c>
      <c r="AZ167">
        <v>0</v>
      </c>
      <c r="BA167" s="40">
        <v>0</v>
      </c>
      <c r="BB167">
        <v>0</v>
      </c>
      <c r="BC167">
        <v>0</v>
      </c>
      <c r="BD167" s="18">
        <v>0</v>
      </c>
      <c r="BE167">
        <v>1</v>
      </c>
      <c r="BF167" s="40">
        <v>0</v>
      </c>
      <c r="BG167">
        <v>0</v>
      </c>
      <c r="BH167" s="18">
        <v>1</v>
      </c>
      <c r="BI167" s="18">
        <v>0</v>
      </c>
      <c r="BJ167">
        <v>584</v>
      </c>
      <c r="BK167" s="40">
        <v>495</v>
      </c>
      <c r="BL167" s="25">
        <v>33.494</v>
      </c>
      <c r="BM167">
        <v>0</v>
      </c>
      <c r="BN167">
        <v>0</v>
      </c>
      <c r="BO167">
        <v>0</v>
      </c>
      <c r="BP167">
        <v>0</v>
      </c>
      <c r="BQ167">
        <v>0</v>
      </c>
      <c r="BR167">
        <v>1</v>
      </c>
      <c r="BS167">
        <v>0</v>
      </c>
      <c r="BT167" s="18">
        <v>0</v>
      </c>
      <c r="BU167">
        <v>0</v>
      </c>
      <c r="BV167">
        <v>0</v>
      </c>
      <c r="BW167">
        <v>1</v>
      </c>
      <c r="BX167" s="18">
        <v>0</v>
      </c>
      <c r="BY167">
        <v>0</v>
      </c>
      <c r="BZ167">
        <v>0</v>
      </c>
      <c r="CA167">
        <v>0</v>
      </c>
      <c r="CB167">
        <v>0</v>
      </c>
      <c r="CC167" s="18">
        <v>0</v>
      </c>
      <c r="CD167">
        <v>0</v>
      </c>
      <c r="CE167">
        <v>0</v>
      </c>
      <c r="CF167">
        <v>1</v>
      </c>
      <c r="CG167">
        <v>1</v>
      </c>
      <c r="CH167">
        <v>0</v>
      </c>
      <c r="CI167">
        <v>0</v>
      </c>
      <c r="CJ167">
        <v>1</v>
      </c>
      <c r="CK167">
        <v>0</v>
      </c>
      <c r="CL167">
        <v>0</v>
      </c>
      <c r="CM167">
        <v>0</v>
      </c>
      <c r="CN167" s="18">
        <v>1</v>
      </c>
      <c r="CO167">
        <v>0</v>
      </c>
      <c r="CP167">
        <v>106</v>
      </c>
      <c r="CQ167">
        <v>0</v>
      </c>
      <c r="CR167">
        <v>1</v>
      </c>
      <c r="CS167">
        <v>16</v>
      </c>
      <c r="CY167" s="34"/>
    </row>
    <row r="168" spans="1:103" x14ac:dyDescent="0.25">
      <c r="A168">
        <v>167</v>
      </c>
      <c r="B168">
        <v>15</v>
      </c>
      <c r="C168" s="25" t="s">
        <v>166</v>
      </c>
      <c r="D168" s="12">
        <v>9.1787525116494351</v>
      </c>
      <c r="E168" s="14">
        <v>0.2194638434571595</v>
      </c>
      <c r="F168" s="7">
        <v>41.823529411764703</v>
      </c>
      <c r="G168" s="7">
        <f t="shared" si="35"/>
        <v>8.9592886681922757</v>
      </c>
      <c r="H168" s="16">
        <f t="shared" si="36"/>
        <v>9.3982163551065945</v>
      </c>
      <c r="I168" s="11">
        <f t="shared" si="39"/>
        <v>0.17064687625203045</v>
      </c>
      <c r="J168" s="33">
        <f t="shared" si="40"/>
        <v>4.080164411089336E-3</v>
      </c>
      <c r="K168" s="33">
        <f t="shared" si="41"/>
        <v>245.08816293827155</v>
      </c>
      <c r="L168" s="8">
        <v>1</v>
      </c>
      <c r="M168" s="9">
        <v>0</v>
      </c>
      <c r="N168" s="8">
        <v>0</v>
      </c>
      <c r="O168" s="9">
        <v>1</v>
      </c>
      <c r="P168" s="9">
        <v>0</v>
      </c>
      <c r="Q168" s="9">
        <v>0</v>
      </c>
      <c r="R168" s="9">
        <v>0</v>
      </c>
      <c r="S168" s="8">
        <v>58336</v>
      </c>
      <c r="T168" s="9">
        <v>16</v>
      </c>
      <c r="U168" s="9">
        <f t="shared" si="37"/>
        <v>58319</v>
      </c>
      <c r="V168" s="9">
        <f t="shared" si="38"/>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4"/>
        <v>0.18599999999999994</v>
      </c>
      <c r="AO168" s="42" t="s">
        <v>98</v>
      </c>
      <c r="AP168" s="18" t="s">
        <v>98</v>
      </c>
      <c r="AQ168">
        <v>0.504</v>
      </c>
      <c r="AR168" s="40">
        <f t="shared" si="45"/>
        <v>0.496</v>
      </c>
      <c r="AS168" t="s">
        <v>98</v>
      </c>
      <c r="AT168" s="40" t="s">
        <v>98</v>
      </c>
      <c r="AU168">
        <v>0</v>
      </c>
      <c r="AV168" s="18">
        <v>1</v>
      </c>
      <c r="AW168">
        <v>0.32100000000000001</v>
      </c>
      <c r="AX168" s="18">
        <f t="shared" si="46"/>
        <v>0.67900000000000005</v>
      </c>
      <c r="AY168" s="18" t="s">
        <v>12</v>
      </c>
      <c r="AZ168">
        <v>0</v>
      </c>
      <c r="BA168" s="40">
        <v>0</v>
      </c>
      <c r="BB168">
        <v>0</v>
      </c>
      <c r="BC168">
        <v>0</v>
      </c>
      <c r="BD168" s="18">
        <v>0</v>
      </c>
      <c r="BE168">
        <v>1</v>
      </c>
      <c r="BF168" s="40">
        <v>0</v>
      </c>
      <c r="BG168">
        <v>0</v>
      </c>
      <c r="BH168" s="18">
        <v>1</v>
      </c>
      <c r="BI168" s="18">
        <v>0</v>
      </c>
      <c r="BJ168">
        <v>584</v>
      </c>
      <c r="BK168" s="40">
        <v>495</v>
      </c>
      <c r="BL168" s="25">
        <v>33.494</v>
      </c>
      <c r="BM168">
        <v>0</v>
      </c>
      <c r="BN168">
        <v>0</v>
      </c>
      <c r="BO168">
        <v>0</v>
      </c>
      <c r="BP168">
        <v>0</v>
      </c>
      <c r="BQ168">
        <v>0</v>
      </c>
      <c r="BR168">
        <v>1</v>
      </c>
      <c r="BS168">
        <v>0</v>
      </c>
      <c r="BT168" s="18">
        <v>0</v>
      </c>
      <c r="BU168">
        <v>0</v>
      </c>
      <c r="BV168">
        <v>0</v>
      </c>
      <c r="BW168">
        <v>1</v>
      </c>
      <c r="BX168" s="18">
        <v>0</v>
      </c>
      <c r="BY168">
        <v>0</v>
      </c>
      <c r="BZ168">
        <v>0</v>
      </c>
      <c r="CA168">
        <v>0</v>
      </c>
      <c r="CB168">
        <v>0</v>
      </c>
      <c r="CC168" s="18">
        <v>0</v>
      </c>
      <c r="CD168">
        <v>0</v>
      </c>
      <c r="CE168">
        <v>0</v>
      </c>
      <c r="CF168">
        <v>1</v>
      </c>
      <c r="CG168">
        <v>1</v>
      </c>
      <c r="CH168">
        <v>0</v>
      </c>
      <c r="CI168">
        <v>0</v>
      </c>
      <c r="CJ168">
        <v>1</v>
      </c>
      <c r="CK168">
        <v>0</v>
      </c>
      <c r="CL168">
        <v>0</v>
      </c>
      <c r="CM168">
        <v>0</v>
      </c>
      <c r="CN168" s="18">
        <v>1</v>
      </c>
      <c r="CO168">
        <v>0</v>
      </c>
      <c r="CP168">
        <v>106</v>
      </c>
      <c r="CQ168">
        <v>0</v>
      </c>
      <c r="CR168">
        <v>1</v>
      </c>
      <c r="CS168">
        <v>16</v>
      </c>
      <c r="CY168" s="34"/>
    </row>
    <row r="169" spans="1:103" x14ac:dyDescent="0.25">
      <c r="A169">
        <v>168</v>
      </c>
      <c r="B169">
        <v>15</v>
      </c>
      <c r="C169" s="25" t="s">
        <v>166</v>
      </c>
      <c r="D169" s="12">
        <v>14.29307988242752</v>
      </c>
      <c r="E169" s="14">
        <v>0.22555524731405549</v>
      </c>
      <c r="F169" s="7">
        <v>63.368421052631582</v>
      </c>
      <c r="G169" s="7">
        <f t="shared" si="35"/>
        <v>14.067524635113465</v>
      </c>
      <c r="H169" s="16">
        <f t="shared" si="36"/>
        <v>14.518635129741575</v>
      </c>
      <c r="I169" s="11">
        <f t="shared" si="39"/>
        <v>0.25380983573220656</v>
      </c>
      <c r="J169" s="33">
        <f t="shared" si="40"/>
        <v>4.0053047167042562E-3</v>
      </c>
      <c r="K169" s="33">
        <f t="shared" si="41"/>
        <v>249.66889431145322</v>
      </c>
      <c r="L169" s="8">
        <v>1</v>
      </c>
      <c r="M169" s="9">
        <v>0</v>
      </c>
      <c r="N169" s="8">
        <v>0</v>
      </c>
      <c r="O169" s="9">
        <v>1</v>
      </c>
      <c r="P169" s="9">
        <v>0</v>
      </c>
      <c r="Q169" s="9">
        <v>0</v>
      </c>
      <c r="R169" s="9">
        <v>0</v>
      </c>
      <c r="S169" s="8">
        <v>58336</v>
      </c>
      <c r="T169" s="9">
        <v>16</v>
      </c>
      <c r="U169" s="9">
        <f t="shared" si="37"/>
        <v>58319</v>
      </c>
      <c r="V169" s="9">
        <f t="shared" si="38"/>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4"/>
        <v>0.18599999999999994</v>
      </c>
      <c r="AO169" s="42" t="s">
        <v>98</v>
      </c>
      <c r="AP169" s="18" t="s">
        <v>98</v>
      </c>
      <c r="AQ169">
        <v>0.504</v>
      </c>
      <c r="AR169" s="40">
        <f t="shared" si="45"/>
        <v>0.496</v>
      </c>
      <c r="AS169" t="s">
        <v>98</v>
      </c>
      <c r="AT169" s="40" t="s">
        <v>98</v>
      </c>
      <c r="AU169">
        <v>0</v>
      </c>
      <c r="AV169" s="18">
        <v>1</v>
      </c>
      <c r="AW169">
        <v>0.32100000000000001</v>
      </c>
      <c r="AX169" s="18">
        <f t="shared" si="46"/>
        <v>0.67900000000000005</v>
      </c>
      <c r="AY169" s="18" t="s">
        <v>12</v>
      </c>
      <c r="AZ169">
        <v>0</v>
      </c>
      <c r="BA169" s="40">
        <v>0</v>
      </c>
      <c r="BB169">
        <v>0</v>
      </c>
      <c r="BC169">
        <v>0</v>
      </c>
      <c r="BD169" s="18">
        <v>0</v>
      </c>
      <c r="BE169">
        <v>1</v>
      </c>
      <c r="BF169" s="40">
        <v>0</v>
      </c>
      <c r="BG169">
        <v>0</v>
      </c>
      <c r="BH169" s="18">
        <v>1</v>
      </c>
      <c r="BI169" s="18">
        <v>0</v>
      </c>
      <c r="BJ169">
        <v>584</v>
      </c>
      <c r="BK169" s="40">
        <v>495</v>
      </c>
      <c r="BL169" s="25">
        <v>33.494</v>
      </c>
      <c r="BM169">
        <v>0</v>
      </c>
      <c r="BN169">
        <v>0</v>
      </c>
      <c r="BO169">
        <v>0</v>
      </c>
      <c r="BP169">
        <v>0</v>
      </c>
      <c r="BQ169">
        <v>0</v>
      </c>
      <c r="BR169">
        <v>1</v>
      </c>
      <c r="BS169">
        <v>0</v>
      </c>
      <c r="BT169" s="18">
        <v>0</v>
      </c>
      <c r="BU169">
        <v>0</v>
      </c>
      <c r="BV169">
        <v>0</v>
      </c>
      <c r="BW169">
        <v>1</v>
      </c>
      <c r="BX169" s="18">
        <v>0</v>
      </c>
      <c r="BY169">
        <v>0</v>
      </c>
      <c r="BZ169">
        <v>0</v>
      </c>
      <c r="CA169">
        <v>0</v>
      </c>
      <c r="CB169">
        <v>0</v>
      </c>
      <c r="CC169" s="18">
        <v>0</v>
      </c>
      <c r="CD169">
        <v>0</v>
      </c>
      <c r="CE169">
        <v>0</v>
      </c>
      <c r="CF169">
        <v>1</v>
      </c>
      <c r="CG169">
        <v>1</v>
      </c>
      <c r="CH169">
        <v>0</v>
      </c>
      <c r="CI169">
        <v>0</v>
      </c>
      <c r="CJ169">
        <v>1</v>
      </c>
      <c r="CK169">
        <v>0</v>
      </c>
      <c r="CL169">
        <v>0</v>
      </c>
      <c r="CM169">
        <v>0</v>
      </c>
      <c r="CN169" s="18">
        <v>1</v>
      </c>
      <c r="CO169">
        <v>0</v>
      </c>
      <c r="CP169">
        <v>106</v>
      </c>
      <c r="CQ169">
        <v>0</v>
      </c>
      <c r="CR169">
        <v>1</v>
      </c>
      <c r="CS169">
        <v>16</v>
      </c>
      <c r="CY169" s="34"/>
    </row>
    <row r="170" spans="1:103" x14ac:dyDescent="0.25">
      <c r="A170">
        <v>169</v>
      </c>
      <c r="B170">
        <v>15</v>
      </c>
      <c r="C170" s="25" t="s">
        <v>166</v>
      </c>
      <c r="D170" s="12">
        <v>6.206787502577904</v>
      </c>
      <c r="E170" s="14">
        <v>0.62694823258362664</v>
      </c>
      <c r="F170" s="7">
        <v>9.9</v>
      </c>
      <c r="G170" s="7">
        <f t="shared" si="35"/>
        <v>5.5798392699942774</v>
      </c>
      <c r="H170" s="16">
        <f t="shared" si="36"/>
        <v>6.8337357351615307</v>
      </c>
      <c r="I170" s="11">
        <f t="shared" si="39"/>
        <v>4.8512505975795248E-2</v>
      </c>
      <c r="J170" s="33">
        <f t="shared" si="40"/>
        <v>4.9002531288682072E-3</v>
      </c>
      <c r="K170" s="33">
        <f t="shared" si="41"/>
        <v>204.0710905542478</v>
      </c>
      <c r="L170" s="8">
        <v>1</v>
      </c>
      <c r="M170" s="9">
        <v>0</v>
      </c>
      <c r="N170" s="8">
        <v>0</v>
      </c>
      <c r="O170" s="9">
        <v>1</v>
      </c>
      <c r="P170" s="9">
        <v>0</v>
      </c>
      <c r="Q170" s="9">
        <v>0</v>
      </c>
      <c r="R170" s="9">
        <v>0</v>
      </c>
      <c r="S170" s="8">
        <v>41564</v>
      </c>
      <c r="T170" s="9">
        <v>16</v>
      </c>
      <c r="U170" s="9">
        <f t="shared" si="37"/>
        <v>41547</v>
      </c>
      <c r="V170" s="9">
        <f t="shared" si="38"/>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4"/>
        <v>0.18599999999999994</v>
      </c>
      <c r="AO170" s="42" t="s">
        <v>98</v>
      </c>
      <c r="AP170" s="18" t="s">
        <v>98</v>
      </c>
      <c r="AQ170">
        <v>0.504</v>
      </c>
      <c r="AR170" s="40">
        <f t="shared" si="45"/>
        <v>0.496</v>
      </c>
      <c r="AS170" t="s">
        <v>98</v>
      </c>
      <c r="AT170" s="40" t="s">
        <v>98</v>
      </c>
      <c r="AU170">
        <v>0</v>
      </c>
      <c r="AV170" s="18">
        <v>1</v>
      </c>
      <c r="AW170">
        <v>0.32100000000000001</v>
      </c>
      <c r="AX170" s="18">
        <f t="shared" si="46"/>
        <v>0.67900000000000005</v>
      </c>
      <c r="AY170" s="18" t="s">
        <v>12</v>
      </c>
      <c r="AZ170">
        <v>0</v>
      </c>
      <c r="BA170" s="40">
        <v>0</v>
      </c>
      <c r="BB170">
        <v>0</v>
      </c>
      <c r="BC170">
        <v>0</v>
      </c>
      <c r="BD170" s="18">
        <v>0</v>
      </c>
      <c r="BE170">
        <v>1</v>
      </c>
      <c r="BF170" s="40">
        <v>0</v>
      </c>
      <c r="BG170">
        <v>0</v>
      </c>
      <c r="BH170" s="18">
        <v>1</v>
      </c>
      <c r="BI170" s="18">
        <v>0</v>
      </c>
      <c r="BJ170">
        <v>584</v>
      </c>
      <c r="BK170" s="40">
        <v>495</v>
      </c>
      <c r="BL170" s="25">
        <v>33.494</v>
      </c>
      <c r="BM170">
        <v>0</v>
      </c>
      <c r="BN170">
        <v>0</v>
      </c>
      <c r="BO170">
        <v>0</v>
      </c>
      <c r="BP170">
        <v>0</v>
      </c>
      <c r="BQ170">
        <v>0</v>
      </c>
      <c r="BR170">
        <v>1</v>
      </c>
      <c r="BS170">
        <v>0</v>
      </c>
      <c r="BT170" s="18">
        <v>0</v>
      </c>
      <c r="BU170">
        <v>0</v>
      </c>
      <c r="BV170">
        <v>0</v>
      </c>
      <c r="BW170">
        <v>1</v>
      </c>
      <c r="BX170" s="18">
        <v>0</v>
      </c>
      <c r="BY170">
        <v>0</v>
      </c>
      <c r="BZ170">
        <v>0</v>
      </c>
      <c r="CA170">
        <v>0</v>
      </c>
      <c r="CB170">
        <v>0</v>
      </c>
      <c r="CC170" s="18">
        <v>0</v>
      </c>
      <c r="CD170">
        <v>0</v>
      </c>
      <c r="CE170">
        <v>0</v>
      </c>
      <c r="CF170">
        <v>1</v>
      </c>
      <c r="CG170">
        <v>1</v>
      </c>
      <c r="CH170">
        <v>0</v>
      </c>
      <c r="CI170">
        <v>0</v>
      </c>
      <c r="CJ170">
        <v>1</v>
      </c>
      <c r="CK170">
        <v>0</v>
      </c>
      <c r="CL170">
        <v>0</v>
      </c>
      <c r="CM170">
        <v>0</v>
      </c>
      <c r="CN170" s="18">
        <v>1</v>
      </c>
      <c r="CO170">
        <v>0</v>
      </c>
      <c r="CP170">
        <v>106</v>
      </c>
      <c r="CQ170">
        <v>0</v>
      </c>
      <c r="CR170">
        <v>1</v>
      </c>
      <c r="CS170">
        <v>16</v>
      </c>
      <c r="CY170" s="34"/>
    </row>
    <row r="171" spans="1:103" x14ac:dyDescent="0.25">
      <c r="A171">
        <v>170</v>
      </c>
      <c r="B171">
        <v>15</v>
      </c>
      <c r="C171" s="25" t="s">
        <v>166</v>
      </c>
      <c r="D171" s="12">
        <v>5.8509832027769706</v>
      </c>
      <c r="E171" s="14">
        <v>0.28950177305406888</v>
      </c>
      <c r="F171" s="7">
        <v>20.21052631578948</v>
      </c>
      <c r="G171" s="7">
        <f t="shared" si="35"/>
        <v>5.5614814297229014</v>
      </c>
      <c r="H171" s="16">
        <f t="shared" si="36"/>
        <v>6.1404849758310398</v>
      </c>
      <c r="I171" s="11">
        <f t="shared" si="39"/>
        <v>9.8669596470575952E-2</v>
      </c>
      <c r="J171" s="33">
        <f t="shared" si="40"/>
        <v>4.8820894087003713E-3</v>
      </c>
      <c r="K171" s="33">
        <f t="shared" si="41"/>
        <v>204.83033313931122</v>
      </c>
      <c r="L171" s="8">
        <v>1</v>
      </c>
      <c r="M171" s="9">
        <v>0</v>
      </c>
      <c r="N171" s="8">
        <v>0</v>
      </c>
      <c r="O171" s="9">
        <v>1</v>
      </c>
      <c r="P171" s="9">
        <v>0</v>
      </c>
      <c r="Q171" s="9">
        <v>0</v>
      </c>
      <c r="R171" s="9">
        <v>0</v>
      </c>
      <c r="S171" s="8">
        <v>41564</v>
      </c>
      <c r="T171" s="9">
        <v>16</v>
      </c>
      <c r="U171" s="9">
        <f t="shared" si="37"/>
        <v>41547</v>
      </c>
      <c r="V171" s="9">
        <f t="shared" si="38"/>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4"/>
        <v>0.18599999999999994</v>
      </c>
      <c r="AO171" s="42" t="s">
        <v>98</v>
      </c>
      <c r="AP171" s="18" t="s">
        <v>98</v>
      </c>
      <c r="AQ171">
        <v>0.504</v>
      </c>
      <c r="AR171" s="40">
        <f t="shared" si="45"/>
        <v>0.496</v>
      </c>
      <c r="AS171" t="s">
        <v>98</v>
      </c>
      <c r="AT171" s="40" t="s">
        <v>98</v>
      </c>
      <c r="AU171">
        <v>0</v>
      </c>
      <c r="AV171" s="18">
        <v>1</v>
      </c>
      <c r="AW171">
        <v>0.32100000000000001</v>
      </c>
      <c r="AX171" s="18">
        <f t="shared" si="46"/>
        <v>0.67900000000000005</v>
      </c>
      <c r="AY171" s="18" t="s">
        <v>12</v>
      </c>
      <c r="AZ171">
        <v>0</v>
      </c>
      <c r="BA171" s="40">
        <v>0</v>
      </c>
      <c r="BB171">
        <v>0</v>
      </c>
      <c r="BC171">
        <v>0</v>
      </c>
      <c r="BD171" s="18">
        <v>0</v>
      </c>
      <c r="BE171">
        <v>1</v>
      </c>
      <c r="BF171" s="40">
        <v>0</v>
      </c>
      <c r="BG171">
        <v>0</v>
      </c>
      <c r="BH171" s="18">
        <v>1</v>
      </c>
      <c r="BI171" s="18">
        <v>0</v>
      </c>
      <c r="BJ171">
        <v>584</v>
      </c>
      <c r="BK171" s="40">
        <v>495</v>
      </c>
      <c r="BL171" s="25">
        <v>33.494</v>
      </c>
      <c r="BM171">
        <v>0</v>
      </c>
      <c r="BN171">
        <v>0</v>
      </c>
      <c r="BO171">
        <v>0</v>
      </c>
      <c r="BP171">
        <v>0</v>
      </c>
      <c r="BQ171">
        <v>0</v>
      </c>
      <c r="BR171">
        <v>1</v>
      </c>
      <c r="BS171">
        <v>0</v>
      </c>
      <c r="BT171" s="18">
        <v>0</v>
      </c>
      <c r="BU171">
        <v>0</v>
      </c>
      <c r="BV171">
        <v>0</v>
      </c>
      <c r="BW171">
        <v>1</v>
      </c>
      <c r="BX171" s="18">
        <v>0</v>
      </c>
      <c r="BY171">
        <v>0</v>
      </c>
      <c r="BZ171">
        <v>0</v>
      </c>
      <c r="CA171">
        <v>0</v>
      </c>
      <c r="CB171">
        <v>0</v>
      </c>
      <c r="CC171" s="18">
        <v>0</v>
      </c>
      <c r="CD171">
        <v>0</v>
      </c>
      <c r="CE171">
        <v>0</v>
      </c>
      <c r="CF171">
        <v>1</v>
      </c>
      <c r="CG171">
        <v>1</v>
      </c>
      <c r="CH171">
        <v>0</v>
      </c>
      <c r="CI171">
        <v>0</v>
      </c>
      <c r="CJ171">
        <v>1</v>
      </c>
      <c r="CK171">
        <v>0</v>
      </c>
      <c r="CL171">
        <v>0</v>
      </c>
      <c r="CM171">
        <v>0</v>
      </c>
      <c r="CN171" s="18">
        <v>1</v>
      </c>
      <c r="CO171">
        <v>0</v>
      </c>
      <c r="CP171">
        <v>106</v>
      </c>
      <c r="CQ171">
        <v>0</v>
      </c>
      <c r="CR171">
        <v>1</v>
      </c>
      <c r="CS171">
        <v>16</v>
      </c>
      <c r="CY171" s="34"/>
    </row>
    <row r="172" spans="1:103" x14ac:dyDescent="0.25">
      <c r="A172">
        <v>171</v>
      </c>
      <c r="B172">
        <v>15</v>
      </c>
      <c r="C172" s="25" t="s">
        <v>166</v>
      </c>
      <c r="D172" s="12">
        <v>12.02678251204039</v>
      </c>
      <c r="E172" s="14">
        <v>0.35760386186035592</v>
      </c>
      <c r="F172" s="7">
        <v>33.631578947368418</v>
      </c>
      <c r="G172" s="7">
        <f t="shared" si="35"/>
        <v>11.669178650180033</v>
      </c>
      <c r="H172" s="16">
        <f t="shared" si="36"/>
        <v>12.384386373900746</v>
      </c>
      <c r="I172" s="11">
        <f t="shared" si="39"/>
        <v>0.16279640298126366</v>
      </c>
      <c r="J172" s="33">
        <f t="shared" si="40"/>
        <v>4.8405816222910954E-3</v>
      </c>
      <c r="K172" s="33">
        <f t="shared" si="41"/>
        <v>206.5867447405401</v>
      </c>
      <c r="L172" s="8">
        <v>1</v>
      </c>
      <c r="M172" s="9">
        <v>0</v>
      </c>
      <c r="N172" s="8">
        <v>0</v>
      </c>
      <c r="O172" s="9">
        <v>1</v>
      </c>
      <c r="P172" s="9">
        <v>0</v>
      </c>
      <c r="Q172" s="9">
        <v>0</v>
      </c>
      <c r="R172" s="9">
        <v>0</v>
      </c>
      <c r="S172" s="8">
        <v>41564</v>
      </c>
      <c r="T172" s="9">
        <v>16</v>
      </c>
      <c r="U172" s="9">
        <f t="shared" si="37"/>
        <v>41547</v>
      </c>
      <c r="V172" s="9">
        <f t="shared" si="38"/>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4"/>
        <v>0.18599999999999994</v>
      </c>
      <c r="AO172" s="42" t="s">
        <v>98</v>
      </c>
      <c r="AP172" s="18" t="s">
        <v>98</v>
      </c>
      <c r="AQ172">
        <v>0.504</v>
      </c>
      <c r="AR172" s="40">
        <f t="shared" si="45"/>
        <v>0.496</v>
      </c>
      <c r="AS172" t="s">
        <v>98</v>
      </c>
      <c r="AT172" s="40" t="s">
        <v>98</v>
      </c>
      <c r="AU172">
        <v>0</v>
      </c>
      <c r="AV172" s="18">
        <v>1</v>
      </c>
      <c r="AW172">
        <v>0.32100000000000001</v>
      </c>
      <c r="AX172" s="18">
        <f t="shared" si="46"/>
        <v>0.67900000000000005</v>
      </c>
      <c r="AY172" s="18" t="s">
        <v>12</v>
      </c>
      <c r="AZ172">
        <v>0</v>
      </c>
      <c r="BA172" s="40">
        <v>0</v>
      </c>
      <c r="BB172">
        <v>0</v>
      </c>
      <c r="BC172">
        <v>0</v>
      </c>
      <c r="BD172" s="18">
        <v>0</v>
      </c>
      <c r="BE172">
        <v>1</v>
      </c>
      <c r="BF172" s="40">
        <v>0</v>
      </c>
      <c r="BG172">
        <v>0</v>
      </c>
      <c r="BH172" s="18">
        <v>1</v>
      </c>
      <c r="BI172" s="18">
        <v>0</v>
      </c>
      <c r="BJ172">
        <v>584</v>
      </c>
      <c r="BK172" s="40">
        <v>495</v>
      </c>
      <c r="BL172" s="25">
        <v>33.494</v>
      </c>
      <c r="BM172">
        <v>0</v>
      </c>
      <c r="BN172">
        <v>0</v>
      </c>
      <c r="BO172">
        <v>0</v>
      </c>
      <c r="BP172">
        <v>0</v>
      </c>
      <c r="BQ172">
        <v>0</v>
      </c>
      <c r="BR172">
        <v>1</v>
      </c>
      <c r="BS172">
        <v>0</v>
      </c>
      <c r="BT172" s="18">
        <v>0</v>
      </c>
      <c r="BU172">
        <v>0</v>
      </c>
      <c r="BV172">
        <v>0</v>
      </c>
      <c r="BW172">
        <v>1</v>
      </c>
      <c r="BX172" s="18">
        <v>0</v>
      </c>
      <c r="BY172">
        <v>0</v>
      </c>
      <c r="BZ172">
        <v>0</v>
      </c>
      <c r="CA172">
        <v>0</v>
      </c>
      <c r="CB172">
        <v>0</v>
      </c>
      <c r="CC172" s="18">
        <v>0</v>
      </c>
      <c r="CD172">
        <v>0</v>
      </c>
      <c r="CE172">
        <v>0</v>
      </c>
      <c r="CF172">
        <v>1</v>
      </c>
      <c r="CG172">
        <v>1</v>
      </c>
      <c r="CH172">
        <v>0</v>
      </c>
      <c r="CI172">
        <v>0</v>
      </c>
      <c r="CJ172">
        <v>1</v>
      </c>
      <c r="CK172">
        <v>0</v>
      </c>
      <c r="CL172">
        <v>0</v>
      </c>
      <c r="CM172">
        <v>0</v>
      </c>
      <c r="CN172" s="18">
        <v>1</v>
      </c>
      <c r="CO172">
        <v>0</v>
      </c>
      <c r="CP172">
        <v>106</v>
      </c>
      <c r="CQ172">
        <v>0</v>
      </c>
      <c r="CR172">
        <v>1</v>
      </c>
      <c r="CS172">
        <v>16</v>
      </c>
      <c r="CY172" s="34"/>
    </row>
    <row r="173" spans="1:103" x14ac:dyDescent="0.25">
      <c r="A173">
        <v>172</v>
      </c>
      <c r="B173">
        <v>15</v>
      </c>
      <c r="C173" s="25" t="s">
        <v>166</v>
      </c>
      <c r="D173" s="12">
        <v>13.71015785759864</v>
      </c>
      <c r="E173" s="14">
        <v>0.33834080549867879</v>
      </c>
      <c r="F173" s="7">
        <v>40.521739130434788</v>
      </c>
      <c r="G173" s="7">
        <f t="shared" si="35"/>
        <v>13.371817052099962</v>
      </c>
      <c r="H173" s="16">
        <f t="shared" si="36"/>
        <v>14.048498663097318</v>
      </c>
      <c r="I173" s="11">
        <f t="shared" si="39"/>
        <v>0.19498510876513081</v>
      </c>
      <c r="J173" s="33">
        <f t="shared" si="40"/>
        <v>4.8118642721008669E-3</v>
      </c>
      <c r="K173" s="33">
        <f t="shared" si="41"/>
        <v>207.81966062467481</v>
      </c>
      <c r="L173" s="8">
        <v>1</v>
      </c>
      <c r="M173" s="9">
        <v>0</v>
      </c>
      <c r="N173" s="8">
        <v>0</v>
      </c>
      <c r="O173" s="9">
        <v>1</v>
      </c>
      <c r="P173" s="9">
        <v>0</v>
      </c>
      <c r="Q173" s="9">
        <v>0</v>
      </c>
      <c r="R173" s="9">
        <v>0</v>
      </c>
      <c r="S173" s="8">
        <v>41564</v>
      </c>
      <c r="T173" s="9">
        <v>16</v>
      </c>
      <c r="U173" s="9">
        <f t="shared" si="37"/>
        <v>41547</v>
      </c>
      <c r="V173" s="9">
        <f t="shared" si="38"/>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4"/>
        <v>0.18599999999999994</v>
      </c>
      <c r="AO173" s="42" t="s">
        <v>98</v>
      </c>
      <c r="AP173" s="18" t="s">
        <v>98</v>
      </c>
      <c r="AQ173">
        <v>0.504</v>
      </c>
      <c r="AR173" s="40">
        <f t="shared" si="45"/>
        <v>0.496</v>
      </c>
      <c r="AS173" t="s">
        <v>98</v>
      </c>
      <c r="AT173" s="40" t="s">
        <v>98</v>
      </c>
      <c r="AU173">
        <v>0</v>
      </c>
      <c r="AV173" s="18">
        <v>1</v>
      </c>
      <c r="AW173">
        <v>0.32100000000000001</v>
      </c>
      <c r="AX173" s="18">
        <f t="shared" si="46"/>
        <v>0.67900000000000005</v>
      </c>
      <c r="AY173" s="18" t="s">
        <v>12</v>
      </c>
      <c r="AZ173">
        <v>0</v>
      </c>
      <c r="BA173" s="40">
        <v>0</v>
      </c>
      <c r="BB173">
        <v>0</v>
      </c>
      <c r="BC173">
        <v>0</v>
      </c>
      <c r="BD173" s="18">
        <v>0</v>
      </c>
      <c r="BE173">
        <v>1</v>
      </c>
      <c r="BF173" s="40">
        <v>0</v>
      </c>
      <c r="BG173">
        <v>0</v>
      </c>
      <c r="BH173" s="18">
        <v>1</v>
      </c>
      <c r="BI173" s="18">
        <v>0</v>
      </c>
      <c r="BJ173">
        <v>584</v>
      </c>
      <c r="BK173" s="40">
        <v>495</v>
      </c>
      <c r="BL173" s="25">
        <v>33.494</v>
      </c>
      <c r="BM173">
        <v>0</v>
      </c>
      <c r="BN173">
        <v>0</v>
      </c>
      <c r="BO173">
        <v>0</v>
      </c>
      <c r="BP173">
        <v>0</v>
      </c>
      <c r="BQ173">
        <v>0</v>
      </c>
      <c r="BR173">
        <v>1</v>
      </c>
      <c r="BS173">
        <v>0</v>
      </c>
      <c r="BT173" s="18">
        <v>0</v>
      </c>
      <c r="BU173">
        <v>0</v>
      </c>
      <c r="BV173">
        <v>0</v>
      </c>
      <c r="BW173">
        <v>1</v>
      </c>
      <c r="BX173" s="18">
        <v>0</v>
      </c>
      <c r="BY173">
        <v>0</v>
      </c>
      <c r="BZ173">
        <v>0</v>
      </c>
      <c r="CA173">
        <v>0</v>
      </c>
      <c r="CB173">
        <v>0</v>
      </c>
      <c r="CC173" s="18">
        <v>0</v>
      </c>
      <c r="CD173">
        <v>0</v>
      </c>
      <c r="CE173">
        <v>0</v>
      </c>
      <c r="CF173">
        <v>1</v>
      </c>
      <c r="CG173">
        <v>1</v>
      </c>
      <c r="CH173">
        <v>0</v>
      </c>
      <c r="CI173">
        <v>0</v>
      </c>
      <c r="CJ173">
        <v>1</v>
      </c>
      <c r="CK173">
        <v>0</v>
      </c>
      <c r="CL173">
        <v>0</v>
      </c>
      <c r="CM173">
        <v>0</v>
      </c>
      <c r="CN173" s="18">
        <v>1</v>
      </c>
      <c r="CO173">
        <v>0</v>
      </c>
      <c r="CP173">
        <v>106</v>
      </c>
      <c r="CQ173">
        <v>0</v>
      </c>
      <c r="CR173">
        <v>1</v>
      </c>
      <c r="CS173">
        <v>16</v>
      </c>
      <c r="CY173" s="34"/>
    </row>
    <row r="174" spans="1:103" s="51" customFormat="1" x14ac:dyDescent="0.25">
      <c r="A174" s="51">
        <v>173</v>
      </c>
      <c r="B174" s="51">
        <v>15</v>
      </c>
      <c r="C174" s="52" t="s">
        <v>166</v>
      </c>
      <c r="D174" s="53">
        <v>13.28910230943492</v>
      </c>
      <c r="E174" s="54">
        <v>0.21093813189579241</v>
      </c>
      <c r="F174" s="55">
        <v>63</v>
      </c>
      <c r="G174" s="55">
        <f t="shared" si="35"/>
        <v>13.078164177539128</v>
      </c>
      <c r="H174" s="56">
        <f t="shared" si="36"/>
        <v>13.500040441330713</v>
      </c>
      <c r="I174" s="11">
        <f t="shared" si="39"/>
        <v>0.29529663976656012</v>
      </c>
      <c r="J174" s="33">
        <f t="shared" si="40"/>
        <v>4.6872482502628588E-3</v>
      </c>
      <c r="K174" s="33">
        <f t="shared" si="41"/>
        <v>213.34479135896427</v>
      </c>
      <c r="L174" s="59">
        <v>1</v>
      </c>
      <c r="M174" s="60">
        <v>0</v>
      </c>
      <c r="N174" s="59">
        <v>0</v>
      </c>
      <c r="O174" s="60">
        <v>1</v>
      </c>
      <c r="P174" s="60">
        <v>0</v>
      </c>
      <c r="Q174" s="60">
        <v>0</v>
      </c>
      <c r="R174" s="60">
        <v>0</v>
      </c>
      <c r="S174" s="59">
        <v>41564</v>
      </c>
      <c r="T174" s="60">
        <v>16</v>
      </c>
      <c r="U174" s="60">
        <f t="shared" si="37"/>
        <v>41547</v>
      </c>
      <c r="V174" s="60">
        <f t="shared" si="38"/>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4"/>
        <v>0.18599999999999994</v>
      </c>
      <c r="AO174" s="64" t="s">
        <v>98</v>
      </c>
      <c r="AP174" s="65" t="s">
        <v>98</v>
      </c>
      <c r="AQ174" s="51">
        <v>0.504</v>
      </c>
      <c r="AR174" s="66">
        <f t="shared" si="45"/>
        <v>0.496</v>
      </c>
      <c r="AS174" s="51" t="s">
        <v>98</v>
      </c>
      <c r="AT174" s="66" t="s">
        <v>98</v>
      </c>
      <c r="AU174">
        <v>0</v>
      </c>
      <c r="AV174" s="65">
        <v>1</v>
      </c>
      <c r="AW174" s="51">
        <v>0.32100000000000001</v>
      </c>
      <c r="AX174" s="65">
        <f t="shared" si="46"/>
        <v>0.67900000000000005</v>
      </c>
      <c r="AY174" s="65" t="s">
        <v>12</v>
      </c>
      <c r="AZ174">
        <v>0</v>
      </c>
      <c r="BA174">
        <v>0</v>
      </c>
      <c r="BB174">
        <v>0</v>
      </c>
      <c r="BC174">
        <v>0</v>
      </c>
      <c r="BD174">
        <v>0</v>
      </c>
      <c r="BE174">
        <v>1</v>
      </c>
      <c r="BF174" s="65">
        <v>0</v>
      </c>
      <c r="BG174">
        <v>0</v>
      </c>
      <c r="BH174">
        <v>1</v>
      </c>
      <c r="BI174" s="65">
        <v>0</v>
      </c>
      <c r="BJ174">
        <v>584</v>
      </c>
      <c r="BK174">
        <v>495</v>
      </c>
      <c r="BL174" s="52">
        <v>33.494</v>
      </c>
      <c r="BM174" s="51">
        <v>0</v>
      </c>
      <c r="BN174" s="51">
        <v>0</v>
      </c>
      <c r="BO174" s="51">
        <v>0</v>
      </c>
      <c r="BP174" s="51">
        <v>0</v>
      </c>
      <c r="BQ174" s="51">
        <v>0</v>
      </c>
      <c r="BR174" s="51">
        <v>1</v>
      </c>
      <c r="BS174" s="51">
        <v>0</v>
      </c>
      <c r="BT174" s="65">
        <v>0</v>
      </c>
      <c r="BU174" s="51">
        <v>0</v>
      </c>
      <c r="BV174" s="51">
        <v>0</v>
      </c>
      <c r="BW174" s="51">
        <v>1</v>
      </c>
      <c r="BX174" s="65">
        <v>0</v>
      </c>
      <c r="BY174" s="51">
        <v>0</v>
      </c>
      <c r="BZ174" s="51">
        <v>0</v>
      </c>
      <c r="CA174" s="51">
        <v>0</v>
      </c>
      <c r="CB174" s="51">
        <v>0</v>
      </c>
      <c r="CC174" s="65">
        <v>0</v>
      </c>
      <c r="CD174" s="51">
        <v>0</v>
      </c>
      <c r="CE174" s="51">
        <v>0</v>
      </c>
      <c r="CF174" s="51">
        <v>1</v>
      </c>
      <c r="CG174" s="51">
        <v>1</v>
      </c>
      <c r="CH174" s="51">
        <v>0</v>
      </c>
      <c r="CI174" s="51">
        <v>0</v>
      </c>
      <c r="CJ174" s="51">
        <v>1</v>
      </c>
      <c r="CK174" s="51">
        <v>0</v>
      </c>
      <c r="CL174" s="51">
        <v>0</v>
      </c>
      <c r="CM174" s="51">
        <v>0</v>
      </c>
      <c r="CN174" s="65">
        <v>1</v>
      </c>
      <c r="CO174">
        <v>0</v>
      </c>
      <c r="CP174">
        <v>106</v>
      </c>
      <c r="CQ174">
        <v>0</v>
      </c>
      <c r="CR174">
        <v>1</v>
      </c>
      <c r="CS174">
        <v>16</v>
      </c>
      <c r="CT174" s="67"/>
      <c r="CY174" s="67"/>
    </row>
    <row r="175" spans="1:103" x14ac:dyDescent="0.25">
      <c r="A175">
        <v>174</v>
      </c>
      <c r="B175">
        <v>16</v>
      </c>
      <c r="C175" s="25" t="s">
        <v>192</v>
      </c>
      <c r="D175" s="12">
        <v>3.2706237490793382</v>
      </c>
      <c r="E175" s="14">
        <v>0.79384071579595572</v>
      </c>
      <c r="F175" s="7">
        <v>4.12</v>
      </c>
      <c r="G175" s="7">
        <f t="shared" si="35"/>
        <v>2.4767830332833825</v>
      </c>
      <c r="H175" s="16">
        <f t="shared" si="36"/>
        <v>4.0644644648752939</v>
      </c>
      <c r="I175" s="11">
        <f t="shared" si="39"/>
        <v>7.3536563247082132E-2</v>
      </c>
      <c r="J175" s="33">
        <f t="shared" si="40"/>
        <v>1.7848680399777217E-2</v>
      </c>
      <c r="K175" s="33">
        <f t="shared" si="41"/>
        <v>56.026550848682447</v>
      </c>
      <c r="L175" s="8">
        <v>0</v>
      </c>
      <c r="M175" s="9">
        <v>1</v>
      </c>
      <c r="N175" s="8">
        <v>0</v>
      </c>
      <c r="O175" s="9">
        <v>0</v>
      </c>
      <c r="P175" s="9">
        <v>1</v>
      </c>
      <c r="Q175" s="9">
        <v>0</v>
      </c>
      <c r="R175" s="9">
        <v>0</v>
      </c>
      <c r="S175" s="8">
        <v>3132</v>
      </c>
      <c r="T175" s="9">
        <v>9</v>
      </c>
      <c r="U175" s="9">
        <f t="shared" si="37"/>
        <v>3122</v>
      </c>
      <c r="V175" s="9">
        <f t="shared" si="38"/>
        <v>48</v>
      </c>
      <c r="W175" s="7">
        <v>9.8249999999999993</v>
      </c>
      <c r="X175" s="7">
        <f t="shared" ref="X175:X222" si="47">BL175-W175-6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8">(1-AL175-AM175)/2</f>
        <v>0.26250000000000001</v>
      </c>
      <c r="AL175" s="33">
        <v>0.25</v>
      </c>
      <c r="AM175" s="33">
        <v>0.22500000000000001</v>
      </c>
      <c r="AN175" s="43">
        <f t="shared" ref="AN175:AN214" si="49">(1-AL175-AM175)/2</f>
        <v>0.26250000000000001</v>
      </c>
      <c r="AO175" s="42">
        <v>0.67</v>
      </c>
      <c r="AP175" s="18">
        <v>0.33</v>
      </c>
      <c r="AQ175">
        <v>0</v>
      </c>
      <c r="AR175" s="40">
        <f t="shared" si="45"/>
        <v>1</v>
      </c>
      <c r="AS175">
        <v>0.38</v>
      </c>
      <c r="AT175" s="40">
        <v>0.62</v>
      </c>
      <c r="AU175">
        <v>0</v>
      </c>
      <c r="AV175" s="18">
        <v>1</v>
      </c>
      <c r="AW175">
        <f t="shared" ref="AW175:AW222" si="50">1-AX175</f>
        <v>0.44099999999999995</v>
      </c>
      <c r="AX175" s="18">
        <v>0.55900000000000005</v>
      </c>
      <c r="AY175" s="18" t="s">
        <v>10</v>
      </c>
      <c r="AZ175">
        <v>0</v>
      </c>
      <c r="BA175">
        <v>0</v>
      </c>
      <c r="BB175">
        <v>0</v>
      </c>
      <c r="BC175">
        <v>0</v>
      </c>
      <c r="BD175">
        <v>0</v>
      </c>
      <c r="BE175">
        <v>0</v>
      </c>
      <c r="BF175" s="18">
        <v>1</v>
      </c>
      <c r="BG175">
        <v>0</v>
      </c>
      <c r="BH175">
        <v>0</v>
      </c>
      <c r="BI175" s="18">
        <v>1</v>
      </c>
      <c r="BJ175" t="s">
        <v>98</v>
      </c>
      <c r="BK175">
        <v>28</v>
      </c>
      <c r="BL175" s="25">
        <v>40</v>
      </c>
      <c r="BM175">
        <v>1</v>
      </c>
      <c r="BN175">
        <v>0</v>
      </c>
      <c r="BO175">
        <v>0</v>
      </c>
      <c r="BP175">
        <v>0</v>
      </c>
      <c r="BQ175">
        <v>0</v>
      </c>
      <c r="BR175">
        <v>0</v>
      </c>
      <c r="BS175">
        <v>0</v>
      </c>
      <c r="BT175" s="18">
        <v>0</v>
      </c>
      <c r="BU175">
        <v>0</v>
      </c>
      <c r="BV175">
        <v>0</v>
      </c>
      <c r="BW175">
        <v>1</v>
      </c>
      <c r="BX175" s="18">
        <v>0</v>
      </c>
      <c r="BY175">
        <v>0</v>
      </c>
      <c r="BZ175">
        <v>0</v>
      </c>
      <c r="CA175">
        <v>0</v>
      </c>
      <c r="CB175">
        <v>0</v>
      </c>
      <c r="CC175" s="18">
        <v>0</v>
      </c>
      <c r="CD175">
        <v>0</v>
      </c>
      <c r="CE175">
        <v>0</v>
      </c>
      <c r="CF175">
        <v>1</v>
      </c>
      <c r="CG175">
        <v>1</v>
      </c>
      <c r="CH175">
        <v>0</v>
      </c>
      <c r="CI175">
        <v>0</v>
      </c>
      <c r="CJ175">
        <v>0</v>
      </c>
      <c r="CK175">
        <v>0</v>
      </c>
      <c r="CL175">
        <v>0</v>
      </c>
      <c r="CM175">
        <v>1</v>
      </c>
      <c r="CN175" s="18">
        <v>0</v>
      </c>
      <c r="CO175">
        <v>0</v>
      </c>
      <c r="CP175">
        <v>30</v>
      </c>
      <c r="CQ175">
        <v>0</v>
      </c>
      <c r="CR175">
        <v>1</v>
      </c>
      <c r="CS175">
        <v>12</v>
      </c>
      <c r="CY175" s="34"/>
    </row>
    <row r="176" spans="1:103" x14ac:dyDescent="0.25">
      <c r="A176">
        <v>175</v>
      </c>
      <c r="B176">
        <v>16</v>
      </c>
      <c r="C176" s="25" t="s">
        <v>192</v>
      </c>
      <c r="D176" s="12">
        <v>3.6008025644540531</v>
      </c>
      <c r="E176" s="14">
        <v>0.54066104571382179</v>
      </c>
      <c r="F176" s="7">
        <v>6.66</v>
      </c>
      <c r="G176" s="7">
        <f t="shared" si="35"/>
        <v>3.0601415187402314</v>
      </c>
      <c r="H176" s="16">
        <f t="shared" si="36"/>
        <v>4.1414636101678752</v>
      </c>
      <c r="I176" s="11">
        <f t="shared" si="39"/>
        <v>0.11835711912237923</v>
      </c>
      <c r="J176" s="33">
        <f t="shared" si="40"/>
        <v>1.7771339207564449E-2</v>
      </c>
      <c r="K176" s="33">
        <f t="shared" si="41"/>
        <v>56.270379419371253</v>
      </c>
      <c r="L176" s="8">
        <v>0</v>
      </c>
      <c r="M176" s="9">
        <v>1</v>
      </c>
      <c r="N176" s="8">
        <v>0</v>
      </c>
      <c r="O176" s="9">
        <v>0</v>
      </c>
      <c r="P176" s="9">
        <v>1</v>
      </c>
      <c r="Q176" s="9">
        <v>0</v>
      </c>
      <c r="R176" s="9">
        <v>0</v>
      </c>
      <c r="S176" s="8">
        <v>3132</v>
      </c>
      <c r="T176" s="9">
        <v>9</v>
      </c>
      <c r="U176" s="9">
        <f t="shared" si="37"/>
        <v>3122</v>
      </c>
      <c r="V176" s="9">
        <f t="shared" si="38"/>
        <v>48</v>
      </c>
      <c r="W176" s="7">
        <v>9.8249999999999993</v>
      </c>
      <c r="X176" s="7">
        <f t="shared" si="47"/>
        <v>24.175000000000001</v>
      </c>
      <c r="Y176" s="9">
        <v>0</v>
      </c>
      <c r="Z176" s="9">
        <v>1</v>
      </c>
      <c r="AA176" s="9">
        <v>0</v>
      </c>
      <c r="AB176" s="9">
        <v>0</v>
      </c>
      <c r="AC176" s="9">
        <v>1</v>
      </c>
      <c r="AD176" s="9">
        <v>0</v>
      </c>
      <c r="AE176" s="8">
        <v>0</v>
      </c>
      <c r="AF176" s="9">
        <v>1</v>
      </c>
      <c r="AG176" s="30">
        <v>0</v>
      </c>
      <c r="AH176" s="9">
        <v>0</v>
      </c>
      <c r="AI176" s="30">
        <v>1</v>
      </c>
      <c r="AJ176" s="21">
        <v>1992</v>
      </c>
      <c r="AK176" s="33">
        <f t="shared" si="48"/>
        <v>0.26250000000000001</v>
      </c>
      <c r="AL176" s="33">
        <v>0.25</v>
      </c>
      <c r="AM176" s="33">
        <v>0.22500000000000001</v>
      </c>
      <c r="AN176" s="43">
        <f t="shared" si="49"/>
        <v>0.26250000000000001</v>
      </c>
      <c r="AO176" s="42">
        <v>0.67</v>
      </c>
      <c r="AP176" s="18">
        <v>0.33</v>
      </c>
      <c r="AQ176">
        <v>0</v>
      </c>
      <c r="AR176" s="40">
        <f t="shared" si="45"/>
        <v>1</v>
      </c>
      <c r="AS176">
        <v>0.38</v>
      </c>
      <c r="AT176" s="40">
        <v>0.62</v>
      </c>
      <c r="AU176">
        <v>0</v>
      </c>
      <c r="AV176" s="18">
        <v>1</v>
      </c>
      <c r="AW176">
        <f t="shared" si="50"/>
        <v>0.44099999999999995</v>
      </c>
      <c r="AX176" s="18">
        <v>0.55900000000000005</v>
      </c>
      <c r="AY176" s="18" t="s">
        <v>10</v>
      </c>
      <c r="AZ176">
        <v>0</v>
      </c>
      <c r="BA176">
        <v>0</v>
      </c>
      <c r="BB176">
        <v>0</v>
      </c>
      <c r="BC176">
        <v>0</v>
      </c>
      <c r="BD176">
        <v>0</v>
      </c>
      <c r="BE176">
        <v>0</v>
      </c>
      <c r="BF176" s="18">
        <v>1</v>
      </c>
      <c r="BG176">
        <v>0</v>
      </c>
      <c r="BH176">
        <v>0</v>
      </c>
      <c r="BI176" s="18">
        <v>1</v>
      </c>
      <c r="BJ176" t="s">
        <v>98</v>
      </c>
      <c r="BK176">
        <v>28</v>
      </c>
      <c r="BL176" s="25">
        <v>40</v>
      </c>
      <c r="BM176">
        <v>1</v>
      </c>
      <c r="BN176">
        <v>0</v>
      </c>
      <c r="BO176">
        <v>0</v>
      </c>
      <c r="BP176">
        <v>0</v>
      </c>
      <c r="BQ176">
        <v>0</v>
      </c>
      <c r="BR176">
        <v>0</v>
      </c>
      <c r="BS176">
        <v>0</v>
      </c>
      <c r="BT176" s="18">
        <v>0</v>
      </c>
      <c r="BU176">
        <v>0</v>
      </c>
      <c r="BV176">
        <v>0</v>
      </c>
      <c r="BW176">
        <v>1</v>
      </c>
      <c r="BX176" s="18">
        <v>0</v>
      </c>
      <c r="BY176">
        <v>0</v>
      </c>
      <c r="BZ176">
        <v>0</v>
      </c>
      <c r="CA176">
        <v>0</v>
      </c>
      <c r="CB176">
        <v>0</v>
      </c>
      <c r="CC176" s="18">
        <v>0</v>
      </c>
      <c r="CD176">
        <v>0</v>
      </c>
      <c r="CE176">
        <v>0</v>
      </c>
      <c r="CF176">
        <v>1</v>
      </c>
      <c r="CG176">
        <v>1</v>
      </c>
      <c r="CH176">
        <v>0</v>
      </c>
      <c r="CI176">
        <v>0</v>
      </c>
      <c r="CJ176">
        <v>0</v>
      </c>
      <c r="CK176">
        <v>0</v>
      </c>
      <c r="CL176">
        <v>0</v>
      </c>
      <c r="CM176">
        <v>1</v>
      </c>
      <c r="CN176" s="18">
        <v>0</v>
      </c>
      <c r="CO176">
        <v>0</v>
      </c>
      <c r="CP176">
        <v>30</v>
      </c>
      <c r="CQ176">
        <v>0</v>
      </c>
      <c r="CR176">
        <v>1</v>
      </c>
      <c r="CS176">
        <v>12</v>
      </c>
      <c r="CY176" s="34"/>
    </row>
    <row r="177" spans="1:103" x14ac:dyDescent="0.25">
      <c r="A177">
        <v>176</v>
      </c>
      <c r="B177">
        <v>16</v>
      </c>
      <c r="C177" s="25" t="s">
        <v>192</v>
      </c>
      <c r="D177" s="12">
        <v>6.4052053179784352</v>
      </c>
      <c r="E177" s="14">
        <v>1.0622231041423611</v>
      </c>
      <c r="F177" s="7">
        <v>6.03</v>
      </c>
      <c r="G177" s="7">
        <f t="shared" si="35"/>
        <v>5.3429822138360743</v>
      </c>
      <c r="H177" s="16">
        <f t="shared" si="36"/>
        <v>7.467428422120796</v>
      </c>
      <c r="I177" s="11">
        <f t="shared" si="39"/>
        <v>0.10729671724387244</v>
      </c>
      <c r="J177" s="33">
        <f t="shared" si="40"/>
        <v>1.7793817121703553E-2</v>
      </c>
      <c r="K177" s="33">
        <f t="shared" si="41"/>
        <v>56.199296258939043</v>
      </c>
      <c r="L177" s="8">
        <v>0</v>
      </c>
      <c r="M177" s="9">
        <v>1</v>
      </c>
      <c r="N177" s="8">
        <v>0</v>
      </c>
      <c r="O177" s="9">
        <v>0</v>
      </c>
      <c r="P177" s="9">
        <v>1</v>
      </c>
      <c r="Q177" s="9">
        <v>0</v>
      </c>
      <c r="R177" s="9">
        <v>0</v>
      </c>
      <c r="S177" s="8">
        <v>3132</v>
      </c>
      <c r="T177" s="9">
        <v>9</v>
      </c>
      <c r="U177" s="9">
        <f t="shared" si="37"/>
        <v>3122</v>
      </c>
      <c r="V177" s="9">
        <f t="shared" si="38"/>
        <v>48</v>
      </c>
      <c r="W177" s="7">
        <v>9.8249999999999993</v>
      </c>
      <c r="X177" s="7">
        <f t="shared" si="47"/>
        <v>24.175000000000001</v>
      </c>
      <c r="Y177" s="9">
        <v>0</v>
      </c>
      <c r="Z177" s="9">
        <v>1</v>
      </c>
      <c r="AA177" s="9">
        <v>0</v>
      </c>
      <c r="AB177" s="9">
        <v>0</v>
      </c>
      <c r="AC177" s="9">
        <v>1</v>
      </c>
      <c r="AD177" s="9">
        <v>0</v>
      </c>
      <c r="AE177" s="8">
        <v>0</v>
      </c>
      <c r="AF177" s="9">
        <v>1</v>
      </c>
      <c r="AG177" s="30">
        <v>0</v>
      </c>
      <c r="AH177" s="9">
        <v>0</v>
      </c>
      <c r="AI177" s="30">
        <v>1</v>
      </c>
      <c r="AJ177" s="21">
        <v>1992</v>
      </c>
      <c r="AK177" s="33">
        <f t="shared" si="48"/>
        <v>0.26250000000000001</v>
      </c>
      <c r="AL177" s="33">
        <v>0.25</v>
      </c>
      <c r="AM177" s="33">
        <v>0.22500000000000001</v>
      </c>
      <c r="AN177" s="43">
        <f t="shared" si="49"/>
        <v>0.26250000000000001</v>
      </c>
      <c r="AO177" s="42">
        <v>0.67</v>
      </c>
      <c r="AP177" s="18">
        <v>0.33</v>
      </c>
      <c r="AQ177">
        <v>0</v>
      </c>
      <c r="AR177" s="40">
        <f t="shared" si="45"/>
        <v>1</v>
      </c>
      <c r="AS177">
        <v>0.38</v>
      </c>
      <c r="AT177" s="40">
        <v>0.62</v>
      </c>
      <c r="AU177">
        <v>0</v>
      </c>
      <c r="AV177" s="18">
        <v>1</v>
      </c>
      <c r="AW177">
        <f t="shared" si="50"/>
        <v>0.44099999999999995</v>
      </c>
      <c r="AX177" s="18">
        <v>0.55900000000000005</v>
      </c>
      <c r="AY177" s="18" t="s">
        <v>10</v>
      </c>
      <c r="AZ177">
        <v>0</v>
      </c>
      <c r="BA177">
        <v>0</v>
      </c>
      <c r="BB177">
        <v>0</v>
      </c>
      <c r="BC177">
        <v>0</v>
      </c>
      <c r="BD177">
        <v>0</v>
      </c>
      <c r="BE177">
        <v>0</v>
      </c>
      <c r="BF177" s="18">
        <v>1</v>
      </c>
      <c r="BG177">
        <v>0</v>
      </c>
      <c r="BH177">
        <v>0</v>
      </c>
      <c r="BI177" s="18">
        <v>1</v>
      </c>
      <c r="BJ177" t="s">
        <v>98</v>
      </c>
      <c r="BK177">
        <v>28</v>
      </c>
      <c r="BL177" s="25">
        <v>40</v>
      </c>
      <c r="BM177">
        <v>1</v>
      </c>
      <c r="BN177">
        <v>0</v>
      </c>
      <c r="BO177">
        <v>0</v>
      </c>
      <c r="BP177">
        <v>0</v>
      </c>
      <c r="BQ177">
        <v>0</v>
      </c>
      <c r="BR177">
        <v>0</v>
      </c>
      <c r="BS177">
        <v>0</v>
      </c>
      <c r="BT177" s="18">
        <v>0</v>
      </c>
      <c r="BU177">
        <v>0</v>
      </c>
      <c r="BV177">
        <v>0</v>
      </c>
      <c r="BW177">
        <v>1</v>
      </c>
      <c r="BX177" s="18">
        <v>0</v>
      </c>
      <c r="BY177">
        <v>0</v>
      </c>
      <c r="BZ177">
        <v>0</v>
      </c>
      <c r="CA177">
        <v>0</v>
      </c>
      <c r="CB177">
        <v>0</v>
      </c>
      <c r="CC177" s="18">
        <v>0</v>
      </c>
      <c r="CD177">
        <v>0</v>
      </c>
      <c r="CE177">
        <v>0</v>
      </c>
      <c r="CF177">
        <v>1</v>
      </c>
      <c r="CG177">
        <v>1</v>
      </c>
      <c r="CH177">
        <v>0</v>
      </c>
      <c r="CI177">
        <v>0</v>
      </c>
      <c r="CJ177">
        <v>0</v>
      </c>
      <c r="CK177">
        <v>0</v>
      </c>
      <c r="CL177">
        <v>0</v>
      </c>
      <c r="CM177">
        <v>1</v>
      </c>
      <c r="CN177" s="18">
        <v>0</v>
      </c>
      <c r="CO177">
        <v>0</v>
      </c>
      <c r="CP177">
        <v>30</v>
      </c>
      <c r="CQ177">
        <v>0</v>
      </c>
      <c r="CR177">
        <v>1</v>
      </c>
      <c r="CS177">
        <v>12</v>
      </c>
      <c r="CY177" s="34"/>
    </row>
    <row r="178" spans="1:103" x14ac:dyDescent="0.25">
      <c r="A178">
        <v>177</v>
      </c>
      <c r="B178">
        <v>16</v>
      </c>
      <c r="C178" s="25" t="s">
        <v>192</v>
      </c>
      <c r="D178" s="12">
        <v>9.0746131060373223</v>
      </c>
      <c r="E178" s="14">
        <v>2.6847967769341188</v>
      </c>
      <c r="F178" s="7">
        <v>3.38</v>
      </c>
      <c r="G178" s="7">
        <f t="shared" si="35"/>
        <v>6.3898163291032031</v>
      </c>
      <c r="H178" s="16">
        <f t="shared" si="36"/>
        <v>11.759409882971442</v>
      </c>
      <c r="I178" s="11">
        <f t="shared" si="39"/>
        <v>6.0381943826493679E-2</v>
      </c>
      <c r="J178" s="33">
        <f t="shared" si="40"/>
        <v>1.7864480422039548E-2</v>
      </c>
      <c r="K178" s="33">
        <f t="shared" si="41"/>
        <v>55.976998847741029</v>
      </c>
      <c r="L178" s="8">
        <v>0</v>
      </c>
      <c r="M178" s="9">
        <v>1</v>
      </c>
      <c r="N178" s="8">
        <v>0</v>
      </c>
      <c r="O178" s="9">
        <v>0</v>
      </c>
      <c r="P178" s="9">
        <v>1</v>
      </c>
      <c r="Q178" s="9">
        <v>0</v>
      </c>
      <c r="R178" s="9">
        <v>0</v>
      </c>
      <c r="S178" s="8">
        <v>3132</v>
      </c>
      <c r="T178" s="9">
        <v>9</v>
      </c>
      <c r="U178" s="9">
        <f t="shared" si="37"/>
        <v>3122</v>
      </c>
      <c r="V178" s="9">
        <f t="shared" si="38"/>
        <v>48</v>
      </c>
      <c r="W178" s="7">
        <v>9.8249999999999993</v>
      </c>
      <c r="X178" s="7">
        <f t="shared" si="47"/>
        <v>24.175000000000001</v>
      </c>
      <c r="Y178" s="9">
        <v>0</v>
      </c>
      <c r="Z178" s="9">
        <v>1</v>
      </c>
      <c r="AA178" s="9">
        <v>0</v>
      </c>
      <c r="AB178" s="9">
        <v>0</v>
      </c>
      <c r="AC178" s="9">
        <v>1</v>
      </c>
      <c r="AD178" s="9">
        <v>0</v>
      </c>
      <c r="AE178" s="8">
        <v>0</v>
      </c>
      <c r="AF178" s="9">
        <v>1</v>
      </c>
      <c r="AG178" s="30">
        <v>0</v>
      </c>
      <c r="AH178" s="9">
        <v>0</v>
      </c>
      <c r="AI178" s="30">
        <v>1</v>
      </c>
      <c r="AJ178" s="21">
        <v>1992</v>
      </c>
      <c r="AK178" s="33">
        <f t="shared" si="48"/>
        <v>0.26250000000000001</v>
      </c>
      <c r="AL178" s="33">
        <v>0.25</v>
      </c>
      <c r="AM178" s="33">
        <v>0.22500000000000001</v>
      </c>
      <c r="AN178" s="43">
        <f t="shared" si="49"/>
        <v>0.26250000000000001</v>
      </c>
      <c r="AO178" s="42">
        <v>0.67</v>
      </c>
      <c r="AP178" s="18">
        <v>0.33</v>
      </c>
      <c r="AQ178">
        <v>0</v>
      </c>
      <c r="AR178" s="40">
        <f t="shared" si="45"/>
        <v>1</v>
      </c>
      <c r="AS178">
        <v>0.38</v>
      </c>
      <c r="AT178" s="40">
        <v>0.62</v>
      </c>
      <c r="AU178">
        <v>0</v>
      </c>
      <c r="AV178" s="18">
        <v>1</v>
      </c>
      <c r="AW178">
        <f t="shared" si="50"/>
        <v>0.44099999999999995</v>
      </c>
      <c r="AX178" s="18">
        <v>0.55900000000000005</v>
      </c>
      <c r="AY178" s="18" t="s">
        <v>10</v>
      </c>
      <c r="AZ178">
        <v>0</v>
      </c>
      <c r="BA178">
        <v>0</v>
      </c>
      <c r="BB178">
        <v>0</v>
      </c>
      <c r="BC178">
        <v>0</v>
      </c>
      <c r="BD178">
        <v>0</v>
      </c>
      <c r="BE178">
        <v>0</v>
      </c>
      <c r="BF178" s="18">
        <v>1</v>
      </c>
      <c r="BG178">
        <v>0</v>
      </c>
      <c r="BH178">
        <v>0</v>
      </c>
      <c r="BI178" s="18">
        <v>1</v>
      </c>
      <c r="BJ178" t="s">
        <v>98</v>
      </c>
      <c r="BK178">
        <v>28</v>
      </c>
      <c r="BL178" s="25">
        <v>40</v>
      </c>
      <c r="BM178">
        <v>1</v>
      </c>
      <c r="BN178">
        <v>0</v>
      </c>
      <c r="BO178">
        <v>0</v>
      </c>
      <c r="BP178">
        <v>0</v>
      </c>
      <c r="BQ178">
        <v>0</v>
      </c>
      <c r="BR178">
        <v>0</v>
      </c>
      <c r="BS178">
        <v>0</v>
      </c>
      <c r="BT178" s="18">
        <v>0</v>
      </c>
      <c r="BU178">
        <v>0</v>
      </c>
      <c r="BV178">
        <v>0</v>
      </c>
      <c r="BW178">
        <v>1</v>
      </c>
      <c r="BX178" s="18">
        <v>0</v>
      </c>
      <c r="BY178">
        <v>0</v>
      </c>
      <c r="BZ178">
        <v>0</v>
      </c>
      <c r="CA178">
        <v>0</v>
      </c>
      <c r="CB178">
        <v>0</v>
      </c>
      <c r="CC178" s="18">
        <v>0</v>
      </c>
      <c r="CD178">
        <v>0</v>
      </c>
      <c r="CE178">
        <v>0</v>
      </c>
      <c r="CF178">
        <v>1</v>
      </c>
      <c r="CG178">
        <v>1</v>
      </c>
      <c r="CH178">
        <v>0</v>
      </c>
      <c r="CI178">
        <v>0</v>
      </c>
      <c r="CJ178">
        <v>0</v>
      </c>
      <c r="CK178">
        <v>0</v>
      </c>
      <c r="CL178">
        <v>0</v>
      </c>
      <c r="CM178">
        <v>1</v>
      </c>
      <c r="CN178" s="18">
        <v>0</v>
      </c>
      <c r="CO178">
        <v>0</v>
      </c>
      <c r="CP178">
        <v>30</v>
      </c>
      <c r="CQ178">
        <v>0</v>
      </c>
      <c r="CR178">
        <v>1</v>
      </c>
      <c r="CS178">
        <v>12</v>
      </c>
      <c r="CY178" s="34"/>
    </row>
    <row r="179" spans="1:103" x14ac:dyDescent="0.25">
      <c r="A179">
        <v>178</v>
      </c>
      <c r="B179">
        <v>16</v>
      </c>
      <c r="C179" s="25" t="s">
        <v>192</v>
      </c>
      <c r="D179" s="12">
        <v>0.39605768733643743</v>
      </c>
      <c r="E179" s="14">
        <v>0.8251201819509113</v>
      </c>
      <c r="F179" s="7">
        <v>0.48</v>
      </c>
      <c r="G179" s="7">
        <f t="shared" si="35"/>
        <v>-0.42906249461447388</v>
      </c>
      <c r="H179" s="16">
        <f t="shared" si="36"/>
        <v>1.2211778692873487</v>
      </c>
      <c r="I179" s="11">
        <f t="shared" si="39"/>
        <v>8.3440660789958192E-3</v>
      </c>
      <c r="J179" s="33">
        <f t="shared" si="40"/>
        <v>1.7383470997907959E-2</v>
      </c>
      <c r="K179" s="33">
        <f t="shared" si="41"/>
        <v>57.525910683795345</v>
      </c>
      <c r="L179" s="8">
        <v>0</v>
      </c>
      <c r="M179" s="9">
        <v>1</v>
      </c>
      <c r="N179" s="8">
        <v>0</v>
      </c>
      <c r="O179" s="9">
        <v>0</v>
      </c>
      <c r="P179" s="9">
        <v>1</v>
      </c>
      <c r="Q179" s="9">
        <v>0</v>
      </c>
      <c r="R179" s="9">
        <v>0</v>
      </c>
      <c r="S179" s="8">
        <v>3319</v>
      </c>
      <c r="T179" s="9">
        <v>9</v>
      </c>
      <c r="U179" s="9">
        <f t="shared" si="37"/>
        <v>3309</v>
      </c>
      <c r="V179" s="9">
        <f t="shared" si="38"/>
        <v>48</v>
      </c>
      <c r="W179" s="7">
        <v>10.52</v>
      </c>
      <c r="X179" s="7">
        <f t="shared" si="47"/>
        <v>23.48</v>
      </c>
      <c r="Y179" s="9">
        <v>0</v>
      </c>
      <c r="Z179" s="9">
        <v>1</v>
      </c>
      <c r="AA179" s="9">
        <v>0</v>
      </c>
      <c r="AB179" s="9">
        <v>0</v>
      </c>
      <c r="AC179" s="9">
        <v>1</v>
      </c>
      <c r="AD179" s="9">
        <v>0</v>
      </c>
      <c r="AE179" s="8">
        <v>0</v>
      </c>
      <c r="AF179" s="9">
        <v>1</v>
      </c>
      <c r="AG179" s="30">
        <v>0</v>
      </c>
      <c r="AH179" s="9">
        <v>0</v>
      </c>
      <c r="AI179" s="30">
        <v>1</v>
      </c>
      <c r="AJ179" s="21">
        <v>1992</v>
      </c>
      <c r="AK179" s="33">
        <f t="shared" si="48"/>
        <v>0.17</v>
      </c>
      <c r="AL179" s="33">
        <v>0.2</v>
      </c>
      <c r="AM179" s="33">
        <v>0.46</v>
      </c>
      <c r="AN179" s="43">
        <f t="shared" si="49"/>
        <v>0.17</v>
      </c>
      <c r="AO179" s="42">
        <v>0.67</v>
      </c>
      <c r="AP179" s="18">
        <v>0.33</v>
      </c>
      <c r="AQ179">
        <v>1</v>
      </c>
      <c r="AR179" s="40">
        <f t="shared" si="45"/>
        <v>0</v>
      </c>
      <c r="AS179">
        <v>0.31</v>
      </c>
      <c r="AT179" s="40">
        <v>0.69</v>
      </c>
      <c r="AU179">
        <v>0</v>
      </c>
      <c r="AV179" s="18">
        <v>1</v>
      </c>
      <c r="AW179">
        <f t="shared" si="50"/>
        <v>0.56800000000000006</v>
      </c>
      <c r="AX179" s="18">
        <v>0.432</v>
      </c>
      <c r="AY179" s="18" t="s">
        <v>10</v>
      </c>
      <c r="AZ179">
        <v>0</v>
      </c>
      <c r="BA179">
        <v>0</v>
      </c>
      <c r="BB179">
        <v>0</v>
      </c>
      <c r="BC179">
        <v>0</v>
      </c>
      <c r="BD179">
        <v>0</v>
      </c>
      <c r="BE179">
        <v>0</v>
      </c>
      <c r="BF179" s="18">
        <v>1</v>
      </c>
      <c r="BG179">
        <v>0</v>
      </c>
      <c r="BH179">
        <v>0</v>
      </c>
      <c r="BI179" s="18">
        <v>1</v>
      </c>
      <c r="BJ179" t="s">
        <v>98</v>
      </c>
      <c r="BK179">
        <v>28</v>
      </c>
      <c r="BL179" s="25">
        <v>40</v>
      </c>
      <c r="BM179">
        <v>1</v>
      </c>
      <c r="BN179">
        <v>0</v>
      </c>
      <c r="BO179">
        <v>0</v>
      </c>
      <c r="BP179">
        <v>0</v>
      </c>
      <c r="BQ179">
        <v>0</v>
      </c>
      <c r="BR179">
        <v>0</v>
      </c>
      <c r="BS179">
        <v>0</v>
      </c>
      <c r="BT179" s="18">
        <v>0</v>
      </c>
      <c r="BU179">
        <v>0</v>
      </c>
      <c r="BV179">
        <v>0</v>
      </c>
      <c r="BW179">
        <v>1</v>
      </c>
      <c r="BX179" s="18">
        <v>0</v>
      </c>
      <c r="BY179">
        <v>0</v>
      </c>
      <c r="BZ179">
        <v>0</v>
      </c>
      <c r="CA179">
        <v>0</v>
      </c>
      <c r="CB179">
        <v>0</v>
      </c>
      <c r="CC179" s="18">
        <v>0</v>
      </c>
      <c r="CD179">
        <v>0</v>
      </c>
      <c r="CE179">
        <v>0</v>
      </c>
      <c r="CF179">
        <v>1</v>
      </c>
      <c r="CG179">
        <v>1</v>
      </c>
      <c r="CH179">
        <v>0</v>
      </c>
      <c r="CI179">
        <v>0</v>
      </c>
      <c r="CJ179">
        <v>0</v>
      </c>
      <c r="CK179">
        <v>0</v>
      </c>
      <c r="CL179">
        <v>0</v>
      </c>
      <c r="CM179">
        <v>1</v>
      </c>
      <c r="CN179" s="18">
        <v>0</v>
      </c>
      <c r="CO179">
        <v>0</v>
      </c>
      <c r="CP179">
        <v>30</v>
      </c>
      <c r="CQ179">
        <v>0</v>
      </c>
      <c r="CR179">
        <v>1</v>
      </c>
      <c r="CS179">
        <v>12</v>
      </c>
      <c r="CY179" s="34"/>
    </row>
    <row r="180" spans="1:103" x14ac:dyDescent="0.25">
      <c r="A180">
        <v>179</v>
      </c>
      <c r="B180">
        <v>16</v>
      </c>
      <c r="C180" s="25" t="s">
        <v>192</v>
      </c>
      <c r="D180" s="12">
        <v>3.9809133284585352</v>
      </c>
      <c r="E180" s="14">
        <v>0.99274646594975946</v>
      </c>
      <c r="F180" s="7">
        <v>4.01</v>
      </c>
      <c r="G180" s="7">
        <f t="shared" si="35"/>
        <v>2.9881668625087756</v>
      </c>
      <c r="H180" s="16">
        <f t="shared" si="36"/>
        <v>4.9736597944082943</v>
      </c>
      <c r="I180" s="11">
        <f t="shared" si="39"/>
        <v>6.9541381927090723E-2</v>
      </c>
      <c r="J180" s="33">
        <f t="shared" si="40"/>
        <v>1.7341990505508911E-2</v>
      </c>
      <c r="K180" s="33">
        <f t="shared" si="41"/>
        <v>57.663507524256623</v>
      </c>
      <c r="L180" s="8">
        <v>0</v>
      </c>
      <c r="M180" s="9">
        <v>1</v>
      </c>
      <c r="N180" s="8">
        <v>0</v>
      </c>
      <c r="O180" s="9">
        <v>0</v>
      </c>
      <c r="P180" s="9">
        <v>1</v>
      </c>
      <c r="Q180" s="9">
        <v>0</v>
      </c>
      <c r="R180" s="9">
        <v>0</v>
      </c>
      <c r="S180" s="8">
        <v>3319</v>
      </c>
      <c r="T180" s="9">
        <v>9</v>
      </c>
      <c r="U180" s="9">
        <f t="shared" si="37"/>
        <v>3309</v>
      </c>
      <c r="V180" s="9">
        <f t="shared" si="38"/>
        <v>48</v>
      </c>
      <c r="W180" s="7">
        <v>10.52</v>
      </c>
      <c r="X180" s="7">
        <f t="shared" si="47"/>
        <v>23.48</v>
      </c>
      <c r="Y180" s="9">
        <v>0</v>
      </c>
      <c r="Z180" s="9">
        <v>1</v>
      </c>
      <c r="AA180" s="9">
        <v>0</v>
      </c>
      <c r="AB180" s="9">
        <v>0</v>
      </c>
      <c r="AC180" s="9">
        <v>1</v>
      </c>
      <c r="AD180" s="9">
        <v>0</v>
      </c>
      <c r="AE180" s="8">
        <v>0</v>
      </c>
      <c r="AF180" s="9">
        <v>1</v>
      </c>
      <c r="AG180" s="30">
        <v>0</v>
      </c>
      <c r="AH180" s="9">
        <v>0</v>
      </c>
      <c r="AI180" s="30">
        <v>1</v>
      </c>
      <c r="AJ180" s="21">
        <v>1992</v>
      </c>
      <c r="AK180" s="33">
        <f t="shared" si="48"/>
        <v>0.17</v>
      </c>
      <c r="AL180" s="33">
        <v>0.2</v>
      </c>
      <c r="AM180" s="33">
        <v>0.46</v>
      </c>
      <c r="AN180" s="43">
        <f t="shared" si="49"/>
        <v>0.17</v>
      </c>
      <c r="AO180" s="42">
        <v>0.67</v>
      </c>
      <c r="AP180" s="18">
        <v>0.33</v>
      </c>
      <c r="AQ180">
        <v>1</v>
      </c>
      <c r="AR180" s="40">
        <f t="shared" si="45"/>
        <v>0</v>
      </c>
      <c r="AS180">
        <v>0.31</v>
      </c>
      <c r="AT180" s="40">
        <v>0.69</v>
      </c>
      <c r="AU180">
        <v>0</v>
      </c>
      <c r="AV180" s="18">
        <v>1</v>
      </c>
      <c r="AW180">
        <f t="shared" si="50"/>
        <v>0.56800000000000006</v>
      </c>
      <c r="AX180" s="18">
        <v>0.432</v>
      </c>
      <c r="AY180" s="18" t="s">
        <v>10</v>
      </c>
      <c r="AZ180">
        <v>0</v>
      </c>
      <c r="BA180">
        <v>0</v>
      </c>
      <c r="BB180">
        <v>0</v>
      </c>
      <c r="BC180">
        <v>0</v>
      </c>
      <c r="BD180">
        <v>0</v>
      </c>
      <c r="BE180">
        <v>0</v>
      </c>
      <c r="BF180" s="18">
        <v>1</v>
      </c>
      <c r="BG180">
        <v>0</v>
      </c>
      <c r="BH180">
        <v>0</v>
      </c>
      <c r="BI180" s="18">
        <v>1</v>
      </c>
      <c r="BJ180" t="s">
        <v>98</v>
      </c>
      <c r="BK180">
        <v>28</v>
      </c>
      <c r="BL180" s="25">
        <v>40</v>
      </c>
      <c r="BM180">
        <v>1</v>
      </c>
      <c r="BN180">
        <v>0</v>
      </c>
      <c r="BO180">
        <v>0</v>
      </c>
      <c r="BP180">
        <v>0</v>
      </c>
      <c r="BQ180">
        <v>0</v>
      </c>
      <c r="BR180">
        <v>0</v>
      </c>
      <c r="BS180">
        <v>0</v>
      </c>
      <c r="BT180" s="18">
        <v>0</v>
      </c>
      <c r="BU180">
        <v>0</v>
      </c>
      <c r="BV180">
        <v>0</v>
      </c>
      <c r="BW180">
        <v>1</v>
      </c>
      <c r="BX180" s="18">
        <v>0</v>
      </c>
      <c r="BY180">
        <v>0</v>
      </c>
      <c r="BZ180">
        <v>0</v>
      </c>
      <c r="CA180">
        <v>0</v>
      </c>
      <c r="CB180">
        <v>0</v>
      </c>
      <c r="CC180" s="18">
        <v>0</v>
      </c>
      <c r="CD180">
        <v>0</v>
      </c>
      <c r="CE180">
        <v>0</v>
      </c>
      <c r="CF180">
        <v>1</v>
      </c>
      <c r="CG180">
        <v>1</v>
      </c>
      <c r="CH180">
        <v>0</v>
      </c>
      <c r="CI180">
        <v>0</v>
      </c>
      <c r="CJ180">
        <v>0</v>
      </c>
      <c r="CK180">
        <v>0</v>
      </c>
      <c r="CL180">
        <v>0</v>
      </c>
      <c r="CM180">
        <v>1</v>
      </c>
      <c r="CN180" s="18">
        <v>0</v>
      </c>
      <c r="CO180">
        <v>0</v>
      </c>
      <c r="CP180">
        <v>30</v>
      </c>
      <c r="CQ180">
        <v>0</v>
      </c>
      <c r="CR180">
        <v>1</v>
      </c>
      <c r="CS180">
        <v>12</v>
      </c>
      <c r="CY180" s="34"/>
    </row>
    <row r="181" spans="1:103" x14ac:dyDescent="0.25">
      <c r="A181">
        <v>180</v>
      </c>
      <c r="B181">
        <v>16</v>
      </c>
      <c r="C181" s="25" t="s">
        <v>192</v>
      </c>
      <c r="D181" s="12">
        <v>6.498652656427617</v>
      </c>
      <c r="E181" s="14">
        <v>0.97577367213627886</v>
      </c>
      <c r="F181" s="7">
        <v>6.66</v>
      </c>
      <c r="G181" s="7">
        <f t="shared" si="35"/>
        <v>5.5228789842913386</v>
      </c>
      <c r="H181" s="16">
        <f t="shared" si="36"/>
        <v>7.4744263285638954</v>
      </c>
      <c r="I181" s="11">
        <f t="shared" si="39"/>
        <v>0.1150096877331656</v>
      </c>
      <c r="J181" s="33">
        <f t="shared" si="40"/>
        <v>1.7268721881856693E-2</v>
      </c>
      <c r="K181" s="33">
        <f t="shared" si="41"/>
        <v>57.908165227366688</v>
      </c>
      <c r="L181" s="8">
        <v>0</v>
      </c>
      <c r="M181" s="9">
        <v>1</v>
      </c>
      <c r="N181" s="8">
        <v>0</v>
      </c>
      <c r="O181" s="9">
        <v>0</v>
      </c>
      <c r="P181" s="9">
        <v>1</v>
      </c>
      <c r="Q181" s="9">
        <v>0</v>
      </c>
      <c r="R181" s="9">
        <v>0</v>
      </c>
      <c r="S181" s="8">
        <v>3319</v>
      </c>
      <c r="T181" s="9">
        <v>9</v>
      </c>
      <c r="U181" s="9">
        <f t="shared" si="37"/>
        <v>3309</v>
      </c>
      <c r="V181" s="9">
        <f t="shared" si="38"/>
        <v>48</v>
      </c>
      <c r="W181" s="7">
        <v>10.52</v>
      </c>
      <c r="X181" s="7">
        <f t="shared" si="47"/>
        <v>23.48</v>
      </c>
      <c r="Y181" s="9">
        <v>0</v>
      </c>
      <c r="Z181" s="9">
        <v>1</v>
      </c>
      <c r="AA181" s="9">
        <v>0</v>
      </c>
      <c r="AB181" s="9">
        <v>0</v>
      </c>
      <c r="AC181" s="9">
        <v>1</v>
      </c>
      <c r="AD181" s="9">
        <v>0</v>
      </c>
      <c r="AE181" s="8">
        <v>0</v>
      </c>
      <c r="AF181" s="9">
        <v>1</v>
      </c>
      <c r="AG181" s="30">
        <v>0</v>
      </c>
      <c r="AH181" s="9">
        <v>0</v>
      </c>
      <c r="AI181" s="30">
        <v>1</v>
      </c>
      <c r="AJ181" s="21">
        <v>1992</v>
      </c>
      <c r="AK181" s="33">
        <f t="shared" si="48"/>
        <v>0.17</v>
      </c>
      <c r="AL181" s="33">
        <v>0.2</v>
      </c>
      <c r="AM181" s="33">
        <v>0.46</v>
      </c>
      <c r="AN181" s="43">
        <f t="shared" si="49"/>
        <v>0.17</v>
      </c>
      <c r="AO181" s="42">
        <v>0.67</v>
      </c>
      <c r="AP181" s="18">
        <v>0.33</v>
      </c>
      <c r="AQ181">
        <v>1</v>
      </c>
      <c r="AR181" s="40">
        <f t="shared" si="45"/>
        <v>0</v>
      </c>
      <c r="AS181">
        <v>0.31</v>
      </c>
      <c r="AT181" s="40">
        <v>0.69</v>
      </c>
      <c r="AU181">
        <v>0</v>
      </c>
      <c r="AV181" s="18">
        <v>1</v>
      </c>
      <c r="AW181">
        <f t="shared" si="50"/>
        <v>0.56800000000000006</v>
      </c>
      <c r="AX181" s="18">
        <v>0.432</v>
      </c>
      <c r="AY181" s="18" t="s">
        <v>10</v>
      </c>
      <c r="AZ181">
        <v>0</v>
      </c>
      <c r="BA181">
        <v>0</v>
      </c>
      <c r="BB181">
        <v>0</v>
      </c>
      <c r="BC181">
        <v>0</v>
      </c>
      <c r="BD181">
        <v>0</v>
      </c>
      <c r="BE181">
        <v>0</v>
      </c>
      <c r="BF181" s="18">
        <v>1</v>
      </c>
      <c r="BG181">
        <v>0</v>
      </c>
      <c r="BH181">
        <v>0</v>
      </c>
      <c r="BI181" s="18">
        <v>1</v>
      </c>
      <c r="BJ181" t="s">
        <v>98</v>
      </c>
      <c r="BK181">
        <v>28</v>
      </c>
      <c r="BL181" s="25">
        <v>40</v>
      </c>
      <c r="BM181">
        <v>1</v>
      </c>
      <c r="BN181">
        <v>0</v>
      </c>
      <c r="BO181">
        <v>0</v>
      </c>
      <c r="BP181">
        <v>0</v>
      </c>
      <c r="BQ181">
        <v>0</v>
      </c>
      <c r="BR181">
        <v>0</v>
      </c>
      <c r="BS181">
        <v>0</v>
      </c>
      <c r="BT181" s="18">
        <v>0</v>
      </c>
      <c r="BU181">
        <v>0</v>
      </c>
      <c r="BV181">
        <v>0</v>
      </c>
      <c r="BW181">
        <v>1</v>
      </c>
      <c r="BX181" s="18">
        <v>0</v>
      </c>
      <c r="BY181">
        <v>0</v>
      </c>
      <c r="BZ181">
        <v>0</v>
      </c>
      <c r="CA181">
        <v>0</v>
      </c>
      <c r="CB181">
        <v>0</v>
      </c>
      <c r="CC181" s="18">
        <v>0</v>
      </c>
      <c r="CD181">
        <v>0</v>
      </c>
      <c r="CE181">
        <v>0</v>
      </c>
      <c r="CF181">
        <v>1</v>
      </c>
      <c r="CG181">
        <v>1</v>
      </c>
      <c r="CH181">
        <v>0</v>
      </c>
      <c r="CI181">
        <v>0</v>
      </c>
      <c r="CJ181">
        <v>0</v>
      </c>
      <c r="CK181">
        <v>0</v>
      </c>
      <c r="CL181">
        <v>0</v>
      </c>
      <c r="CM181">
        <v>1</v>
      </c>
      <c r="CN181" s="18">
        <v>0</v>
      </c>
      <c r="CO181">
        <v>0</v>
      </c>
      <c r="CP181">
        <v>30</v>
      </c>
      <c r="CQ181">
        <v>0</v>
      </c>
      <c r="CR181">
        <v>1</v>
      </c>
      <c r="CS181">
        <v>12</v>
      </c>
      <c r="CY181" s="34"/>
    </row>
    <row r="182" spans="1:103" x14ac:dyDescent="0.25">
      <c r="A182">
        <v>181</v>
      </c>
      <c r="B182">
        <v>16</v>
      </c>
      <c r="C182" s="25" t="s">
        <v>192</v>
      </c>
      <c r="D182" s="12">
        <v>10.23099809516752</v>
      </c>
      <c r="E182" s="14">
        <v>1.7252947883924989</v>
      </c>
      <c r="F182" s="7">
        <v>5.93</v>
      </c>
      <c r="G182" s="7">
        <f t="shared" si="35"/>
        <v>8.5057033067750201</v>
      </c>
      <c r="H182" s="16">
        <f t="shared" si="36"/>
        <v>11.956292883560019</v>
      </c>
      <c r="I182" s="11">
        <f t="shared" si="39"/>
        <v>0.10254414096067127</v>
      </c>
      <c r="J182" s="33">
        <f t="shared" si="40"/>
        <v>1.7292435237887233E-2</v>
      </c>
      <c r="K182" s="33">
        <f t="shared" si="41"/>
        <v>57.828754958065623</v>
      </c>
      <c r="L182" s="8">
        <v>0</v>
      </c>
      <c r="M182" s="9">
        <v>1</v>
      </c>
      <c r="N182" s="8">
        <v>0</v>
      </c>
      <c r="O182" s="9">
        <v>0</v>
      </c>
      <c r="P182" s="9">
        <v>1</v>
      </c>
      <c r="Q182" s="9">
        <v>0</v>
      </c>
      <c r="R182" s="9">
        <v>0</v>
      </c>
      <c r="S182" s="8">
        <v>3319</v>
      </c>
      <c r="T182" s="9">
        <v>9</v>
      </c>
      <c r="U182" s="9">
        <f t="shared" si="37"/>
        <v>3309</v>
      </c>
      <c r="V182" s="9">
        <f t="shared" si="38"/>
        <v>48</v>
      </c>
      <c r="W182" s="7">
        <v>10.52</v>
      </c>
      <c r="X182" s="7">
        <f t="shared" si="47"/>
        <v>23.48</v>
      </c>
      <c r="Y182" s="9">
        <v>0</v>
      </c>
      <c r="Z182" s="9">
        <v>1</v>
      </c>
      <c r="AA182" s="9">
        <v>0</v>
      </c>
      <c r="AB182" s="9">
        <v>0</v>
      </c>
      <c r="AC182" s="9">
        <v>1</v>
      </c>
      <c r="AD182" s="9">
        <v>0</v>
      </c>
      <c r="AE182" s="8">
        <v>0</v>
      </c>
      <c r="AF182" s="9">
        <v>1</v>
      </c>
      <c r="AG182" s="30">
        <v>0</v>
      </c>
      <c r="AH182" s="9">
        <v>0</v>
      </c>
      <c r="AI182" s="30">
        <v>1</v>
      </c>
      <c r="AJ182" s="21">
        <v>1992</v>
      </c>
      <c r="AK182" s="33">
        <f t="shared" si="48"/>
        <v>0.17</v>
      </c>
      <c r="AL182" s="33">
        <v>0.2</v>
      </c>
      <c r="AM182" s="33">
        <v>0.46</v>
      </c>
      <c r="AN182" s="43">
        <f t="shared" si="49"/>
        <v>0.17</v>
      </c>
      <c r="AO182" s="42">
        <v>0.67</v>
      </c>
      <c r="AP182" s="18">
        <v>0.33</v>
      </c>
      <c r="AQ182">
        <v>1</v>
      </c>
      <c r="AR182" s="40">
        <f t="shared" si="45"/>
        <v>0</v>
      </c>
      <c r="AS182">
        <v>0.31</v>
      </c>
      <c r="AT182" s="40">
        <v>0.69</v>
      </c>
      <c r="AU182">
        <v>0</v>
      </c>
      <c r="AV182" s="18">
        <v>1</v>
      </c>
      <c r="AW182">
        <f t="shared" si="50"/>
        <v>0.56800000000000006</v>
      </c>
      <c r="AX182" s="18">
        <v>0.432</v>
      </c>
      <c r="AY182" s="18" t="s">
        <v>10</v>
      </c>
      <c r="AZ182">
        <v>0</v>
      </c>
      <c r="BA182">
        <v>0</v>
      </c>
      <c r="BB182">
        <v>0</v>
      </c>
      <c r="BC182">
        <v>0</v>
      </c>
      <c r="BD182">
        <v>0</v>
      </c>
      <c r="BE182">
        <v>0</v>
      </c>
      <c r="BF182" s="18">
        <v>1</v>
      </c>
      <c r="BG182">
        <v>0</v>
      </c>
      <c r="BH182">
        <v>0</v>
      </c>
      <c r="BI182" s="18">
        <v>1</v>
      </c>
      <c r="BJ182" t="s">
        <v>98</v>
      </c>
      <c r="BK182">
        <v>28</v>
      </c>
      <c r="BL182" s="25">
        <v>40</v>
      </c>
      <c r="BM182">
        <v>1</v>
      </c>
      <c r="BN182">
        <v>0</v>
      </c>
      <c r="BO182">
        <v>0</v>
      </c>
      <c r="BP182">
        <v>0</v>
      </c>
      <c r="BQ182">
        <v>0</v>
      </c>
      <c r="BR182">
        <v>0</v>
      </c>
      <c r="BS182">
        <v>0</v>
      </c>
      <c r="BT182" s="18">
        <v>0</v>
      </c>
      <c r="BU182">
        <v>0</v>
      </c>
      <c r="BV182">
        <v>0</v>
      </c>
      <c r="BW182">
        <v>1</v>
      </c>
      <c r="BX182" s="18">
        <v>0</v>
      </c>
      <c r="BY182">
        <v>0</v>
      </c>
      <c r="BZ182">
        <v>0</v>
      </c>
      <c r="CA182">
        <v>0</v>
      </c>
      <c r="CB182">
        <v>0</v>
      </c>
      <c r="CC182" s="18">
        <v>0</v>
      </c>
      <c r="CD182">
        <v>0</v>
      </c>
      <c r="CE182">
        <v>0</v>
      </c>
      <c r="CF182">
        <v>1</v>
      </c>
      <c r="CG182">
        <v>1</v>
      </c>
      <c r="CH182">
        <v>0</v>
      </c>
      <c r="CI182">
        <v>0</v>
      </c>
      <c r="CJ182">
        <v>0</v>
      </c>
      <c r="CK182">
        <v>0</v>
      </c>
      <c r="CL182">
        <v>0</v>
      </c>
      <c r="CM182">
        <v>1</v>
      </c>
      <c r="CN182" s="18">
        <v>0</v>
      </c>
      <c r="CO182">
        <v>0</v>
      </c>
      <c r="CP182">
        <v>30</v>
      </c>
      <c r="CQ182">
        <v>0</v>
      </c>
      <c r="CR182">
        <v>1</v>
      </c>
      <c r="CS182">
        <v>12</v>
      </c>
      <c r="CY182" s="34"/>
    </row>
    <row r="183" spans="1:103" x14ac:dyDescent="0.25">
      <c r="A183">
        <v>182</v>
      </c>
      <c r="B183">
        <v>16</v>
      </c>
      <c r="C183" s="25" t="s">
        <v>192</v>
      </c>
      <c r="D183" s="12">
        <v>4.4697507923277202</v>
      </c>
      <c r="E183" s="14">
        <v>1.0228262682672129</v>
      </c>
      <c r="F183" s="7">
        <v>4.37</v>
      </c>
      <c r="G183" s="7">
        <f t="shared" si="35"/>
        <v>3.4469245240605071</v>
      </c>
      <c r="H183" s="16">
        <f t="shared" si="36"/>
        <v>5.4925770605949333</v>
      </c>
      <c r="I183" s="11">
        <f t="shared" si="39"/>
        <v>9.2496418034845096E-2</v>
      </c>
      <c r="J183" s="33">
        <f t="shared" si="40"/>
        <v>2.1166228383259746E-2</v>
      </c>
      <c r="K183" s="33">
        <f t="shared" si="41"/>
        <v>47.245072758966096</v>
      </c>
      <c r="L183" s="8">
        <v>0</v>
      </c>
      <c r="M183" s="9">
        <v>1</v>
      </c>
      <c r="N183" s="8">
        <v>0</v>
      </c>
      <c r="O183" s="9">
        <v>0</v>
      </c>
      <c r="P183" s="9">
        <v>1</v>
      </c>
      <c r="Q183" s="9">
        <v>0</v>
      </c>
      <c r="R183" s="9">
        <v>0</v>
      </c>
      <c r="S183" s="8">
        <v>2223</v>
      </c>
      <c r="T183" s="9">
        <v>9</v>
      </c>
      <c r="U183" s="9">
        <f t="shared" si="37"/>
        <v>2213</v>
      </c>
      <c r="V183" s="9">
        <f t="shared" si="38"/>
        <v>48</v>
      </c>
      <c r="W183" s="7">
        <v>9.8450000000000006</v>
      </c>
      <c r="X183" s="7">
        <f t="shared" si="47"/>
        <v>24.155000000000001</v>
      </c>
      <c r="Y183" s="9">
        <v>0</v>
      </c>
      <c r="Z183" s="9">
        <v>1</v>
      </c>
      <c r="AA183" s="9">
        <v>0</v>
      </c>
      <c r="AB183" s="9">
        <v>0</v>
      </c>
      <c r="AC183" s="9">
        <v>1</v>
      </c>
      <c r="AD183" s="9">
        <v>0</v>
      </c>
      <c r="AE183" s="8">
        <v>0</v>
      </c>
      <c r="AF183" s="9">
        <v>1</v>
      </c>
      <c r="AG183" s="30">
        <v>0</v>
      </c>
      <c r="AH183" s="9">
        <v>0</v>
      </c>
      <c r="AI183" s="30">
        <v>1</v>
      </c>
      <c r="AJ183" s="21">
        <v>1999</v>
      </c>
      <c r="AK183" s="33">
        <f t="shared" si="48"/>
        <v>0.19249999999999998</v>
      </c>
      <c r="AL183" s="33">
        <v>0.28999999999999998</v>
      </c>
      <c r="AM183" s="33">
        <v>0.32500000000000001</v>
      </c>
      <c r="AN183" s="43">
        <f t="shared" si="49"/>
        <v>0.19249999999999998</v>
      </c>
      <c r="AO183" s="42">
        <v>0.67</v>
      </c>
      <c r="AP183" s="18">
        <v>0.33</v>
      </c>
      <c r="AQ183">
        <v>0</v>
      </c>
      <c r="AR183" s="40">
        <f t="shared" si="45"/>
        <v>1</v>
      </c>
      <c r="AS183">
        <v>0.38</v>
      </c>
      <c r="AT183" s="40">
        <v>0.62</v>
      </c>
      <c r="AU183">
        <v>0</v>
      </c>
      <c r="AV183" s="18">
        <v>1</v>
      </c>
      <c r="AW183">
        <f t="shared" si="50"/>
        <v>0.48099999999999998</v>
      </c>
      <c r="AX183" s="18">
        <v>0.51900000000000002</v>
      </c>
      <c r="AY183" s="18" t="s">
        <v>10</v>
      </c>
      <c r="AZ183">
        <v>0</v>
      </c>
      <c r="BA183">
        <v>0</v>
      </c>
      <c r="BB183">
        <v>0</v>
      </c>
      <c r="BC183">
        <v>0</v>
      </c>
      <c r="BD183">
        <v>0</v>
      </c>
      <c r="BE183">
        <v>0</v>
      </c>
      <c r="BF183" s="18">
        <v>1</v>
      </c>
      <c r="BG183">
        <v>0</v>
      </c>
      <c r="BH183">
        <v>0</v>
      </c>
      <c r="BI183" s="18">
        <v>1</v>
      </c>
      <c r="BJ183" t="s">
        <v>98</v>
      </c>
      <c r="BK183">
        <v>22</v>
      </c>
      <c r="BL183" s="25">
        <v>40</v>
      </c>
      <c r="BM183">
        <v>1</v>
      </c>
      <c r="BN183">
        <v>0</v>
      </c>
      <c r="BO183">
        <v>0</v>
      </c>
      <c r="BP183">
        <v>0</v>
      </c>
      <c r="BQ183">
        <v>0</v>
      </c>
      <c r="BR183">
        <v>0</v>
      </c>
      <c r="BS183">
        <v>0</v>
      </c>
      <c r="BT183" s="18">
        <v>0</v>
      </c>
      <c r="BU183">
        <v>0</v>
      </c>
      <c r="BV183">
        <v>0</v>
      </c>
      <c r="BW183">
        <v>1</v>
      </c>
      <c r="BX183" s="18">
        <v>0</v>
      </c>
      <c r="BY183">
        <v>0</v>
      </c>
      <c r="BZ183">
        <v>0</v>
      </c>
      <c r="CA183">
        <v>0</v>
      </c>
      <c r="CB183">
        <v>0</v>
      </c>
      <c r="CC183" s="18">
        <v>0</v>
      </c>
      <c r="CD183">
        <v>0</v>
      </c>
      <c r="CE183">
        <v>0</v>
      </c>
      <c r="CF183">
        <v>1</v>
      </c>
      <c r="CG183">
        <v>1</v>
      </c>
      <c r="CH183">
        <v>0</v>
      </c>
      <c r="CI183">
        <v>0</v>
      </c>
      <c r="CJ183">
        <v>0</v>
      </c>
      <c r="CK183">
        <v>0</v>
      </c>
      <c r="CL183">
        <v>0</v>
      </c>
      <c r="CM183">
        <v>1</v>
      </c>
      <c r="CN183" s="18">
        <v>0</v>
      </c>
      <c r="CO183">
        <v>0</v>
      </c>
      <c r="CP183">
        <v>30</v>
      </c>
      <c r="CQ183">
        <v>0</v>
      </c>
      <c r="CR183">
        <v>1</v>
      </c>
      <c r="CS183">
        <v>12</v>
      </c>
      <c r="CY183" s="34"/>
    </row>
    <row r="184" spans="1:103" x14ac:dyDescent="0.25">
      <c r="A184">
        <v>183</v>
      </c>
      <c r="B184">
        <v>16</v>
      </c>
      <c r="C184" s="25" t="s">
        <v>192</v>
      </c>
      <c r="D184" s="12">
        <v>3.802557760590775</v>
      </c>
      <c r="E184" s="14">
        <v>0.56924517374113393</v>
      </c>
      <c r="F184" s="7">
        <v>6.68</v>
      </c>
      <c r="G184" s="7">
        <f t="shared" si="35"/>
        <v>3.2333125868496411</v>
      </c>
      <c r="H184" s="16">
        <f t="shared" si="36"/>
        <v>4.3718029343319085</v>
      </c>
      <c r="I184" s="11">
        <f t="shared" si="39"/>
        <v>0.14058882775051673</v>
      </c>
      <c r="J184" s="33">
        <f t="shared" si="40"/>
        <v>2.1046231699179154E-2</v>
      </c>
      <c r="K184" s="33">
        <f t="shared" si="41"/>
        <v>47.514444119656922</v>
      </c>
      <c r="L184" s="8">
        <v>0</v>
      </c>
      <c r="M184" s="9">
        <v>1</v>
      </c>
      <c r="N184" s="8">
        <v>0</v>
      </c>
      <c r="O184" s="9">
        <v>0</v>
      </c>
      <c r="P184" s="9">
        <v>1</v>
      </c>
      <c r="Q184" s="9">
        <v>0</v>
      </c>
      <c r="R184" s="9">
        <v>0</v>
      </c>
      <c r="S184" s="8">
        <v>2223</v>
      </c>
      <c r="T184" s="9">
        <v>9</v>
      </c>
      <c r="U184" s="9">
        <f t="shared" si="37"/>
        <v>2213</v>
      </c>
      <c r="V184" s="9">
        <f t="shared" si="38"/>
        <v>48</v>
      </c>
      <c r="W184" s="7">
        <v>9.8450000000000006</v>
      </c>
      <c r="X184" s="7">
        <f t="shared" si="47"/>
        <v>24.155000000000001</v>
      </c>
      <c r="Y184" s="9">
        <v>0</v>
      </c>
      <c r="Z184" s="9">
        <v>1</v>
      </c>
      <c r="AA184" s="9">
        <v>0</v>
      </c>
      <c r="AB184" s="9">
        <v>0</v>
      </c>
      <c r="AC184" s="9">
        <v>1</v>
      </c>
      <c r="AD184" s="9">
        <v>0</v>
      </c>
      <c r="AE184" s="8">
        <v>0</v>
      </c>
      <c r="AF184" s="9">
        <v>1</v>
      </c>
      <c r="AG184" s="30">
        <v>0</v>
      </c>
      <c r="AH184" s="9">
        <v>0</v>
      </c>
      <c r="AI184" s="30">
        <v>1</v>
      </c>
      <c r="AJ184" s="21">
        <v>1999</v>
      </c>
      <c r="AK184" s="33">
        <f t="shared" si="48"/>
        <v>0.19249999999999998</v>
      </c>
      <c r="AL184" s="33">
        <v>0.28999999999999998</v>
      </c>
      <c r="AM184" s="33">
        <v>0.32500000000000001</v>
      </c>
      <c r="AN184" s="43">
        <f t="shared" si="49"/>
        <v>0.19249999999999998</v>
      </c>
      <c r="AO184" s="42">
        <v>0.67</v>
      </c>
      <c r="AP184" s="18">
        <v>0.33</v>
      </c>
      <c r="AQ184">
        <v>0</v>
      </c>
      <c r="AR184" s="40">
        <f t="shared" si="45"/>
        <v>1</v>
      </c>
      <c r="AS184">
        <v>0.38</v>
      </c>
      <c r="AT184" s="40">
        <v>0.62</v>
      </c>
      <c r="AU184">
        <v>0</v>
      </c>
      <c r="AV184" s="18">
        <v>1</v>
      </c>
      <c r="AW184">
        <f t="shared" si="50"/>
        <v>0.48099999999999998</v>
      </c>
      <c r="AX184" s="18">
        <v>0.51900000000000002</v>
      </c>
      <c r="AY184" s="18" t="s">
        <v>10</v>
      </c>
      <c r="AZ184">
        <v>0</v>
      </c>
      <c r="BA184">
        <v>0</v>
      </c>
      <c r="BB184">
        <v>0</v>
      </c>
      <c r="BC184">
        <v>0</v>
      </c>
      <c r="BD184">
        <v>0</v>
      </c>
      <c r="BE184">
        <v>0</v>
      </c>
      <c r="BF184" s="18">
        <v>1</v>
      </c>
      <c r="BG184">
        <v>0</v>
      </c>
      <c r="BH184">
        <v>0</v>
      </c>
      <c r="BI184" s="18">
        <v>1</v>
      </c>
      <c r="BJ184" t="s">
        <v>98</v>
      </c>
      <c r="BK184">
        <v>22</v>
      </c>
      <c r="BL184" s="25">
        <v>40</v>
      </c>
      <c r="BM184">
        <v>1</v>
      </c>
      <c r="BN184">
        <v>0</v>
      </c>
      <c r="BO184">
        <v>0</v>
      </c>
      <c r="BP184">
        <v>0</v>
      </c>
      <c r="BQ184">
        <v>0</v>
      </c>
      <c r="BR184">
        <v>0</v>
      </c>
      <c r="BS184">
        <v>0</v>
      </c>
      <c r="BT184" s="18">
        <v>0</v>
      </c>
      <c r="BU184">
        <v>0</v>
      </c>
      <c r="BV184">
        <v>0</v>
      </c>
      <c r="BW184">
        <v>1</v>
      </c>
      <c r="BX184" s="18">
        <v>0</v>
      </c>
      <c r="BY184">
        <v>0</v>
      </c>
      <c r="BZ184">
        <v>0</v>
      </c>
      <c r="CA184">
        <v>0</v>
      </c>
      <c r="CB184">
        <v>0</v>
      </c>
      <c r="CC184" s="18">
        <v>0</v>
      </c>
      <c r="CD184">
        <v>0</v>
      </c>
      <c r="CE184">
        <v>0</v>
      </c>
      <c r="CF184">
        <v>1</v>
      </c>
      <c r="CG184">
        <v>1</v>
      </c>
      <c r="CH184">
        <v>0</v>
      </c>
      <c r="CI184">
        <v>0</v>
      </c>
      <c r="CJ184">
        <v>0</v>
      </c>
      <c r="CK184">
        <v>0</v>
      </c>
      <c r="CL184">
        <v>0</v>
      </c>
      <c r="CM184">
        <v>1</v>
      </c>
      <c r="CN184" s="18">
        <v>0</v>
      </c>
      <c r="CO184">
        <v>0</v>
      </c>
      <c r="CP184">
        <v>30</v>
      </c>
      <c r="CQ184">
        <v>0</v>
      </c>
      <c r="CR184">
        <v>1</v>
      </c>
      <c r="CS184">
        <v>12</v>
      </c>
      <c r="CY184" s="34"/>
    </row>
    <row r="185" spans="1:103" x14ac:dyDescent="0.25">
      <c r="A185">
        <v>184</v>
      </c>
      <c r="B185">
        <v>16</v>
      </c>
      <c r="C185" s="25" t="s">
        <v>192</v>
      </c>
      <c r="D185" s="12">
        <v>10.047633068422289</v>
      </c>
      <c r="E185" s="14">
        <v>1.8503928302803481</v>
      </c>
      <c r="F185" s="7">
        <v>5.43</v>
      </c>
      <c r="G185" s="7">
        <f t="shared" si="35"/>
        <v>8.1972402381419407</v>
      </c>
      <c r="H185" s="16">
        <f t="shared" si="36"/>
        <v>11.898025898702638</v>
      </c>
      <c r="I185" s="11">
        <f t="shared" si="39"/>
        <v>0.11466610641194247</v>
      </c>
      <c r="J185" s="33">
        <f t="shared" si="40"/>
        <v>2.1117146668866014E-2</v>
      </c>
      <c r="K185" s="33">
        <f t="shared" si="41"/>
        <v>47.354882536017342</v>
      </c>
      <c r="L185" s="8">
        <v>0</v>
      </c>
      <c r="M185" s="9">
        <v>1</v>
      </c>
      <c r="N185" s="8">
        <v>0</v>
      </c>
      <c r="O185" s="9">
        <v>0</v>
      </c>
      <c r="P185" s="9">
        <v>1</v>
      </c>
      <c r="Q185" s="9">
        <v>0</v>
      </c>
      <c r="R185" s="9">
        <v>0</v>
      </c>
      <c r="S185" s="8">
        <v>2223</v>
      </c>
      <c r="T185" s="9">
        <v>9</v>
      </c>
      <c r="U185" s="9">
        <f t="shared" si="37"/>
        <v>2213</v>
      </c>
      <c r="V185" s="9">
        <f t="shared" si="38"/>
        <v>48</v>
      </c>
      <c r="W185" s="7">
        <v>9.8450000000000006</v>
      </c>
      <c r="X185" s="7">
        <f t="shared" si="47"/>
        <v>24.155000000000001</v>
      </c>
      <c r="Y185" s="9">
        <v>0</v>
      </c>
      <c r="Z185" s="9">
        <v>1</v>
      </c>
      <c r="AA185" s="9">
        <v>0</v>
      </c>
      <c r="AB185" s="9">
        <v>0</v>
      </c>
      <c r="AC185" s="9">
        <v>1</v>
      </c>
      <c r="AD185" s="9">
        <v>0</v>
      </c>
      <c r="AE185" s="8">
        <v>0</v>
      </c>
      <c r="AF185" s="9">
        <v>1</v>
      </c>
      <c r="AG185" s="30">
        <v>0</v>
      </c>
      <c r="AH185" s="9">
        <v>0</v>
      </c>
      <c r="AI185" s="30">
        <v>1</v>
      </c>
      <c r="AJ185" s="21">
        <v>1999</v>
      </c>
      <c r="AK185" s="33">
        <f t="shared" si="48"/>
        <v>0.19249999999999998</v>
      </c>
      <c r="AL185" s="33">
        <v>0.28999999999999998</v>
      </c>
      <c r="AM185" s="33">
        <v>0.32500000000000001</v>
      </c>
      <c r="AN185" s="43">
        <f t="shared" si="49"/>
        <v>0.19249999999999998</v>
      </c>
      <c r="AO185" s="42">
        <v>0.67</v>
      </c>
      <c r="AP185" s="18">
        <v>0.33</v>
      </c>
      <c r="AQ185">
        <v>0</v>
      </c>
      <c r="AR185" s="40">
        <f t="shared" si="45"/>
        <v>1</v>
      </c>
      <c r="AS185">
        <v>0.38</v>
      </c>
      <c r="AT185" s="40">
        <v>0.62</v>
      </c>
      <c r="AU185">
        <v>0</v>
      </c>
      <c r="AV185" s="18">
        <v>1</v>
      </c>
      <c r="AW185">
        <f t="shared" si="50"/>
        <v>0.48099999999999998</v>
      </c>
      <c r="AX185" s="18">
        <v>0.51900000000000002</v>
      </c>
      <c r="AY185" s="18" t="s">
        <v>10</v>
      </c>
      <c r="AZ185">
        <v>0</v>
      </c>
      <c r="BA185">
        <v>0</v>
      </c>
      <c r="BB185">
        <v>0</v>
      </c>
      <c r="BC185">
        <v>0</v>
      </c>
      <c r="BD185">
        <v>0</v>
      </c>
      <c r="BE185">
        <v>0</v>
      </c>
      <c r="BF185" s="18">
        <v>1</v>
      </c>
      <c r="BG185">
        <v>0</v>
      </c>
      <c r="BH185">
        <v>0</v>
      </c>
      <c r="BI185" s="18">
        <v>1</v>
      </c>
      <c r="BJ185" t="s">
        <v>98</v>
      </c>
      <c r="BK185">
        <v>22</v>
      </c>
      <c r="BL185" s="25">
        <v>40</v>
      </c>
      <c r="BM185">
        <v>1</v>
      </c>
      <c r="BN185">
        <v>0</v>
      </c>
      <c r="BO185">
        <v>0</v>
      </c>
      <c r="BP185">
        <v>0</v>
      </c>
      <c r="BQ185">
        <v>0</v>
      </c>
      <c r="BR185">
        <v>0</v>
      </c>
      <c r="BS185">
        <v>0</v>
      </c>
      <c r="BT185" s="18">
        <v>0</v>
      </c>
      <c r="BU185">
        <v>0</v>
      </c>
      <c r="BV185">
        <v>0</v>
      </c>
      <c r="BW185">
        <v>1</v>
      </c>
      <c r="BX185" s="18">
        <v>0</v>
      </c>
      <c r="BY185">
        <v>0</v>
      </c>
      <c r="BZ185">
        <v>0</v>
      </c>
      <c r="CA185">
        <v>0</v>
      </c>
      <c r="CB185">
        <v>0</v>
      </c>
      <c r="CC185" s="18">
        <v>0</v>
      </c>
      <c r="CD185">
        <v>0</v>
      </c>
      <c r="CE185">
        <v>0</v>
      </c>
      <c r="CF185">
        <v>1</v>
      </c>
      <c r="CG185">
        <v>1</v>
      </c>
      <c r="CH185">
        <v>0</v>
      </c>
      <c r="CI185">
        <v>0</v>
      </c>
      <c r="CJ185">
        <v>0</v>
      </c>
      <c r="CK185">
        <v>0</v>
      </c>
      <c r="CL185">
        <v>0</v>
      </c>
      <c r="CM185">
        <v>1</v>
      </c>
      <c r="CN185" s="18">
        <v>0</v>
      </c>
      <c r="CO185">
        <v>0</v>
      </c>
      <c r="CP185">
        <v>30</v>
      </c>
      <c r="CQ185">
        <v>0</v>
      </c>
      <c r="CR185">
        <v>1</v>
      </c>
      <c r="CS185">
        <v>12</v>
      </c>
      <c r="CY185" s="34"/>
    </row>
    <row r="186" spans="1:103" x14ac:dyDescent="0.25">
      <c r="A186">
        <v>185</v>
      </c>
      <c r="B186">
        <v>16</v>
      </c>
      <c r="C186" s="25" t="s">
        <v>192</v>
      </c>
      <c r="D186" s="12">
        <v>13.171657196739091</v>
      </c>
      <c r="E186" s="14">
        <v>3.795866627302332</v>
      </c>
      <c r="F186" s="7">
        <v>3.47</v>
      </c>
      <c r="G186" s="7">
        <f t="shared" si="35"/>
        <v>9.3757905694367594</v>
      </c>
      <c r="H186" s="16">
        <f t="shared" si="36"/>
        <v>16.967523824041422</v>
      </c>
      <c r="I186" s="11">
        <f t="shared" si="39"/>
        <v>7.3563176755564355E-2</v>
      </c>
      <c r="J186" s="33">
        <f t="shared" si="40"/>
        <v>2.1199762753764943E-2</v>
      </c>
      <c r="K186" s="33">
        <f t="shared" si="41"/>
        <v>47.17033919742363</v>
      </c>
      <c r="L186" s="8">
        <v>0</v>
      </c>
      <c r="M186" s="9">
        <v>1</v>
      </c>
      <c r="N186" s="8">
        <v>0</v>
      </c>
      <c r="O186" s="9">
        <v>0</v>
      </c>
      <c r="P186" s="9">
        <v>1</v>
      </c>
      <c r="Q186" s="9">
        <v>0</v>
      </c>
      <c r="R186" s="9">
        <v>0</v>
      </c>
      <c r="S186" s="8">
        <v>2223</v>
      </c>
      <c r="T186" s="9">
        <v>9</v>
      </c>
      <c r="U186" s="9">
        <f t="shared" si="37"/>
        <v>2213</v>
      </c>
      <c r="V186" s="9">
        <f t="shared" si="38"/>
        <v>48</v>
      </c>
      <c r="W186" s="7">
        <v>9.8450000000000006</v>
      </c>
      <c r="X186" s="7">
        <f t="shared" si="47"/>
        <v>24.155000000000001</v>
      </c>
      <c r="Y186" s="9">
        <v>0</v>
      </c>
      <c r="Z186" s="9">
        <v>1</v>
      </c>
      <c r="AA186" s="9">
        <v>0</v>
      </c>
      <c r="AB186" s="9">
        <v>0</v>
      </c>
      <c r="AC186" s="9">
        <v>1</v>
      </c>
      <c r="AD186" s="9">
        <v>0</v>
      </c>
      <c r="AE186" s="8">
        <v>0</v>
      </c>
      <c r="AF186" s="9">
        <v>1</v>
      </c>
      <c r="AG186" s="30">
        <v>0</v>
      </c>
      <c r="AH186" s="9">
        <v>0</v>
      </c>
      <c r="AI186" s="30">
        <v>1</v>
      </c>
      <c r="AJ186" s="21">
        <v>1999</v>
      </c>
      <c r="AK186" s="33">
        <f t="shared" si="48"/>
        <v>0.19249999999999998</v>
      </c>
      <c r="AL186" s="33">
        <v>0.28999999999999998</v>
      </c>
      <c r="AM186" s="33">
        <v>0.32500000000000001</v>
      </c>
      <c r="AN186" s="43">
        <f t="shared" si="49"/>
        <v>0.19249999999999998</v>
      </c>
      <c r="AO186" s="42">
        <v>0.67</v>
      </c>
      <c r="AP186" s="18">
        <v>0.33</v>
      </c>
      <c r="AQ186">
        <v>0</v>
      </c>
      <c r="AR186" s="40">
        <f t="shared" si="45"/>
        <v>1</v>
      </c>
      <c r="AS186">
        <v>0.38</v>
      </c>
      <c r="AT186" s="40">
        <v>0.62</v>
      </c>
      <c r="AU186">
        <v>0</v>
      </c>
      <c r="AV186" s="18">
        <v>1</v>
      </c>
      <c r="AW186">
        <f t="shared" si="50"/>
        <v>0.48099999999999998</v>
      </c>
      <c r="AX186" s="18">
        <v>0.51900000000000002</v>
      </c>
      <c r="AY186" s="18" t="s">
        <v>10</v>
      </c>
      <c r="AZ186">
        <v>0</v>
      </c>
      <c r="BA186">
        <v>0</v>
      </c>
      <c r="BB186">
        <v>0</v>
      </c>
      <c r="BC186">
        <v>0</v>
      </c>
      <c r="BD186">
        <v>0</v>
      </c>
      <c r="BE186">
        <v>0</v>
      </c>
      <c r="BF186" s="18">
        <v>1</v>
      </c>
      <c r="BG186">
        <v>0</v>
      </c>
      <c r="BH186">
        <v>0</v>
      </c>
      <c r="BI186" s="18">
        <v>1</v>
      </c>
      <c r="BJ186" t="s">
        <v>98</v>
      </c>
      <c r="BK186">
        <v>22</v>
      </c>
      <c r="BL186" s="25">
        <v>40</v>
      </c>
      <c r="BM186">
        <v>1</v>
      </c>
      <c r="BN186">
        <v>0</v>
      </c>
      <c r="BO186">
        <v>0</v>
      </c>
      <c r="BP186">
        <v>0</v>
      </c>
      <c r="BQ186">
        <v>0</v>
      </c>
      <c r="BR186">
        <v>0</v>
      </c>
      <c r="BS186">
        <v>0</v>
      </c>
      <c r="BT186" s="18">
        <v>0</v>
      </c>
      <c r="BU186">
        <v>0</v>
      </c>
      <c r="BV186">
        <v>0</v>
      </c>
      <c r="BW186">
        <v>1</v>
      </c>
      <c r="BX186" s="18">
        <v>0</v>
      </c>
      <c r="BY186">
        <v>0</v>
      </c>
      <c r="BZ186">
        <v>0</v>
      </c>
      <c r="CA186">
        <v>0</v>
      </c>
      <c r="CB186">
        <v>0</v>
      </c>
      <c r="CC186" s="18">
        <v>0</v>
      </c>
      <c r="CD186">
        <v>0</v>
      </c>
      <c r="CE186">
        <v>0</v>
      </c>
      <c r="CF186">
        <v>1</v>
      </c>
      <c r="CG186">
        <v>1</v>
      </c>
      <c r="CH186">
        <v>0</v>
      </c>
      <c r="CI186">
        <v>0</v>
      </c>
      <c r="CJ186">
        <v>0</v>
      </c>
      <c r="CK186">
        <v>0</v>
      </c>
      <c r="CL186">
        <v>0</v>
      </c>
      <c r="CM186">
        <v>1</v>
      </c>
      <c r="CN186" s="18">
        <v>0</v>
      </c>
      <c r="CO186">
        <v>0</v>
      </c>
      <c r="CP186">
        <v>30</v>
      </c>
      <c r="CQ186">
        <v>0</v>
      </c>
      <c r="CR186">
        <v>1</v>
      </c>
      <c r="CS186">
        <v>12</v>
      </c>
      <c r="CY186" s="34"/>
    </row>
    <row r="187" spans="1:103" x14ac:dyDescent="0.25">
      <c r="A187">
        <v>186</v>
      </c>
      <c r="B187">
        <v>16</v>
      </c>
      <c r="C187" s="25" t="s">
        <v>192</v>
      </c>
      <c r="D187" s="12">
        <v>1.2596589090453361</v>
      </c>
      <c r="E187" s="14">
        <v>1.384240559390479</v>
      </c>
      <c r="F187" s="7">
        <v>0.91</v>
      </c>
      <c r="G187" s="7">
        <f t="shared" si="35"/>
        <v>-0.1245816503451429</v>
      </c>
      <c r="H187" s="16">
        <f t="shared" si="36"/>
        <v>2.6438994684358148</v>
      </c>
      <c r="I187" s="11">
        <f t="shared" si="39"/>
        <v>2.1987937949940178E-2</v>
      </c>
      <c r="J187" s="33">
        <f t="shared" si="40"/>
        <v>2.4162569175758434E-2</v>
      </c>
      <c r="K187" s="33">
        <f t="shared" si="41"/>
        <v>41.386327452432887</v>
      </c>
      <c r="L187" s="8">
        <v>0</v>
      </c>
      <c r="M187" s="9">
        <v>1</v>
      </c>
      <c r="N187" s="8">
        <v>0</v>
      </c>
      <c r="O187" s="9">
        <v>0</v>
      </c>
      <c r="P187" s="9">
        <v>1</v>
      </c>
      <c r="Q187" s="9">
        <v>0</v>
      </c>
      <c r="R187" s="9">
        <v>0</v>
      </c>
      <c r="S187" s="8">
        <v>1722</v>
      </c>
      <c r="T187" s="9">
        <v>9</v>
      </c>
      <c r="U187" s="9">
        <f t="shared" si="37"/>
        <v>1712</v>
      </c>
      <c r="V187" s="9">
        <f t="shared" si="38"/>
        <v>48</v>
      </c>
      <c r="W187" s="7">
        <v>10.525</v>
      </c>
      <c r="X187" s="7">
        <f t="shared" si="47"/>
        <v>23.475000000000001</v>
      </c>
      <c r="Y187" s="9">
        <v>0</v>
      </c>
      <c r="Z187" s="9">
        <v>1</v>
      </c>
      <c r="AA187" s="9">
        <v>0</v>
      </c>
      <c r="AB187" s="9">
        <v>0</v>
      </c>
      <c r="AC187" s="9">
        <v>1</v>
      </c>
      <c r="AD187" s="9">
        <v>0</v>
      </c>
      <c r="AE187" s="8">
        <v>0</v>
      </c>
      <c r="AF187" s="9">
        <v>1</v>
      </c>
      <c r="AG187" s="30">
        <v>0</v>
      </c>
      <c r="AH187" s="9">
        <v>0</v>
      </c>
      <c r="AI187" s="30">
        <v>1</v>
      </c>
      <c r="AJ187" s="21">
        <v>1999</v>
      </c>
      <c r="AK187" s="33">
        <f t="shared" si="48"/>
        <v>0.12</v>
      </c>
      <c r="AL187" s="33">
        <v>0.23</v>
      </c>
      <c r="AM187" s="33">
        <v>0.53</v>
      </c>
      <c r="AN187" s="43">
        <f t="shared" si="49"/>
        <v>0.12</v>
      </c>
      <c r="AO187" s="42">
        <v>0.67</v>
      </c>
      <c r="AP187" s="18">
        <v>0.33</v>
      </c>
      <c r="AQ187">
        <v>1</v>
      </c>
      <c r="AR187" s="40">
        <f t="shared" si="45"/>
        <v>0</v>
      </c>
      <c r="AS187">
        <v>0.31</v>
      </c>
      <c r="AT187" s="40">
        <v>0.69</v>
      </c>
      <c r="AU187">
        <v>0</v>
      </c>
      <c r="AV187" s="18">
        <v>1</v>
      </c>
      <c r="AW187">
        <f t="shared" si="50"/>
        <v>0.41400000000000003</v>
      </c>
      <c r="AX187" s="18">
        <v>0.58599999999999997</v>
      </c>
      <c r="AY187" s="18" t="s">
        <v>10</v>
      </c>
      <c r="AZ187">
        <v>0</v>
      </c>
      <c r="BA187">
        <v>0</v>
      </c>
      <c r="BB187">
        <v>0</v>
      </c>
      <c r="BC187">
        <v>0</v>
      </c>
      <c r="BD187">
        <v>0</v>
      </c>
      <c r="BE187">
        <v>0</v>
      </c>
      <c r="BF187" s="18">
        <v>1</v>
      </c>
      <c r="BG187">
        <v>0</v>
      </c>
      <c r="BH187">
        <v>0</v>
      </c>
      <c r="BI187" s="18">
        <v>1</v>
      </c>
      <c r="BJ187" t="s">
        <v>98</v>
      </c>
      <c r="BK187">
        <v>22</v>
      </c>
      <c r="BL187" s="25">
        <v>40</v>
      </c>
      <c r="BM187">
        <v>1</v>
      </c>
      <c r="BN187">
        <v>0</v>
      </c>
      <c r="BO187">
        <v>0</v>
      </c>
      <c r="BP187">
        <v>0</v>
      </c>
      <c r="BQ187">
        <v>0</v>
      </c>
      <c r="BR187">
        <v>0</v>
      </c>
      <c r="BS187">
        <v>0</v>
      </c>
      <c r="BT187" s="18">
        <v>0</v>
      </c>
      <c r="BU187">
        <v>0</v>
      </c>
      <c r="BV187">
        <v>0</v>
      </c>
      <c r="BW187">
        <v>1</v>
      </c>
      <c r="BX187" s="18">
        <v>0</v>
      </c>
      <c r="BY187">
        <v>0</v>
      </c>
      <c r="BZ187">
        <v>0</v>
      </c>
      <c r="CA187">
        <v>0</v>
      </c>
      <c r="CB187">
        <v>0</v>
      </c>
      <c r="CC187" s="18">
        <v>0</v>
      </c>
      <c r="CD187">
        <v>0</v>
      </c>
      <c r="CE187">
        <v>0</v>
      </c>
      <c r="CF187">
        <v>1</v>
      </c>
      <c r="CG187">
        <v>1</v>
      </c>
      <c r="CH187">
        <v>0</v>
      </c>
      <c r="CI187">
        <v>0</v>
      </c>
      <c r="CJ187">
        <v>0</v>
      </c>
      <c r="CK187">
        <v>0</v>
      </c>
      <c r="CL187">
        <v>0</v>
      </c>
      <c r="CM187">
        <v>1</v>
      </c>
      <c r="CN187" s="18">
        <v>0</v>
      </c>
      <c r="CO187">
        <v>0</v>
      </c>
      <c r="CP187">
        <v>30</v>
      </c>
      <c r="CQ187">
        <v>0</v>
      </c>
      <c r="CR187">
        <v>1</v>
      </c>
      <c r="CS187">
        <v>12</v>
      </c>
      <c r="CY187" s="34"/>
    </row>
    <row r="188" spans="1:103" x14ac:dyDescent="0.25">
      <c r="A188">
        <v>187</v>
      </c>
      <c r="B188">
        <v>16</v>
      </c>
      <c r="C188" s="25" t="s">
        <v>192</v>
      </c>
      <c r="D188" s="12">
        <v>5.1614617659882178</v>
      </c>
      <c r="E188" s="14">
        <v>1.3371662606187089</v>
      </c>
      <c r="F188" s="7">
        <v>3.86</v>
      </c>
      <c r="G188" s="7">
        <f t="shared" si="35"/>
        <v>3.8242955053695091</v>
      </c>
      <c r="H188" s="16">
        <f t="shared" si="36"/>
        <v>6.4986280266069265</v>
      </c>
      <c r="I188" s="11">
        <f t="shared" si="39"/>
        <v>9.2886748403319508E-2</v>
      </c>
      <c r="J188" s="33">
        <f t="shared" si="40"/>
        <v>2.4063924456818524E-2</v>
      </c>
      <c r="K188" s="33">
        <f t="shared" si="41"/>
        <v>41.555981518910123</v>
      </c>
      <c r="L188" s="8">
        <v>0</v>
      </c>
      <c r="M188" s="9">
        <v>1</v>
      </c>
      <c r="N188" s="8">
        <v>0</v>
      </c>
      <c r="O188" s="9">
        <v>0</v>
      </c>
      <c r="P188" s="9">
        <v>1</v>
      </c>
      <c r="Q188" s="9">
        <v>0</v>
      </c>
      <c r="R188" s="9">
        <v>0</v>
      </c>
      <c r="S188" s="8">
        <v>1722</v>
      </c>
      <c r="T188" s="9">
        <v>9</v>
      </c>
      <c r="U188" s="9">
        <f t="shared" si="37"/>
        <v>1712</v>
      </c>
      <c r="V188" s="9">
        <f t="shared" si="38"/>
        <v>48</v>
      </c>
      <c r="W188" s="7">
        <v>10.525</v>
      </c>
      <c r="X188" s="7">
        <f t="shared" si="47"/>
        <v>23.475000000000001</v>
      </c>
      <c r="Y188" s="9">
        <v>0</v>
      </c>
      <c r="Z188" s="9">
        <v>1</v>
      </c>
      <c r="AA188" s="9">
        <v>0</v>
      </c>
      <c r="AB188" s="9">
        <v>0</v>
      </c>
      <c r="AC188" s="9">
        <v>1</v>
      </c>
      <c r="AD188" s="9">
        <v>0</v>
      </c>
      <c r="AE188" s="8">
        <v>0</v>
      </c>
      <c r="AF188" s="9">
        <v>1</v>
      </c>
      <c r="AG188" s="30">
        <v>0</v>
      </c>
      <c r="AH188" s="9">
        <v>0</v>
      </c>
      <c r="AI188" s="30">
        <v>1</v>
      </c>
      <c r="AJ188" s="21">
        <v>1999</v>
      </c>
      <c r="AK188" s="33">
        <f t="shared" si="48"/>
        <v>0.12</v>
      </c>
      <c r="AL188" s="33">
        <v>0.23</v>
      </c>
      <c r="AM188" s="33">
        <v>0.53</v>
      </c>
      <c r="AN188" s="43">
        <f t="shared" si="49"/>
        <v>0.12</v>
      </c>
      <c r="AO188" s="42">
        <v>0.67</v>
      </c>
      <c r="AP188" s="18">
        <v>0.33</v>
      </c>
      <c r="AQ188">
        <v>1</v>
      </c>
      <c r="AR188" s="40">
        <f t="shared" si="45"/>
        <v>0</v>
      </c>
      <c r="AS188">
        <v>0.31</v>
      </c>
      <c r="AT188" s="40">
        <v>0.69</v>
      </c>
      <c r="AU188">
        <v>0</v>
      </c>
      <c r="AV188" s="18">
        <v>1</v>
      </c>
      <c r="AW188">
        <f t="shared" si="50"/>
        <v>0.41400000000000003</v>
      </c>
      <c r="AX188" s="18">
        <v>0.58599999999999997</v>
      </c>
      <c r="AY188" s="18" t="s">
        <v>10</v>
      </c>
      <c r="AZ188">
        <v>0</v>
      </c>
      <c r="BA188">
        <v>0</v>
      </c>
      <c r="BB188">
        <v>0</v>
      </c>
      <c r="BC188">
        <v>0</v>
      </c>
      <c r="BD188">
        <v>0</v>
      </c>
      <c r="BE188">
        <v>0</v>
      </c>
      <c r="BF188" s="18">
        <v>1</v>
      </c>
      <c r="BG188">
        <v>0</v>
      </c>
      <c r="BH188">
        <v>0</v>
      </c>
      <c r="BI188" s="18">
        <v>1</v>
      </c>
      <c r="BJ188" t="s">
        <v>98</v>
      </c>
      <c r="BK188">
        <v>22</v>
      </c>
      <c r="BL188" s="25">
        <v>40</v>
      </c>
      <c r="BM188">
        <v>1</v>
      </c>
      <c r="BN188">
        <v>0</v>
      </c>
      <c r="BO188">
        <v>0</v>
      </c>
      <c r="BP188">
        <v>0</v>
      </c>
      <c r="BQ188">
        <v>0</v>
      </c>
      <c r="BR188">
        <v>0</v>
      </c>
      <c r="BS188">
        <v>0</v>
      </c>
      <c r="BT188" s="18">
        <v>0</v>
      </c>
      <c r="BU188">
        <v>0</v>
      </c>
      <c r="BV188">
        <v>0</v>
      </c>
      <c r="BW188">
        <v>1</v>
      </c>
      <c r="BX188" s="18">
        <v>0</v>
      </c>
      <c r="BY188">
        <v>0</v>
      </c>
      <c r="BZ188">
        <v>0</v>
      </c>
      <c r="CA188">
        <v>0</v>
      </c>
      <c r="CB188">
        <v>0</v>
      </c>
      <c r="CC188" s="18">
        <v>0</v>
      </c>
      <c r="CD188">
        <v>0</v>
      </c>
      <c r="CE188">
        <v>0</v>
      </c>
      <c r="CF188">
        <v>1</v>
      </c>
      <c r="CG188">
        <v>1</v>
      </c>
      <c r="CH188">
        <v>0</v>
      </c>
      <c r="CI188">
        <v>0</v>
      </c>
      <c r="CJ188">
        <v>0</v>
      </c>
      <c r="CK188">
        <v>0</v>
      </c>
      <c r="CL188">
        <v>0</v>
      </c>
      <c r="CM188">
        <v>1</v>
      </c>
      <c r="CN188" s="18">
        <v>0</v>
      </c>
      <c r="CO188">
        <v>0</v>
      </c>
      <c r="CP188">
        <v>30</v>
      </c>
      <c r="CQ188">
        <v>0</v>
      </c>
      <c r="CR188">
        <v>1</v>
      </c>
      <c r="CS188">
        <v>12</v>
      </c>
      <c r="CY188" s="34"/>
    </row>
    <row r="189" spans="1:103" x14ac:dyDescent="0.25">
      <c r="A189">
        <v>188</v>
      </c>
      <c r="B189">
        <v>16</v>
      </c>
      <c r="C189" s="25" t="s">
        <v>192</v>
      </c>
      <c r="D189" s="12">
        <v>5.1430632213731453</v>
      </c>
      <c r="E189" s="14">
        <v>1.201650285367557</v>
      </c>
      <c r="F189" s="7">
        <v>4.28</v>
      </c>
      <c r="G189" s="7">
        <f t="shared" si="35"/>
        <v>3.9414129360055883</v>
      </c>
      <c r="H189" s="16">
        <f t="shared" si="36"/>
        <v>6.3447135067407023</v>
      </c>
      <c r="I189" s="11">
        <f t="shared" si="39"/>
        <v>0.10289179789375939</v>
      </c>
      <c r="J189" s="33">
        <f t="shared" si="40"/>
        <v>2.4040139694803595E-2</v>
      </c>
      <c r="K189" s="33">
        <f t="shared" si="41"/>
        <v>41.59709605248905</v>
      </c>
      <c r="L189" s="8">
        <v>0</v>
      </c>
      <c r="M189" s="9">
        <v>1</v>
      </c>
      <c r="N189" s="8">
        <v>0</v>
      </c>
      <c r="O189" s="9">
        <v>0</v>
      </c>
      <c r="P189" s="9">
        <v>1</v>
      </c>
      <c r="Q189" s="9">
        <v>0</v>
      </c>
      <c r="R189" s="9">
        <v>0</v>
      </c>
      <c r="S189" s="8">
        <v>1722</v>
      </c>
      <c r="T189" s="9">
        <v>9</v>
      </c>
      <c r="U189" s="9">
        <f t="shared" si="37"/>
        <v>1712</v>
      </c>
      <c r="V189" s="9">
        <f t="shared" si="38"/>
        <v>48</v>
      </c>
      <c r="W189" s="7">
        <v>10.525</v>
      </c>
      <c r="X189" s="7">
        <f t="shared" si="47"/>
        <v>23.475000000000001</v>
      </c>
      <c r="Y189" s="9">
        <v>0</v>
      </c>
      <c r="Z189" s="9">
        <v>1</v>
      </c>
      <c r="AA189" s="9">
        <v>0</v>
      </c>
      <c r="AB189" s="9">
        <v>0</v>
      </c>
      <c r="AC189" s="9">
        <v>1</v>
      </c>
      <c r="AD189" s="9">
        <v>0</v>
      </c>
      <c r="AE189" s="8">
        <v>0</v>
      </c>
      <c r="AF189" s="9">
        <v>1</v>
      </c>
      <c r="AG189" s="30">
        <v>0</v>
      </c>
      <c r="AH189" s="9">
        <v>0</v>
      </c>
      <c r="AI189" s="30">
        <v>1</v>
      </c>
      <c r="AJ189" s="21">
        <v>1999</v>
      </c>
      <c r="AK189" s="33">
        <f t="shared" si="48"/>
        <v>0.12</v>
      </c>
      <c r="AL189" s="33">
        <v>0.23</v>
      </c>
      <c r="AM189" s="33">
        <v>0.53</v>
      </c>
      <c r="AN189" s="43">
        <f t="shared" si="49"/>
        <v>0.12</v>
      </c>
      <c r="AO189" s="42">
        <v>0.67</v>
      </c>
      <c r="AP189" s="18">
        <v>0.33</v>
      </c>
      <c r="AQ189">
        <v>1</v>
      </c>
      <c r="AR189" s="40">
        <f t="shared" si="45"/>
        <v>0</v>
      </c>
      <c r="AS189">
        <v>0.31</v>
      </c>
      <c r="AT189" s="40">
        <v>0.69</v>
      </c>
      <c r="AU189">
        <v>0</v>
      </c>
      <c r="AV189" s="18">
        <v>1</v>
      </c>
      <c r="AW189">
        <f t="shared" si="50"/>
        <v>0.41400000000000003</v>
      </c>
      <c r="AX189" s="18">
        <v>0.58599999999999997</v>
      </c>
      <c r="AY189" s="18" t="s">
        <v>10</v>
      </c>
      <c r="AZ189">
        <v>0</v>
      </c>
      <c r="BA189">
        <v>0</v>
      </c>
      <c r="BB189">
        <v>0</v>
      </c>
      <c r="BC189">
        <v>0</v>
      </c>
      <c r="BD189">
        <v>0</v>
      </c>
      <c r="BE189">
        <v>0</v>
      </c>
      <c r="BF189" s="18">
        <v>1</v>
      </c>
      <c r="BG189">
        <v>0</v>
      </c>
      <c r="BH189">
        <v>0</v>
      </c>
      <c r="BI189" s="18">
        <v>1</v>
      </c>
      <c r="BJ189" t="s">
        <v>98</v>
      </c>
      <c r="BK189">
        <v>22</v>
      </c>
      <c r="BL189" s="25">
        <v>40</v>
      </c>
      <c r="BM189">
        <v>1</v>
      </c>
      <c r="BN189">
        <v>0</v>
      </c>
      <c r="BO189">
        <v>0</v>
      </c>
      <c r="BP189">
        <v>0</v>
      </c>
      <c r="BQ189">
        <v>0</v>
      </c>
      <c r="BR189">
        <v>0</v>
      </c>
      <c r="BS189">
        <v>0</v>
      </c>
      <c r="BT189" s="18">
        <v>0</v>
      </c>
      <c r="BU189">
        <v>0</v>
      </c>
      <c r="BV189">
        <v>0</v>
      </c>
      <c r="BW189">
        <v>1</v>
      </c>
      <c r="BX189" s="18">
        <v>0</v>
      </c>
      <c r="BY189">
        <v>0</v>
      </c>
      <c r="BZ189">
        <v>0</v>
      </c>
      <c r="CA189">
        <v>0</v>
      </c>
      <c r="CB189">
        <v>0</v>
      </c>
      <c r="CC189" s="18">
        <v>0</v>
      </c>
      <c r="CD189">
        <v>0</v>
      </c>
      <c r="CE189">
        <v>0</v>
      </c>
      <c r="CF189">
        <v>1</v>
      </c>
      <c r="CG189">
        <v>1</v>
      </c>
      <c r="CH189">
        <v>0</v>
      </c>
      <c r="CI189">
        <v>0</v>
      </c>
      <c r="CJ189">
        <v>0</v>
      </c>
      <c r="CK189">
        <v>0</v>
      </c>
      <c r="CL189">
        <v>0</v>
      </c>
      <c r="CM189">
        <v>1</v>
      </c>
      <c r="CN189" s="18">
        <v>0</v>
      </c>
      <c r="CO189">
        <v>0</v>
      </c>
      <c r="CP189">
        <v>30</v>
      </c>
      <c r="CQ189">
        <v>0</v>
      </c>
      <c r="CR189">
        <v>1</v>
      </c>
      <c r="CS189">
        <v>12</v>
      </c>
      <c r="CY189" s="34"/>
    </row>
    <row r="190" spans="1:103" x14ac:dyDescent="0.25">
      <c r="A190">
        <v>189</v>
      </c>
      <c r="B190">
        <v>16</v>
      </c>
      <c r="C190" s="25" t="s">
        <v>192</v>
      </c>
      <c r="D190" s="12">
        <v>13.44826715670064</v>
      </c>
      <c r="E190" s="14">
        <v>2.8921004638065901</v>
      </c>
      <c r="F190" s="7">
        <v>4.6500000000000004</v>
      </c>
      <c r="G190" s="7">
        <f t="shared" si="35"/>
        <v>10.556166692894049</v>
      </c>
      <c r="H190" s="16">
        <f t="shared" si="36"/>
        <v>16.34036762050723</v>
      </c>
      <c r="I190" s="11">
        <f t="shared" si="39"/>
        <v>0.11168007204614576</v>
      </c>
      <c r="J190" s="33">
        <f t="shared" si="40"/>
        <v>2.4017219794870051E-2</v>
      </c>
      <c r="K190" s="33">
        <f t="shared" si="41"/>
        <v>41.636792623832115</v>
      </c>
      <c r="L190" s="8">
        <v>0</v>
      </c>
      <c r="M190" s="9">
        <v>1</v>
      </c>
      <c r="N190" s="8">
        <v>0</v>
      </c>
      <c r="O190" s="9">
        <v>0</v>
      </c>
      <c r="P190" s="9">
        <v>1</v>
      </c>
      <c r="Q190" s="9">
        <v>0</v>
      </c>
      <c r="R190" s="9">
        <v>0</v>
      </c>
      <c r="S190" s="8">
        <v>1722</v>
      </c>
      <c r="T190" s="9">
        <v>9</v>
      </c>
      <c r="U190" s="9">
        <f t="shared" si="37"/>
        <v>1712</v>
      </c>
      <c r="V190" s="9">
        <f t="shared" si="38"/>
        <v>48</v>
      </c>
      <c r="W190" s="7">
        <v>10.53</v>
      </c>
      <c r="X190" s="7">
        <f t="shared" si="47"/>
        <v>23.47</v>
      </c>
      <c r="Y190" s="9">
        <v>0</v>
      </c>
      <c r="Z190" s="9">
        <v>1</v>
      </c>
      <c r="AA190" s="9">
        <v>0</v>
      </c>
      <c r="AB190" s="9">
        <v>0</v>
      </c>
      <c r="AC190" s="9">
        <v>1</v>
      </c>
      <c r="AD190" s="9">
        <v>0</v>
      </c>
      <c r="AE190" s="8">
        <v>0</v>
      </c>
      <c r="AF190" s="9">
        <v>1</v>
      </c>
      <c r="AG190" s="30">
        <v>0</v>
      </c>
      <c r="AH190" s="9">
        <v>0</v>
      </c>
      <c r="AI190" s="30">
        <v>1</v>
      </c>
      <c r="AJ190" s="21">
        <v>1999</v>
      </c>
      <c r="AK190" s="33">
        <f t="shared" si="48"/>
        <v>0.12</v>
      </c>
      <c r="AL190" s="33">
        <v>0.23</v>
      </c>
      <c r="AM190" s="33">
        <v>0.53</v>
      </c>
      <c r="AN190" s="43">
        <f t="shared" si="49"/>
        <v>0.12</v>
      </c>
      <c r="AO190" s="42">
        <v>0.67</v>
      </c>
      <c r="AP190" s="18">
        <v>0.33</v>
      </c>
      <c r="AQ190">
        <v>1</v>
      </c>
      <c r="AR190" s="40">
        <f t="shared" si="45"/>
        <v>0</v>
      </c>
      <c r="AS190">
        <v>0.31</v>
      </c>
      <c r="AT190" s="40">
        <v>0.69</v>
      </c>
      <c r="AU190">
        <v>0</v>
      </c>
      <c r="AV190" s="18">
        <v>1</v>
      </c>
      <c r="AW190">
        <f t="shared" si="50"/>
        <v>0.41400000000000003</v>
      </c>
      <c r="AX190" s="18">
        <v>0.58599999999999997</v>
      </c>
      <c r="AY190" s="18" t="s">
        <v>10</v>
      </c>
      <c r="AZ190">
        <v>0</v>
      </c>
      <c r="BA190">
        <v>0</v>
      </c>
      <c r="BB190">
        <v>0</v>
      </c>
      <c r="BC190">
        <v>0</v>
      </c>
      <c r="BD190">
        <v>0</v>
      </c>
      <c r="BE190">
        <v>0</v>
      </c>
      <c r="BF190" s="18">
        <v>1</v>
      </c>
      <c r="BG190">
        <v>0</v>
      </c>
      <c r="BH190">
        <v>0</v>
      </c>
      <c r="BI190" s="18">
        <v>1</v>
      </c>
      <c r="BJ190" t="s">
        <v>98</v>
      </c>
      <c r="BK190">
        <v>22</v>
      </c>
      <c r="BL190" s="25">
        <v>40</v>
      </c>
      <c r="BM190">
        <v>1</v>
      </c>
      <c r="BN190">
        <v>0</v>
      </c>
      <c r="BO190">
        <v>0</v>
      </c>
      <c r="BP190">
        <v>0</v>
      </c>
      <c r="BQ190">
        <v>0</v>
      </c>
      <c r="BR190">
        <v>0</v>
      </c>
      <c r="BS190">
        <v>0</v>
      </c>
      <c r="BT190" s="18">
        <v>0</v>
      </c>
      <c r="BU190">
        <v>0</v>
      </c>
      <c r="BV190">
        <v>0</v>
      </c>
      <c r="BW190">
        <v>1</v>
      </c>
      <c r="BX190" s="18">
        <v>0</v>
      </c>
      <c r="BY190">
        <v>0</v>
      </c>
      <c r="BZ190">
        <v>0</v>
      </c>
      <c r="CA190">
        <v>0</v>
      </c>
      <c r="CB190">
        <v>0</v>
      </c>
      <c r="CC190" s="18">
        <v>0</v>
      </c>
      <c r="CD190">
        <v>0</v>
      </c>
      <c r="CE190">
        <v>0</v>
      </c>
      <c r="CF190">
        <v>1</v>
      </c>
      <c r="CG190">
        <v>1</v>
      </c>
      <c r="CH190">
        <v>0</v>
      </c>
      <c r="CI190">
        <v>0</v>
      </c>
      <c r="CJ190">
        <v>0</v>
      </c>
      <c r="CK190">
        <v>0</v>
      </c>
      <c r="CL190">
        <v>0</v>
      </c>
      <c r="CM190">
        <v>1</v>
      </c>
      <c r="CN190" s="18">
        <v>0</v>
      </c>
      <c r="CO190">
        <v>0</v>
      </c>
      <c r="CP190">
        <v>30</v>
      </c>
      <c r="CQ190">
        <v>0</v>
      </c>
      <c r="CR190">
        <v>1</v>
      </c>
      <c r="CS190">
        <v>12</v>
      </c>
      <c r="CY190" s="34"/>
    </row>
    <row r="191" spans="1:103" x14ac:dyDescent="0.25">
      <c r="A191">
        <v>190</v>
      </c>
      <c r="B191">
        <v>16</v>
      </c>
      <c r="C191" s="25" t="s">
        <v>192</v>
      </c>
      <c r="D191" s="12">
        <v>2.98486577125241</v>
      </c>
      <c r="E191" s="14">
        <v>0.81331492404697814</v>
      </c>
      <c r="F191" s="7">
        <v>3.67</v>
      </c>
      <c r="G191" s="7">
        <f t="shared" si="35"/>
        <v>2.1715508472054319</v>
      </c>
      <c r="H191" s="16">
        <f t="shared" si="36"/>
        <v>3.7981806952993882</v>
      </c>
      <c r="I191" s="11">
        <f t="shared" si="39"/>
        <v>6.5656535286206769E-2</v>
      </c>
      <c r="J191" s="33">
        <f t="shared" si="40"/>
        <v>1.7890064110683043E-2</v>
      </c>
      <c r="K191" s="33">
        <f t="shared" si="41"/>
        <v>55.896948932835322</v>
      </c>
      <c r="L191" s="8">
        <v>0</v>
      </c>
      <c r="M191" s="9">
        <v>1</v>
      </c>
      <c r="N191" s="8">
        <v>0</v>
      </c>
      <c r="O191" s="9">
        <v>0</v>
      </c>
      <c r="P191" s="9">
        <v>1</v>
      </c>
      <c r="Q191" s="9">
        <v>0</v>
      </c>
      <c r="R191" s="9">
        <v>0</v>
      </c>
      <c r="S191" s="8">
        <v>3124</v>
      </c>
      <c r="T191" s="9">
        <v>12</v>
      </c>
      <c r="U191" s="9">
        <f t="shared" si="37"/>
        <v>3111</v>
      </c>
      <c r="V191" s="9">
        <f t="shared" si="38"/>
        <v>48</v>
      </c>
      <c r="W191" s="7">
        <v>9.8249999999999993</v>
      </c>
      <c r="X191" s="7">
        <f t="shared" si="47"/>
        <v>24.175000000000001</v>
      </c>
      <c r="Y191" s="9">
        <v>0</v>
      </c>
      <c r="Z191" s="9">
        <v>1</v>
      </c>
      <c r="AA191" s="9">
        <v>0</v>
      </c>
      <c r="AB191" s="9">
        <v>0</v>
      </c>
      <c r="AC191" s="9">
        <v>1</v>
      </c>
      <c r="AD191" s="9">
        <v>0</v>
      </c>
      <c r="AE191" s="8">
        <v>0</v>
      </c>
      <c r="AF191" s="9">
        <v>1</v>
      </c>
      <c r="AG191" s="30">
        <v>0</v>
      </c>
      <c r="AH191" s="9">
        <v>0</v>
      </c>
      <c r="AI191" s="30">
        <v>1</v>
      </c>
      <c r="AJ191" s="21">
        <v>1992</v>
      </c>
      <c r="AK191" s="33">
        <f t="shared" si="48"/>
        <v>0.26250000000000001</v>
      </c>
      <c r="AL191" s="33">
        <v>0.25</v>
      </c>
      <c r="AM191" s="33">
        <v>0.22500000000000001</v>
      </c>
      <c r="AN191" s="43">
        <f t="shared" si="49"/>
        <v>0.26250000000000001</v>
      </c>
      <c r="AO191" s="42">
        <v>0.67</v>
      </c>
      <c r="AP191" s="18">
        <v>0.33</v>
      </c>
      <c r="AQ191">
        <v>0</v>
      </c>
      <c r="AR191" s="40">
        <f t="shared" si="45"/>
        <v>1</v>
      </c>
      <c r="AS191">
        <v>0.38</v>
      </c>
      <c r="AT191" s="40">
        <v>0.62</v>
      </c>
      <c r="AU191">
        <v>0</v>
      </c>
      <c r="AV191" s="18">
        <v>1</v>
      </c>
      <c r="AW191">
        <f t="shared" si="50"/>
        <v>0.44099999999999995</v>
      </c>
      <c r="AX191" s="18">
        <v>0.55900000000000005</v>
      </c>
      <c r="AY191" s="18" t="s">
        <v>10</v>
      </c>
      <c r="AZ191">
        <v>0</v>
      </c>
      <c r="BA191">
        <v>0</v>
      </c>
      <c r="BB191">
        <v>0</v>
      </c>
      <c r="BC191">
        <v>0</v>
      </c>
      <c r="BD191">
        <v>0</v>
      </c>
      <c r="BE191">
        <v>0</v>
      </c>
      <c r="BF191" s="18">
        <v>1</v>
      </c>
      <c r="BG191">
        <v>0</v>
      </c>
      <c r="BH191">
        <v>0</v>
      </c>
      <c r="BI191" s="18">
        <v>1</v>
      </c>
      <c r="BJ191" t="s">
        <v>98</v>
      </c>
      <c r="BK191">
        <v>28</v>
      </c>
      <c r="BL191" s="25">
        <v>40</v>
      </c>
      <c r="BM191">
        <v>1</v>
      </c>
      <c r="BN191">
        <v>0</v>
      </c>
      <c r="BO191">
        <v>0</v>
      </c>
      <c r="BP191">
        <v>0</v>
      </c>
      <c r="BQ191">
        <v>0</v>
      </c>
      <c r="BR191">
        <v>0</v>
      </c>
      <c r="BS191">
        <v>0</v>
      </c>
      <c r="BT191" s="18">
        <v>0</v>
      </c>
      <c r="BU191">
        <v>0</v>
      </c>
      <c r="BV191">
        <v>1</v>
      </c>
      <c r="BW191">
        <v>0</v>
      </c>
      <c r="BX191" s="18">
        <v>0</v>
      </c>
      <c r="BY191">
        <v>1</v>
      </c>
      <c r="BZ191">
        <v>0</v>
      </c>
      <c r="CA191">
        <v>0</v>
      </c>
      <c r="CB191">
        <v>0</v>
      </c>
      <c r="CC191" s="18">
        <v>0</v>
      </c>
      <c r="CD191">
        <v>0</v>
      </c>
      <c r="CE191">
        <v>0</v>
      </c>
      <c r="CF191">
        <v>1</v>
      </c>
      <c r="CG191">
        <v>1</v>
      </c>
      <c r="CH191">
        <v>0</v>
      </c>
      <c r="CI191">
        <v>0</v>
      </c>
      <c r="CJ191">
        <v>0</v>
      </c>
      <c r="CK191">
        <v>0</v>
      </c>
      <c r="CL191">
        <v>0</v>
      </c>
      <c r="CM191">
        <v>1</v>
      </c>
      <c r="CN191" s="18">
        <v>0</v>
      </c>
      <c r="CO191">
        <v>0</v>
      </c>
      <c r="CP191">
        <v>30</v>
      </c>
      <c r="CQ191">
        <v>0</v>
      </c>
      <c r="CR191">
        <v>1</v>
      </c>
      <c r="CS191">
        <v>12</v>
      </c>
      <c r="CY191" s="34"/>
    </row>
    <row r="192" spans="1:103" x14ac:dyDescent="0.25">
      <c r="A192">
        <v>191</v>
      </c>
      <c r="B192">
        <v>16</v>
      </c>
      <c r="C192" s="25" t="s">
        <v>192</v>
      </c>
      <c r="D192" s="12">
        <v>3.4882050689460491</v>
      </c>
      <c r="E192" s="14">
        <v>0.58526930687014245</v>
      </c>
      <c r="F192" s="7">
        <v>5.9599999999999991</v>
      </c>
      <c r="G192" s="7">
        <f t="shared" si="35"/>
        <v>2.9029357620759066</v>
      </c>
      <c r="H192" s="16">
        <f t="shared" si="36"/>
        <v>4.0734743758161915</v>
      </c>
      <c r="I192" s="11">
        <f t="shared" si="39"/>
        <v>0.10625048008086851</v>
      </c>
      <c r="J192" s="33">
        <f t="shared" si="40"/>
        <v>1.7827261758534989E-2</v>
      </c>
      <c r="K192" s="33">
        <f t="shared" si="41"/>
        <v>56.093864192084325</v>
      </c>
      <c r="L192" s="8">
        <v>0</v>
      </c>
      <c r="M192" s="9">
        <v>1</v>
      </c>
      <c r="N192" s="8">
        <v>0</v>
      </c>
      <c r="O192" s="9">
        <v>0</v>
      </c>
      <c r="P192" s="9">
        <v>1</v>
      </c>
      <c r="Q192" s="9">
        <v>0</v>
      </c>
      <c r="R192" s="9">
        <v>0</v>
      </c>
      <c r="S192" s="8">
        <v>3124</v>
      </c>
      <c r="T192" s="9">
        <v>12</v>
      </c>
      <c r="U192" s="9">
        <f t="shared" si="37"/>
        <v>3111</v>
      </c>
      <c r="V192" s="9">
        <f t="shared" si="38"/>
        <v>48</v>
      </c>
      <c r="W192" s="7">
        <v>9.8249999999999993</v>
      </c>
      <c r="X192" s="7">
        <f t="shared" si="47"/>
        <v>24.175000000000001</v>
      </c>
      <c r="Y192" s="9">
        <v>0</v>
      </c>
      <c r="Z192" s="9">
        <v>1</v>
      </c>
      <c r="AA192" s="9">
        <v>0</v>
      </c>
      <c r="AB192" s="9">
        <v>0</v>
      </c>
      <c r="AC192" s="9">
        <v>1</v>
      </c>
      <c r="AD192" s="9">
        <v>0</v>
      </c>
      <c r="AE192" s="8">
        <v>0</v>
      </c>
      <c r="AF192" s="9">
        <v>1</v>
      </c>
      <c r="AG192" s="30">
        <v>0</v>
      </c>
      <c r="AH192" s="9">
        <v>0</v>
      </c>
      <c r="AI192" s="30">
        <v>1</v>
      </c>
      <c r="AJ192" s="21">
        <v>1992</v>
      </c>
      <c r="AK192" s="33">
        <f t="shared" si="48"/>
        <v>0.26250000000000001</v>
      </c>
      <c r="AL192" s="33">
        <v>0.25</v>
      </c>
      <c r="AM192" s="33">
        <v>0.22500000000000001</v>
      </c>
      <c r="AN192" s="43">
        <f t="shared" si="49"/>
        <v>0.26250000000000001</v>
      </c>
      <c r="AO192" s="42">
        <v>0.67</v>
      </c>
      <c r="AP192" s="18">
        <v>0.33</v>
      </c>
      <c r="AQ192">
        <v>0</v>
      </c>
      <c r="AR192" s="40">
        <f t="shared" si="45"/>
        <v>1</v>
      </c>
      <c r="AS192">
        <v>0.38</v>
      </c>
      <c r="AT192" s="40">
        <v>0.62</v>
      </c>
      <c r="AU192">
        <v>0</v>
      </c>
      <c r="AV192" s="18">
        <v>1</v>
      </c>
      <c r="AW192">
        <f t="shared" si="50"/>
        <v>0.44099999999999995</v>
      </c>
      <c r="AX192" s="18">
        <v>0.55900000000000005</v>
      </c>
      <c r="AY192" s="18" t="s">
        <v>10</v>
      </c>
      <c r="AZ192">
        <v>0</v>
      </c>
      <c r="BA192">
        <v>0</v>
      </c>
      <c r="BB192">
        <v>0</v>
      </c>
      <c r="BC192">
        <v>0</v>
      </c>
      <c r="BD192">
        <v>0</v>
      </c>
      <c r="BE192">
        <v>0</v>
      </c>
      <c r="BF192" s="18">
        <v>1</v>
      </c>
      <c r="BG192">
        <v>0</v>
      </c>
      <c r="BH192">
        <v>0</v>
      </c>
      <c r="BI192" s="18">
        <v>1</v>
      </c>
      <c r="BJ192" t="s">
        <v>98</v>
      </c>
      <c r="BK192">
        <v>28</v>
      </c>
      <c r="BL192" s="25">
        <v>40</v>
      </c>
      <c r="BM192">
        <v>1</v>
      </c>
      <c r="BN192">
        <v>0</v>
      </c>
      <c r="BO192">
        <v>0</v>
      </c>
      <c r="BP192">
        <v>0</v>
      </c>
      <c r="BQ192">
        <v>0</v>
      </c>
      <c r="BR192">
        <v>0</v>
      </c>
      <c r="BS192">
        <v>0</v>
      </c>
      <c r="BT192" s="18">
        <v>0</v>
      </c>
      <c r="BU192">
        <v>0</v>
      </c>
      <c r="BV192">
        <v>1</v>
      </c>
      <c r="BW192">
        <v>0</v>
      </c>
      <c r="BX192" s="18">
        <v>0</v>
      </c>
      <c r="BY192">
        <v>1</v>
      </c>
      <c r="BZ192">
        <v>0</v>
      </c>
      <c r="CA192">
        <v>0</v>
      </c>
      <c r="CB192">
        <v>0</v>
      </c>
      <c r="CC192" s="18">
        <v>0</v>
      </c>
      <c r="CD192">
        <v>0</v>
      </c>
      <c r="CE192">
        <v>0</v>
      </c>
      <c r="CF192">
        <v>1</v>
      </c>
      <c r="CG192">
        <v>1</v>
      </c>
      <c r="CH192">
        <v>0</v>
      </c>
      <c r="CI192">
        <v>0</v>
      </c>
      <c r="CJ192">
        <v>0</v>
      </c>
      <c r="CK192">
        <v>0</v>
      </c>
      <c r="CL192">
        <v>0</v>
      </c>
      <c r="CM192">
        <v>1</v>
      </c>
      <c r="CN192" s="18">
        <v>0</v>
      </c>
      <c r="CO192">
        <v>0</v>
      </c>
      <c r="CP192">
        <v>30</v>
      </c>
      <c r="CQ192">
        <v>0</v>
      </c>
      <c r="CR192">
        <v>1</v>
      </c>
      <c r="CS192">
        <v>12</v>
      </c>
      <c r="CY192" s="34"/>
    </row>
    <row r="193" spans="1:103" x14ac:dyDescent="0.25">
      <c r="A193">
        <v>192</v>
      </c>
      <c r="B193">
        <v>16</v>
      </c>
      <c r="C193" s="25" t="s">
        <v>192</v>
      </c>
      <c r="D193" s="12">
        <v>6.185875879493441</v>
      </c>
      <c r="E193" s="14">
        <v>1.1165840937713789</v>
      </c>
      <c r="F193" s="7">
        <v>5.5400000000000009</v>
      </c>
      <c r="G193" s="7">
        <f t="shared" si="35"/>
        <v>5.0692917857220623</v>
      </c>
      <c r="H193" s="16">
        <f t="shared" si="36"/>
        <v>7.3024599732648197</v>
      </c>
      <c r="I193" s="11">
        <f t="shared" si="39"/>
        <v>9.8838919550565119E-2</v>
      </c>
      <c r="J193" s="33">
        <f t="shared" si="40"/>
        <v>1.7840960207683235E-2</v>
      </c>
      <c r="K193" s="33">
        <f t="shared" si="41"/>
        <v>56.050794820412669</v>
      </c>
      <c r="L193" s="8">
        <v>0</v>
      </c>
      <c r="M193" s="9">
        <v>1</v>
      </c>
      <c r="N193" s="8">
        <v>0</v>
      </c>
      <c r="O193" s="9">
        <v>0</v>
      </c>
      <c r="P193" s="9">
        <v>1</v>
      </c>
      <c r="Q193" s="9">
        <v>0</v>
      </c>
      <c r="R193" s="9">
        <v>0</v>
      </c>
      <c r="S193" s="8">
        <v>3124</v>
      </c>
      <c r="T193" s="9">
        <v>12</v>
      </c>
      <c r="U193" s="9">
        <f t="shared" si="37"/>
        <v>3111</v>
      </c>
      <c r="V193" s="9">
        <f t="shared" si="38"/>
        <v>48</v>
      </c>
      <c r="W193" s="7">
        <v>9.8249999999999993</v>
      </c>
      <c r="X193" s="7">
        <f t="shared" si="47"/>
        <v>24.175000000000001</v>
      </c>
      <c r="Y193" s="9">
        <v>0</v>
      </c>
      <c r="Z193" s="9">
        <v>1</v>
      </c>
      <c r="AA193" s="9">
        <v>0</v>
      </c>
      <c r="AB193" s="9">
        <v>0</v>
      </c>
      <c r="AC193" s="9">
        <v>1</v>
      </c>
      <c r="AD193" s="9">
        <v>0</v>
      </c>
      <c r="AE193" s="8">
        <v>0</v>
      </c>
      <c r="AF193" s="9">
        <v>1</v>
      </c>
      <c r="AG193" s="30">
        <v>0</v>
      </c>
      <c r="AH193" s="9">
        <v>0</v>
      </c>
      <c r="AI193" s="30">
        <v>1</v>
      </c>
      <c r="AJ193" s="21">
        <v>1992</v>
      </c>
      <c r="AK193" s="33">
        <f t="shared" si="48"/>
        <v>0.26250000000000001</v>
      </c>
      <c r="AL193" s="33">
        <v>0.25</v>
      </c>
      <c r="AM193" s="33">
        <v>0.22500000000000001</v>
      </c>
      <c r="AN193" s="43">
        <f t="shared" si="49"/>
        <v>0.26250000000000001</v>
      </c>
      <c r="AO193" s="42">
        <v>0.67</v>
      </c>
      <c r="AP193" s="18">
        <v>0.33</v>
      </c>
      <c r="AQ193">
        <v>0</v>
      </c>
      <c r="AR193" s="40">
        <f t="shared" si="45"/>
        <v>1</v>
      </c>
      <c r="AS193">
        <v>0.38</v>
      </c>
      <c r="AT193" s="40">
        <v>0.62</v>
      </c>
      <c r="AU193">
        <v>0</v>
      </c>
      <c r="AV193" s="18">
        <v>1</v>
      </c>
      <c r="AW193">
        <f t="shared" si="50"/>
        <v>0.44099999999999995</v>
      </c>
      <c r="AX193" s="18">
        <v>0.55900000000000005</v>
      </c>
      <c r="AY193" s="18" t="s">
        <v>10</v>
      </c>
      <c r="AZ193">
        <v>0</v>
      </c>
      <c r="BA193">
        <v>0</v>
      </c>
      <c r="BB193">
        <v>0</v>
      </c>
      <c r="BC193">
        <v>0</v>
      </c>
      <c r="BD193">
        <v>0</v>
      </c>
      <c r="BE193">
        <v>0</v>
      </c>
      <c r="BF193" s="18">
        <v>1</v>
      </c>
      <c r="BG193">
        <v>0</v>
      </c>
      <c r="BH193">
        <v>0</v>
      </c>
      <c r="BI193" s="18">
        <v>1</v>
      </c>
      <c r="BJ193" t="s">
        <v>98</v>
      </c>
      <c r="BK193">
        <v>28</v>
      </c>
      <c r="BL193" s="25">
        <v>40</v>
      </c>
      <c r="BM193">
        <v>1</v>
      </c>
      <c r="BN193">
        <v>0</v>
      </c>
      <c r="BO193">
        <v>0</v>
      </c>
      <c r="BP193">
        <v>0</v>
      </c>
      <c r="BQ193">
        <v>0</v>
      </c>
      <c r="BR193">
        <v>0</v>
      </c>
      <c r="BS193">
        <v>0</v>
      </c>
      <c r="BT193" s="18">
        <v>0</v>
      </c>
      <c r="BU193">
        <v>0</v>
      </c>
      <c r="BV193">
        <v>1</v>
      </c>
      <c r="BW193">
        <v>0</v>
      </c>
      <c r="BX193" s="18">
        <v>0</v>
      </c>
      <c r="BY193">
        <v>1</v>
      </c>
      <c r="BZ193">
        <v>0</v>
      </c>
      <c r="CA193">
        <v>0</v>
      </c>
      <c r="CB193">
        <v>0</v>
      </c>
      <c r="CC193" s="18">
        <v>0</v>
      </c>
      <c r="CD193">
        <v>0</v>
      </c>
      <c r="CE193">
        <v>0</v>
      </c>
      <c r="CF193">
        <v>1</v>
      </c>
      <c r="CG193">
        <v>1</v>
      </c>
      <c r="CH193">
        <v>0</v>
      </c>
      <c r="CI193">
        <v>0</v>
      </c>
      <c r="CJ193">
        <v>0</v>
      </c>
      <c r="CK193">
        <v>0</v>
      </c>
      <c r="CL193">
        <v>0</v>
      </c>
      <c r="CM193">
        <v>1</v>
      </c>
      <c r="CN193" s="18">
        <v>0</v>
      </c>
      <c r="CO193">
        <v>0</v>
      </c>
      <c r="CP193">
        <v>30</v>
      </c>
      <c r="CQ193">
        <v>0</v>
      </c>
      <c r="CR193">
        <v>1</v>
      </c>
      <c r="CS193">
        <v>12</v>
      </c>
      <c r="CY193" s="34"/>
    </row>
    <row r="194" spans="1:103" x14ac:dyDescent="0.25">
      <c r="A194">
        <v>193</v>
      </c>
      <c r="B194">
        <v>16</v>
      </c>
      <c r="C194" s="25" t="s">
        <v>192</v>
      </c>
      <c r="D194" s="12">
        <v>8.9989155533993994</v>
      </c>
      <c r="E194" s="14">
        <v>2.7604035439875458</v>
      </c>
      <c r="F194" s="7">
        <v>3.26</v>
      </c>
      <c r="G194" s="7">
        <f t="shared" ref="G194:G257" si="51">D194-E194</f>
        <v>6.2385120094118536</v>
      </c>
      <c r="H194" s="16">
        <f t="shared" ref="H194:H257" si="52">D194+E194</f>
        <v>11.759319097386946</v>
      </c>
      <c r="I194" s="11">
        <f t="shared" si="39"/>
        <v>5.834814507735156E-2</v>
      </c>
      <c r="J194" s="33">
        <f t="shared" si="40"/>
        <v>1.7898204011457534E-2</v>
      </c>
      <c r="K194" s="33">
        <f t="shared" si="41"/>
        <v>55.871527632596546</v>
      </c>
      <c r="L194" s="8">
        <v>0</v>
      </c>
      <c r="M194" s="9">
        <v>1</v>
      </c>
      <c r="N194" s="8">
        <v>0</v>
      </c>
      <c r="O194" s="9">
        <v>0</v>
      </c>
      <c r="P194" s="9">
        <v>1</v>
      </c>
      <c r="Q194" s="9">
        <v>0</v>
      </c>
      <c r="R194" s="9">
        <v>0</v>
      </c>
      <c r="S194" s="8">
        <v>3124</v>
      </c>
      <c r="T194" s="9">
        <v>12</v>
      </c>
      <c r="U194" s="9">
        <f t="shared" ref="U194:U257" si="53">S194-T194-1</f>
        <v>3111</v>
      </c>
      <c r="V194" s="9">
        <f t="shared" ref="V194:V257" si="54">COUNTIF(B:B,B194)</f>
        <v>48</v>
      </c>
      <c r="W194" s="7">
        <v>9.8249999999999993</v>
      </c>
      <c r="X194" s="7">
        <f t="shared" si="47"/>
        <v>24.175000000000001</v>
      </c>
      <c r="Y194" s="9">
        <v>0</v>
      </c>
      <c r="Z194" s="9">
        <v>1</v>
      </c>
      <c r="AA194" s="9">
        <v>0</v>
      </c>
      <c r="AB194" s="9">
        <v>0</v>
      </c>
      <c r="AC194" s="9">
        <v>1</v>
      </c>
      <c r="AD194" s="9">
        <v>0</v>
      </c>
      <c r="AE194" s="8">
        <v>0</v>
      </c>
      <c r="AF194" s="9">
        <v>1</v>
      </c>
      <c r="AG194" s="30">
        <v>0</v>
      </c>
      <c r="AH194" s="9">
        <v>0</v>
      </c>
      <c r="AI194" s="30">
        <v>1</v>
      </c>
      <c r="AJ194" s="21">
        <v>1992</v>
      </c>
      <c r="AK194" s="33">
        <f t="shared" si="48"/>
        <v>0.26250000000000001</v>
      </c>
      <c r="AL194" s="33">
        <v>0.25</v>
      </c>
      <c r="AM194" s="33">
        <v>0.22500000000000001</v>
      </c>
      <c r="AN194" s="43">
        <f t="shared" si="49"/>
        <v>0.26250000000000001</v>
      </c>
      <c r="AO194" s="42">
        <v>0.67</v>
      </c>
      <c r="AP194" s="18">
        <v>0.33</v>
      </c>
      <c r="AQ194">
        <v>0</v>
      </c>
      <c r="AR194" s="40">
        <f t="shared" si="45"/>
        <v>1</v>
      </c>
      <c r="AS194">
        <v>0.38</v>
      </c>
      <c r="AT194" s="40">
        <v>0.62</v>
      </c>
      <c r="AU194">
        <v>0</v>
      </c>
      <c r="AV194" s="18">
        <v>1</v>
      </c>
      <c r="AW194">
        <f t="shared" si="50"/>
        <v>0.44099999999999995</v>
      </c>
      <c r="AX194" s="18">
        <v>0.55900000000000005</v>
      </c>
      <c r="AY194" s="18" t="s">
        <v>10</v>
      </c>
      <c r="AZ194">
        <v>0</v>
      </c>
      <c r="BA194">
        <v>0</v>
      </c>
      <c r="BB194">
        <v>0</v>
      </c>
      <c r="BC194">
        <v>0</v>
      </c>
      <c r="BD194">
        <v>0</v>
      </c>
      <c r="BE194">
        <v>0</v>
      </c>
      <c r="BF194" s="18">
        <v>1</v>
      </c>
      <c r="BG194">
        <v>0</v>
      </c>
      <c r="BH194">
        <v>0</v>
      </c>
      <c r="BI194" s="18">
        <v>1</v>
      </c>
      <c r="BJ194" t="s">
        <v>98</v>
      </c>
      <c r="BK194">
        <v>28</v>
      </c>
      <c r="BL194" s="25">
        <v>40</v>
      </c>
      <c r="BM194">
        <v>1</v>
      </c>
      <c r="BN194">
        <v>0</v>
      </c>
      <c r="BO194">
        <v>0</v>
      </c>
      <c r="BP194">
        <v>0</v>
      </c>
      <c r="BQ194">
        <v>0</v>
      </c>
      <c r="BR194">
        <v>0</v>
      </c>
      <c r="BS194">
        <v>0</v>
      </c>
      <c r="BT194" s="18">
        <v>0</v>
      </c>
      <c r="BU194">
        <v>0</v>
      </c>
      <c r="BV194">
        <v>1</v>
      </c>
      <c r="BW194">
        <v>0</v>
      </c>
      <c r="BX194" s="18">
        <v>0</v>
      </c>
      <c r="BY194">
        <v>1</v>
      </c>
      <c r="BZ194">
        <v>0</v>
      </c>
      <c r="CA194">
        <v>0</v>
      </c>
      <c r="CB194">
        <v>0</v>
      </c>
      <c r="CC194" s="18">
        <v>0</v>
      </c>
      <c r="CD194">
        <v>0</v>
      </c>
      <c r="CE194">
        <v>0</v>
      </c>
      <c r="CF194">
        <v>1</v>
      </c>
      <c r="CG194">
        <v>1</v>
      </c>
      <c r="CH194">
        <v>0</v>
      </c>
      <c r="CI194">
        <v>0</v>
      </c>
      <c r="CJ194">
        <v>0</v>
      </c>
      <c r="CK194">
        <v>0</v>
      </c>
      <c r="CL194">
        <v>0</v>
      </c>
      <c r="CM194">
        <v>1</v>
      </c>
      <c r="CN194" s="18">
        <v>0</v>
      </c>
      <c r="CO194">
        <v>0</v>
      </c>
      <c r="CP194">
        <v>30</v>
      </c>
      <c r="CQ194">
        <v>0</v>
      </c>
      <c r="CR194">
        <v>1</v>
      </c>
      <c r="CS194">
        <v>12</v>
      </c>
      <c r="CY194" s="34"/>
    </row>
    <row r="195" spans="1:103" x14ac:dyDescent="0.25">
      <c r="A195">
        <v>194</v>
      </c>
      <c r="B195">
        <v>16</v>
      </c>
      <c r="C195" s="25" t="s">
        <v>192</v>
      </c>
      <c r="D195" s="12">
        <v>3.113947038055342</v>
      </c>
      <c r="E195" s="14">
        <v>0.8025636696018924</v>
      </c>
      <c r="F195" s="7">
        <v>3.88</v>
      </c>
      <c r="G195" s="7">
        <f t="shared" si="51"/>
        <v>2.3113833684534497</v>
      </c>
      <c r="H195" s="16">
        <f t="shared" si="52"/>
        <v>3.9165107076572343</v>
      </c>
      <c r="I195" s="11">
        <f t="shared" si="39"/>
        <v>6.9307217002947966E-2</v>
      </c>
      <c r="J195" s="33">
        <f t="shared" si="40"/>
        <v>1.7862684794574219E-2</v>
      </c>
      <c r="K195" s="33">
        <f t="shared" si="41"/>
        <v>55.982625876248427</v>
      </c>
      <c r="L195" s="8">
        <v>0</v>
      </c>
      <c r="M195" s="9">
        <v>1</v>
      </c>
      <c r="N195" s="8">
        <v>0</v>
      </c>
      <c r="O195" s="9">
        <v>0</v>
      </c>
      <c r="P195" s="9">
        <v>1</v>
      </c>
      <c r="Q195" s="9">
        <v>0</v>
      </c>
      <c r="R195" s="9">
        <v>0</v>
      </c>
      <c r="S195" s="8">
        <v>3132</v>
      </c>
      <c r="T195" s="9">
        <v>12</v>
      </c>
      <c r="U195" s="9">
        <f t="shared" si="53"/>
        <v>3119</v>
      </c>
      <c r="V195" s="9">
        <f t="shared" si="54"/>
        <v>48</v>
      </c>
      <c r="W195" s="7">
        <v>9.8249999999999993</v>
      </c>
      <c r="X195" s="7">
        <f t="shared" si="47"/>
        <v>24.175000000000001</v>
      </c>
      <c r="Y195" s="9">
        <v>0</v>
      </c>
      <c r="Z195" s="9">
        <v>1</v>
      </c>
      <c r="AA195" s="9">
        <v>0</v>
      </c>
      <c r="AB195" s="9">
        <v>0</v>
      </c>
      <c r="AC195" s="9">
        <v>1</v>
      </c>
      <c r="AD195" s="9">
        <v>0</v>
      </c>
      <c r="AE195" s="8">
        <v>0</v>
      </c>
      <c r="AF195" s="9">
        <v>1</v>
      </c>
      <c r="AG195" s="30">
        <v>0</v>
      </c>
      <c r="AH195" s="9">
        <v>0</v>
      </c>
      <c r="AI195" s="30">
        <v>1</v>
      </c>
      <c r="AJ195" s="21">
        <v>1992</v>
      </c>
      <c r="AK195" s="33">
        <f t="shared" si="48"/>
        <v>0.26250000000000001</v>
      </c>
      <c r="AL195" s="33">
        <v>0.25</v>
      </c>
      <c r="AM195" s="33">
        <v>0.22500000000000001</v>
      </c>
      <c r="AN195" s="43">
        <f t="shared" si="49"/>
        <v>0.26250000000000001</v>
      </c>
      <c r="AO195" s="42">
        <v>0.67</v>
      </c>
      <c r="AP195" s="18">
        <v>0.33</v>
      </c>
      <c r="AQ195">
        <v>0</v>
      </c>
      <c r="AR195" s="40">
        <f t="shared" si="45"/>
        <v>1</v>
      </c>
      <c r="AS195">
        <v>0.38</v>
      </c>
      <c r="AT195" s="40">
        <v>0.62</v>
      </c>
      <c r="AU195">
        <v>0</v>
      </c>
      <c r="AV195" s="18">
        <v>1</v>
      </c>
      <c r="AW195">
        <f t="shared" si="50"/>
        <v>0.44099999999999995</v>
      </c>
      <c r="AX195" s="18">
        <v>0.55900000000000005</v>
      </c>
      <c r="AY195" s="18" t="s">
        <v>10</v>
      </c>
      <c r="AZ195">
        <v>0</v>
      </c>
      <c r="BA195">
        <v>0</v>
      </c>
      <c r="BB195">
        <v>0</v>
      </c>
      <c r="BC195">
        <v>0</v>
      </c>
      <c r="BD195">
        <v>0</v>
      </c>
      <c r="BE195">
        <v>0</v>
      </c>
      <c r="BF195" s="18">
        <v>1</v>
      </c>
      <c r="BG195">
        <v>0</v>
      </c>
      <c r="BH195">
        <v>0</v>
      </c>
      <c r="BI195" s="18">
        <v>1</v>
      </c>
      <c r="BJ195" t="s">
        <v>98</v>
      </c>
      <c r="BK195">
        <v>28</v>
      </c>
      <c r="BL195" s="25">
        <v>40</v>
      </c>
      <c r="BM195">
        <v>1</v>
      </c>
      <c r="BN195">
        <v>0</v>
      </c>
      <c r="BO195">
        <v>0</v>
      </c>
      <c r="BP195">
        <v>0</v>
      </c>
      <c r="BQ195">
        <v>0</v>
      </c>
      <c r="BR195">
        <v>0</v>
      </c>
      <c r="BS195">
        <v>0</v>
      </c>
      <c r="BT195" s="18">
        <v>0</v>
      </c>
      <c r="BU195">
        <v>0</v>
      </c>
      <c r="BV195">
        <v>1</v>
      </c>
      <c r="BW195">
        <v>0</v>
      </c>
      <c r="BX195" s="18">
        <v>0</v>
      </c>
      <c r="BY195">
        <v>1</v>
      </c>
      <c r="BZ195">
        <v>0</v>
      </c>
      <c r="CA195">
        <v>0</v>
      </c>
      <c r="CB195">
        <v>0</v>
      </c>
      <c r="CC195" s="18">
        <v>0</v>
      </c>
      <c r="CD195">
        <v>0</v>
      </c>
      <c r="CE195">
        <v>0</v>
      </c>
      <c r="CF195">
        <v>1</v>
      </c>
      <c r="CG195">
        <v>1</v>
      </c>
      <c r="CH195">
        <v>0</v>
      </c>
      <c r="CI195">
        <v>0</v>
      </c>
      <c r="CJ195">
        <v>0</v>
      </c>
      <c r="CK195">
        <v>0</v>
      </c>
      <c r="CL195">
        <v>0</v>
      </c>
      <c r="CM195">
        <v>1</v>
      </c>
      <c r="CN195" s="18">
        <v>0</v>
      </c>
      <c r="CO195">
        <v>0</v>
      </c>
      <c r="CP195">
        <v>30</v>
      </c>
      <c r="CQ195">
        <v>0</v>
      </c>
      <c r="CR195">
        <v>1</v>
      </c>
      <c r="CS195">
        <v>12</v>
      </c>
      <c r="CY195" s="34"/>
    </row>
    <row r="196" spans="1:103" x14ac:dyDescent="0.25">
      <c r="A196">
        <v>195</v>
      </c>
      <c r="B196">
        <v>16</v>
      </c>
      <c r="C196" s="25" t="s">
        <v>192</v>
      </c>
      <c r="D196" s="12">
        <v>3.4204697615358488</v>
      </c>
      <c r="E196" s="14">
        <v>0.5516886712154595</v>
      </c>
      <c r="F196" s="7">
        <v>6.2</v>
      </c>
      <c r="G196" s="7">
        <f t="shared" si="51"/>
        <v>2.8687810903203892</v>
      </c>
      <c r="H196" s="16">
        <f t="shared" si="52"/>
        <v>3.9721584327513084</v>
      </c>
      <c r="I196" s="11">
        <f t="shared" si="39"/>
        <v>0.11033775320857062</v>
      </c>
      <c r="J196" s="33">
        <f t="shared" si="40"/>
        <v>1.7796411807833971E-2</v>
      </c>
      <c r="K196" s="33">
        <f t="shared" si="41"/>
        <v>56.191102498527286</v>
      </c>
      <c r="L196" s="8">
        <v>0</v>
      </c>
      <c r="M196" s="9">
        <v>1</v>
      </c>
      <c r="N196" s="8">
        <v>0</v>
      </c>
      <c r="O196" s="9">
        <v>0</v>
      </c>
      <c r="P196" s="9">
        <v>1</v>
      </c>
      <c r="Q196" s="9">
        <v>0</v>
      </c>
      <c r="R196" s="9">
        <v>0</v>
      </c>
      <c r="S196" s="8">
        <v>3132</v>
      </c>
      <c r="T196" s="9">
        <v>12</v>
      </c>
      <c r="U196" s="9">
        <f t="shared" si="53"/>
        <v>3119</v>
      </c>
      <c r="V196" s="9">
        <f t="shared" si="54"/>
        <v>48</v>
      </c>
      <c r="W196" s="7">
        <v>9.8249999999999993</v>
      </c>
      <c r="X196" s="7">
        <f t="shared" si="47"/>
        <v>24.175000000000001</v>
      </c>
      <c r="Y196" s="9">
        <v>0</v>
      </c>
      <c r="Z196" s="9">
        <v>1</v>
      </c>
      <c r="AA196" s="9">
        <v>0</v>
      </c>
      <c r="AB196" s="9">
        <v>0</v>
      </c>
      <c r="AC196" s="9">
        <v>1</v>
      </c>
      <c r="AD196" s="9">
        <v>0</v>
      </c>
      <c r="AE196" s="8">
        <v>0</v>
      </c>
      <c r="AF196" s="9">
        <v>1</v>
      </c>
      <c r="AG196" s="30">
        <v>0</v>
      </c>
      <c r="AH196" s="9">
        <v>0</v>
      </c>
      <c r="AI196" s="30">
        <v>1</v>
      </c>
      <c r="AJ196" s="21">
        <v>1992</v>
      </c>
      <c r="AK196" s="33">
        <f t="shared" si="48"/>
        <v>0.26250000000000001</v>
      </c>
      <c r="AL196" s="33">
        <v>0.25</v>
      </c>
      <c r="AM196" s="33">
        <v>0.22500000000000001</v>
      </c>
      <c r="AN196" s="43">
        <f t="shared" si="49"/>
        <v>0.26250000000000001</v>
      </c>
      <c r="AO196" s="42">
        <v>0.67</v>
      </c>
      <c r="AP196" s="18">
        <v>0.33</v>
      </c>
      <c r="AQ196">
        <v>0</v>
      </c>
      <c r="AR196" s="40">
        <f t="shared" si="45"/>
        <v>1</v>
      </c>
      <c r="AS196">
        <v>0.38</v>
      </c>
      <c r="AT196" s="40">
        <v>0.62</v>
      </c>
      <c r="AU196">
        <v>0</v>
      </c>
      <c r="AV196" s="18">
        <v>1</v>
      </c>
      <c r="AW196">
        <f t="shared" si="50"/>
        <v>0.44099999999999995</v>
      </c>
      <c r="AX196" s="18">
        <v>0.55900000000000005</v>
      </c>
      <c r="AY196" s="18" t="s">
        <v>10</v>
      </c>
      <c r="AZ196">
        <v>0</v>
      </c>
      <c r="BA196">
        <v>0</v>
      </c>
      <c r="BB196">
        <v>0</v>
      </c>
      <c r="BC196">
        <v>0</v>
      </c>
      <c r="BD196">
        <v>0</v>
      </c>
      <c r="BE196">
        <v>0</v>
      </c>
      <c r="BF196" s="18">
        <v>1</v>
      </c>
      <c r="BG196">
        <v>0</v>
      </c>
      <c r="BH196">
        <v>0</v>
      </c>
      <c r="BI196" s="18">
        <v>1</v>
      </c>
      <c r="BJ196" t="s">
        <v>98</v>
      </c>
      <c r="BK196">
        <v>28</v>
      </c>
      <c r="BL196" s="25">
        <v>40</v>
      </c>
      <c r="BM196">
        <v>1</v>
      </c>
      <c r="BN196">
        <v>0</v>
      </c>
      <c r="BO196">
        <v>0</v>
      </c>
      <c r="BP196">
        <v>0</v>
      </c>
      <c r="BQ196">
        <v>0</v>
      </c>
      <c r="BR196">
        <v>0</v>
      </c>
      <c r="BS196">
        <v>0</v>
      </c>
      <c r="BT196" s="18">
        <v>0</v>
      </c>
      <c r="BU196">
        <v>0</v>
      </c>
      <c r="BV196">
        <v>1</v>
      </c>
      <c r="BW196">
        <v>0</v>
      </c>
      <c r="BX196" s="18">
        <v>0</v>
      </c>
      <c r="BY196">
        <v>1</v>
      </c>
      <c r="BZ196">
        <v>0</v>
      </c>
      <c r="CA196">
        <v>0</v>
      </c>
      <c r="CB196">
        <v>0</v>
      </c>
      <c r="CC196" s="18">
        <v>0</v>
      </c>
      <c r="CD196">
        <v>0</v>
      </c>
      <c r="CE196">
        <v>0</v>
      </c>
      <c r="CF196">
        <v>1</v>
      </c>
      <c r="CG196">
        <v>1</v>
      </c>
      <c r="CH196">
        <v>0</v>
      </c>
      <c r="CI196">
        <v>0</v>
      </c>
      <c r="CJ196">
        <v>0</v>
      </c>
      <c r="CK196">
        <v>0</v>
      </c>
      <c r="CL196">
        <v>0</v>
      </c>
      <c r="CM196">
        <v>1</v>
      </c>
      <c r="CN196" s="18">
        <v>0</v>
      </c>
      <c r="CO196">
        <v>0</v>
      </c>
      <c r="CP196">
        <v>30</v>
      </c>
      <c r="CQ196">
        <v>0</v>
      </c>
      <c r="CR196">
        <v>1</v>
      </c>
      <c r="CS196">
        <v>12</v>
      </c>
      <c r="CY196" s="34"/>
    </row>
    <row r="197" spans="1:103" x14ac:dyDescent="0.25">
      <c r="A197">
        <v>196</v>
      </c>
      <c r="B197">
        <v>16</v>
      </c>
      <c r="C197" s="25" t="s">
        <v>192</v>
      </c>
      <c r="D197" s="12">
        <v>6.1386401508842336</v>
      </c>
      <c r="E197" s="14">
        <v>1.090344609393292</v>
      </c>
      <c r="F197" s="7">
        <v>5.63</v>
      </c>
      <c r="G197" s="7">
        <f t="shared" si="51"/>
        <v>5.0482955414909414</v>
      </c>
      <c r="H197" s="16">
        <f t="shared" si="52"/>
        <v>7.2289847602775259</v>
      </c>
      <c r="I197" s="11">
        <f t="shared" si="39"/>
        <v>0.10030095821492577</v>
      </c>
      <c r="J197" s="33">
        <f t="shared" si="40"/>
        <v>1.7815445508867808E-2</v>
      </c>
      <c r="K197" s="33">
        <f t="shared" si="41"/>
        <v>56.131068936908733</v>
      </c>
      <c r="L197" s="8">
        <v>0</v>
      </c>
      <c r="M197" s="9">
        <v>1</v>
      </c>
      <c r="N197" s="8">
        <v>0</v>
      </c>
      <c r="O197" s="9">
        <v>0</v>
      </c>
      <c r="P197" s="9">
        <v>1</v>
      </c>
      <c r="Q197" s="9">
        <v>0</v>
      </c>
      <c r="R197" s="9">
        <v>0</v>
      </c>
      <c r="S197" s="8">
        <v>3132</v>
      </c>
      <c r="T197" s="9">
        <v>12</v>
      </c>
      <c r="U197" s="9">
        <f t="shared" si="53"/>
        <v>3119</v>
      </c>
      <c r="V197" s="9">
        <f t="shared" si="54"/>
        <v>48</v>
      </c>
      <c r="W197" s="7">
        <v>9.8249999999999993</v>
      </c>
      <c r="X197" s="7">
        <f t="shared" si="47"/>
        <v>24.175000000000001</v>
      </c>
      <c r="Y197" s="9">
        <v>0</v>
      </c>
      <c r="Z197" s="9">
        <v>1</v>
      </c>
      <c r="AA197" s="9">
        <v>0</v>
      </c>
      <c r="AB197" s="9">
        <v>0</v>
      </c>
      <c r="AC197" s="9">
        <v>1</v>
      </c>
      <c r="AD197" s="9">
        <v>0</v>
      </c>
      <c r="AE197" s="8">
        <v>0</v>
      </c>
      <c r="AF197" s="9">
        <v>1</v>
      </c>
      <c r="AG197" s="30">
        <v>0</v>
      </c>
      <c r="AH197" s="9">
        <v>0</v>
      </c>
      <c r="AI197" s="30">
        <v>1</v>
      </c>
      <c r="AJ197" s="21">
        <v>1992</v>
      </c>
      <c r="AK197" s="33">
        <f t="shared" si="48"/>
        <v>0.26250000000000001</v>
      </c>
      <c r="AL197" s="33">
        <v>0.25</v>
      </c>
      <c r="AM197" s="33">
        <v>0.22500000000000001</v>
      </c>
      <c r="AN197" s="43">
        <f t="shared" si="49"/>
        <v>0.26250000000000001</v>
      </c>
      <c r="AO197" s="42">
        <v>0.67</v>
      </c>
      <c r="AP197" s="18">
        <v>0.33</v>
      </c>
      <c r="AQ197">
        <v>0</v>
      </c>
      <c r="AR197" s="40">
        <f t="shared" si="45"/>
        <v>1</v>
      </c>
      <c r="AS197">
        <v>0.38</v>
      </c>
      <c r="AT197" s="40">
        <v>0.62</v>
      </c>
      <c r="AU197">
        <v>0</v>
      </c>
      <c r="AV197" s="18">
        <v>1</v>
      </c>
      <c r="AW197">
        <f t="shared" si="50"/>
        <v>0.44099999999999995</v>
      </c>
      <c r="AX197" s="18">
        <v>0.55900000000000005</v>
      </c>
      <c r="AY197" s="18" t="s">
        <v>10</v>
      </c>
      <c r="AZ197">
        <v>0</v>
      </c>
      <c r="BA197">
        <v>0</v>
      </c>
      <c r="BB197">
        <v>0</v>
      </c>
      <c r="BC197">
        <v>0</v>
      </c>
      <c r="BD197">
        <v>0</v>
      </c>
      <c r="BE197">
        <v>0</v>
      </c>
      <c r="BF197" s="18">
        <v>1</v>
      </c>
      <c r="BG197">
        <v>0</v>
      </c>
      <c r="BH197">
        <v>0</v>
      </c>
      <c r="BI197" s="18">
        <v>1</v>
      </c>
      <c r="BJ197" t="s">
        <v>98</v>
      </c>
      <c r="BK197">
        <v>28</v>
      </c>
      <c r="BL197" s="25">
        <v>40</v>
      </c>
      <c r="BM197">
        <v>1</v>
      </c>
      <c r="BN197">
        <v>0</v>
      </c>
      <c r="BO197">
        <v>0</v>
      </c>
      <c r="BP197">
        <v>0</v>
      </c>
      <c r="BQ197">
        <v>0</v>
      </c>
      <c r="BR197">
        <v>0</v>
      </c>
      <c r="BS197">
        <v>0</v>
      </c>
      <c r="BT197" s="18">
        <v>0</v>
      </c>
      <c r="BU197">
        <v>0</v>
      </c>
      <c r="BV197">
        <v>1</v>
      </c>
      <c r="BW197">
        <v>0</v>
      </c>
      <c r="BX197" s="18">
        <v>0</v>
      </c>
      <c r="BY197">
        <v>1</v>
      </c>
      <c r="BZ197">
        <v>0</v>
      </c>
      <c r="CA197">
        <v>0</v>
      </c>
      <c r="CB197">
        <v>0</v>
      </c>
      <c r="CC197" s="18">
        <v>0</v>
      </c>
      <c r="CD197">
        <v>0</v>
      </c>
      <c r="CE197">
        <v>0</v>
      </c>
      <c r="CF197">
        <v>1</v>
      </c>
      <c r="CG197">
        <v>1</v>
      </c>
      <c r="CH197">
        <v>0</v>
      </c>
      <c r="CI197">
        <v>0</v>
      </c>
      <c r="CJ197">
        <v>0</v>
      </c>
      <c r="CK197">
        <v>0</v>
      </c>
      <c r="CL197">
        <v>0</v>
      </c>
      <c r="CM197">
        <v>1</v>
      </c>
      <c r="CN197" s="18">
        <v>0</v>
      </c>
      <c r="CO197">
        <v>0</v>
      </c>
      <c r="CP197">
        <v>30</v>
      </c>
      <c r="CQ197">
        <v>0</v>
      </c>
      <c r="CR197">
        <v>1</v>
      </c>
      <c r="CS197">
        <v>12</v>
      </c>
      <c r="CY197" s="34"/>
    </row>
    <row r="198" spans="1:103" x14ac:dyDescent="0.25">
      <c r="A198">
        <v>197</v>
      </c>
      <c r="B198">
        <v>16</v>
      </c>
      <c r="C198" s="25" t="s">
        <v>192</v>
      </c>
      <c r="D198" s="12">
        <v>9.1285224080682958</v>
      </c>
      <c r="E198" s="14">
        <v>2.7578617547034132</v>
      </c>
      <c r="F198" s="7">
        <v>3.31</v>
      </c>
      <c r="G198" s="7">
        <f t="shared" si="51"/>
        <v>6.3706606533648831</v>
      </c>
      <c r="H198" s="16">
        <f t="shared" si="52"/>
        <v>11.886384162771709</v>
      </c>
      <c r="I198" s="11">
        <f t="shared" si="39"/>
        <v>5.9164182853938298E-2</v>
      </c>
      <c r="J198" s="33">
        <f t="shared" si="40"/>
        <v>1.7874375484573501E-2</v>
      </c>
      <c r="K198" s="33">
        <f t="shared" si="41"/>
        <v>55.946010581631292</v>
      </c>
      <c r="L198" s="8">
        <v>0</v>
      </c>
      <c r="M198" s="9">
        <v>1</v>
      </c>
      <c r="N198" s="8">
        <v>0</v>
      </c>
      <c r="O198" s="9">
        <v>0</v>
      </c>
      <c r="P198" s="9">
        <v>1</v>
      </c>
      <c r="Q198" s="9">
        <v>0</v>
      </c>
      <c r="R198" s="9">
        <v>0</v>
      </c>
      <c r="S198" s="8">
        <v>3132</v>
      </c>
      <c r="T198" s="9">
        <v>12</v>
      </c>
      <c r="U198" s="9">
        <f t="shared" si="53"/>
        <v>3119</v>
      </c>
      <c r="V198" s="9">
        <f t="shared" si="54"/>
        <v>48</v>
      </c>
      <c r="W198" s="7">
        <v>9.8249999999999993</v>
      </c>
      <c r="X198" s="7">
        <f t="shared" si="47"/>
        <v>24.175000000000001</v>
      </c>
      <c r="Y198" s="9">
        <v>0</v>
      </c>
      <c r="Z198" s="9">
        <v>1</v>
      </c>
      <c r="AA198" s="9">
        <v>0</v>
      </c>
      <c r="AB198" s="9">
        <v>0</v>
      </c>
      <c r="AC198" s="9">
        <v>1</v>
      </c>
      <c r="AD198" s="9">
        <v>0</v>
      </c>
      <c r="AE198" s="8">
        <v>0</v>
      </c>
      <c r="AF198" s="9">
        <v>1</v>
      </c>
      <c r="AG198" s="30">
        <v>0</v>
      </c>
      <c r="AH198" s="9">
        <v>0</v>
      </c>
      <c r="AI198" s="30">
        <v>1</v>
      </c>
      <c r="AJ198" s="21">
        <v>1992</v>
      </c>
      <c r="AK198" s="33">
        <f t="shared" si="48"/>
        <v>0.26250000000000001</v>
      </c>
      <c r="AL198" s="33">
        <v>0.25</v>
      </c>
      <c r="AM198" s="33">
        <v>0.22500000000000001</v>
      </c>
      <c r="AN198" s="43">
        <f t="shared" si="49"/>
        <v>0.26250000000000001</v>
      </c>
      <c r="AO198" s="42">
        <v>0.67</v>
      </c>
      <c r="AP198" s="18">
        <v>0.33</v>
      </c>
      <c r="AQ198">
        <v>0</v>
      </c>
      <c r="AR198" s="40">
        <f t="shared" si="45"/>
        <v>1</v>
      </c>
      <c r="AS198">
        <v>0.38</v>
      </c>
      <c r="AT198" s="40">
        <v>0.62</v>
      </c>
      <c r="AU198">
        <v>0</v>
      </c>
      <c r="AV198" s="18">
        <v>1</v>
      </c>
      <c r="AW198">
        <f t="shared" si="50"/>
        <v>0.44099999999999995</v>
      </c>
      <c r="AX198" s="18">
        <v>0.55900000000000005</v>
      </c>
      <c r="AY198" s="18" t="s">
        <v>10</v>
      </c>
      <c r="AZ198">
        <v>0</v>
      </c>
      <c r="BA198">
        <v>0</v>
      </c>
      <c r="BB198">
        <v>0</v>
      </c>
      <c r="BC198">
        <v>0</v>
      </c>
      <c r="BD198">
        <v>0</v>
      </c>
      <c r="BE198">
        <v>0</v>
      </c>
      <c r="BF198" s="18">
        <v>1</v>
      </c>
      <c r="BG198">
        <v>0</v>
      </c>
      <c r="BH198">
        <v>0</v>
      </c>
      <c r="BI198" s="18">
        <v>1</v>
      </c>
      <c r="BJ198" t="s">
        <v>98</v>
      </c>
      <c r="BK198">
        <v>28</v>
      </c>
      <c r="BL198" s="25">
        <v>40</v>
      </c>
      <c r="BM198">
        <v>1</v>
      </c>
      <c r="BN198">
        <v>0</v>
      </c>
      <c r="BO198">
        <v>0</v>
      </c>
      <c r="BP198">
        <v>0</v>
      </c>
      <c r="BQ198">
        <v>0</v>
      </c>
      <c r="BR198">
        <v>0</v>
      </c>
      <c r="BS198">
        <v>0</v>
      </c>
      <c r="BT198" s="18">
        <v>0</v>
      </c>
      <c r="BU198">
        <v>0</v>
      </c>
      <c r="BV198">
        <v>1</v>
      </c>
      <c r="BW198">
        <v>0</v>
      </c>
      <c r="BX198" s="18">
        <v>0</v>
      </c>
      <c r="BY198">
        <v>1</v>
      </c>
      <c r="BZ198">
        <v>0</v>
      </c>
      <c r="CA198">
        <v>0</v>
      </c>
      <c r="CB198">
        <v>0</v>
      </c>
      <c r="CC198" s="18">
        <v>0</v>
      </c>
      <c r="CD198">
        <v>0</v>
      </c>
      <c r="CE198">
        <v>0</v>
      </c>
      <c r="CF198">
        <v>1</v>
      </c>
      <c r="CG198">
        <v>1</v>
      </c>
      <c r="CH198">
        <v>0</v>
      </c>
      <c r="CI198">
        <v>0</v>
      </c>
      <c r="CJ198">
        <v>0</v>
      </c>
      <c r="CK198">
        <v>0</v>
      </c>
      <c r="CL198">
        <v>0</v>
      </c>
      <c r="CM198">
        <v>1</v>
      </c>
      <c r="CN198" s="18">
        <v>0</v>
      </c>
      <c r="CO198">
        <v>0</v>
      </c>
      <c r="CP198">
        <v>30</v>
      </c>
      <c r="CQ198">
        <v>0</v>
      </c>
      <c r="CR198">
        <v>1</v>
      </c>
      <c r="CS198">
        <v>12</v>
      </c>
      <c r="CY198" s="34"/>
    </row>
    <row r="199" spans="1:103" x14ac:dyDescent="0.25">
      <c r="A199">
        <v>198</v>
      </c>
      <c r="B199">
        <v>16</v>
      </c>
      <c r="C199" s="25" t="s">
        <v>192</v>
      </c>
      <c r="D199" s="12">
        <v>0.28134699097197569</v>
      </c>
      <c r="E199" s="14">
        <v>0.82749114991757544</v>
      </c>
      <c r="F199" s="7">
        <v>0.34</v>
      </c>
      <c r="G199" s="7">
        <f t="shared" si="51"/>
        <v>-0.54614415894559976</v>
      </c>
      <c r="H199" s="16">
        <f t="shared" si="52"/>
        <v>1.1088381408895511</v>
      </c>
      <c r="I199" s="11">
        <f t="shared" si="39"/>
        <v>5.9239242863641309E-3</v>
      </c>
      <c r="J199" s="33">
        <f t="shared" si="40"/>
        <v>1.7423306724600386E-2</v>
      </c>
      <c r="K199" s="33">
        <f t="shared" si="41"/>
        <v>57.394386485091026</v>
      </c>
      <c r="L199" s="8">
        <v>0</v>
      </c>
      <c r="M199" s="9">
        <v>1</v>
      </c>
      <c r="N199" s="8">
        <v>0</v>
      </c>
      <c r="O199" s="9">
        <v>0</v>
      </c>
      <c r="P199" s="9">
        <v>1</v>
      </c>
      <c r="Q199" s="9">
        <v>0</v>
      </c>
      <c r="R199" s="9">
        <v>0</v>
      </c>
      <c r="S199" s="8">
        <v>3307</v>
      </c>
      <c r="T199" s="9">
        <v>12</v>
      </c>
      <c r="U199" s="9">
        <f t="shared" si="53"/>
        <v>3294</v>
      </c>
      <c r="V199" s="9">
        <f t="shared" si="54"/>
        <v>48</v>
      </c>
      <c r="W199" s="7">
        <v>10.52</v>
      </c>
      <c r="X199" s="7">
        <f t="shared" si="47"/>
        <v>23.48</v>
      </c>
      <c r="Y199" s="9">
        <v>0</v>
      </c>
      <c r="Z199" s="9">
        <v>1</v>
      </c>
      <c r="AA199" s="9">
        <v>0</v>
      </c>
      <c r="AB199" s="9">
        <v>0</v>
      </c>
      <c r="AC199" s="9">
        <v>1</v>
      </c>
      <c r="AD199" s="9">
        <v>0</v>
      </c>
      <c r="AE199" s="8">
        <v>0</v>
      </c>
      <c r="AF199" s="9">
        <v>1</v>
      </c>
      <c r="AG199" s="30">
        <v>0</v>
      </c>
      <c r="AH199" s="9">
        <v>0</v>
      </c>
      <c r="AI199" s="30">
        <v>1</v>
      </c>
      <c r="AJ199" s="21">
        <v>1992</v>
      </c>
      <c r="AK199" s="33">
        <f t="shared" si="48"/>
        <v>0.17</v>
      </c>
      <c r="AL199" s="33">
        <v>0.2</v>
      </c>
      <c r="AM199" s="33">
        <v>0.46</v>
      </c>
      <c r="AN199" s="43">
        <f t="shared" si="49"/>
        <v>0.17</v>
      </c>
      <c r="AO199" s="42">
        <v>0.67</v>
      </c>
      <c r="AP199" s="18">
        <v>0.33</v>
      </c>
      <c r="AQ199">
        <v>1</v>
      </c>
      <c r="AR199" s="40">
        <f t="shared" si="45"/>
        <v>0</v>
      </c>
      <c r="AS199">
        <v>0.31</v>
      </c>
      <c r="AT199" s="40">
        <v>0.69</v>
      </c>
      <c r="AU199">
        <v>0</v>
      </c>
      <c r="AV199" s="18">
        <v>1</v>
      </c>
      <c r="AW199">
        <f t="shared" si="50"/>
        <v>0.56800000000000006</v>
      </c>
      <c r="AX199" s="18">
        <v>0.432</v>
      </c>
      <c r="AY199" s="18" t="s">
        <v>10</v>
      </c>
      <c r="AZ199">
        <v>0</v>
      </c>
      <c r="BA199">
        <v>0</v>
      </c>
      <c r="BB199">
        <v>0</v>
      </c>
      <c r="BC199">
        <v>0</v>
      </c>
      <c r="BD199">
        <v>0</v>
      </c>
      <c r="BE199">
        <v>0</v>
      </c>
      <c r="BF199" s="18">
        <v>1</v>
      </c>
      <c r="BG199">
        <v>0</v>
      </c>
      <c r="BH199">
        <v>0</v>
      </c>
      <c r="BI199" s="18">
        <v>1</v>
      </c>
      <c r="BJ199" t="s">
        <v>98</v>
      </c>
      <c r="BK199">
        <v>28</v>
      </c>
      <c r="BL199" s="25">
        <v>40</v>
      </c>
      <c r="BM199">
        <v>1</v>
      </c>
      <c r="BN199">
        <v>0</v>
      </c>
      <c r="BO199">
        <v>0</v>
      </c>
      <c r="BP199">
        <v>0</v>
      </c>
      <c r="BQ199">
        <v>0</v>
      </c>
      <c r="BR199">
        <v>0</v>
      </c>
      <c r="BS199">
        <v>0</v>
      </c>
      <c r="BT199" s="18">
        <v>0</v>
      </c>
      <c r="BU199">
        <v>0</v>
      </c>
      <c r="BV199">
        <v>1</v>
      </c>
      <c r="BW199">
        <v>0</v>
      </c>
      <c r="BX199" s="18">
        <v>0</v>
      </c>
      <c r="BY199">
        <v>1</v>
      </c>
      <c r="BZ199">
        <v>0</v>
      </c>
      <c r="CA199">
        <v>0</v>
      </c>
      <c r="CB199">
        <v>0</v>
      </c>
      <c r="CC199" s="18">
        <v>0</v>
      </c>
      <c r="CD199">
        <v>0</v>
      </c>
      <c r="CE199">
        <v>0</v>
      </c>
      <c r="CF199">
        <v>1</v>
      </c>
      <c r="CG199">
        <v>1</v>
      </c>
      <c r="CH199">
        <v>0</v>
      </c>
      <c r="CI199">
        <v>0</v>
      </c>
      <c r="CJ199">
        <v>0</v>
      </c>
      <c r="CK199">
        <v>0</v>
      </c>
      <c r="CL199">
        <v>0</v>
      </c>
      <c r="CM199">
        <v>1</v>
      </c>
      <c r="CN199" s="18">
        <v>0</v>
      </c>
      <c r="CO199">
        <v>0</v>
      </c>
      <c r="CP199">
        <v>30</v>
      </c>
      <c r="CQ199">
        <v>0</v>
      </c>
      <c r="CR199">
        <v>1</v>
      </c>
      <c r="CS199">
        <v>12</v>
      </c>
      <c r="CY199" s="34"/>
    </row>
    <row r="200" spans="1:103" x14ac:dyDescent="0.25">
      <c r="A200">
        <v>199</v>
      </c>
      <c r="B200">
        <v>16</v>
      </c>
      <c r="C200" s="25" t="s">
        <v>192</v>
      </c>
      <c r="D200" s="12">
        <v>4.0253591233167851</v>
      </c>
      <c r="E200" s="14">
        <v>1.045547824238126</v>
      </c>
      <c r="F200" s="7">
        <v>3.85</v>
      </c>
      <c r="G200" s="7">
        <f t="shared" si="51"/>
        <v>2.9798112990786594</v>
      </c>
      <c r="H200" s="16">
        <f t="shared" si="52"/>
        <v>5.0709069475549109</v>
      </c>
      <c r="I200" s="11">
        <f t="shared" ref="I200:I263" si="55">IFERROR(F200/SQRT(F200^2+U200), "X")</f>
        <v>6.6930488438157312E-2</v>
      </c>
      <c r="J200" s="33">
        <f t="shared" ref="J200:J263" si="56">IFERROR(SQRT((1-I200^2)/U200), "X")</f>
        <v>1.7384542451469431E-2</v>
      </c>
      <c r="K200" s="33">
        <f t="shared" ref="K200:K263" si="57">IFERROR(1/J200, "X")</f>
        <v>57.522365215627225</v>
      </c>
      <c r="L200" s="8">
        <v>0</v>
      </c>
      <c r="M200" s="9">
        <v>1</v>
      </c>
      <c r="N200" s="8">
        <v>0</v>
      </c>
      <c r="O200" s="9">
        <v>0</v>
      </c>
      <c r="P200" s="9">
        <v>1</v>
      </c>
      <c r="Q200" s="9">
        <v>0</v>
      </c>
      <c r="R200" s="9">
        <v>0</v>
      </c>
      <c r="S200" s="8">
        <v>3307</v>
      </c>
      <c r="T200" s="9">
        <v>12</v>
      </c>
      <c r="U200" s="9">
        <f t="shared" si="53"/>
        <v>3294</v>
      </c>
      <c r="V200" s="9">
        <f t="shared" si="54"/>
        <v>48</v>
      </c>
      <c r="W200" s="7">
        <v>10.52</v>
      </c>
      <c r="X200" s="7">
        <f t="shared" si="47"/>
        <v>23.48</v>
      </c>
      <c r="Y200" s="9">
        <v>0</v>
      </c>
      <c r="Z200" s="9">
        <v>1</v>
      </c>
      <c r="AA200" s="9">
        <v>0</v>
      </c>
      <c r="AB200" s="9">
        <v>0</v>
      </c>
      <c r="AC200" s="9">
        <v>1</v>
      </c>
      <c r="AD200" s="9">
        <v>0</v>
      </c>
      <c r="AE200" s="8">
        <v>0</v>
      </c>
      <c r="AF200" s="9">
        <v>1</v>
      </c>
      <c r="AG200" s="30">
        <v>0</v>
      </c>
      <c r="AH200" s="9">
        <v>0</v>
      </c>
      <c r="AI200" s="30">
        <v>1</v>
      </c>
      <c r="AJ200" s="21">
        <v>1992</v>
      </c>
      <c r="AK200" s="33">
        <f t="shared" si="48"/>
        <v>0.17</v>
      </c>
      <c r="AL200" s="33">
        <v>0.2</v>
      </c>
      <c r="AM200" s="33">
        <v>0.46</v>
      </c>
      <c r="AN200" s="43">
        <f t="shared" si="49"/>
        <v>0.17</v>
      </c>
      <c r="AO200" s="42">
        <v>0.67</v>
      </c>
      <c r="AP200" s="18">
        <v>0.33</v>
      </c>
      <c r="AQ200">
        <v>1</v>
      </c>
      <c r="AR200" s="40">
        <f t="shared" si="45"/>
        <v>0</v>
      </c>
      <c r="AS200">
        <v>0.31</v>
      </c>
      <c r="AT200" s="40">
        <v>0.69</v>
      </c>
      <c r="AU200">
        <v>0</v>
      </c>
      <c r="AV200" s="18">
        <v>1</v>
      </c>
      <c r="AW200">
        <f t="shared" si="50"/>
        <v>0.56800000000000006</v>
      </c>
      <c r="AX200" s="18">
        <v>0.432</v>
      </c>
      <c r="AY200" s="18" t="s">
        <v>10</v>
      </c>
      <c r="AZ200">
        <v>0</v>
      </c>
      <c r="BA200">
        <v>0</v>
      </c>
      <c r="BB200">
        <v>0</v>
      </c>
      <c r="BC200">
        <v>0</v>
      </c>
      <c r="BD200">
        <v>0</v>
      </c>
      <c r="BE200">
        <v>0</v>
      </c>
      <c r="BF200" s="18">
        <v>1</v>
      </c>
      <c r="BG200">
        <v>0</v>
      </c>
      <c r="BH200">
        <v>0</v>
      </c>
      <c r="BI200" s="18">
        <v>1</v>
      </c>
      <c r="BJ200" t="s">
        <v>98</v>
      </c>
      <c r="BK200">
        <v>28</v>
      </c>
      <c r="BL200" s="25">
        <v>40</v>
      </c>
      <c r="BM200">
        <v>1</v>
      </c>
      <c r="BN200">
        <v>0</v>
      </c>
      <c r="BO200">
        <v>0</v>
      </c>
      <c r="BP200">
        <v>0</v>
      </c>
      <c r="BQ200">
        <v>0</v>
      </c>
      <c r="BR200">
        <v>0</v>
      </c>
      <c r="BS200">
        <v>0</v>
      </c>
      <c r="BT200" s="18">
        <v>0</v>
      </c>
      <c r="BU200">
        <v>0</v>
      </c>
      <c r="BV200">
        <v>1</v>
      </c>
      <c r="BW200">
        <v>0</v>
      </c>
      <c r="BX200" s="18">
        <v>0</v>
      </c>
      <c r="BY200">
        <v>1</v>
      </c>
      <c r="BZ200">
        <v>0</v>
      </c>
      <c r="CA200">
        <v>0</v>
      </c>
      <c r="CB200">
        <v>0</v>
      </c>
      <c r="CC200" s="18">
        <v>0</v>
      </c>
      <c r="CD200">
        <v>0</v>
      </c>
      <c r="CE200">
        <v>0</v>
      </c>
      <c r="CF200">
        <v>1</v>
      </c>
      <c r="CG200">
        <v>1</v>
      </c>
      <c r="CH200">
        <v>0</v>
      </c>
      <c r="CI200">
        <v>0</v>
      </c>
      <c r="CJ200">
        <v>0</v>
      </c>
      <c r="CK200">
        <v>0</v>
      </c>
      <c r="CL200">
        <v>0</v>
      </c>
      <c r="CM200">
        <v>1</v>
      </c>
      <c r="CN200" s="18">
        <v>0</v>
      </c>
      <c r="CO200">
        <v>0</v>
      </c>
      <c r="CP200">
        <v>30</v>
      </c>
      <c r="CQ200">
        <v>0</v>
      </c>
      <c r="CR200">
        <v>1</v>
      </c>
      <c r="CS200">
        <v>12</v>
      </c>
      <c r="CY200" s="34"/>
    </row>
    <row r="201" spans="1:103" x14ac:dyDescent="0.25">
      <c r="A201">
        <v>200</v>
      </c>
      <c r="B201">
        <v>16</v>
      </c>
      <c r="C201" s="25" t="s">
        <v>192</v>
      </c>
      <c r="D201" s="12">
        <v>6.5762756635474151</v>
      </c>
      <c r="E201" s="14">
        <v>1.0086312367404009</v>
      </c>
      <c r="F201" s="7">
        <v>6.52</v>
      </c>
      <c r="G201" s="7">
        <f t="shared" si="51"/>
        <v>5.5676444268070142</v>
      </c>
      <c r="H201" s="16">
        <f t="shared" si="52"/>
        <v>7.584906900287816</v>
      </c>
      <c r="I201" s="11">
        <f t="shared" si="55"/>
        <v>0.1128759333102024</v>
      </c>
      <c r="J201" s="33">
        <f t="shared" si="56"/>
        <v>1.7312259710153745E-2</v>
      </c>
      <c r="K201" s="33">
        <f t="shared" si="57"/>
        <v>57.762534570428954</v>
      </c>
      <c r="L201" s="8">
        <v>0</v>
      </c>
      <c r="M201" s="9">
        <v>1</v>
      </c>
      <c r="N201" s="8">
        <v>0</v>
      </c>
      <c r="O201" s="9">
        <v>0</v>
      </c>
      <c r="P201" s="9">
        <v>1</v>
      </c>
      <c r="Q201" s="9">
        <v>0</v>
      </c>
      <c r="R201" s="9">
        <v>0</v>
      </c>
      <c r="S201" s="8">
        <v>3307</v>
      </c>
      <c r="T201" s="9">
        <v>12</v>
      </c>
      <c r="U201" s="9">
        <f t="shared" si="53"/>
        <v>3294</v>
      </c>
      <c r="V201" s="9">
        <f t="shared" si="54"/>
        <v>48</v>
      </c>
      <c r="W201" s="7">
        <v>10.52</v>
      </c>
      <c r="X201" s="7">
        <f t="shared" si="47"/>
        <v>23.48</v>
      </c>
      <c r="Y201" s="9">
        <v>0</v>
      </c>
      <c r="Z201" s="9">
        <v>1</v>
      </c>
      <c r="AA201" s="9">
        <v>0</v>
      </c>
      <c r="AB201" s="9">
        <v>0</v>
      </c>
      <c r="AC201" s="9">
        <v>1</v>
      </c>
      <c r="AD201" s="9">
        <v>0</v>
      </c>
      <c r="AE201" s="8">
        <v>0</v>
      </c>
      <c r="AF201" s="9">
        <v>1</v>
      </c>
      <c r="AG201" s="30">
        <v>0</v>
      </c>
      <c r="AH201" s="9">
        <v>0</v>
      </c>
      <c r="AI201" s="30">
        <v>1</v>
      </c>
      <c r="AJ201" s="21">
        <v>1992</v>
      </c>
      <c r="AK201" s="33">
        <f t="shared" si="48"/>
        <v>0.17</v>
      </c>
      <c r="AL201" s="33">
        <v>0.2</v>
      </c>
      <c r="AM201" s="33">
        <v>0.46</v>
      </c>
      <c r="AN201" s="43">
        <f t="shared" si="49"/>
        <v>0.17</v>
      </c>
      <c r="AO201" s="42">
        <v>0.67</v>
      </c>
      <c r="AP201" s="18">
        <v>0.33</v>
      </c>
      <c r="AQ201">
        <v>1</v>
      </c>
      <c r="AR201" s="40">
        <f t="shared" si="45"/>
        <v>0</v>
      </c>
      <c r="AS201">
        <v>0.31</v>
      </c>
      <c r="AT201" s="40">
        <v>0.69</v>
      </c>
      <c r="AU201">
        <v>0</v>
      </c>
      <c r="AV201" s="18">
        <v>1</v>
      </c>
      <c r="AW201">
        <f t="shared" si="50"/>
        <v>0.56800000000000006</v>
      </c>
      <c r="AX201" s="18">
        <v>0.432</v>
      </c>
      <c r="AY201" s="18" t="s">
        <v>10</v>
      </c>
      <c r="AZ201">
        <v>0</v>
      </c>
      <c r="BA201">
        <v>0</v>
      </c>
      <c r="BB201">
        <v>0</v>
      </c>
      <c r="BC201">
        <v>0</v>
      </c>
      <c r="BD201">
        <v>0</v>
      </c>
      <c r="BE201">
        <v>0</v>
      </c>
      <c r="BF201" s="18">
        <v>1</v>
      </c>
      <c r="BG201">
        <v>0</v>
      </c>
      <c r="BH201">
        <v>0</v>
      </c>
      <c r="BI201" s="18">
        <v>1</v>
      </c>
      <c r="BJ201" t="s">
        <v>98</v>
      </c>
      <c r="BK201">
        <v>28</v>
      </c>
      <c r="BL201" s="25">
        <v>40</v>
      </c>
      <c r="BM201">
        <v>1</v>
      </c>
      <c r="BN201">
        <v>0</v>
      </c>
      <c r="BO201">
        <v>0</v>
      </c>
      <c r="BP201">
        <v>0</v>
      </c>
      <c r="BQ201">
        <v>0</v>
      </c>
      <c r="BR201">
        <v>0</v>
      </c>
      <c r="BS201">
        <v>0</v>
      </c>
      <c r="BT201" s="18">
        <v>0</v>
      </c>
      <c r="BU201">
        <v>0</v>
      </c>
      <c r="BV201">
        <v>1</v>
      </c>
      <c r="BW201">
        <v>0</v>
      </c>
      <c r="BX201" s="18">
        <v>0</v>
      </c>
      <c r="BY201">
        <v>1</v>
      </c>
      <c r="BZ201">
        <v>0</v>
      </c>
      <c r="CA201">
        <v>0</v>
      </c>
      <c r="CB201">
        <v>0</v>
      </c>
      <c r="CC201" s="18">
        <v>0</v>
      </c>
      <c r="CD201">
        <v>0</v>
      </c>
      <c r="CE201">
        <v>0</v>
      </c>
      <c r="CF201">
        <v>1</v>
      </c>
      <c r="CG201">
        <v>1</v>
      </c>
      <c r="CH201">
        <v>0</v>
      </c>
      <c r="CI201">
        <v>0</v>
      </c>
      <c r="CJ201">
        <v>0</v>
      </c>
      <c r="CK201">
        <v>0</v>
      </c>
      <c r="CL201">
        <v>0</v>
      </c>
      <c r="CM201">
        <v>1</v>
      </c>
      <c r="CN201" s="18">
        <v>0</v>
      </c>
      <c r="CO201">
        <v>0</v>
      </c>
      <c r="CP201">
        <v>30</v>
      </c>
      <c r="CQ201">
        <v>0</v>
      </c>
      <c r="CR201">
        <v>1</v>
      </c>
      <c r="CS201">
        <v>12</v>
      </c>
      <c r="CY201" s="34"/>
    </row>
    <row r="202" spans="1:103" x14ac:dyDescent="0.25">
      <c r="A202">
        <v>201</v>
      </c>
      <c r="B202">
        <v>16</v>
      </c>
      <c r="C202" s="25" t="s">
        <v>192</v>
      </c>
      <c r="D202" s="12">
        <v>10.33316815186538</v>
      </c>
      <c r="E202" s="14">
        <v>1.736666916279896</v>
      </c>
      <c r="F202" s="7">
        <v>5.95</v>
      </c>
      <c r="G202" s="7">
        <f t="shared" si="51"/>
        <v>8.5965012355854835</v>
      </c>
      <c r="H202" s="16">
        <f t="shared" si="52"/>
        <v>12.069835068145276</v>
      </c>
      <c r="I202" s="11">
        <f t="shared" si="55"/>
        <v>0.10311784184327458</v>
      </c>
      <c r="J202" s="33">
        <f t="shared" si="56"/>
        <v>1.7330729721558753E-2</v>
      </c>
      <c r="K202" s="33">
        <f t="shared" si="57"/>
        <v>57.700974861782015</v>
      </c>
      <c r="L202" s="8">
        <v>0</v>
      </c>
      <c r="M202" s="9">
        <v>1</v>
      </c>
      <c r="N202" s="8">
        <v>0</v>
      </c>
      <c r="O202" s="9">
        <v>0</v>
      </c>
      <c r="P202" s="9">
        <v>1</v>
      </c>
      <c r="Q202" s="9">
        <v>0</v>
      </c>
      <c r="R202" s="9">
        <v>0</v>
      </c>
      <c r="S202" s="8">
        <v>3307</v>
      </c>
      <c r="T202" s="9">
        <v>12</v>
      </c>
      <c r="U202" s="9">
        <f t="shared" si="53"/>
        <v>3294</v>
      </c>
      <c r="V202" s="9">
        <f t="shared" si="54"/>
        <v>48</v>
      </c>
      <c r="W202" s="7">
        <v>10.52</v>
      </c>
      <c r="X202" s="7">
        <f t="shared" si="47"/>
        <v>23.48</v>
      </c>
      <c r="Y202" s="9">
        <v>0</v>
      </c>
      <c r="Z202" s="9">
        <v>1</v>
      </c>
      <c r="AA202" s="9">
        <v>0</v>
      </c>
      <c r="AB202" s="9">
        <v>0</v>
      </c>
      <c r="AC202" s="9">
        <v>1</v>
      </c>
      <c r="AD202" s="9">
        <v>0</v>
      </c>
      <c r="AE202" s="8">
        <v>0</v>
      </c>
      <c r="AF202" s="9">
        <v>1</v>
      </c>
      <c r="AG202" s="30">
        <v>0</v>
      </c>
      <c r="AH202" s="9">
        <v>0</v>
      </c>
      <c r="AI202" s="30">
        <v>1</v>
      </c>
      <c r="AJ202" s="21">
        <v>1992</v>
      </c>
      <c r="AK202" s="33">
        <f t="shared" si="48"/>
        <v>0.17</v>
      </c>
      <c r="AL202" s="33">
        <v>0.2</v>
      </c>
      <c r="AM202" s="33">
        <v>0.46</v>
      </c>
      <c r="AN202" s="43">
        <f t="shared" si="49"/>
        <v>0.17</v>
      </c>
      <c r="AO202" s="42">
        <v>0.67</v>
      </c>
      <c r="AP202" s="18">
        <v>0.33</v>
      </c>
      <c r="AQ202">
        <v>1</v>
      </c>
      <c r="AR202" s="40">
        <f t="shared" si="45"/>
        <v>0</v>
      </c>
      <c r="AS202">
        <v>0.31</v>
      </c>
      <c r="AT202" s="40">
        <v>0.69</v>
      </c>
      <c r="AU202">
        <v>0</v>
      </c>
      <c r="AV202" s="18">
        <v>1</v>
      </c>
      <c r="AW202">
        <f t="shared" si="50"/>
        <v>0.56800000000000006</v>
      </c>
      <c r="AX202" s="18">
        <v>0.432</v>
      </c>
      <c r="AY202" s="18" t="s">
        <v>10</v>
      </c>
      <c r="AZ202">
        <v>0</v>
      </c>
      <c r="BA202">
        <v>0</v>
      </c>
      <c r="BB202">
        <v>0</v>
      </c>
      <c r="BC202">
        <v>0</v>
      </c>
      <c r="BD202">
        <v>0</v>
      </c>
      <c r="BE202">
        <v>0</v>
      </c>
      <c r="BF202" s="18">
        <v>1</v>
      </c>
      <c r="BG202">
        <v>0</v>
      </c>
      <c r="BH202">
        <v>0</v>
      </c>
      <c r="BI202" s="18">
        <v>1</v>
      </c>
      <c r="BJ202" t="s">
        <v>98</v>
      </c>
      <c r="BK202">
        <v>28</v>
      </c>
      <c r="BL202" s="25">
        <v>40</v>
      </c>
      <c r="BM202">
        <v>1</v>
      </c>
      <c r="BN202">
        <v>0</v>
      </c>
      <c r="BO202">
        <v>0</v>
      </c>
      <c r="BP202">
        <v>0</v>
      </c>
      <c r="BQ202">
        <v>0</v>
      </c>
      <c r="BR202">
        <v>0</v>
      </c>
      <c r="BS202">
        <v>0</v>
      </c>
      <c r="BT202" s="18">
        <v>0</v>
      </c>
      <c r="BU202">
        <v>0</v>
      </c>
      <c r="BV202">
        <v>1</v>
      </c>
      <c r="BW202">
        <v>0</v>
      </c>
      <c r="BX202" s="18">
        <v>0</v>
      </c>
      <c r="BY202">
        <v>1</v>
      </c>
      <c r="BZ202">
        <v>0</v>
      </c>
      <c r="CA202">
        <v>0</v>
      </c>
      <c r="CB202">
        <v>0</v>
      </c>
      <c r="CC202" s="18">
        <v>0</v>
      </c>
      <c r="CD202">
        <v>0</v>
      </c>
      <c r="CE202">
        <v>0</v>
      </c>
      <c r="CF202">
        <v>1</v>
      </c>
      <c r="CG202">
        <v>1</v>
      </c>
      <c r="CH202">
        <v>0</v>
      </c>
      <c r="CI202">
        <v>0</v>
      </c>
      <c r="CJ202">
        <v>0</v>
      </c>
      <c r="CK202">
        <v>0</v>
      </c>
      <c r="CL202">
        <v>0</v>
      </c>
      <c r="CM202">
        <v>1</v>
      </c>
      <c r="CN202" s="18">
        <v>0</v>
      </c>
      <c r="CO202">
        <v>0</v>
      </c>
      <c r="CP202">
        <v>30</v>
      </c>
      <c r="CQ202">
        <v>0</v>
      </c>
      <c r="CR202">
        <v>1</v>
      </c>
      <c r="CS202">
        <v>12</v>
      </c>
      <c r="CY202" s="34"/>
    </row>
    <row r="203" spans="1:103" x14ac:dyDescent="0.25">
      <c r="A203">
        <v>202</v>
      </c>
      <c r="B203">
        <v>16</v>
      </c>
      <c r="C203" s="25" t="s">
        <v>192</v>
      </c>
      <c r="D203" s="12">
        <v>0.37971053021661483</v>
      </c>
      <c r="E203" s="14">
        <v>0.84380117825914402</v>
      </c>
      <c r="F203" s="7">
        <v>0.45</v>
      </c>
      <c r="G203" s="7">
        <f t="shared" si="51"/>
        <v>-0.4640906480425292</v>
      </c>
      <c r="H203" s="16">
        <f t="shared" si="52"/>
        <v>1.2235117084757587</v>
      </c>
      <c r="I203" s="11">
        <f t="shared" si="55"/>
        <v>7.8296962571316932E-3</v>
      </c>
      <c r="J203" s="33">
        <f t="shared" si="56"/>
        <v>1.7399325015848205E-2</v>
      </c>
      <c r="K203" s="33">
        <f t="shared" si="57"/>
        <v>57.473493890662326</v>
      </c>
      <c r="L203" s="8">
        <v>0</v>
      </c>
      <c r="M203" s="9">
        <v>1</v>
      </c>
      <c r="N203" s="8">
        <v>0</v>
      </c>
      <c r="O203" s="9">
        <v>0</v>
      </c>
      <c r="P203" s="9">
        <v>1</v>
      </c>
      <c r="Q203" s="9">
        <v>0</v>
      </c>
      <c r="R203" s="9">
        <v>0</v>
      </c>
      <c r="S203" s="8">
        <v>3316</v>
      </c>
      <c r="T203" s="9">
        <v>12</v>
      </c>
      <c r="U203" s="9">
        <f t="shared" si="53"/>
        <v>3303</v>
      </c>
      <c r="V203" s="9">
        <f t="shared" si="54"/>
        <v>48</v>
      </c>
      <c r="W203" s="7">
        <v>10.52</v>
      </c>
      <c r="X203" s="7">
        <f t="shared" si="47"/>
        <v>23.48</v>
      </c>
      <c r="Y203" s="9">
        <v>0</v>
      </c>
      <c r="Z203" s="9">
        <v>1</v>
      </c>
      <c r="AA203" s="9">
        <v>0</v>
      </c>
      <c r="AB203" s="9">
        <v>0</v>
      </c>
      <c r="AC203" s="9">
        <v>1</v>
      </c>
      <c r="AD203" s="9">
        <v>0</v>
      </c>
      <c r="AE203" s="8">
        <v>0</v>
      </c>
      <c r="AF203" s="9">
        <v>1</v>
      </c>
      <c r="AG203" s="30">
        <v>0</v>
      </c>
      <c r="AH203" s="9">
        <v>0</v>
      </c>
      <c r="AI203" s="30">
        <v>1</v>
      </c>
      <c r="AJ203" s="21">
        <v>1992</v>
      </c>
      <c r="AK203" s="33">
        <f t="shared" si="48"/>
        <v>0.17</v>
      </c>
      <c r="AL203" s="33">
        <v>0.2</v>
      </c>
      <c r="AM203" s="33">
        <v>0.46</v>
      </c>
      <c r="AN203" s="43">
        <f t="shared" si="49"/>
        <v>0.17</v>
      </c>
      <c r="AO203" s="42">
        <v>0.67</v>
      </c>
      <c r="AP203" s="18">
        <v>0.33</v>
      </c>
      <c r="AQ203">
        <v>1</v>
      </c>
      <c r="AR203" s="40">
        <f t="shared" si="45"/>
        <v>0</v>
      </c>
      <c r="AS203">
        <v>0.31</v>
      </c>
      <c r="AT203" s="40">
        <v>0.69</v>
      </c>
      <c r="AU203">
        <v>0</v>
      </c>
      <c r="AV203" s="18">
        <v>1</v>
      </c>
      <c r="AW203">
        <f t="shared" si="50"/>
        <v>0.56800000000000006</v>
      </c>
      <c r="AX203" s="18">
        <v>0.432</v>
      </c>
      <c r="AY203" s="18" t="s">
        <v>10</v>
      </c>
      <c r="AZ203">
        <v>0</v>
      </c>
      <c r="BA203">
        <v>0</v>
      </c>
      <c r="BB203">
        <v>0</v>
      </c>
      <c r="BC203">
        <v>0</v>
      </c>
      <c r="BD203">
        <v>0</v>
      </c>
      <c r="BE203">
        <v>0</v>
      </c>
      <c r="BF203" s="18">
        <v>1</v>
      </c>
      <c r="BG203">
        <v>0</v>
      </c>
      <c r="BH203">
        <v>0</v>
      </c>
      <c r="BI203" s="18">
        <v>1</v>
      </c>
      <c r="BJ203" t="s">
        <v>98</v>
      </c>
      <c r="BK203">
        <v>28</v>
      </c>
      <c r="BL203" s="25">
        <v>40</v>
      </c>
      <c r="BM203">
        <v>1</v>
      </c>
      <c r="BN203">
        <v>0</v>
      </c>
      <c r="BO203">
        <v>0</v>
      </c>
      <c r="BP203">
        <v>0</v>
      </c>
      <c r="BQ203">
        <v>0</v>
      </c>
      <c r="BR203">
        <v>0</v>
      </c>
      <c r="BS203">
        <v>0</v>
      </c>
      <c r="BT203" s="18">
        <v>0</v>
      </c>
      <c r="BU203">
        <v>0</v>
      </c>
      <c r="BV203">
        <v>1</v>
      </c>
      <c r="BW203">
        <v>0</v>
      </c>
      <c r="BX203" s="18">
        <v>0</v>
      </c>
      <c r="BY203">
        <v>1</v>
      </c>
      <c r="BZ203">
        <v>0</v>
      </c>
      <c r="CA203">
        <v>0</v>
      </c>
      <c r="CB203">
        <v>0</v>
      </c>
      <c r="CC203" s="18">
        <v>0</v>
      </c>
      <c r="CD203">
        <v>0</v>
      </c>
      <c r="CE203">
        <v>0</v>
      </c>
      <c r="CF203">
        <v>1</v>
      </c>
      <c r="CG203">
        <v>1</v>
      </c>
      <c r="CH203">
        <v>0</v>
      </c>
      <c r="CI203">
        <v>0</v>
      </c>
      <c r="CJ203">
        <v>0</v>
      </c>
      <c r="CK203">
        <v>0</v>
      </c>
      <c r="CL203">
        <v>0</v>
      </c>
      <c r="CM203">
        <v>1</v>
      </c>
      <c r="CN203" s="18">
        <v>0</v>
      </c>
      <c r="CO203">
        <v>0</v>
      </c>
      <c r="CP203">
        <v>30</v>
      </c>
      <c r="CQ203">
        <v>0</v>
      </c>
      <c r="CR203">
        <v>1</v>
      </c>
      <c r="CS203">
        <v>12</v>
      </c>
      <c r="CY203" s="34"/>
    </row>
    <row r="204" spans="1:103" x14ac:dyDescent="0.25">
      <c r="A204">
        <v>203</v>
      </c>
      <c r="B204">
        <v>16</v>
      </c>
      <c r="C204" s="25" t="s">
        <v>192</v>
      </c>
      <c r="D204" s="12">
        <v>4.0031433486121593</v>
      </c>
      <c r="E204" s="14">
        <v>1.00078583715304</v>
      </c>
      <c r="F204" s="7">
        <v>4</v>
      </c>
      <c r="G204" s="7">
        <f t="shared" si="51"/>
        <v>3.0023575114591194</v>
      </c>
      <c r="H204" s="16">
        <f t="shared" si="52"/>
        <v>5.0039291857651991</v>
      </c>
      <c r="I204" s="11">
        <f t="shared" si="55"/>
        <v>6.9431470784376378E-2</v>
      </c>
      <c r="J204" s="33">
        <f t="shared" si="56"/>
        <v>1.7357867696094095E-2</v>
      </c>
      <c r="K204" s="33">
        <f t="shared" si="57"/>
        <v>57.610762883336307</v>
      </c>
      <c r="L204" s="8">
        <v>0</v>
      </c>
      <c r="M204" s="9">
        <v>1</v>
      </c>
      <c r="N204" s="8">
        <v>0</v>
      </c>
      <c r="O204" s="9">
        <v>0</v>
      </c>
      <c r="P204" s="9">
        <v>1</v>
      </c>
      <c r="Q204" s="9">
        <v>0</v>
      </c>
      <c r="R204" s="9">
        <v>0</v>
      </c>
      <c r="S204" s="8">
        <v>3316</v>
      </c>
      <c r="T204" s="9">
        <v>12</v>
      </c>
      <c r="U204" s="9">
        <f t="shared" si="53"/>
        <v>3303</v>
      </c>
      <c r="V204" s="9">
        <f t="shared" si="54"/>
        <v>48</v>
      </c>
      <c r="W204" s="7">
        <v>10.52</v>
      </c>
      <c r="X204" s="7">
        <f t="shared" si="47"/>
        <v>23.48</v>
      </c>
      <c r="Y204" s="9">
        <v>0</v>
      </c>
      <c r="Z204" s="9">
        <v>1</v>
      </c>
      <c r="AA204" s="9">
        <v>0</v>
      </c>
      <c r="AB204" s="9">
        <v>0</v>
      </c>
      <c r="AC204" s="9">
        <v>1</v>
      </c>
      <c r="AD204" s="9">
        <v>0</v>
      </c>
      <c r="AE204" s="8">
        <v>0</v>
      </c>
      <c r="AF204" s="9">
        <v>1</v>
      </c>
      <c r="AG204" s="30">
        <v>0</v>
      </c>
      <c r="AH204" s="9">
        <v>0</v>
      </c>
      <c r="AI204" s="30">
        <v>1</v>
      </c>
      <c r="AJ204" s="21">
        <v>1992</v>
      </c>
      <c r="AK204" s="33">
        <f t="shared" si="48"/>
        <v>0.17</v>
      </c>
      <c r="AL204" s="33">
        <v>0.2</v>
      </c>
      <c r="AM204" s="33">
        <v>0.46</v>
      </c>
      <c r="AN204" s="43">
        <f t="shared" si="49"/>
        <v>0.17</v>
      </c>
      <c r="AO204" s="42">
        <v>0.67</v>
      </c>
      <c r="AP204" s="18">
        <v>0.33</v>
      </c>
      <c r="AQ204">
        <v>1</v>
      </c>
      <c r="AR204" s="40">
        <f t="shared" si="45"/>
        <v>0</v>
      </c>
      <c r="AS204">
        <v>0.31</v>
      </c>
      <c r="AT204" s="40">
        <v>0.69</v>
      </c>
      <c r="AU204">
        <v>0</v>
      </c>
      <c r="AV204" s="18">
        <v>1</v>
      </c>
      <c r="AW204">
        <f t="shared" si="50"/>
        <v>0.56800000000000006</v>
      </c>
      <c r="AX204" s="18">
        <v>0.432</v>
      </c>
      <c r="AY204" s="18" t="s">
        <v>10</v>
      </c>
      <c r="AZ204">
        <v>0</v>
      </c>
      <c r="BA204">
        <v>0</v>
      </c>
      <c r="BB204">
        <v>0</v>
      </c>
      <c r="BC204">
        <v>0</v>
      </c>
      <c r="BD204">
        <v>0</v>
      </c>
      <c r="BE204">
        <v>0</v>
      </c>
      <c r="BF204" s="18">
        <v>1</v>
      </c>
      <c r="BG204">
        <v>0</v>
      </c>
      <c r="BH204">
        <v>0</v>
      </c>
      <c r="BI204" s="18">
        <v>1</v>
      </c>
      <c r="BJ204" t="s">
        <v>98</v>
      </c>
      <c r="BK204">
        <v>28</v>
      </c>
      <c r="BL204" s="25">
        <v>40</v>
      </c>
      <c r="BM204">
        <v>1</v>
      </c>
      <c r="BN204">
        <v>0</v>
      </c>
      <c r="BO204">
        <v>0</v>
      </c>
      <c r="BP204">
        <v>0</v>
      </c>
      <c r="BQ204">
        <v>0</v>
      </c>
      <c r="BR204">
        <v>0</v>
      </c>
      <c r="BS204">
        <v>0</v>
      </c>
      <c r="BT204" s="18">
        <v>0</v>
      </c>
      <c r="BU204">
        <v>0</v>
      </c>
      <c r="BV204">
        <v>1</v>
      </c>
      <c r="BW204">
        <v>0</v>
      </c>
      <c r="BX204" s="18">
        <v>0</v>
      </c>
      <c r="BY204">
        <v>1</v>
      </c>
      <c r="BZ204">
        <v>0</v>
      </c>
      <c r="CA204">
        <v>0</v>
      </c>
      <c r="CB204">
        <v>0</v>
      </c>
      <c r="CC204" s="18">
        <v>0</v>
      </c>
      <c r="CD204">
        <v>0</v>
      </c>
      <c r="CE204">
        <v>0</v>
      </c>
      <c r="CF204">
        <v>1</v>
      </c>
      <c r="CG204">
        <v>1</v>
      </c>
      <c r="CH204">
        <v>0</v>
      </c>
      <c r="CI204">
        <v>0</v>
      </c>
      <c r="CJ204">
        <v>0</v>
      </c>
      <c r="CK204">
        <v>0</v>
      </c>
      <c r="CL204">
        <v>0</v>
      </c>
      <c r="CM204">
        <v>1</v>
      </c>
      <c r="CN204" s="18">
        <v>0</v>
      </c>
      <c r="CO204">
        <v>0</v>
      </c>
      <c r="CP204">
        <v>30</v>
      </c>
      <c r="CQ204">
        <v>0</v>
      </c>
      <c r="CR204">
        <v>1</v>
      </c>
      <c r="CS204">
        <v>12</v>
      </c>
      <c r="CY204" s="34"/>
    </row>
    <row r="205" spans="1:103" x14ac:dyDescent="0.25">
      <c r="A205">
        <v>204</v>
      </c>
      <c r="B205">
        <v>16</v>
      </c>
      <c r="C205" s="25" t="s">
        <v>192</v>
      </c>
      <c r="D205" s="12">
        <v>6.4363909051986079</v>
      </c>
      <c r="E205" s="14">
        <v>0.9796637603042021</v>
      </c>
      <c r="F205" s="7">
        <v>6.57</v>
      </c>
      <c r="G205" s="7">
        <f t="shared" si="51"/>
        <v>5.4567271448944057</v>
      </c>
      <c r="H205" s="16">
        <f t="shared" si="52"/>
        <v>7.4160546655028101</v>
      </c>
      <c r="I205" s="11">
        <f t="shared" si="55"/>
        <v>0.11357734174803634</v>
      </c>
      <c r="J205" s="33">
        <f t="shared" si="56"/>
        <v>1.7287266628316034E-2</v>
      </c>
      <c r="K205" s="33">
        <f t="shared" si="57"/>
        <v>57.846044808612454</v>
      </c>
      <c r="L205" s="8">
        <v>0</v>
      </c>
      <c r="M205" s="9">
        <v>1</v>
      </c>
      <c r="N205" s="8">
        <v>0</v>
      </c>
      <c r="O205" s="9">
        <v>0</v>
      </c>
      <c r="P205" s="9">
        <v>1</v>
      </c>
      <c r="Q205" s="9">
        <v>0</v>
      </c>
      <c r="R205" s="9">
        <v>0</v>
      </c>
      <c r="S205" s="8">
        <v>3316</v>
      </c>
      <c r="T205" s="9">
        <v>12</v>
      </c>
      <c r="U205" s="9">
        <f t="shared" si="53"/>
        <v>3303</v>
      </c>
      <c r="V205" s="9">
        <f t="shared" si="54"/>
        <v>48</v>
      </c>
      <c r="W205" s="7">
        <v>10.52</v>
      </c>
      <c r="X205" s="7">
        <f t="shared" si="47"/>
        <v>23.48</v>
      </c>
      <c r="Y205" s="9">
        <v>0</v>
      </c>
      <c r="Z205" s="9">
        <v>1</v>
      </c>
      <c r="AA205" s="9">
        <v>0</v>
      </c>
      <c r="AB205" s="9">
        <v>0</v>
      </c>
      <c r="AC205" s="9">
        <v>1</v>
      </c>
      <c r="AD205" s="9">
        <v>0</v>
      </c>
      <c r="AE205" s="8">
        <v>0</v>
      </c>
      <c r="AF205" s="9">
        <v>1</v>
      </c>
      <c r="AG205" s="30">
        <v>0</v>
      </c>
      <c r="AH205" s="9">
        <v>0</v>
      </c>
      <c r="AI205" s="30">
        <v>1</v>
      </c>
      <c r="AJ205" s="21">
        <v>1992</v>
      </c>
      <c r="AK205" s="33">
        <f t="shared" si="48"/>
        <v>0.17</v>
      </c>
      <c r="AL205" s="33">
        <v>0.2</v>
      </c>
      <c r="AM205" s="33">
        <v>0.46</v>
      </c>
      <c r="AN205" s="43">
        <f t="shared" si="49"/>
        <v>0.17</v>
      </c>
      <c r="AO205" s="42">
        <v>0.67</v>
      </c>
      <c r="AP205" s="18">
        <v>0.33</v>
      </c>
      <c r="AQ205">
        <v>1</v>
      </c>
      <c r="AR205" s="40">
        <f t="shared" si="45"/>
        <v>0</v>
      </c>
      <c r="AS205">
        <v>0.31</v>
      </c>
      <c r="AT205" s="40">
        <v>0.69</v>
      </c>
      <c r="AU205">
        <v>0</v>
      </c>
      <c r="AV205" s="18">
        <v>1</v>
      </c>
      <c r="AW205">
        <f t="shared" si="50"/>
        <v>0.56800000000000006</v>
      </c>
      <c r="AX205" s="18">
        <v>0.432</v>
      </c>
      <c r="AY205" s="18" t="s">
        <v>10</v>
      </c>
      <c r="AZ205">
        <v>0</v>
      </c>
      <c r="BA205">
        <v>0</v>
      </c>
      <c r="BB205">
        <v>0</v>
      </c>
      <c r="BC205">
        <v>0</v>
      </c>
      <c r="BD205">
        <v>0</v>
      </c>
      <c r="BE205">
        <v>0</v>
      </c>
      <c r="BF205" s="18">
        <v>1</v>
      </c>
      <c r="BG205">
        <v>0</v>
      </c>
      <c r="BH205">
        <v>0</v>
      </c>
      <c r="BI205" s="18">
        <v>1</v>
      </c>
      <c r="BJ205" t="s">
        <v>98</v>
      </c>
      <c r="BK205">
        <v>28</v>
      </c>
      <c r="BL205" s="25">
        <v>40</v>
      </c>
      <c r="BM205">
        <v>1</v>
      </c>
      <c r="BN205">
        <v>0</v>
      </c>
      <c r="BO205">
        <v>0</v>
      </c>
      <c r="BP205">
        <v>0</v>
      </c>
      <c r="BQ205">
        <v>0</v>
      </c>
      <c r="BR205">
        <v>0</v>
      </c>
      <c r="BS205">
        <v>0</v>
      </c>
      <c r="BT205" s="18">
        <v>0</v>
      </c>
      <c r="BU205">
        <v>0</v>
      </c>
      <c r="BV205">
        <v>1</v>
      </c>
      <c r="BW205">
        <v>0</v>
      </c>
      <c r="BX205" s="18">
        <v>0</v>
      </c>
      <c r="BY205">
        <v>1</v>
      </c>
      <c r="BZ205">
        <v>0</v>
      </c>
      <c r="CA205">
        <v>0</v>
      </c>
      <c r="CB205">
        <v>0</v>
      </c>
      <c r="CC205" s="18">
        <v>0</v>
      </c>
      <c r="CD205">
        <v>0</v>
      </c>
      <c r="CE205">
        <v>0</v>
      </c>
      <c r="CF205">
        <v>1</v>
      </c>
      <c r="CG205">
        <v>1</v>
      </c>
      <c r="CH205">
        <v>0</v>
      </c>
      <c r="CI205">
        <v>0</v>
      </c>
      <c r="CJ205">
        <v>0</v>
      </c>
      <c r="CK205">
        <v>0</v>
      </c>
      <c r="CL205">
        <v>0</v>
      </c>
      <c r="CM205">
        <v>1</v>
      </c>
      <c r="CN205" s="18">
        <v>0</v>
      </c>
      <c r="CO205">
        <v>0</v>
      </c>
      <c r="CP205">
        <v>30</v>
      </c>
      <c r="CQ205">
        <v>0</v>
      </c>
      <c r="CR205">
        <v>1</v>
      </c>
      <c r="CS205">
        <v>12</v>
      </c>
      <c r="CY205" s="34"/>
    </row>
    <row r="206" spans="1:103" x14ac:dyDescent="0.25">
      <c r="A206">
        <v>205</v>
      </c>
      <c r="B206">
        <v>16</v>
      </c>
      <c r="C206" s="25" t="s">
        <v>192</v>
      </c>
      <c r="D206" s="12">
        <v>10.087159746540729</v>
      </c>
      <c r="E206" s="14">
        <v>1.7331889598867229</v>
      </c>
      <c r="F206" s="7">
        <v>5.82</v>
      </c>
      <c r="G206" s="7">
        <f t="shared" si="51"/>
        <v>8.3539707866540063</v>
      </c>
      <c r="H206" s="16">
        <f t="shared" si="52"/>
        <v>11.820348706427453</v>
      </c>
      <c r="I206" s="11">
        <f t="shared" si="55"/>
        <v>0.10075188604331468</v>
      </c>
      <c r="J206" s="33">
        <f t="shared" si="56"/>
        <v>1.7311320625999084E-2</v>
      </c>
      <c r="K206" s="33">
        <f t="shared" si="57"/>
        <v>57.765668004447072</v>
      </c>
      <c r="L206" s="8">
        <v>0</v>
      </c>
      <c r="M206" s="9">
        <v>1</v>
      </c>
      <c r="N206" s="8">
        <v>0</v>
      </c>
      <c r="O206" s="9">
        <v>0</v>
      </c>
      <c r="P206" s="9">
        <v>1</v>
      </c>
      <c r="Q206" s="9">
        <v>0</v>
      </c>
      <c r="R206" s="9">
        <v>0</v>
      </c>
      <c r="S206" s="8">
        <v>3316</v>
      </c>
      <c r="T206" s="9">
        <v>12</v>
      </c>
      <c r="U206" s="9">
        <f t="shared" si="53"/>
        <v>3303</v>
      </c>
      <c r="V206" s="9">
        <f t="shared" si="54"/>
        <v>48</v>
      </c>
      <c r="W206" s="7">
        <v>10.52</v>
      </c>
      <c r="X206" s="7">
        <f t="shared" si="47"/>
        <v>23.48</v>
      </c>
      <c r="Y206" s="9">
        <v>0</v>
      </c>
      <c r="Z206" s="9">
        <v>1</v>
      </c>
      <c r="AA206" s="9">
        <v>0</v>
      </c>
      <c r="AB206" s="9">
        <v>0</v>
      </c>
      <c r="AC206" s="9">
        <v>1</v>
      </c>
      <c r="AD206" s="9">
        <v>0</v>
      </c>
      <c r="AE206" s="8">
        <v>0</v>
      </c>
      <c r="AF206" s="9">
        <v>1</v>
      </c>
      <c r="AG206" s="30">
        <v>0</v>
      </c>
      <c r="AH206" s="9">
        <v>0</v>
      </c>
      <c r="AI206" s="30">
        <v>1</v>
      </c>
      <c r="AJ206" s="21">
        <v>1992</v>
      </c>
      <c r="AK206" s="33">
        <f t="shared" si="48"/>
        <v>0.17</v>
      </c>
      <c r="AL206" s="33">
        <v>0.2</v>
      </c>
      <c r="AM206" s="33">
        <v>0.46</v>
      </c>
      <c r="AN206" s="43">
        <f t="shared" si="49"/>
        <v>0.17</v>
      </c>
      <c r="AO206" s="42">
        <v>0.67</v>
      </c>
      <c r="AP206" s="18">
        <v>0.33</v>
      </c>
      <c r="AQ206">
        <v>1</v>
      </c>
      <c r="AR206" s="40">
        <f t="shared" si="45"/>
        <v>0</v>
      </c>
      <c r="AS206">
        <v>0.31</v>
      </c>
      <c r="AT206" s="40">
        <v>0.69</v>
      </c>
      <c r="AU206">
        <v>0</v>
      </c>
      <c r="AV206" s="18">
        <v>1</v>
      </c>
      <c r="AW206">
        <f t="shared" si="50"/>
        <v>0.56800000000000006</v>
      </c>
      <c r="AX206" s="18">
        <v>0.432</v>
      </c>
      <c r="AY206" s="18" t="s">
        <v>10</v>
      </c>
      <c r="AZ206">
        <v>0</v>
      </c>
      <c r="BA206">
        <v>0</v>
      </c>
      <c r="BB206">
        <v>0</v>
      </c>
      <c r="BC206">
        <v>0</v>
      </c>
      <c r="BD206">
        <v>0</v>
      </c>
      <c r="BE206">
        <v>0</v>
      </c>
      <c r="BF206" s="18">
        <v>1</v>
      </c>
      <c r="BG206">
        <v>0</v>
      </c>
      <c r="BH206">
        <v>0</v>
      </c>
      <c r="BI206" s="18">
        <v>1</v>
      </c>
      <c r="BJ206" t="s">
        <v>98</v>
      </c>
      <c r="BK206">
        <v>28</v>
      </c>
      <c r="BL206" s="25">
        <v>40</v>
      </c>
      <c r="BM206">
        <v>1</v>
      </c>
      <c r="BN206">
        <v>0</v>
      </c>
      <c r="BO206">
        <v>0</v>
      </c>
      <c r="BP206">
        <v>0</v>
      </c>
      <c r="BQ206">
        <v>0</v>
      </c>
      <c r="BR206">
        <v>0</v>
      </c>
      <c r="BS206">
        <v>0</v>
      </c>
      <c r="BT206" s="18">
        <v>0</v>
      </c>
      <c r="BU206">
        <v>0</v>
      </c>
      <c r="BV206">
        <v>1</v>
      </c>
      <c r="BW206">
        <v>0</v>
      </c>
      <c r="BX206" s="18">
        <v>0</v>
      </c>
      <c r="BY206">
        <v>1</v>
      </c>
      <c r="BZ206">
        <v>0</v>
      </c>
      <c r="CA206">
        <v>0</v>
      </c>
      <c r="CB206">
        <v>0</v>
      </c>
      <c r="CC206" s="18">
        <v>0</v>
      </c>
      <c r="CD206">
        <v>0</v>
      </c>
      <c r="CE206">
        <v>0</v>
      </c>
      <c r="CF206">
        <v>1</v>
      </c>
      <c r="CG206">
        <v>1</v>
      </c>
      <c r="CH206">
        <v>0</v>
      </c>
      <c r="CI206">
        <v>0</v>
      </c>
      <c r="CJ206">
        <v>0</v>
      </c>
      <c r="CK206">
        <v>0</v>
      </c>
      <c r="CL206">
        <v>0</v>
      </c>
      <c r="CM206">
        <v>1</v>
      </c>
      <c r="CN206" s="18">
        <v>0</v>
      </c>
      <c r="CO206">
        <v>0</v>
      </c>
      <c r="CP206">
        <v>30</v>
      </c>
      <c r="CQ206">
        <v>0</v>
      </c>
      <c r="CR206">
        <v>1</v>
      </c>
      <c r="CS206">
        <v>12</v>
      </c>
      <c r="CY206" s="34"/>
    </row>
    <row r="207" spans="1:103" x14ac:dyDescent="0.25">
      <c r="A207">
        <v>206</v>
      </c>
      <c r="B207">
        <v>16</v>
      </c>
      <c r="C207" s="25" t="s">
        <v>192</v>
      </c>
      <c r="D207" s="12">
        <v>4.4563529397077639</v>
      </c>
      <c r="E207" s="14">
        <v>1.051026636723529</v>
      </c>
      <c r="F207" s="7">
        <v>4.24</v>
      </c>
      <c r="G207" s="7">
        <f t="shared" si="51"/>
        <v>3.4053263029842347</v>
      </c>
      <c r="H207" s="16">
        <f t="shared" si="52"/>
        <v>5.5073795764312932</v>
      </c>
      <c r="I207" s="11">
        <f t="shared" si="55"/>
        <v>9.0111297961682588E-2</v>
      </c>
      <c r="J207" s="33">
        <f t="shared" si="56"/>
        <v>2.1252664613604384E-2</v>
      </c>
      <c r="K207" s="33">
        <f t="shared" si="57"/>
        <v>47.05292339483276</v>
      </c>
      <c r="L207" s="8">
        <v>0</v>
      </c>
      <c r="M207" s="9">
        <v>1</v>
      </c>
      <c r="N207" s="8">
        <v>0</v>
      </c>
      <c r="O207" s="9">
        <v>0</v>
      </c>
      <c r="P207" s="9">
        <v>1</v>
      </c>
      <c r="Q207" s="9">
        <v>0</v>
      </c>
      <c r="R207" s="9">
        <v>0</v>
      </c>
      <c r="S207" s="8">
        <v>2209</v>
      </c>
      <c r="T207" s="9">
        <v>12</v>
      </c>
      <c r="U207" s="9">
        <f t="shared" si="53"/>
        <v>2196</v>
      </c>
      <c r="V207" s="9">
        <f t="shared" si="54"/>
        <v>48</v>
      </c>
      <c r="W207" s="7">
        <v>9.8450000000000006</v>
      </c>
      <c r="X207" s="7">
        <f t="shared" si="47"/>
        <v>24.155000000000001</v>
      </c>
      <c r="Y207" s="9">
        <v>0</v>
      </c>
      <c r="Z207" s="9">
        <v>1</v>
      </c>
      <c r="AA207" s="9">
        <v>0</v>
      </c>
      <c r="AB207" s="9">
        <v>0</v>
      </c>
      <c r="AC207" s="9">
        <v>1</v>
      </c>
      <c r="AD207" s="9">
        <v>0</v>
      </c>
      <c r="AE207" s="8">
        <v>0</v>
      </c>
      <c r="AF207" s="9">
        <v>1</v>
      </c>
      <c r="AG207" s="30">
        <v>0</v>
      </c>
      <c r="AH207" s="9">
        <v>0</v>
      </c>
      <c r="AI207" s="30">
        <v>1</v>
      </c>
      <c r="AJ207" s="21">
        <v>1999</v>
      </c>
      <c r="AK207" s="33">
        <f t="shared" si="48"/>
        <v>0.19249999999999998</v>
      </c>
      <c r="AL207" s="33">
        <v>0.28999999999999998</v>
      </c>
      <c r="AM207" s="33">
        <v>0.32500000000000001</v>
      </c>
      <c r="AN207" s="43">
        <f t="shared" si="49"/>
        <v>0.19249999999999998</v>
      </c>
      <c r="AO207" s="42">
        <v>0.67</v>
      </c>
      <c r="AP207" s="18">
        <v>0.33</v>
      </c>
      <c r="AQ207">
        <v>0</v>
      </c>
      <c r="AR207" s="40">
        <f t="shared" si="45"/>
        <v>1</v>
      </c>
      <c r="AS207">
        <v>0.38</v>
      </c>
      <c r="AT207" s="40">
        <v>0.62</v>
      </c>
      <c r="AU207">
        <v>0</v>
      </c>
      <c r="AV207" s="18">
        <v>1</v>
      </c>
      <c r="AW207">
        <f t="shared" si="50"/>
        <v>0.48099999999999998</v>
      </c>
      <c r="AX207" s="18">
        <v>0.51900000000000002</v>
      </c>
      <c r="AY207" s="18" t="s">
        <v>10</v>
      </c>
      <c r="AZ207">
        <v>0</v>
      </c>
      <c r="BA207">
        <v>0</v>
      </c>
      <c r="BB207">
        <v>0</v>
      </c>
      <c r="BC207">
        <v>0</v>
      </c>
      <c r="BD207">
        <v>0</v>
      </c>
      <c r="BE207">
        <v>0</v>
      </c>
      <c r="BF207" s="18">
        <v>1</v>
      </c>
      <c r="BG207">
        <v>0</v>
      </c>
      <c r="BH207">
        <v>0</v>
      </c>
      <c r="BI207" s="18">
        <v>1</v>
      </c>
      <c r="BJ207" t="s">
        <v>98</v>
      </c>
      <c r="BK207">
        <v>22</v>
      </c>
      <c r="BL207" s="25">
        <v>40</v>
      </c>
      <c r="BM207">
        <v>1</v>
      </c>
      <c r="BN207">
        <v>0</v>
      </c>
      <c r="BO207">
        <v>0</v>
      </c>
      <c r="BP207">
        <v>0</v>
      </c>
      <c r="BQ207">
        <v>0</v>
      </c>
      <c r="BR207">
        <v>0</v>
      </c>
      <c r="BS207">
        <v>0</v>
      </c>
      <c r="BT207" s="18">
        <v>0</v>
      </c>
      <c r="BU207">
        <v>0</v>
      </c>
      <c r="BV207">
        <v>1</v>
      </c>
      <c r="BW207">
        <v>0</v>
      </c>
      <c r="BX207" s="18">
        <v>0</v>
      </c>
      <c r="BY207">
        <v>1</v>
      </c>
      <c r="BZ207">
        <v>0</v>
      </c>
      <c r="CA207">
        <v>0</v>
      </c>
      <c r="CB207">
        <v>0</v>
      </c>
      <c r="CC207" s="18">
        <v>0</v>
      </c>
      <c r="CD207">
        <v>0</v>
      </c>
      <c r="CE207">
        <v>0</v>
      </c>
      <c r="CF207">
        <v>1</v>
      </c>
      <c r="CG207">
        <v>1</v>
      </c>
      <c r="CH207">
        <v>0</v>
      </c>
      <c r="CI207">
        <v>0</v>
      </c>
      <c r="CJ207">
        <v>0</v>
      </c>
      <c r="CK207">
        <v>0</v>
      </c>
      <c r="CL207">
        <v>0</v>
      </c>
      <c r="CM207">
        <v>1</v>
      </c>
      <c r="CN207" s="18">
        <v>0</v>
      </c>
      <c r="CO207">
        <v>0</v>
      </c>
      <c r="CP207">
        <v>30</v>
      </c>
      <c r="CQ207">
        <v>0</v>
      </c>
      <c r="CR207">
        <v>1</v>
      </c>
      <c r="CS207">
        <v>12</v>
      </c>
      <c r="CY207" s="34"/>
    </row>
    <row r="208" spans="1:103" x14ac:dyDescent="0.25">
      <c r="A208">
        <v>207</v>
      </c>
      <c r="B208">
        <v>16</v>
      </c>
      <c r="C208" s="25" t="s">
        <v>192</v>
      </c>
      <c r="D208" s="12">
        <v>3.9141375817288488</v>
      </c>
      <c r="E208" s="14">
        <v>0.60684303592695332</v>
      </c>
      <c r="F208" s="7">
        <v>6.45</v>
      </c>
      <c r="G208" s="7">
        <f t="shared" si="51"/>
        <v>3.3072945458018954</v>
      </c>
      <c r="H208" s="16">
        <f t="shared" si="52"/>
        <v>4.5209806176558018</v>
      </c>
      <c r="I208" s="11">
        <f t="shared" si="55"/>
        <v>0.13635411386705673</v>
      </c>
      <c r="J208" s="33">
        <f t="shared" si="56"/>
        <v>2.1140172692566933E-2</v>
      </c>
      <c r="K208" s="33">
        <f t="shared" si="57"/>
        <v>47.303303267319507</v>
      </c>
      <c r="L208" s="8">
        <v>0</v>
      </c>
      <c r="M208" s="9">
        <v>1</v>
      </c>
      <c r="N208" s="8">
        <v>0</v>
      </c>
      <c r="O208" s="9">
        <v>0</v>
      </c>
      <c r="P208" s="9">
        <v>1</v>
      </c>
      <c r="Q208" s="9">
        <v>0</v>
      </c>
      <c r="R208" s="9">
        <v>0</v>
      </c>
      <c r="S208" s="8">
        <v>2209</v>
      </c>
      <c r="T208" s="9">
        <v>12</v>
      </c>
      <c r="U208" s="9">
        <f t="shared" si="53"/>
        <v>2196</v>
      </c>
      <c r="V208" s="9">
        <f t="shared" si="54"/>
        <v>48</v>
      </c>
      <c r="W208" s="7">
        <v>9.8450000000000006</v>
      </c>
      <c r="X208" s="7">
        <f t="shared" si="47"/>
        <v>24.155000000000001</v>
      </c>
      <c r="Y208" s="9">
        <v>0</v>
      </c>
      <c r="Z208" s="9">
        <v>1</v>
      </c>
      <c r="AA208" s="9">
        <v>0</v>
      </c>
      <c r="AB208" s="9">
        <v>0</v>
      </c>
      <c r="AC208" s="9">
        <v>1</v>
      </c>
      <c r="AD208" s="9">
        <v>0</v>
      </c>
      <c r="AE208" s="8">
        <v>0</v>
      </c>
      <c r="AF208" s="9">
        <v>1</v>
      </c>
      <c r="AG208" s="30">
        <v>0</v>
      </c>
      <c r="AH208" s="9">
        <v>0</v>
      </c>
      <c r="AI208" s="30">
        <v>1</v>
      </c>
      <c r="AJ208" s="21">
        <v>1999</v>
      </c>
      <c r="AK208" s="33">
        <f t="shared" si="48"/>
        <v>0.19249999999999998</v>
      </c>
      <c r="AL208" s="33">
        <v>0.28999999999999998</v>
      </c>
      <c r="AM208" s="33">
        <v>0.32500000000000001</v>
      </c>
      <c r="AN208" s="43">
        <f t="shared" si="49"/>
        <v>0.19249999999999998</v>
      </c>
      <c r="AO208" s="42">
        <v>0.67</v>
      </c>
      <c r="AP208" s="18">
        <v>0.33</v>
      </c>
      <c r="AQ208">
        <v>0</v>
      </c>
      <c r="AR208" s="40">
        <f t="shared" si="45"/>
        <v>1</v>
      </c>
      <c r="AS208">
        <v>0.38</v>
      </c>
      <c r="AT208" s="40">
        <v>0.62</v>
      </c>
      <c r="AU208">
        <v>0</v>
      </c>
      <c r="AV208" s="18">
        <v>1</v>
      </c>
      <c r="AW208">
        <f t="shared" si="50"/>
        <v>0.48099999999999998</v>
      </c>
      <c r="AX208" s="18">
        <v>0.51900000000000002</v>
      </c>
      <c r="AY208" s="18" t="s">
        <v>10</v>
      </c>
      <c r="AZ208">
        <v>0</v>
      </c>
      <c r="BA208">
        <v>0</v>
      </c>
      <c r="BB208">
        <v>0</v>
      </c>
      <c r="BC208">
        <v>0</v>
      </c>
      <c r="BD208">
        <v>0</v>
      </c>
      <c r="BE208">
        <v>0</v>
      </c>
      <c r="BF208" s="18">
        <v>1</v>
      </c>
      <c r="BG208">
        <v>0</v>
      </c>
      <c r="BH208">
        <v>0</v>
      </c>
      <c r="BI208" s="18">
        <v>1</v>
      </c>
      <c r="BJ208" t="s">
        <v>98</v>
      </c>
      <c r="BK208">
        <v>22</v>
      </c>
      <c r="BL208" s="25">
        <v>40</v>
      </c>
      <c r="BM208">
        <v>1</v>
      </c>
      <c r="BN208">
        <v>0</v>
      </c>
      <c r="BO208">
        <v>0</v>
      </c>
      <c r="BP208">
        <v>0</v>
      </c>
      <c r="BQ208">
        <v>0</v>
      </c>
      <c r="BR208">
        <v>0</v>
      </c>
      <c r="BS208">
        <v>0</v>
      </c>
      <c r="BT208" s="18">
        <v>0</v>
      </c>
      <c r="BU208">
        <v>0</v>
      </c>
      <c r="BV208">
        <v>1</v>
      </c>
      <c r="BW208">
        <v>0</v>
      </c>
      <c r="BX208" s="18">
        <v>0</v>
      </c>
      <c r="BY208">
        <v>1</v>
      </c>
      <c r="BZ208">
        <v>0</v>
      </c>
      <c r="CA208">
        <v>0</v>
      </c>
      <c r="CB208">
        <v>0</v>
      </c>
      <c r="CC208" s="18">
        <v>0</v>
      </c>
      <c r="CD208">
        <v>0</v>
      </c>
      <c r="CE208">
        <v>0</v>
      </c>
      <c r="CF208">
        <v>1</v>
      </c>
      <c r="CG208">
        <v>1</v>
      </c>
      <c r="CH208">
        <v>0</v>
      </c>
      <c r="CI208">
        <v>0</v>
      </c>
      <c r="CJ208">
        <v>0</v>
      </c>
      <c r="CK208">
        <v>0</v>
      </c>
      <c r="CL208">
        <v>0</v>
      </c>
      <c r="CM208">
        <v>1</v>
      </c>
      <c r="CN208" s="18">
        <v>0</v>
      </c>
      <c r="CO208">
        <v>0</v>
      </c>
      <c r="CP208">
        <v>30</v>
      </c>
      <c r="CQ208">
        <v>0</v>
      </c>
      <c r="CR208">
        <v>1</v>
      </c>
      <c r="CS208">
        <v>12</v>
      </c>
      <c r="CY208" s="34"/>
    </row>
    <row r="209" spans="1:103" x14ac:dyDescent="0.25">
      <c r="A209">
        <v>208</v>
      </c>
      <c r="B209">
        <v>16</v>
      </c>
      <c r="C209" s="25" t="s">
        <v>192</v>
      </c>
      <c r="D209" s="12">
        <v>10.07489282729563</v>
      </c>
      <c r="E209" s="14">
        <v>1.876143915697511</v>
      </c>
      <c r="F209" s="7">
        <v>5.37</v>
      </c>
      <c r="G209" s="7">
        <f t="shared" si="51"/>
        <v>8.198748911598118</v>
      </c>
      <c r="H209" s="16">
        <f t="shared" si="52"/>
        <v>11.951036742993141</v>
      </c>
      <c r="I209" s="11">
        <f t="shared" si="55"/>
        <v>0.11384794510822124</v>
      </c>
      <c r="J209" s="33">
        <f t="shared" si="56"/>
        <v>2.1200734657024437E-2</v>
      </c>
      <c r="K209" s="33">
        <f t="shared" si="57"/>
        <v>47.168176772056817</v>
      </c>
      <c r="L209" s="8">
        <v>0</v>
      </c>
      <c r="M209" s="9">
        <v>1</v>
      </c>
      <c r="N209" s="8">
        <v>0</v>
      </c>
      <c r="O209" s="9">
        <v>0</v>
      </c>
      <c r="P209" s="9">
        <v>1</v>
      </c>
      <c r="Q209" s="9">
        <v>0</v>
      </c>
      <c r="R209" s="9">
        <v>0</v>
      </c>
      <c r="S209" s="8">
        <v>2209</v>
      </c>
      <c r="T209" s="9">
        <v>12</v>
      </c>
      <c r="U209" s="9">
        <f t="shared" si="53"/>
        <v>2196</v>
      </c>
      <c r="V209" s="9">
        <f t="shared" si="54"/>
        <v>48</v>
      </c>
      <c r="W209" s="7">
        <v>9.8450000000000006</v>
      </c>
      <c r="X209" s="7">
        <f t="shared" si="47"/>
        <v>24.155000000000001</v>
      </c>
      <c r="Y209" s="9">
        <v>0</v>
      </c>
      <c r="Z209" s="9">
        <v>1</v>
      </c>
      <c r="AA209" s="9">
        <v>0</v>
      </c>
      <c r="AB209" s="9">
        <v>0</v>
      </c>
      <c r="AC209" s="9">
        <v>1</v>
      </c>
      <c r="AD209" s="9">
        <v>0</v>
      </c>
      <c r="AE209" s="8">
        <v>0</v>
      </c>
      <c r="AF209" s="9">
        <v>1</v>
      </c>
      <c r="AG209" s="30">
        <v>0</v>
      </c>
      <c r="AH209" s="9">
        <v>0</v>
      </c>
      <c r="AI209" s="30">
        <v>1</v>
      </c>
      <c r="AJ209" s="21">
        <v>1999</v>
      </c>
      <c r="AK209" s="33">
        <f t="shared" si="48"/>
        <v>0.19249999999999998</v>
      </c>
      <c r="AL209" s="33">
        <v>0.28999999999999998</v>
      </c>
      <c r="AM209" s="33">
        <v>0.32500000000000001</v>
      </c>
      <c r="AN209" s="43">
        <f t="shared" si="49"/>
        <v>0.19249999999999998</v>
      </c>
      <c r="AO209" s="42">
        <v>0.67</v>
      </c>
      <c r="AP209" s="18">
        <v>0.33</v>
      </c>
      <c r="AQ209">
        <v>0</v>
      </c>
      <c r="AR209" s="40">
        <f t="shared" si="45"/>
        <v>1</v>
      </c>
      <c r="AS209">
        <v>0.38</v>
      </c>
      <c r="AT209" s="40">
        <v>0.62</v>
      </c>
      <c r="AU209">
        <v>0</v>
      </c>
      <c r="AV209" s="18">
        <v>1</v>
      </c>
      <c r="AW209">
        <f t="shared" si="50"/>
        <v>0.48099999999999998</v>
      </c>
      <c r="AX209" s="18">
        <v>0.51900000000000002</v>
      </c>
      <c r="AY209" s="18" t="s">
        <v>10</v>
      </c>
      <c r="AZ209">
        <v>0</v>
      </c>
      <c r="BA209">
        <v>0</v>
      </c>
      <c r="BB209">
        <v>0</v>
      </c>
      <c r="BC209">
        <v>0</v>
      </c>
      <c r="BD209">
        <v>0</v>
      </c>
      <c r="BE209">
        <v>0</v>
      </c>
      <c r="BF209" s="18">
        <v>1</v>
      </c>
      <c r="BG209">
        <v>0</v>
      </c>
      <c r="BH209">
        <v>0</v>
      </c>
      <c r="BI209" s="18">
        <v>1</v>
      </c>
      <c r="BJ209" t="s">
        <v>98</v>
      </c>
      <c r="BK209">
        <v>22</v>
      </c>
      <c r="BL209" s="25">
        <v>40</v>
      </c>
      <c r="BM209">
        <v>1</v>
      </c>
      <c r="BN209">
        <v>0</v>
      </c>
      <c r="BO209">
        <v>0</v>
      </c>
      <c r="BP209">
        <v>0</v>
      </c>
      <c r="BQ209">
        <v>0</v>
      </c>
      <c r="BR209">
        <v>0</v>
      </c>
      <c r="BS209">
        <v>0</v>
      </c>
      <c r="BT209" s="18">
        <v>0</v>
      </c>
      <c r="BU209">
        <v>0</v>
      </c>
      <c r="BV209">
        <v>1</v>
      </c>
      <c r="BW209">
        <v>0</v>
      </c>
      <c r="BX209" s="18">
        <v>0</v>
      </c>
      <c r="BY209">
        <v>1</v>
      </c>
      <c r="BZ209">
        <v>0</v>
      </c>
      <c r="CA209">
        <v>0</v>
      </c>
      <c r="CB209">
        <v>0</v>
      </c>
      <c r="CC209" s="18">
        <v>0</v>
      </c>
      <c r="CD209">
        <v>0</v>
      </c>
      <c r="CE209">
        <v>0</v>
      </c>
      <c r="CF209">
        <v>1</v>
      </c>
      <c r="CG209">
        <v>1</v>
      </c>
      <c r="CH209">
        <v>0</v>
      </c>
      <c r="CI209">
        <v>0</v>
      </c>
      <c r="CJ209">
        <v>0</v>
      </c>
      <c r="CK209">
        <v>0</v>
      </c>
      <c r="CL209">
        <v>0</v>
      </c>
      <c r="CM209">
        <v>1</v>
      </c>
      <c r="CN209" s="18">
        <v>0</v>
      </c>
      <c r="CO209">
        <v>0</v>
      </c>
      <c r="CP209">
        <v>30</v>
      </c>
      <c r="CQ209">
        <v>0</v>
      </c>
      <c r="CR209">
        <v>1</v>
      </c>
      <c r="CS209">
        <v>12</v>
      </c>
      <c r="CY209" s="34"/>
    </row>
    <row r="210" spans="1:103" x14ac:dyDescent="0.25">
      <c r="A210">
        <v>209</v>
      </c>
      <c r="B210">
        <v>16</v>
      </c>
      <c r="C210" s="25" t="s">
        <v>192</v>
      </c>
      <c r="D210" s="12">
        <v>13.216500763332849</v>
      </c>
      <c r="E210" s="14">
        <v>3.8087898453408791</v>
      </c>
      <c r="F210" s="7">
        <v>3.47</v>
      </c>
      <c r="G210" s="7">
        <f t="shared" si="51"/>
        <v>9.4077109179919702</v>
      </c>
      <c r="H210" s="16">
        <f t="shared" si="52"/>
        <v>17.025290608673728</v>
      </c>
      <c r="I210" s="11">
        <f t="shared" si="55"/>
        <v>7.3845820103091431E-2</v>
      </c>
      <c r="J210" s="33">
        <f t="shared" si="56"/>
        <v>2.1281216168037877E-2</v>
      </c>
      <c r="K210" s="33">
        <f t="shared" si="57"/>
        <v>46.989795700768909</v>
      </c>
      <c r="L210" s="8">
        <v>0</v>
      </c>
      <c r="M210" s="9">
        <v>1</v>
      </c>
      <c r="N210" s="8">
        <v>0</v>
      </c>
      <c r="O210" s="9">
        <v>0</v>
      </c>
      <c r="P210" s="9">
        <v>1</v>
      </c>
      <c r="Q210" s="9">
        <v>0</v>
      </c>
      <c r="R210" s="9">
        <v>0</v>
      </c>
      <c r="S210" s="8">
        <v>2209</v>
      </c>
      <c r="T210" s="9">
        <v>12</v>
      </c>
      <c r="U210" s="9">
        <f t="shared" si="53"/>
        <v>2196</v>
      </c>
      <c r="V210" s="9">
        <f t="shared" si="54"/>
        <v>48</v>
      </c>
      <c r="W210" s="7">
        <v>9.8450000000000006</v>
      </c>
      <c r="X210" s="7">
        <f t="shared" si="47"/>
        <v>24.155000000000001</v>
      </c>
      <c r="Y210" s="9">
        <v>0</v>
      </c>
      <c r="Z210" s="9">
        <v>1</v>
      </c>
      <c r="AA210" s="9">
        <v>0</v>
      </c>
      <c r="AB210" s="9">
        <v>0</v>
      </c>
      <c r="AC210" s="9">
        <v>1</v>
      </c>
      <c r="AD210" s="9">
        <v>0</v>
      </c>
      <c r="AE210" s="8">
        <v>0</v>
      </c>
      <c r="AF210" s="9">
        <v>1</v>
      </c>
      <c r="AG210" s="30">
        <v>0</v>
      </c>
      <c r="AH210" s="9">
        <v>0</v>
      </c>
      <c r="AI210" s="30">
        <v>1</v>
      </c>
      <c r="AJ210" s="21">
        <v>1999</v>
      </c>
      <c r="AK210" s="33">
        <f t="shared" si="48"/>
        <v>0.19249999999999998</v>
      </c>
      <c r="AL210" s="33">
        <v>0.28999999999999998</v>
      </c>
      <c r="AM210" s="33">
        <v>0.32500000000000001</v>
      </c>
      <c r="AN210" s="43">
        <f t="shared" si="49"/>
        <v>0.19249999999999998</v>
      </c>
      <c r="AO210" s="42">
        <v>0.67</v>
      </c>
      <c r="AP210" s="18">
        <v>0.33</v>
      </c>
      <c r="AQ210">
        <v>0</v>
      </c>
      <c r="AR210" s="40">
        <f t="shared" si="45"/>
        <v>1</v>
      </c>
      <c r="AS210">
        <v>0.38</v>
      </c>
      <c r="AT210" s="40">
        <v>0.62</v>
      </c>
      <c r="AU210">
        <v>0</v>
      </c>
      <c r="AV210" s="18">
        <v>1</v>
      </c>
      <c r="AW210">
        <f t="shared" si="50"/>
        <v>0.48099999999999998</v>
      </c>
      <c r="AX210" s="18">
        <v>0.51900000000000002</v>
      </c>
      <c r="AY210" s="18" t="s">
        <v>10</v>
      </c>
      <c r="AZ210">
        <v>0</v>
      </c>
      <c r="BA210">
        <v>0</v>
      </c>
      <c r="BB210">
        <v>0</v>
      </c>
      <c r="BC210">
        <v>0</v>
      </c>
      <c r="BD210">
        <v>0</v>
      </c>
      <c r="BE210">
        <v>0</v>
      </c>
      <c r="BF210" s="18">
        <v>1</v>
      </c>
      <c r="BG210">
        <v>0</v>
      </c>
      <c r="BH210">
        <v>0</v>
      </c>
      <c r="BI210" s="18">
        <v>1</v>
      </c>
      <c r="BJ210" t="s">
        <v>98</v>
      </c>
      <c r="BK210">
        <v>22</v>
      </c>
      <c r="BL210" s="25">
        <v>40</v>
      </c>
      <c r="BM210">
        <v>1</v>
      </c>
      <c r="BN210">
        <v>0</v>
      </c>
      <c r="BO210">
        <v>0</v>
      </c>
      <c r="BP210">
        <v>0</v>
      </c>
      <c r="BQ210">
        <v>0</v>
      </c>
      <c r="BR210">
        <v>0</v>
      </c>
      <c r="BS210">
        <v>0</v>
      </c>
      <c r="BT210" s="18">
        <v>0</v>
      </c>
      <c r="BU210">
        <v>0</v>
      </c>
      <c r="BV210">
        <v>1</v>
      </c>
      <c r="BW210">
        <v>0</v>
      </c>
      <c r="BX210" s="18">
        <v>0</v>
      </c>
      <c r="BY210">
        <v>1</v>
      </c>
      <c r="BZ210">
        <v>0</v>
      </c>
      <c r="CA210">
        <v>0</v>
      </c>
      <c r="CB210">
        <v>0</v>
      </c>
      <c r="CC210" s="18">
        <v>0</v>
      </c>
      <c r="CD210">
        <v>0</v>
      </c>
      <c r="CE210">
        <v>0</v>
      </c>
      <c r="CF210">
        <v>1</v>
      </c>
      <c r="CG210">
        <v>1</v>
      </c>
      <c r="CH210">
        <v>0</v>
      </c>
      <c r="CI210">
        <v>0</v>
      </c>
      <c r="CJ210">
        <v>0</v>
      </c>
      <c r="CK210">
        <v>0</v>
      </c>
      <c r="CL210">
        <v>0</v>
      </c>
      <c r="CM210">
        <v>1</v>
      </c>
      <c r="CN210" s="18">
        <v>0</v>
      </c>
      <c r="CO210">
        <v>0</v>
      </c>
      <c r="CP210">
        <v>30</v>
      </c>
      <c r="CQ210">
        <v>0</v>
      </c>
      <c r="CR210">
        <v>1</v>
      </c>
      <c r="CS210">
        <v>12</v>
      </c>
      <c r="CY210" s="34"/>
    </row>
    <row r="211" spans="1:103" x14ac:dyDescent="0.25">
      <c r="A211">
        <v>210</v>
      </c>
      <c r="B211">
        <v>16</v>
      </c>
      <c r="C211" s="25" t="s">
        <v>192</v>
      </c>
      <c r="D211" s="12">
        <v>4.4697507923277202</v>
      </c>
      <c r="E211" s="14">
        <v>1.0322750097754549</v>
      </c>
      <c r="F211" s="7">
        <v>4.33</v>
      </c>
      <c r="G211" s="7">
        <f t="shared" si="51"/>
        <v>3.4374757825522653</v>
      </c>
      <c r="H211" s="16">
        <f t="shared" si="52"/>
        <v>5.5020258021031747</v>
      </c>
      <c r="I211" s="11">
        <f t="shared" si="55"/>
        <v>9.1800996606447416E-2</v>
      </c>
      <c r="J211" s="33">
        <f t="shared" si="56"/>
        <v>2.1201153950680698E-2</v>
      </c>
      <c r="K211" s="33">
        <f t="shared" si="57"/>
        <v>47.167243930507539</v>
      </c>
      <c r="L211" s="8">
        <v>0</v>
      </c>
      <c r="M211" s="9">
        <v>1</v>
      </c>
      <c r="N211" s="8">
        <v>0</v>
      </c>
      <c r="O211" s="9">
        <v>0</v>
      </c>
      <c r="P211" s="9">
        <v>1</v>
      </c>
      <c r="Q211" s="9">
        <v>0</v>
      </c>
      <c r="R211" s="9">
        <v>0</v>
      </c>
      <c r="S211" s="8">
        <v>2219</v>
      </c>
      <c r="T211" s="9">
        <v>12</v>
      </c>
      <c r="U211" s="9">
        <f t="shared" si="53"/>
        <v>2206</v>
      </c>
      <c r="V211" s="9">
        <f t="shared" si="54"/>
        <v>48</v>
      </c>
      <c r="W211" s="7">
        <v>9.8450000000000006</v>
      </c>
      <c r="X211" s="7">
        <f t="shared" si="47"/>
        <v>24.155000000000001</v>
      </c>
      <c r="Y211" s="9">
        <v>0</v>
      </c>
      <c r="Z211" s="9">
        <v>1</v>
      </c>
      <c r="AA211" s="9">
        <v>0</v>
      </c>
      <c r="AB211" s="9">
        <v>0</v>
      </c>
      <c r="AC211" s="9">
        <v>1</v>
      </c>
      <c r="AD211" s="9">
        <v>0</v>
      </c>
      <c r="AE211" s="8">
        <v>0</v>
      </c>
      <c r="AF211" s="9">
        <v>1</v>
      </c>
      <c r="AG211" s="30">
        <v>0</v>
      </c>
      <c r="AH211" s="9">
        <v>0</v>
      </c>
      <c r="AI211" s="30">
        <v>1</v>
      </c>
      <c r="AJ211" s="21">
        <v>1999</v>
      </c>
      <c r="AK211" s="33">
        <f t="shared" si="48"/>
        <v>0.19249999999999998</v>
      </c>
      <c r="AL211" s="33">
        <v>0.28999999999999998</v>
      </c>
      <c r="AM211" s="33">
        <v>0.32500000000000001</v>
      </c>
      <c r="AN211" s="43">
        <f t="shared" si="49"/>
        <v>0.19249999999999998</v>
      </c>
      <c r="AO211" s="42">
        <v>0.67</v>
      </c>
      <c r="AP211" s="18">
        <v>0.33</v>
      </c>
      <c r="AQ211">
        <v>0</v>
      </c>
      <c r="AR211" s="40">
        <f t="shared" si="45"/>
        <v>1</v>
      </c>
      <c r="AS211">
        <v>0.38</v>
      </c>
      <c r="AT211" s="40">
        <v>0.62</v>
      </c>
      <c r="AU211">
        <v>0</v>
      </c>
      <c r="AV211" s="18">
        <v>1</v>
      </c>
      <c r="AW211">
        <f t="shared" si="50"/>
        <v>0.48099999999999998</v>
      </c>
      <c r="AX211" s="18">
        <v>0.51900000000000002</v>
      </c>
      <c r="AY211" s="18" t="s">
        <v>10</v>
      </c>
      <c r="AZ211">
        <v>0</v>
      </c>
      <c r="BA211">
        <v>0</v>
      </c>
      <c r="BB211">
        <v>0</v>
      </c>
      <c r="BC211">
        <v>0</v>
      </c>
      <c r="BD211">
        <v>0</v>
      </c>
      <c r="BE211">
        <v>0</v>
      </c>
      <c r="BF211" s="18">
        <v>1</v>
      </c>
      <c r="BG211">
        <v>0</v>
      </c>
      <c r="BH211">
        <v>0</v>
      </c>
      <c r="BI211" s="18">
        <v>1</v>
      </c>
      <c r="BJ211" t="s">
        <v>98</v>
      </c>
      <c r="BK211">
        <v>22</v>
      </c>
      <c r="BL211" s="25">
        <v>40</v>
      </c>
      <c r="BM211">
        <v>1</v>
      </c>
      <c r="BN211">
        <v>0</v>
      </c>
      <c r="BO211">
        <v>0</v>
      </c>
      <c r="BP211">
        <v>0</v>
      </c>
      <c r="BQ211">
        <v>0</v>
      </c>
      <c r="BR211">
        <v>0</v>
      </c>
      <c r="BS211">
        <v>0</v>
      </c>
      <c r="BT211" s="18">
        <v>0</v>
      </c>
      <c r="BU211">
        <v>0</v>
      </c>
      <c r="BV211">
        <v>1</v>
      </c>
      <c r="BW211">
        <v>0</v>
      </c>
      <c r="BX211" s="18">
        <v>0</v>
      </c>
      <c r="BY211">
        <v>1</v>
      </c>
      <c r="BZ211">
        <v>0</v>
      </c>
      <c r="CA211">
        <v>0</v>
      </c>
      <c r="CB211">
        <v>0</v>
      </c>
      <c r="CC211" s="18">
        <v>0</v>
      </c>
      <c r="CD211">
        <v>0</v>
      </c>
      <c r="CE211">
        <v>0</v>
      </c>
      <c r="CF211">
        <v>1</v>
      </c>
      <c r="CG211">
        <v>1</v>
      </c>
      <c r="CH211">
        <v>0</v>
      </c>
      <c r="CI211">
        <v>0</v>
      </c>
      <c r="CJ211">
        <v>0</v>
      </c>
      <c r="CK211">
        <v>0</v>
      </c>
      <c r="CL211">
        <v>0</v>
      </c>
      <c r="CM211">
        <v>1</v>
      </c>
      <c r="CN211" s="18">
        <v>0</v>
      </c>
      <c r="CO211">
        <v>0</v>
      </c>
      <c r="CP211">
        <v>30</v>
      </c>
      <c r="CQ211">
        <v>0</v>
      </c>
      <c r="CR211">
        <v>1</v>
      </c>
      <c r="CS211">
        <v>12</v>
      </c>
      <c r="CY211" s="34"/>
    </row>
    <row r="212" spans="1:103" x14ac:dyDescent="0.25">
      <c r="A212">
        <v>211</v>
      </c>
      <c r="B212">
        <v>16</v>
      </c>
      <c r="C212" s="25" t="s">
        <v>192</v>
      </c>
      <c r="D212" s="12">
        <v>3.8249025165422168</v>
      </c>
      <c r="E212" s="14">
        <v>0.58574311126220779</v>
      </c>
      <c r="F212" s="7">
        <v>6.53</v>
      </c>
      <c r="G212" s="7">
        <f t="shared" si="51"/>
        <v>3.239159405280009</v>
      </c>
      <c r="H212" s="16">
        <f t="shared" si="52"/>
        <v>4.4106456278044242</v>
      </c>
      <c r="I212" s="11">
        <f t="shared" si="55"/>
        <v>0.1377060840526772</v>
      </c>
      <c r="J212" s="33">
        <f t="shared" si="56"/>
        <v>2.1088221141298193E-2</v>
      </c>
      <c r="K212" s="33">
        <f t="shared" si="57"/>
        <v>47.419836566567788</v>
      </c>
      <c r="L212" s="8">
        <v>0</v>
      </c>
      <c r="M212" s="9">
        <v>1</v>
      </c>
      <c r="N212" s="8">
        <v>0</v>
      </c>
      <c r="O212" s="9">
        <v>0</v>
      </c>
      <c r="P212" s="9">
        <v>1</v>
      </c>
      <c r="Q212" s="9">
        <v>0</v>
      </c>
      <c r="R212" s="9">
        <v>0</v>
      </c>
      <c r="S212" s="8">
        <v>2219</v>
      </c>
      <c r="T212" s="9">
        <v>12</v>
      </c>
      <c r="U212" s="9">
        <f t="shared" si="53"/>
        <v>2206</v>
      </c>
      <c r="V212" s="9">
        <f t="shared" si="54"/>
        <v>48</v>
      </c>
      <c r="W212" s="7">
        <v>9.8450000000000006</v>
      </c>
      <c r="X212" s="7">
        <f t="shared" si="47"/>
        <v>24.155000000000001</v>
      </c>
      <c r="Y212" s="9">
        <v>0</v>
      </c>
      <c r="Z212" s="9">
        <v>1</v>
      </c>
      <c r="AA212" s="9">
        <v>0</v>
      </c>
      <c r="AB212" s="9">
        <v>0</v>
      </c>
      <c r="AC212" s="9">
        <v>1</v>
      </c>
      <c r="AD212" s="9">
        <v>0</v>
      </c>
      <c r="AE212" s="8">
        <v>0</v>
      </c>
      <c r="AF212" s="9">
        <v>1</v>
      </c>
      <c r="AG212" s="30">
        <v>0</v>
      </c>
      <c r="AH212" s="9">
        <v>0</v>
      </c>
      <c r="AI212" s="30">
        <v>1</v>
      </c>
      <c r="AJ212" s="21">
        <v>1999</v>
      </c>
      <c r="AK212" s="33">
        <f t="shared" si="48"/>
        <v>0.19249999999999998</v>
      </c>
      <c r="AL212" s="33">
        <v>0.28999999999999998</v>
      </c>
      <c r="AM212" s="33">
        <v>0.32500000000000001</v>
      </c>
      <c r="AN212" s="43">
        <f t="shared" si="49"/>
        <v>0.19249999999999998</v>
      </c>
      <c r="AO212" s="42">
        <v>0.67</v>
      </c>
      <c r="AP212" s="18">
        <v>0.33</v>
      </c>
      <c r="AQ212">
        <v>0</v>
      </c>
      <c r="AR212" s="40">
        <f t="shared" si="45"/>
        <v>1</v>
      </c>
      <c r="AS212">
        <v>0.38</v>
      </c>
      <c r="AT212" s="40">
        <v>0.62</v>
      </c>
      <c r="AU212">
        <v>0</v>
      </c>
      <c r="AV212" s="18">
        <v>1</v>
      </c>
      <c r="AW212">
        <f t="shared" si="50"/>
        <v>0.48099999999999998</v>
      </c>
      <c r="AX212" s="18">
        <v>0.51900000000000002</v>
      </c>
      <c r="AY212" s="18" t="s">
        <v>10</v>
      </c>
      <c r="AZ212">
        <v>0</v>
      </c>
      <c r="BA212">
        <v>0</v>
      </c>
      <c r="BB212">
        <v>0</v>
      </c>
      <c r="BC212">
        <v>0</v>
      </c>
      <c r="BD212">
        <v>0</v>
      </c>
      <c r="BE212">
        <v>0</v>
      </c>
      <c r="BF212" s="18">
        <v>1</v>
      </c>
      <c r="BG212">
        <v>0</v>
      </c>
      <c r="BH212">
        <v>0</v>
      </c>
      <c r="BI212" s="18">
        <v>1</v>
      </c>
      <c r="BJ212" t="s">
        <v>98</v>
      </c>
      <c r="BK212">
        <v>22</v>
      </c>
      <c r="BL212" s="25">
        <v>40</v>
      </c>
      <c r="BM212">
        <v>1</v>
      </c>
      <c r="BN212">
        <v>0</v>
      </c>
      <c r="BO212">
        <v>0</v>
      </c>
      <c r="BP212">
        <v>0</v>
      </c>
      <c r="BQ212">
        <v>0</v>
      </c>
      <c r="BR212">
        <v>0</v>
      </c>
      <c r="BS212">
        <v>0</v>
      </c>
      <c r="BT212" s="18">
        <v>0</v>
      </c>
      <c r="BU212">
        <v>0</v>
      </c>
      <c r="BV212">
        <v>1</v>
      </c>
      <c r="BW212">
        <v>0</v>
      </c>
      <c r="BX212" s="18">
        <v>0</v>
      </c>
      <c r="BY212">
        <v>1</v>
      </c>
      <c r="BZ212">
        <v>0</v>
      </c>
      <c r="CA212">
        <v>0</v>
      </c>
      <c r="CB212">
        <v>0</v>
      </c>
      <c r="CC212" s="18">
        <v>0</v>
      </c>
      <c r="CD212">
        <v>0</v>
      </c>
      <c r="CE212">
        <v>0</v>
      </c>
      <c r="CF212">
        <v>1</v>
      </c>
      <c r="CG212">
        <v>1</v>
      </c>
      <c r="CH212">
        <v>0</v>
      </c>
      <c r="CI212">
        <v>0</v>
      </c>
      <c r="CJ212">
        <v>0</v>
      </c>
      <c r="CK212">
        <v>0</v>
      </c>
      <c r="CL212">
        <v>0</v>
      </c>
      <c r="CM212">
        <v>1</v>
      </c>
      <c r="CN212" s="18">
        <v>0</v>
      </c>
      <c r="CO212">
        <v>0</v>
      </c>
      <c r="CP212">
        <v>30</v>
      </c>
      <c r="CQ212">
        <v>0</v>
      </c>
      <c r="CR212">
        <v>1</v>
      </c>
      <c r="CS212">
        <v>12</v>
      </c>
      <c r="CY212" s="34"/>
    </row>
    <row r="213" spans="1:103" x14ac:dyDescent="0.25">
      <c r="A213">
        <v>212</v>
      </c>
      <c r="B213">
        <v>16</v>
      </c>
      <c r="C213" s="25" t="s">
        <v>192</v>
      </c>
      <c r="D213" s="12">
        <v>10.10212560965598</v>
      </c>
      <c r="E213" s="14">
        <v>1.8777185148059441</v>
      </c>
      <c r="F213" s="7">
        <v>5.38</v>
      </c>
      <c r="G213" s="7">
        <f t="shared" si="51"/>
        <v>8.2244070948500365</v>
      </c>
      <c r="H213" s="16">
        <f t="shared" si="52"/>
        <v>11.979844124461923</v>
      </c>
      <c r="I213" s="11">
        <f t="shared" si="55"/>
        <v>0.11380174303938229</v>
      </c>
      <c r="J213" s="33">
        <f t="shared" si="56"/>
        <v>2.1152740341892618E-2</v>
      </c>
      <c r="K213" s="33">
        <f t="shared" si="57"/>
        <v>47.275198571766992</v>
      </c>
      <c r="L213" s="8">
        <v>0</v>
      </c>
      <c r="M213" s="9">
        <v>1</v>
      </c>
      <c r="N213" s="8">
        <v>0</v>
      </c>
      <c r="O213" s="9">
        <v>0</v>
      </c>
      <c r="P213" s="9">
        <v>1</v>
      </c>
      <c r="Q213" s="9">
        <v>0</v>
      </c>
      <c r="R213" s="9">
        <v>0</v>
      </c>
      <c r="S213" s="8">
        <v>2219</v>
      </c>
      <c r="T213" s="9">
        <v>12</v>
      </c>
      <c r="U213" s="9">
        <f t="shared" si="53"/>
        <v>2206</v>
      </c>
      <c r="V213" s="9">
        <f t="shared" si="54"/>
        <v>48</v>
      </c>
      <c r="W213" s="7">
        <v>9.8450000000000006</v>
      </c>
      <c r="X213" s="7">
        <f t="shared" si="47"/>
        <v>24.155000000000001</v>
      </c>
      <c r="Y213" s="9">
        <v>0</v>
      </c>
      <c r="Z213" s="9">
        <v>1</v>
      </c>
      <c r="AA213" s="9">
        <v>0</v>
      </c>
      <c r="AB213" s="9">
        <v>0</v>
      </c>
      <c r="AC213" s="9">
        <v>1</v>
      </c>
      <c r="AD213" s="9">
        <v>0</v>
      </c>
      <c r="AE213" s="8">
        <v>0</v>
      </c>
      <c r="AF213" s="9">
        <v>1</v>
      </c>
      <c r="AG213" s="30">
        <v>0</v>
      </c>
      <c r="AH213" s="9">
        <v>0</v>
      </c>
      <c r="AI213" s="30">
        <v>1</v>
      </c>
      <c r="AJ213" s="21">
        <v>1999</v>
      </c>
      <c r="AK213" s="33">
        <f t="shared" si="48"/>
        <v>0.19249999999999998</v>
      </c>
      <c r="AL213" s="33">
        <v>0.28999999999999998</v>
      </c>
      <c r="AM213" s="33">
        <v>0.32500000000000001</v>
      </c>
      <c r="AN213" s="43">
        <f t="shared" si="49"/>
        <v>0.19249999999999998</v>
      </c>
      <c r="AO213" s="42">
        <v>0.67</v>
      </c>
      <c r="AP213" s="18">
        <v>0.33</v>
      </c>
      <c r="AQ213">
        <v>0</v>
      </c>
      <c r="AR213" s="40">
        <f t="shared" si="45"/>
        <v>1</v>
      </c>
      <c r="AS213">
        <v>0.38</v>
      </c>
      <c r="AT213" s="40">
        <v>0.62</v>
      </c>
      <c r="AU213">
        <v>0</v>
      </c>
      <c r="AV213" s="18">
        <v>1</v>
      </c>
      <c r="AW213">
        <f t="shared" si="50"/>
        <v>0.48099999999999998</v>
      </c>
      <c r="AX213" s="18">
        <v>0.51900000000000002</v>
      </c>
      <c r="AY213" s="18" t="s">
        <v>10</v>
      </c>
      <c r="AZ213">
        <v>0</v>
      </c>
      <c r="BA213">
        <v>0</v>
      </c>
      <c r="BB213">
        <v>0</v>
      </c>
      <c r="BC213">
        <v>0</v>
      </c>
      <c r="BD213">
        <v>0</v>
      </c>
      <c r="BE213">
        <v>0</v>
      </c>
      <c r="BF213" s="18">
        <v>1</v>
      </c>
      <c r="BG213">
        <v>0</v>
      </c>
      <c r="BH213">
        <v>0</v>
      </c>
      <c r="BI213" s="18">
        <v>1</v>
      </c>
      <c r="BJ213" t="s">
        <v>98</v>
      </c>
      <c r="BK213">
        <v>22</v>
      </c>
      <c r="BL213" s="25">
        <v>40</v>
      </c>
      <c r="BM213">
        <v>1</v>
      </c>
      <c r="BN213">
        <v>0</v>
      </c>
      <c r="BO213">
        <v>0</v>
      </c>
      <c r="BP213">
        <v>0</v>
      </c>
      <c r="BQ213">
        <v>0</v>
      </c>
      <c r="BR213">
        <v>0</v>
      </c>
      <c r="BS213">
        <v>0</v>
      </c>
      <c r="BT213" s="18">
        <v>0</v>
      </c>
      <c r="BU213">
        <v>0</v>
      </c>
      <c r="BV213">
        <v>1</v>
      </c>
      <c r="BW213">
        <v>0</v>
      </c>
      <c r="BX213" s="18">
        <v>0</v>
      </c>
      <c r="BY213">
        <v>1</v>
      </c>
      <c r="BZ213">
        <v>0</v>
      </c>
      <c r="CA213">
        <v>0</v>
      </c>
      <c r="CB213">
        <v>0</v>
      </c>
      <c r="CC213" s="18">
        <v>0</v>
      </c>
      <c r="CD213">
        <v>0</v>
      </c>
      <c r="CE213">
        <v>0</v>
      </c>
      <c r="CF213">
        <v>1</v>
      </c>
      <c r="CG213">
        <v>1</v>
      </c>
      <c r="CH213">
        <v>0</v>
      </c>
      <c r="CI213">
        <v>0</v>
      </c>
      <c r="CJ213">
        <v>0</v>
      </c>
      <c r="CK213">
        <v>0</v>
      </c>
      <c r="CL213">
        <v>0</v>
      </c>
      <c r="CM213">
        <v>1</v>
      </c>
      <c r="CN213" s="18">
        <v>0</v>
      </c>
      <c r="CO213">
        <v>0</v>
      </c>
      <c r="CP213">
        <v>30</v>
      </c>
      <c r="CQ213">
        <v>0</v>
      </c>
      <c r="CR213">
        <v>1</v>
      </c>
      <c r="CS213">
        <v>12</v>
      </c>
      <c r="CY213" s="34"/>
    </row>
    <row r="214" spans="1:103" x14ac:dyDescent="0.25">
      <c r="A214">
        <v>213</v>
      </c>
      <c r="B214">
        <v>16</v>
      </c>
      <c r="C214" s="25" t="s">
        <v>192</v>
      </c>
      <c r="D214" s="12">
        <v>13.394992519395471</v>
      </c>
      <c r="E214" s="14">
        <v>3.849135781435479</v>
      </c>
      <c r="F214" s="7">
        <v>3.48</v>
      </c>
      <c r="G214" s="7">
        <f t="shared" si="51"/>
        <v>9.5458567379599923</v>
      </c>
      <c r="H214" s="16">
        <f t="shared" si="52"/>
        <v>17.244128300830951</v>
      </c>
      <c r="I214" s="11">
        <f t="shared" si="55"/>
        <v>7.3890339994261867E-2</v>
      </c>
      <c r="J214" s="33">
        <f t="shared" si="56"/>
        <v>2.1232856320190192E-2</v>
      </c>
      <c r="K214" s="33">
        <f t="shared" si="57"/>
        <v>47.096819425519598</v>
      </c>
      <c r="L214" s="8">
        <v>0</v>
      </c>
      <c r="M214" s="9">
        <v>1</v>
      </c>
      <c r="N214" s="8">
        <v>0</v>
      </c>
      <c r="O214" s="9">
        <v>0</v>
      </c>
      <c r="P214" s="9">
        <v>1</v>
      </c>
      <c r="Q214" s="9">
        <v>0</v>
      </c>
      <c r="R214" s="9">
        <v>0</v>
      </c>
      <c r="S214" s="8">
        <v>2219</v>
      </c>
      <c r="T214" s="9">
        <v>12</v>
      </c>
      <c r="U214" s="9">
        <f t="shared" si="53"/>
        <v>2206</v>
      </c>
      <c r="V214" s="9">
        <f t="shared" si="54"/>
        <v>48</v>
      </c>
      <c r="W214" s="7">
        <v>9.8450000000000006</v>
      </c>
      <c r="X214" s="7">
        <f t="shared" si="47"/>
        <v>24.155000000000001</v>
      </c>
      <c r="Y214" s="9">
        <v>0</v>
      </c>
      <c r="Z214" s="9">
        <v>1</v>
      </c>
      <c r="AA214" s="9">
        <v>0</v>
      </c>
      <c r="AB214" s="9">
        <v>0</v>
      </c>
      <c r="AC214" s="9">
        <v>1</v>
      </c>
      <c r="AD214" s="9">
        <v>0</v>
      </c>
      <c r="AE214" s="8">
        <v>0</v>
      </c>
      <c r="AF214" s="9">
        <v>1</v>
      </c>
      <c r="AG214" s="30">
        <v>0</v>
      </c>
      <c r="AH214" s="9">
        <v>0</v>
      </c>
      <c r="AI214" s="30">
        <v>1</v>
      </c>
      <c r="AJ214" s="21">
        <v>1999</v>
      </c>
      <c r="AK214" s="33">
        <f t="shared" si="48"/>
        <v>0.19249999999999998</v>
      </c>
      <c r="AL214" s="33">
        <v>0.28999999999999998</v>
      </c>
      <c r="AM214" s="33">
        <v>0.32500000000000001</v>
      </c>
      <c r="AN214" s="43">
        <f t="shared" si="49"/>
        <v>0.19249999999999998</v>
      </c>
      <c r="AO214" s="42">
        <v>0.67</v>
      </c>
      <c r="AP214" s="18">
        <v>0.33</v>
      </c>
      <c r="AQ214">
        <v>0</v>
      </c>
      <c r="AR214" s="40">
        <f t="shared" si="45"/>
        <v>1</v>
      </c>
      <c r="AS214">
        <v>0.38</v>
      </c>
      <c r="AT214" s="40">
        <v>0.62</v>
      </c>
      <c r="AU214">
        <v>0</v>
      </c>
      <c r="AV214" s="18">
        <v>1</v>
      </c>
      <c r="AW214">
        <f t="shared" si="50"/>
        <v>0.48099999999999998</v>
      </c>
      <c r="AX214" s="18">
        <v>0.51900000000000002</v>
      </c>
      <c r="AY214" s="18" t="s">
        <v>10</v>
      </c>
      <c r="AZ214">
        <v>0</v>
      </c>
      <c r="BA214">
        <v>0</v>
      </c>
      <c r="BB214">
        <v>0</v>
      </c>
      <c r="BC214">
        <v>0</v>
      </c>
      <c r="BD214">
        <v>0</v>
      </c>
      <c r="BE214">
        <v>0</v>
      </c>
      <c r="BF214" s="18">
        <v>1</v>
      </c>
      <c r="BG214">
        <v>0</v>
      </c>
      <c r="BH214">
        <v>0</v>
      </c>
      <c r="BI214" s="18">
        <v>1</v>
      </c>
      <c r="BJ214" t="s">
        <v>98</v>
      </c>
      <c r="BK214">
        <v>22</v>
      </c>
      <c r="BL214" s="25">
        <v>40</v>
      </c>
      <c r="BM214">
        <v>1</v>
      </c>
      <c r="BN214">
        <v>0</v>
      </c>
      <c r="BO214">
        <v>0</v>
      </c>
      <c r="BP214">
        <v>0</v>
      </c>
      <c r="BQ214">
        <v>0</v>
      </c>
      <c r="BR214">
        <v>0</v>
      </c>
      <c r="BS214">
        <v>0</v>
      </c>
      <c r="BT214" s="18">
        <v>0</v>
      </c>
      <c r="BU214">
        <v>0</v>
      </c>
      <c r="BV214">
        <v>1</v>
      </c>
      <c r="BW214">
        <v>0</v>
      </c>
      <c r="BX214" s="18">
        <v>0</v>
      </c>
      <c r="BY214">
        <v>1</v>
      </c>
      <c r="BZ214">
        <v>0</v>
      </c>
      <c r="CA214">
        <v>0</v>
      </c>
      <c r="CB214">
        <v>0</v>
      </c>
      <c r="CC214" s="18">
        <v>0</v>
      </c>
      <c r="CD214">
        <v>0</v>
      </c>
      <c r="CE214">
        <v>0</v>
      </c>
      <c r="CF214">
        <v>1</v>
      </c>
      <c r="CG214">
        <v>1</v>
      </c>
      <c r="CH214">
        <v>0</v>
      </c>
      <c r="CI214">
        <v>0</v>
      </c>
      <c r="CJ214">
        <v>0</v>
      </c>
      <c r="CK214">
        <v>0</v>
      </c>
      <c r="CL214">
        <v>0</v>
      </c>
      <c r="CM214">
        <v>1</v>
      </c>
      <c r="CN214" s="18">
        <v>0</v>
      </c>
      <c r="CO214">
        <v>0</v>
      </c>
      <c r="CP214">
        <v>30</v>
      </c>
      <c r="CQ214">
        <v>0</v>
      </c>
      <c r="CR214">
        <v>1</v>
      </c>
      <c r="CS214">
        <v>12</v>
      </c>
      <c r="CY214" s="34"/>
    </row>
    <row r="215" spans="1:103" x14ac:dyDescent="0.25">
      <c r="A215">
        <v>214</v>
      </c>
      <c r="B215">
        <v>16</v>
      </c>
      <c r="C215" s="25" t="s">
        <v>192</v>
      </c>
      <c r="D215" s="12">
        <v>0.1328910494906799</v>
      </c>
      <c r="E215" s="14">
        <v>1.4765672165631101</v>
      </c>
      <c r="F215" s="7">
        <v>0.09</v>
      </c>
      <c r="G215" s="7">
        <f t="shared" si="51"/>
        <v>-1.3436761670724302</v>
      </c>
      <c r="H215" s="16">
        <f t="shared" si="52"/>
        <v>1.6094582660537899</v>
      </c>
      <c r="I215" s="11">
        <f t="shared" si="55"/>
        <v>2.1873233617308667E-3</v>
      </c>
      <c r="J215" s="33">
        <f t="shared" si="56"/>
        <v>2.4303592908120744E-2</v>
      </c>
      <c r="K215" s="33">
        <f t="shared" si="57"/>
        <v>41.146179652550977</v>
      </c>
      <c r="L215" s="8">
        <v>0</v>
      </c>
      <c r="M215" s="9">
        <v>1</v>
      </c>
      <c r="N215" s="8">
        <v>0</v>
      </c>
      <c r="O215" s="9">
        <v>0</v>
      </c>
      <c r="P215" s="9">
        <v>1</v>
      </c>
      <c r="Q215" s="9">
        <v>0</v>
      </c>
      <c r="R215" s="9">
        <v>0</v>
      </c>
      <c r="S215" s="8">
        <v>1706</v>
      </c>
      <c r="T215" s="9">
        <v>12</v>
      </c>
      <c r="U215" s="9">
        <f t="shared" si="53"/>
        <v>1693</v>
      </c>
      <c r="V215" s="9">
        <f t="shared" si="54"/>
        <v>48</v>
      </c>
      <c r="W215" s="7">
        <v>10.525</v>
      </c>
      <c r="X215" s="7">
        <f t="shared" si="47"/>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5"/>
        <v>0</v>
      </c>
      <c r="AS215">
        <v>0.31</v>
      </c>
      <c r="AT215" s="40">
        <v>0.69</v>
      </c>
      <c r="AU215">
        <v>0</v>
      </c>
      <c r="AV215" s="18">
        <v>1</v>
      </c>
      <c r="AW215">
        <f t="shared" si="50"/>
        <v>0.41400000000000003</v>
      </c>
      <c r="AX215" s="18">
        <v>0.58599999999999997</v>
      </c>
      <c r="AY215" s="18" t="s">
        <v>10</v>
      </c>
      <c r="AZ215">
        <v>0</v>
      </c>
      <c r="BA215">
        <v>0</v>
      </c>
      <c r="BB215">
        <v>0</v>
      </c>
      <c r="BC215">
        <v>0</v>
      </c>
      <c r="BD215">
        <v>0</v>
      </c>
      <c r="BE215">
        <v>0</v>
      </c>
      <c r="BF215" s="18">
        <v>1</v>
      </c>
      <c r="BG215">
        <v>0</v>
      </c>
      <c r="BH215">
        <v>0</v>
      </c>
      <c r="BI215" s="18">
        <v>1</v>
      </c>
      <c r="BJ215" t="s">
        <v>98</v>
      </c>
      <c r="BK215">
        <v>22</v>
      </c>
      <c r="BL215" s="25">
        <v>40</v>
      </c>
      <c r="BM215">
        <v>1</v>
      </c>
      <c r="BN215">
        <v>0</v>
      </c>
      <c r="BO215">
        <v>0</v>
      </c>
      <c r="BP215">
        <v>0</v>
      </c>
      <c r="BQ215">
        <v>0</v>
      </c>
      <c r="BR215">
        <v>0</v>
      </c>
      <c r="BS215">
        <v>0</v>
      </c>
      <c r="BT215" s="18">
        <v>0</v>
      </c>
      <c r="BU215">
        <v>0</v>
      </c>
      <c r="BV215">
        <v>1</v>
      </c>
      <c r="BW215">
        <v>0</v>
      </c>
      <c r="BX215" s="18">
        <v>0</v>
      </c>
      <c r="BY215">
        <v>1</v>
      </c>
      <c r="BZ215">
        <v>0</v>
      </c>
      <c r="CA215">
        <v>0</v>
      </c>
      <c r="CB215">
        <v>0</v>
      </c>
      <c r="CC215" s="18">
        <v>0</v>
      </c>
      <c r="CD215">
        <v>0</v>
      </c>
      <c r="CE215">
        <v>0</v>
      </c>
      <c r="CF215">
        <v>1</v>
      </c>
      <c r="CG215">
        <v>1</v>
      </c>
      <c r="CH215">
        <v>0</v>
      </c>
      <c r="CI215">
        <v>0</v>
      </c>
      <c r="CJ215">
        <v>0</v>
      </c>
      <c r="CK215">
        <v>0</v>
      </c>
      <c r="CL215">
        <v>0</v>
      </c>
      <c r="CM215">
        <v>1</v>
      </c>
      <c r="CN215" s="18">
        <v>0</v>
      </c>
      <c r="CO215">
        <v>0</v>
      </c>
      <c r="CP215">
        <v>30</v>
      </c>
      <c r="CQ215">
        <v>0</v>
      </c>
      <c r="CR215">
        <v>1</v>
      </c>
      <c r="CS215">
        <v>12</v>
      </c>
      <c r="CY215" s="34"/>
    </row>
    <row r="216" spans="1:103" x14ac:dyDescent="0.25">
      <c r="A216">
        <v>215</v>
      </c>
      <c r="B216">
        <v>16</v>
      </c>
      <c r="C216" s="25" t="s">
        <v>192</v>
      </c>
      <c r="D216" s="12">
        <v>4.9241971883431157</v>
      </c>
      <c r="E216" s="14">
        <v>1.7841294160663459</v>
      </c>
      <c r="F216" s="7">
        <v>2.76</v>
      </c>
      <c r="G216" s="7">
        <f t="shared" si="51"/>
        <v>3.1400677722767698</v>
      </c>
      <c r="H216" s="16">
        <f t="shared" si="52"/>
        <v>6.7083266044094616</v>
      </c>
      <c r="I216" s="11">
        <f t="shared" si="55"/>
        <v>6.692767639841693E-2</v>
      </c>
      <c r="J216" s="33">
        <f t="shared" si="56"/>
        <v>2.4249158115368458E-2</v>
      </c>
      <c r="K216" s="33">
        <f t="shared" si="57"/>
        <v>41.238545076178426</v>
      </c>
      <c r="L216" s="8">
        <v>0</v>
      </c>
      <c r="M216" s="9">
        <v>1</v>
      </c>
      <c r="N216" s="8">
        <v>0</v>
      </c>
      <c r="O216" s="9">
        <v>0</v>
      </c>
      <c r="P216" s="9">
        <v>1</v>
      </c>
      <c r="Q216" s="9">
        <v>0</v>
      </c>
      <c r="R216" s="9">
        <v>0</v>
      </c>
      <c r="S216" s="8">
        <v>1706</v>
      </c>
      <c r="T216" s="9">
        <v>12</v>
      </c>
      <c r="U216" s="9">
        <f t="shared" si="53"/>
        <v>1693</v>
      </c>
      <c r="V216" s="9">
        <f t="shared" si="54"/>
        <v>48</v>
      </c>
      <c r="W216" s="7">
        <v>10.525</v>
      </c>
      <c r="X216" s="7">
        <f t="shared" si="47"/>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5"/>
        <v>0</v>
      </c>
      <c r="AS216">
        <v>0.31</v>
      </c>
      <c r="AT216" s="40">
        <v>0.69</v>
      </c>
      <c r="AU216">
        <v>0</v>
      </c>
      <c r="AV216" s="18">
        <v>1</v>
      </c>
      <c r="AW216">
        <f t="shared" si="50"/>
        <v>0.41400000000000003</v>
      </c>
      <c r="AX216" s="18">
        <v>0.58599999999999997</v>
      </c>
      <c r="AY216" s="18" t="s">
        <v>10</v>
      </c>
      <c r="AZ216">
        <v>0</v>
      </c>
      <c r="BA216">
        <v>0</v>
      </c>
      <c r="BB216">
        <v>0</v>
      </c>
      <c r="BC216">
        <v>0</v>
      </c>
      <c r="BD216">
        <v>0</v>
      </c>
      <c r="BE216">
        <v>0</v>
      </c>
      <c r="BF216" s="18">
        <v>1</v>
      </c>
      <c r="BG216">
        <v>0</v>
      </c>
      <c r="BH216">
        <v>0</v>
      </c>
      <c r="BI216" s="18">
        <v>1</v>
      </c>
      <c r="BJ216" t="s">
        <v>98</v>
      </c>
      <c r="BK216">
        <v>22</v>
      </c>
      <c r="BL216" s="25">
        <v>40</v>
      </c>
      <c r="BM216">
        <v>1</v>
      </c>
      <c r="BN216">
        <v>0</v>
      </c>
      <c r="BO216">
        <v>0</v>
      </c>
      <c r="BP216">
        <v>0</v>
      </c>
      <c r="BQ216">
        <v>0</v>
      </c>
      <c r="BR216">
        <v>0</v>
      </c>
      <c r="BS216">
        <v>0</v>
      </c>
      <c r="BT216" s="18">
        <v>0</v>
      </c>
      <c r="BU216">
        <v>0</v>
      </c>
      <c r="BV216">
        <v>1</v>
      </c>
      <c r="BW216">
        <v>0</v>
      </c>
      <c r="BX216" s="18">
        <v>0</v>
      </c>
      <c r="BY216">
        <v>1</v>
      </c>
      <c r="BZ216">
        <v>0</v>
      </c>
      <c r="CA216">
        <v>0</v>
      </c>
      <c r="CB216">
        <v>0</v>
      </c>
      <c r="CC216" s="18">
        <v>0</v>
      </c>
      <c r="CD216">
        <v>0</v>
      </c>
      <c r="CE216">
        <v>0</v>
      </c>
      <c r="CF216">
        <v>1</v>
      </c>
      <c r="CG216">
        <v>1</v>
      </c>
      <c r="CH216">
        <v>0</v>
      </c>
      <c r="CI216">
        <v>0</v>
      </c>
      <c r="CJ216">
        <v>0</v>
      </c>
      <c r="CK216">
        <v>0</v>
      </c>
      <c r="CL216">
        <v>0</v>
      </c>
      <c r="CM216">
        <v>1</v>
      </c>
      <c r="CN216" s="18">
        <v>0</v>
      </c>
      <c r="CO216">
        <v>0</v>
      </c>
      <c r="CP216">
        <v>30</v>
      </c>
      <c r="CQ216">
        <v>0</v>
      </c>
      <c r="CR216">
        <v>1</v>
      </c>
      <c r="CS216">
        <v>12</v>
      </c>
      <c r="CY216" s="34"/>
    </row>
    <row r="217" spans="1:103" x14ac:dyDescent="0.25">
      <c r="A217">
        <v>216</v>
      </c>
      <c r="B217">
        <v>16</v>
      </c>
      <c r="C217" s="25" t="s">
        <v>192</v>
      </c>
      <c r="D217" s="12">
        <v>4.9129527005763229</v>
      </c>
      <c r="E217" s="14">
        <v>1.403700771593235</v>
      </c>
      <c r="F217" s="7">
        <v>3.5</v>
      </c>
      <c r="G217" s="7">
        <f t="shared" si="51"/>
        <v>3.5092519289830877</v>
      </c>
      <c r="H217" s="16">
        <f t="shared" si="52"/>
        <v>6.3166534721695582</v>
      </c>
      <c r="I217" s="11">
        <f t="shared" si="55"/>
        <v>8.4756695340678367E-2</v>
      </c>
      <c r="J217" s="33">
        <f t="shared" si="56"/>
        <v>2.4216198668765246E-2</v>
      </c>
      <c r="K217" s="33">
        <f t="shared" si="57"/>
        <v>41.294672779911942</v>
      </c>
      <c r="L217" s="8">
        <v>0</v>
      </c>
      <c r="M217" s="9">
        <v>1</v>
      </c>
      <c r="N217" s="8">
        <v>0</v>
      </c>
      <c r="O217" s="9">
        <v>0</v>
      </c>
      <c r="P217" s="9">
        <v>1</v>
      </c>
      <c r="Q217" s="9">
        <v>0</v>
      </c>
      <c r="R217" s="9">
        <v>0</v>
      </c>
      <c r="S217" s="8">
        <v>1706</v>
      </c>
      <c r="T217" s="9">
        <v>12</v>
      </c>
      <c r="U217" s="9">
        <f t="shared" si="53"/>
        <v>1693</v>
      </c>
      <c r="V217" s="9">
        <f t="shared" si="54"/>
        <v>48</v>
      </c>
      <c r="W217" s="7">
        <v>10.525</v>
      </c>
      <c r="X217" s="7">
        <f t="shared" si="47"/>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5"/>
        <v>0</v>
      </c>
      <c r="AS217">
        <v>0.31</v>
      </c>
      <c r="AT217" s="40">
        <v>0.69</v>
      </c>
      <c r="AU217">
        <v>0</v>
      </c>
      <c r="AV217" s="18">
        <v>1</v>
      </c>
      <c r="AW217">
        <f t="shared" si="50"/>
        <v>0.41400000000000003</v>
      </c>
      <c r="AX217" s="18">
        <v>0.58599999999999997</v>
      </c>
      <c r="AY217" s="18" t="s">
        <v>10</v>
      </c>
      <c r="AZ217">
        <v>0</v>
      </c>
      <c r="BA217">
        <v>0</v>
      </c>
      <c r="BB217">
        <v>0</v>
      </c>
      <c r="BC217">
        <v>0</v>
      </c>
      <c r="BD217">
        <v>0</v>
      </c>
      <c r="BE217">
        <v>0</v>
      </c>
      <c r="BF217" s="18">
        <v>1</v>
      </c>
      <c r="BG217">
        <v>0</v>
      </c>
      <c r="BH217">
        <v>0</v>
      </c>
      <c r="BI217" s="18">
        <v>1</v>
      </c>
      <c r="BJ217" t="s">
        <v>98</v>
      </c>
      <c r="BK217">
        <v>22</v>
      </c>
      <c r="BL217" s="25">
        <v>40</v>
      </c>
      <c r="BM217">
        <v>1</v>
      </c>
      <c r="BN217">
        <v>0</v>
      </c>
      <c r="BO217">
        <v>0</v>
      </c>
      <c r="BP217">
        <v>0</v>
      </c>
      <c r="BQ217">
        <v>0</v>
      </c>
      <c r="BR217">
        <v>0</v>
      </c>
      <c r="BS217">
        <v>0</v>
      </c>
      <c r="BT217" s="18">
        <v>0</v>
      </c>
      <c r="BU217">
        <v>0</v>
      </c>
      <c r="BV217">
        <v>1</v>
      </c>
      <c r="BW217">
        <v>0</v>
      </c>
      <c r="BX217" s="18">
        <v>0</v>
      </c>
      <c r="BY217">
        <v>1</v>
      </c>
      <c r="BZ217">
        <v>0</v>
      </c>
      <c r="CA217">
        <v>0</v>
      </c>
      <c r="CB217">
        <v>0</v>
      </c>
      <c r="CC217" s="18">
        <v>0</v>
      </c>
      <c r="CD217">
        <v>0</v>
      </c>
      <c r="CE217">
        <v>0</v>
      </c>
      <c r="CF217">
        <v>1</v>
      </c>
      <c r="CG217">
        <v>1</v>
      </c>
      <c r="CH217">
        <v>0</v>
      </c>
      <c r="CI217">
        <v>0</v>
      </c>
      <c r="CJ217">
        <v>0</v>
      </c>
      <c r="CK217">
        <v>0</v>
      </c>
      <c r="CL217">
        <v>0</v>
      </c>
      <c r="CM217">
        <v>1</v>
      </c>
      <c r="CN217" s="18">
        <v>0</v>
      </c>
      <c r="CO217">
        <v>0</v>
      </c>
      <c r="CP217">
        <v>30</v>
      </c>
      <c r="CQ217">
        <v>0</v>
      </c>
      <c r="CR217">
        <v>1</v>
      </c>
      <c r="CS217">
        <v>12</v>
      </c>
      <c r="CY217" s="34"/>
    </row>
    <row r="218" spans="1:103" x14ac:dyDescent="0.25">
      <c r="A218">
        <v>217</v>
      </c>
      <c r="B218">
        <v>16</v>
      </c>
      <c r="C218" s="25" t="s">
        <v>192</v>
      </c>
      <c r="D218" s="12">
        <v>12.98233754759994</v>
      </c>
      <c r="E218" s="14">
        <v>3.0618720631131939</v>
      </c>
      <c r="F218" s="7">
        <v>4.24</v>
      </c>
      <c r="G218" s="7">
        <f t="shared" si="51"/>
        <v>9.9204654844867459</v>
      </c>
      <c r="H218" s="16">
        <f t="shared" si="52"/>
        <v>16.044209610713132</v>
      </c>
      <c r="I218" s="11">
        <f t="shared" si="55"/>
        <v>0.10250468011579229</v>
      </c>
      <c r="J218" s="33">
        <f t="shared" si="56"/>
        <v>2.4175632102781199E-2</v>
      </c>
      <c r="K218" s="33">
        <f t="shared" si="57"/>
        <v>41.363964993699526</v>
      </c>
      <c r="L218" s="8">
        <v>0</v>
      </c>
      <c r="M218" s="9">
        <v>1</v>
      </c>
      <c r="N218" s="8">
        <v>0</v>
      </c>
      <c r="O218" s="9">
        <v>0</v>
      </c>
      <c r="P218" s="9">
        <v>1</v>
      </c>
      <c r="Q218" s="9">
        <v>0</v>
      </c>
      <c r="R218" s="9">
        <v>0</v>
      </c>
      <c r="S218" s="8">
        <v>1706</v>
      </c>
      <c r="T218" s="9">
        <v>12</v>
      </c>
      <c r="U218" s="9">
        <f t="shared" si="53"/>
        <v>1693</v>
      </c>
      <c r="V218" s="9">
        <f t="shared" si="54"/>
        <v>48</v>
      </c>
      <c r="W218" s="7">
        <v>10.525</v>
      </c>
      <c r="X218" s="7">
        <f t="shared" si="47"/>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5"/>
        <v>0</v>
      </c>
      <c r="AS218">
        <v>0.31</v>
      </c>
      <c r="AT218" s="40">
        <v>0.69</v>
      </c>
      <c r="AU218">
        <v>0</v>
      </c>
      <c r="AV218" s="18">
        <v>1</v>
      </c>
      <c r="AW218">
        <f t="shared" si="50"/>
        <v>0.41400000000000003</v>
      </c>
      <c r="AX218" s="18">
        <v>0.58599999999999997</v>
      </c>
      <c r="AY218" s="18" t="s">
        <v>10</v>
      </c>
      <c r="AZ218">
        <v>0</v>
      </c>
      <c r="BA218">
        <v>0</v>
      </c>
      <c r="BB218">
        <v>0</v>
      </c>
      <c r="BC218">
        <v>0</v>
      </c>
      <c r="BD218">
        <v>0</v>
      </c>
      <c r="BE218">
        <v>0</v>
      </c>
      <c r="BF218" s="18">
        <v>1</v>
      </c>
      <c r="BG218">
        <v>0</v>
      </c>
      <c r="BH218">
        <v>0</v>
      </c>
      <c r="BI218" s="18">
        <v>1</v>
      </c>
      <c r="BJ218" t="s">
        <v>98</v>
      </c>
      <c r="BK218">
        <v>22</v>
      </c>
      <c r="BL218" s="25">
        <v>40</v>
      </c>
      <c r="BM218">
        <v>1</v>
      </c>
      <c r="BN218">
        <v>0</v>
      </c>
      <c r="BO218">
        <v>0</v>
      </c>
      <c r="BP218">
        <v>0</v>
      </c>
      <c r="BQ218">
        <v>0</v>
      </c>
      <c r="BR218">
        <v>0</v>
      </c>
      <c r="BS218">
        <v>0</v>
      </c>
      <c r="BT218" s="18">
        <v>0</v>
      </c>
      <c r="BU218">
        <v>0</v>
      </c>
      <c r="BV218">
        <v>1</v>
      </c>
      <c r="BW218">
        <v>0</v>
      </c>
      <c r="BX218" s="18">
        <v>0</v>
      </c>
      <c r="BY218">
        <v>1</v>
      </c>
      <c r="BZ218">
        <v>0</v>
      </c>
      <c r="CA218">
        <v>0</v>
      </c>
      <c r="CB218">
        <v>0</v>
      </c>
      <c r="CC218" s="18">
        <v>0</v>
      </c>
      <c r="CD218">
        <v>0</v>
      </c>
      <c r="CE218">
        <v>0</v>
      </c>
      <c r="CF218">
        <v>1</v>
      </c>
      <c r="CG218">
        <v>1</v>
      </c>
      <c r="CH218">
        <v>0</v>
      </c>
      <c r="CI218">
        <v>0</v>
      </c>
      <c r="CJ218">
        <v>0</v>
      </c>
      <c r="CK218">
        <v>0</v>
      </c>
      <c r="CL218">
        <v>0</v>
      </c>
      <c r="CM218">
        <v>1</v>
      </c>
      <c r="CN218" s="18">
        <v>0</v>
      </c>
      <c r="CO218">
        <v>0</v>
      </c>
      <c r="CP218">
        <v>30</v>
      </c>
      <c r="CQ218">
        <v>0</v>
      </c>
      <c r="CR218">
        <v>1</v>
      </c>
      <c r="CS218">
        <v>12</v>
      </c>
      <c r="CY218" s="34"/>
    </row>
    <row r="219" spans="1:103" x14ac:dyDescent="0.25">
      <c r="A219">
        <v>218</v>
      </c>
      <c r="B219">
        <v>16</v>
      </c>
      <c r="C219" s="25" t="s">
        <v>192</v>
      </c>
      <c r="D219" s="12">
        <v>0.54258653334493534</v>
      </c>
      <c r="E219" s="14">
        <v>1.427859298276146</v>
      </c>
      <c r="F219" s="7">
        <v>0.38</v>
      </c>
      <c r="G219" s="7">
        <f t="shared" si="51"/>
        <v>-0.88527276493121065</v>
      </c>
      <c r="H219" s="16">
        <f t="shared" si="52"/>
        <v>1.9704458316210813</v>
      </c>
      <c r="I219" s="11">
        <f t="shared" si="55"/>
        <v>9.2132532004612858E-3</v>
      </c>
      <c r="J219" s="33">
        <f t="shared" si="56"/>
        <v>2.4245403159108649E-2</v>
      </c>
      <c r="K219" s="33">
        <f t="shared" si="57"/>
        <v>41.244931809859985</v>
      </c>
      <c r="L219" s="8">
        <v>0</v>
      </c>
      <c r="M219" s="9">
        <v>1</v>
      </c>
      <c r="N219" s="8">
        <v>0</v>
      </c>
      <c r="O219" s="9">
        <v>0</v>
      </c>
      <c r="P219" s="9">
        <v>1</v>
      </c>
      <c r="Q219" s="9">
        <v>0</v>
      </c>
      <c r="R219" s="9">
        <v>0</v>
      </c>
      <c r="S219" s="8">
        <v>1714</v>
      </c>
      <c r="T219" s="9">
        <v>12</v>
      </c>
      <c r="U219" s="9">
        <f t="shared" si="53"/>
        <v>1701</v>
      </c>
      <c r="V219" s="9">
        <f t="shared" si="54"/>
        <v>48</v>
      </c>
      <c r="W219" s="7">
        <v>10.525</v>
      </c>
      <c r="X219" s="7">
        <f t="shared" si="47"/>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8">1-AQ219</f>
        <v>0</v>
      </c>
      <c r="AS219">
        <v>0.31</v>
      </c>
      <c r="AT219" s="40">
        <v>0.69</v>
      </c>
      <c r="AU219">
        <v>0</v>
      </c>
      <c r="AV219" s="18">
        <v>1</v>
      </c>
      <c r="AW219">
        <f t="shared" si="50"/>
        <v>0.41400000000000003</v>
      </c>
      <c r="AX219" s="18">
        <v>0.58599999999999997</v>
      </c>
      <c r="AY219" s="18" t="s">
        <v>10</v>
      </c>
      <c r="AZ219">
        <v>0</v>
      </c>
      <c r="BA219">
        <v>0</v>
      </c>
      <c r="BB219">
        <v>0</v>
      </c>
      <c r="BC219">
        <v>0</v>
      </c>
      <c r="BD219">
        <v>0</v>
      </c>
      <c r="BE219">
        <v>0</v>
      </c>
      <c r="BF219" s="18">
        <v>1</v>
      </c>
      <c r="BG219">
        <v>0</v>
      </c>
      <c r="BH219">
        <v>0</v>
      </c>
      <c r="BI219" s="18">
        <v>1</v>
      </c>
      <c r="BJ219" t="s">
        <v>98</v>
      </c>
      <c r="BK219">
        <v>22</v>
      </c>
      <c r="BL219" s="25">
        <v>40</v>
      </c>
      <c r="BM219">
        <v>1</v>
      </c>
      <c r="BN219">
        <v>0</v>
      </c>
      <c r="BO219">
        <v>0</v>
      </c>
      <c r="BP219">
        <v>0</v>
      </c>
      <c r="BQ219">
        <v>0</v>
      </c>
      <c r="BR219">
        <v>0</v>
      </c>
      <c r="BS219">
        <v>0</v>
      </c>
      <c r="BT219" s="18">
        <v>0</v>
      </c>
      <c r="BU219">
        <v>0</v>
      </c>
      <c r="BV219">
        <v>1</v>
      </c>
      <c r="BW219">
        <v>0</v>
      </c>
      <c r="BX219" s="18">
        <v>0</v>
      </c>
      <c r="BY219">
        <v>1</v>
      </c>
      <c r="BZ219">
        <v>0</v>
      </c>
      <c r="CA219">
        <v>0</v>
      </c>
      <c r="CB219">
        <v>0</v>
      </c>
      <c r="CC219" s="18">
        <v>0</v>
      </c>
      <c r="CD219">
        <v>0</v>
      </c>
      <c r="CE219">
        <v>0</v>
      </c>
      <c r="CF219">
        <v>1</v>
      </c>
      <c r="CG219">
        <v>1</v>
      </c>
      <c r="CH219">
        <v>0</v>
      </c>
      <c r="CI219">
        <v>0</v>
      </c>
      <c r="CJ219">
        <v>0</v>
      </c>
      <c r="CK219">
        <v>0</v>
      </c>
      <c r="CL219">
        <v>0</v>
      </c>
      <c r="CM219">
        <v>1</v>
      </c>
      <c r="CN219" s="18">
        <v>0</v>
      </c>
      <c r="CO219">
        <v>0</v>
      </c>
      <c r="CP219">
        <v>30</v>
      </c>
      <c r="CQ219">
        <v>0</v>
      </c>
      <c r="CR219">
        <v>1</v>
      </c>
      <c r="CS219">
        <v>12</v>
      </c>
      <c r="CY219" s="34"/>
    </row>
    <row r="220" spans="1:103" x14ac:dyDescent="0.25">
      <c r="A220">
        <v>219</v>
      </c>
      <c r="B220">
        <v>16</v>
      </c>
      <c r="C220" s="25" t="s">
        <v>192</v>
      </c>
      <c r="D220" s="12">
        <v>5.1399585521526792</v>
      </c>
      <c r="E220" s="14">
        <v>1.581525708354671</v>
      </c>
      <c r="F220" s="7">
        <v>3.25</v>
      </c>
      <c r="G220" s="7">
        <f t="shared" si="51"/>
        <v>3.5584328437980082</v>
      </c>
      <c r="H220" s="16">
        <f t="shared" si="52"/>
        <v>6.7214842605073502</v>
      </c>
      <c r="I220" s="11">
        <f t="shared" si="55"/>
        <v>7.8557378008585005E-2</v>
      </c>
      <c r="J220" s="33">
        <f t="shared" si="56"/>
        <v>2.4171500925718459E-2</v>
      </c>
      <c r="K220" s="33">
        <f t="shared" si="57"/>
        <v>41.371034553175008</v>
      </c>
      <c r="L220" s="8">
        <v>0</v>
      </c>
      <c r="M220" s="9">
        <v>1</v>
      </c>
      <c r="N220" s="8">
        <v>0</v>
      </c>
      <c r="O220" s="9">
        <v>0</v>
      </c>
      <c r="P220" s="9">
        <v>1</v>
      </c>
      <c r="Q220" s="9">
        <v>0</v>
      </c>
      <c r="R220" s="9">
        <v>0</v>
      </c>
      <c r="S220" s="8">
        <v>1714</v>
      </c>
      <c r="T220" s="9">
        <v>12</v>
      </c>
      <c r="U220" s="9">
        <f t="shared" si="53"/>
        <v>1701</v>
      </c>
      <c r="V220" s="9">
        <f t="shared" si="54"/>
        <v>48</v>
      </c>
      <c r="W220" s="7">
        <v>10.525</v>
      </c>
      <c r="X220" s="7">
        <f t="shared" si="47"/>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8"/>
        <v>0</v>
      </c>
      <c r="AS220">
        <v>0.31</v>
      </c>
      <c r="AT220" s="40">
        <v>0.69</v>
      </c>
      <c r="AU220">
        <v>0</v>
      </c>
      <c r="AV220" s="18">
        <v>1</v>
      </c>
      <c r="AW220">
        <f t="shared" si="50"/>
        <v>0.41400000000000003</v>
      </c>
      <c r="AX220" s="18">
        <v>0.58599999999999997</v>
      </c>
      <c r="AY220" s="18" t="s">
        <v>10</v>
      </c>
      <c r="AZ220">
        <v>0</v>
      </c>
      <c r="BA220">
        <v>0</v>
      </c>
      <c r="BB220">
        <v>0</v>
      </c>
      <c r="BC220">
        <v>0</v>
      </c>
      <c r="BD220">
        <v>0</v>
      </c>
      <c r="BE220">
        <v>0</v>
      </c>
      <c r="BF220" s="18">
        <v>1</v>
      </c>
      <c r="BG220">
        <v>0</v>
      </c>
      <c r="BH220">
        <v>0</v>
      </c>
      <c r="BI220" s="18">
        <v>1</v>
      </c>
      <c r="BJ220" t="s">
        <v>98</v>
      </c>
      <c r="BK220">
        <v>22</v>
      </c>
      <c r="BL220" s="25">
        <v>40</v>
      </c>
      <c r="BM220">
        <v>1</v>
      </c>
      <c r="BN220">
        <v>0</v>
      </c>
      <c r="BO220">
        <v>0</v>
      </c>
      <c r="BP220">
        <v>0</v>
      </c>
      <c r="BQ220">
        <v>0</v>
      </c>
      <c r="BR220">
        <v>0</v>
      </c>
      <c r="BS220">
        <v>0</v>
      </c>
      <c r="BT220" s="18">
        <v>0</v>
      </c>
      <c r="BU220">
        <v>0</v>
      </c>
      <c r="BV220">
        <v>1</v>
      </c>
      <c r="BW220">
        <v>0</v>
      </c>
      <c r="BX220" s="18">
        <v>0</v>
      </c>
      <c r="BY220">
        <v>1</v>
      </c>
      <c r="BZ220">
        <v>0</v>
      </c>
      <c r="CA220">
        <v>0</v>
      </c>
      <c r="CB220">
        <v>0</v>
      </c>
      <c r="CC220" s="18">
        <v>0</v>
      </c>
      <c r="CD220">
        <v>0</v>
      </c>
      <c r="CE220">
        <v>0</v>
      </c>
      <c r="CF220">
        <v>1</v>
      </c>
      <c r="CG220">
        <v>1</v>
      </c>
      <c r="CH220">
        <v>0</v>
      </c>
      <c r="CI220">
        <v>0</v>
      </c>
      <c r="CJ220">
        <v>0</v>
      </c>
      <c r="CK220">
        <v>0</v>
      </c>
      <c r="CL220">
        <v>0</v>
      </c>
      <c r="CM220">
        <v>1</v>
      </c>
      <c r="CN220" s="18">
        <v>0</v>
      </c>
      <c r="CO220">
        <v>0</v>
      </c>
      <c r="CP220">
        <v>30</v>
      </c>
      <c r="CQ220">
        <v>0</v>
      </c>
      <c r="CR220">
        <v>1</v>
      </c>
      <c r="CS220">
        <v>12</v>
      </c>
      <c r="CY220" s="34"/>
    </row>
    <row r="221" spans="1:103" x14ac:dyDescent="0.25">
      <c r="A221">
        <v>220</v>
      </c>
      <c r="B221">
        <v>16</v>
      </c>
      <c r="C221" s="25" t="s">
        <v>192</v>
      </c>
      <c r="D221" s="12">
        <v>5.1430632213731453</v>
      </c>
      <c r="E221" s="14">
        <v>1.315361437691341</v>
      </c>
      <c r="F221" s="7">
        <v>3.91</v>
      </c>
      <c r="G221" s="7">
        <f t="shared" si="51"/>
        <v>3.8277017836818041</v>
      </c>
      <c r="H221" s="16">
        <f t="shared" si="52"/>
        <v>6.4584246590644865</v>
      </c>
      <c r="I221" s="11">
        <f t="shared" si="55"/>
        <v>9.4380366995624174E-2</v>
      </c>
      <c r="J221" s="33">
        <f t="shared" si="56"/>
        <v>2.4138201277653239E-2</v>
      </c>
      <c r="K221" s="33">
        <f t="shared" si="57"/>
        <v>41.428107608241049</v>
      </c>
      <c r="L221" s="8">
        <v>0</v>
      </c>
      <c r="M221" s="9">
        <v>1</v>
      </c>
      <c r="N221" s="8">
        <v>0</v>
      </c>
      <c r="O221" s="9">
        <v>0</v>
      </c>
      <c r="P221" s="9">
        <v>1</v>
      </c>
      <c r="Q221" s="9">
        <v>0</v>
      </c>
      <c r="R221" s="9">
        <v>0</v>
      </c>
      <c r="S221" s="8">
        <v>1714</v>
      </c>
      <c r="T221" s="9">
        <v>12</v>
      </c>
      <c r="U221" s="9">
        <f t="shared" si="53"/>
        <v>1701</v>
      </c>
      <c r="V221" s="9">
        <f t="shared" si="54"/>
        <v>48</v>
      </c>
      <c r="W221" s="7">
        <v>10.525</v>
      </c>
      <c r="X221" s="7">
        <f t="shared" si="47"/>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8"/>
        <v>0</v>
      </c>
      <c r="AS221">
        <v>0.31</v>
      </c>
      <c r="AT221" s="40">
        <v>0.69</v>
      </c>
      <c r="AU221">
        <v>0</v>
      </c>
      <c r="AV221" s="18">
        <v>1</v>
      </c>
      <c r="AW221">
        <f t="shared" si="50"/>
        <v>0.41400000000000003</v>
      </c>
      <c r="AX221" s="18">
        <v>0.58599999999999997</v>
      </c>
      <c r="AY221" s="18" t="s">
        <v>10</v>
      </c>
      <c r="AZ221">
        <v>0</v>
      </c>
      <c r="BA221">
        <v>0</v>
      </c>
      <c r="BB221">
        <v>0</v>
      </c>
      <c r="BC221">
        <v>0</v>
      </c>
      <c r="BD221">
        <v>0</v>
      </c>
      <c r="BE221">
        <v>0</v>
      </c>
      <c r="BF221" s="18">
        <v>1</v>
      </c>
      <c r="BG221">
        <v>0</v>
      </c>
      <c r="BH221">
        <v>0</v>
      </c>
      <c r="BI221" s="18">
        <v>1</v>
      </c>
      <c r="BJ221" t="s">
        <v>98</v>
      </c>
      <c r="BK221">
        <v>22</v>
      </c>
      <c r="BL221" s="25">
        <v>40</v>
      </c>
      <c r="BM221">
        <v>1</v>
      </c>
      <c r="BN221">
        <v>0</v>
      </c>
      <c r="BO221">
        <v>0</v>
      </c>
      <c r="BP221">
        <v>0</v>
      </c>
      <c r="BQ221">
        <v>0</v>
      </c>
      <c r="BR221">
        <v>0</v>
      </c>
      <c r="BS221">
        <v>0</v>
      </c>
      <c r="BT221" s="18">
        <v>0</v>
      </c>
      <c r="BU221">
        <v>0</v>
      </c>
      <c r="BV221">
        <v>1</v>
      </c>
      <c r="BW221">
        <v>0</v>
      </c>
      <c r="BX221" s="18">
        <v>0</v>
      </c>
      <c r="BY221">
        <v>1</v>
      </c>
      <c r="BZ221">
        <v>0</v>
      </c>
      <c r="CA221">
        <v>0</v>
      </c>
      <c r="CB221">
        <v>0</v>
      </c>
      <c r="CC221" s="18">
        <v>0</v>
      </c>
      <c r="CD221">
        <v>0</v>
      </c>
      <c r="CE221">
        <v>0</v>
      </c>
      <c r="CF221">
        <v>1</v>
      </c>
      <c r="CG221">
        <v>1</v>
      </c>
      <c r="CH221">
        <v>0</v>
      </c>
      <c r="CI221">
        <v>0</v>
      </c>
      <c r="CJ221">
        <v>0</v>
      </c>
      <c r="CK221">
        <v>0</v>
      </c>
      <c r="CL221">
        <v>0</v>
      </c>
      <c r="CM221">
        <v>1</v>
      </c>
      <c r="CN221" s="18">
        <v>0</v>
      </c>
      <c r="CO221">
        <v>0</v>
      </c>
      <c r="CP221">
        <v>30</v>
      </c>
      <c r="CQ221">
        <v>0</v>
      </c>
      <c r="CR221">
        <v>1</v>
      </c>
      <c r="CS221">
        <v>12</v>
      </c>
      <c r="CY221" s="34"/>
    </row>
    <row r="222" spans="1:103" s="51" customFormat="1" x14ac:dyDescent="0.25">
      <c r="A222" s="51">
        <v>221</v>
      </c>
      <c r="B222" s="51">
        <v>16</v>
      </c>
      <c r="C222" s="52" t="s">
        <v>192</v>
      </c>
      <c r="D222" s="53">
        <v>13.10872656044209</v>
      </c>
      <c r="E222" s="54">
        <v>2.9590804876844441</v>
      </c>
      <c r="F222" s="55">
        <v>4.43</v>
      </c>
      <c r="G222" s="55">
        <f t="shared" si="51"/>
        <v>10.149646072757646</v>
      </c>
      <c r="H222" s="56">
        <f t="shared" si="52"/>
        <v>16.067807048126532</v>
      </c>
      <c r="I222" s="11">
        <f t="shared" si="55"/>
        <v>0.10679738638220909</v>
      </c>
      <c r="J222" s="33">
        <f t="shared" si="56"/>
        <v>2.4107762163026882E-2</v>
      </c>
      <c r="K222" s="33">
        <f t="shared" si="57"/>
        <v>41.480415860981921</v>
      </c>
      <c r="L222" s="59">
        <v>0</v>
      </c>
      <c r="M222" s="60">
        <v>1</v>
      </c>
      <c r="N222" s="59">
        <v>0</v>
      </c>
      <c r="O222" s="60">
        <v>0</v>
      </c>
      <c r="P222" s="60">
        <v>1</v>
      </c>
      <c r="Q222" s="60">
        <v>0</v>
      </c>
      <c r="R222" s="60">
        <v>0</v>
      </c>
      <c r="S222" s="59">
        <v>1714</v>
      </c>
      <c r="T222" s="60">
        <v>12</v>
      </c>
      <c r="U222" s="60">
        <f t="shared" si="53"/>
        <v>1701</v>
      </c>
      <c r="V222" s="60">
        <f t="shared" si="54"/>
        <v>48</v>
      </c>
      <c r="W222" s="55">
        <v>10.525</v>
      </c>
      <c r="X222" s="55">
        <f t="shared" si="47"/>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8"/>
        <v>0</v>
      </c>
      <c r="AS222" s="51">
        <v>0.31</v>
      </c>
      <c r="AT222" s="66">
        <v>0.69</v>
      </c>
      <c r="AU222">
        <v>0</v>
      </c>
      <c r="AV222" s="65">
        <v>1</v>
      </c>
      <c r="AW222" s="51">
        <f t="shared" si="50"/>
        <v>0.41400000000000003</v>
      </c>
      <c r="AX222" s="65">
        <v>0.58599999999999997</v>
      </c>
      <c r="AY222" s="65" t="s">
        <v>10</v>
      </c>
      <c r="AZ222">
        <v>0</v>
      </c>
      <c r="BA222">
        <v>0</v>
      </c>
      <c r="BB222">
        <v>0</v>
      </c>
      <c r="BC222">
        <v>0</v>
      </c>
      <c r="BD222">
        <v>0</v>
      </c>
      <c r="BE222">
        <v>0</v>
      </c>
      <c r="BF222" s="65">
        <v>1</v>
      </c>
      <c r="BG222">
        <v>0</v>
      </c>
      <c r="BH222">
        <v>0</v>
      </c>
      <c r="BI222" s="65">
        <v>1</v>
      </c>
      <c r="BJ222" t="s">
        <v>98</v>
      </c>
      <c r="BK222">
        <v>22</v>
      </c>
      <c r="BL222" s="52">
        <v>40</v>
      </c>
      <c r="BM222" s="51">
        <v>1</v>
      </c>
      <c r="BN222" s="51">
        <v>0</v>
      </c>
      <c r="BO222" s="51">
        <v>0</v>
      </c>
      <c r="BP222" s="51">
        <v>0</v>
      </c>
      <c r="BQ222" s="51">
        <v>0</v>
      </c>
      <c r="BR222" s="51">
        <v>0</v>
      </c>
      <c r="BS222" s="51">
        <v>0</v>
      </c>
      <c r="BT222" s="65">
        <v>0</v>
      </c>
      <c r="BU222" s="51">
        <v>0</v>
      </c>
      <c r="BV222" s="51">
        <v>1</v>
      </c>
      <c r="BW222" s="51">
        <v>0</v>
      </c>
      <c r="BX222" s="65">
        <v>0</v>
      </c>
      <c r="BY222" s="51">
        <v>1</v>
      </c>
      <c r="BZ222" s="51">
        <v>0</v>
      </c>
      <c r="CA222" s="51">
        <v>0</v>
      </c>
      <c r="CB222" s="51">
        <v>0</v>
      </c>
      <c r="CC222" s="65">
        <v>0</v>
      </c>
      <c r="CD222" s="51">
        <v>0</v>
      </c>
      <c r="CE222" s="51">
        <v>0</v>
      </c>
      <c r="CF222" s="51">
        <v>1</v>
      </c>
      <c r="CG222" s="51">
        <v>1</v>
      </c>
      <c r="CH222" s="51">
        <v>0</v>
      </c>
      <c r="CI222" s="51">
        <v>0</v>
      </c>
      <c r="CJ222" s="51">
        <v>0</v>
      </c>
      <c r="CK222" s="51">
        <v>0</v>
      </c>
      <c r="CL222" s="51">
        <v>0</v>
      </c>
      <c r="CM222" s="51">
        <v>1</v>
      </c>
      <c r="CN222" s="65">
        <v>0</v>
      </c>
      <c r="CO222">
        <v>0</v>
      </c>
      <c r="CP222">
        <v>30</v>
      </c>
      <c r="CQ222">
        <v>0</v>
      </c>
      <c r="CR222">
        <v>1</v>
      </c>
      <c r="CS222">
        <v>12</v>
      </c>
      <c r="CT222" s="67"/>
      <c r="CY222" s="67"/>
    </row>
    <row r="223" spans="1:103" x14ac:dyDescent="0.25">
      <c r="A223">
        <v>222</v>
      </c>
      <c r="B223">
        <v>17</v>
      </c>
      <c r="C223" s="78" t="s">
        <v>212</v>
      </c>
      <c r="D223" s="12">
        <v>8.8000000000000007</v>
      </c>
      <c r="E223" s="14">
        <f t="shared" ref="E223:E230" si="59">D223/F223</f>
        <v>4.1006523765144458E-2</v>
      </c>
      <c r="F223" s="7">
        <v>214.6</v>
      </c>
      <c r="G223" s="7">
        <f t="shared" si="51"/>
        <v>8.7589934762348562</v>
      </c>
      <c r="H223" s="16">
        <f t="shared" si="52"/>
        <v>8.8410065237651452</v>
      </c>
      <c r="I223" s="11">
        <f t="shared" si="55"/>
        <v>0.56729789934477026</v>
      </c>
      <c r="J223" s="33">
        <f t="shared" si="56"/>
        <v>2.6435130444770285E-3</v>
      </c>
      <c r="K223" s="33">
        <f t="shared" si="57"/>
        <v>378.28449611370542</v>
      </c>
      <c r="L223" s="8">
        <v>1</v>
      </c>
      <c r="M223" s="9">
        <v>0</v>
      </c>
      <c r="N223" s="8">
        <v>0</v>
      </c>
      <c r="O223" s="9">
        <v>0</v>
      </c>
      <c r="P223" s="9">
        <v>0</v>
      </c>
      <c r="Q223" s="9">
        <v>1</v>
      </c>
      <c r="R223" s="9">
        <v>0</v>
      </c>
      <c r="S223" s="8">
        <v>97050</v>
      </c>
      <c r="T223" s="9">
        <v>3</v>
      </c>
      <c r="U223" s="9">
        <f t="shared" si="53"/>
        <v>97046</v>
      </c>
      <c r="V223" s="9">
        <f t="shared" si="54"/>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8"/>
        <v>0.29200000000000004</v>
      </c>
      <c r="AS223">
        <v>0.73599999999999999</v>
      </c>
      <c r="AT223" s="40">
        <v>0.26400000000000001</v>
      </c>
      <c r="AU223">
        <v>0</v>
      </c>
      <c r="AV223" s="18">
        <v>1</v>
      </c>
      <c r="AW223" t="s">
        <v>98</v>
      </c>
      <c r="AX223" s="18" t="s">
        <v>98</v>
      </c>
      <c r="AY223" s="18" t="s">
        <v>29</v>
      </c>
      <c r="AZ223">
        <v>0</v>
      </c>
      <c r="BA223">
        <v>0</v>
      </c>
      <c r="BB223">
        <v>1</v>
      </c>
      <c r="BC223">
        <v>0</v>
      </c>
      <c r="BD223">
        <v>0</v>
      </c>
      <c r="BE223">
        <v>0</v>
      </c>
      <c r="BF223" s="18">
        <v>0</v>
      </c>
      <c r="BG223">
        <v>0</v>
      </c>
      <c r="BH223">
        <v>1</v>
      </c>
      <c r="BI223" s="18">
        <v>0</v>
      </c>
      <c r="BJ223">
        <v>6947</v>
      </c>
      <c r="BK223">
        <v>12580</v>
      </c>
      <c r="BL223" s="25">
        <v>40</v>
      </c>
      <c r="BM223">
        <v>1</v>
      </c>
      <c r="BN223">
        <v>0</v>
      </c>
      <c r="BO223">
        <v>0</v>
      </c>
      <c r="BP223">
        <v>0</v>
      </c>
      <c r="BQ223">
        <v>0</v>
      </c>
      <c r="BR223">
        <v>0</v>
      </c>
      <c r="BS223">
        <v>0</v>
      </c>
      <c r="BT223" s="18">
        <v>0</v>
      </c>
      <c r="BU223">
        <v>0</v>
      </c>
      <c r="BV223">
        <v>0</v>
      </c>
      <c r="BW223">
        <v>1</v>
      </c>
      <c r="BX223" s="18">
        <v>0</v>
      </c>
      <c r="BY223">
        <v>0</v>
      </c>
      <c r="BZ223">
        <v>0</v>
      </c>
      <c r="CA223">
        <v>0</v>
      </c>
      <c r="CB223">
        <v>0</v>
      </c>
      <c r="CC223" s="18">
        <v>0</v>
      </c>
      <c r="CD223">
        <v>0</v>
      </c>
      <c r="CE223">
        <v>0</v>
      </c>
      <c r="CF223">
        <v>1</v>
      </c>
      <c r="CG223">
        <v>1</v>
      </c>
      <c r="CH223">
        <v>0</v>
      </c>
      <c r="CI223">
        <v>0</v>
      </c>
      <c r="CJ223">
        <v>0</v>
      </c>
      <c r="CK223">
        <v>0</v>
      </c>
      <c r="CL223">
        <v>0</v>
      </c>
      <c r="CM223">
        <v>0</v>
      </c>
      <c r="CN223" s="18">
        <v>0</v>
      </c>
      <c r="CO223">
        <v>4.149</v>
      </c>
      <c r="CP223">
        <v>14</v>
      </c>
      <c r="CQ223">
        <v>1</v>
      </c>
      <c r="CR223">
        <v>0</v>
      </c>
      <c r="CS223">
        <v>25</v>
      </c>
      <c r="CY223" s="34"/>
    </row>
    <row r="224" spans="1:103" x14ac:dyDescent="0.25">
      <c r="A224">
        <v>223</v>
      </c>
      <c r="B224">
        <v>17</v>
      </c>
      <c r="C224" s="78" t="s">
        <v>212</v>
      </c>
      <c r="D224" s="12">
        <v>8.31</v>
      </c>
      <c r="E224" s="14">
        <f t="shared" si="59"/>
        <v>4.5559210526315792E-2</v>
      </c>
      <c r="F224" s="7">
        <v>182.4</v>
      </c>
      <c r="G224" s="7">
        <f t="shared" si="51"/>
        <v>8.2644407894736851</v>
      </c>
      <c r="H224" s="16">
        <f t="shared" si="52"/>
        <v>8.3555592105263159</v>
      </c>
      <c r="I224" s="11">
        <f t="shared" si="55"/>
        <v>0.57113962349685266</v>
      </c>
      <c r="J224" s="33">
        <f t="shared" si="56"/>
        <v>3.1312479358380075E-3</v>
      </c>
      <c r="K224" s="33">
        <f t="shared" si="57"/>
        <v>319.36148797248552</v>
      </c>
      <c r="L224" s="8">
        <v>1</v>
      </c>
      <c r="M224" s="9">
        <v>0</v>
      </c>
      <c r="N224" s="8">
        <v>0</v>
      </c>
      <c r="O224" s="9">
        <v>0</v>
      </c>
      <c r="P224" s="9">
        <v>0</v>
      </c>
      <c r="Q224" s="9">
        <v>1</v>
      </c>
      <c r="R224" s="9">
        <v>0</v>
      </c>
      <c r="S224" s="8">
        <v>68726</v>
      </c>
      <c r="T224" s="9">
        <v>3</v>
      </c>
      <c r="U224" s="9">
        <f t="shared" si="53"/>
        <v>68722</v>
      </c>
      <c r="V224" s="9">
        <f t="shared" si="54"/>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v>0</v>
      </c>
      <c r="BF224" s="18">
        <v>0</v>
      </c>
      <c r="BG224">
        <v>0</v>
      </c>
      <c r="BH224">
        <v>1</v>
      </c>
      <c r="BI224" s="18">
        <v>0</v>
      </c>
      <c r="BJ224">
        <v>6947</v>
      </c>
      <c r="BK224">
        <v>12580</v>
      </c>
      <c r="BL224" s="25">
        <v>40</v>
      </c>
      <c r="BM224">
        <v>1</v>
      </c>
      <c r="BN224">
        <v>0</v>
      </c>
      <c r="BO224">
        <v>0</v>
      </c>
      <c r="BP224">
        <v>0</v>
      </c>
      <c r="BQ224">
        <v>0</v>
      </c>
      <c r="BR224">
        <v>0</v>
      </c>
      <c r="BS224">
        <v>0</v>
      </c>
      <c r="BT224" s="18">
        <v>0</v>
      </c>
      <c r="BU224">
        <v>0</v>
      </c>
      <c r="BV224">
        <v>0</v>
      </c>
      <c r="BW224">
        <v>1</v>
      </c>
      <c r="BX224" s="18">
        <v>0</v>
      </c>
      <c r="BY224">
        <v>0</v>
      </c>
      <c r="BZ224">
        <v>0</v>
      </c>
      <c r="CA224">
        <v>0</v>
      </c>
      <c r="CB224">
        <v>0</v>
      </c>
      <c r="CC224" s="18">
        <v>0</v>
      </c>
      <c r="CD224">
        <v>0</v>
      </c>
      <c r="CE224">
        <v>0</v>
      </c>
      <c r="CF224">
        <v>1</v>
      </c>
      <c r="CG224">
        <v>1</v>
      </c>
      <c r="CH224">
        <v>0</v>
      </c>
      <c r="CI224">
        <v>0</v>
      </c>
      <c r="CJ224">
        <v>0</v>
      </c>
      <c r="CK224">
        <v>0</v>
      </c>
      <c r="CL224">
        <v>0</v>
      </c>
      <c r="CM224">
        <v>0</v>
      </c>
      <c r="CN224" s="18">
        <v>0</v>
      </c>
      <c r="CO224">
        <v>4.149</v>
      </c>
      <c r="CP224">
        <v>14</v>
      </c>
      <c r="CQ224">
        <v>1</v>
      </c>
      <c r="CR224">
        <v>0</v>
      </c>
      <c r="CS224">
        <v>25</v>
      </c>
      <c r="CY224" s="34"/>
    </row>
    <row r="225" spans="1:103" x14ac:dyDescent="0.25">
      <c r="A225">
        <v>224</v>
      </c>
      <c r="B225">
        <v>17</v>
      </c>
      <c r="C225" s="78" t="s">
        <v>212</v>
      </c>
      <c r="D225" s="12">
        <v>10.3</v>
      </c>
      <c r="E225" s="14">
        <f t="shared" si="59"/>
        <v>8.45648604269294E-2</v>
      </c>
      <c r="F225" s="7">
        <v>121.8</v>
      </c>
      <c r="G225" s="7">
        <f t="shared" si="51"/>
        <v>10.215435139573071</v>
      </c>
      <c r="H225" s="16">
        <f t="shared" si="52"/>
        <v>10.384564860426931</v>
      </c>
      <c r="I225" s="11">
        <f t="shared" si="55"/>
        <v>0.58631434535014559</v>
      </c>
      <c r="J225" s="33">
        <f t="shared" si="56"/>
        <v>4.8137466777516055E-3</v>
      </c>
      <c r="K225" s="33">
        <f t="shared" si="57"/>
        <v>207.73839317757324</v>
      </c>
      <c r="L225" s="8">
        <v>1</v>
      </c>
      <c r="M225" s="9">
        <v>0</v>
      </c>
      <c r="N225" s="8">
        <v>0</v>
      </c>
      <c r="O225" s="9">
        <v>0</v>
      </c>
      <c r="P225" s="9">
        <v>0</v>
      </c>
      <c r="Q225" s="9">
        <v>1</v>
      </c>
      <c r="R225" s="9">
        <v>0</v>
      </c>
      <c r="S225" s="8">
        <v>28324</v>
      </c>
      <c r="T225" s="9">
        <v>3</v>
      </c>
      <c r="U225" s="9">
        <f t="shared" si="53"/>
        <v>28320</v>
      </c>
      <c r="V225" s="9">
        <f t="shared" si="54"/>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v>0</v>
      </c>
      <c r="BF225" s="18">
        <v>0</v>
      </c>
      <c r="BG225">
        <v>0</v>
      </c>
      <c r="BH225">
        <v>1</v>
      </c>
      <c r="BI225" s="18">
        <v>0</v>
      </c>
      <c r="BJ225">
        <v>6947</v>
      </c>
      <c r="BK225">
        <v>12580</v>
      </c>
      <c r="BL225" s="25">
        <v>40</v>
      </c>
      <c r="BM225">
        <v>1</v>
      </c>
      <c r="BN225">
        <v>0</v>
      </c>
      <c r="BO225">
        <v>0</v>
      </c>
      <c r="BP225">
        <v>0</v>
      </c>
      <c r="BQ225">
        <v>0</v>
      </c>
      <c r="BR225">
        <v>0</v>
      </c>
      <c r="BS225">
        <v>0</v>
      </c>
      <c r="BT225" s="18">
        <v>0</v>
      </c>
      <c r="BU225">
        <v>0</v>
      </c>
      <c r="BV225">
        <v>0</v>
      </c>
      <c r="BW225">
        <v>1</v>
      </c>
      <c r="BX225" s="18">
        <v>0</v>
      </c>
      <c r="BY225">
        <v>0</v>
      </c>
      <c r="BZ225">
        <v>0</v>
      </c>
      <c r="CA225">
        <v>0</v>
      </c>
      <c r="CB225">
        <v>0</v>
      </c>
      <c r="CC225" s="18">
        <v>0</v>
      </c>
      <c r="CD225">
        <v>0</v>
      </c>
      <c r="CE225">
        <v>0</v>
      </c>
      <c r="CF225">
        <v>1</v>
      </c>
      <c r="CG225">
        <v>1</v>
      </c>
      <c r="CH225">
        <v>0</v>
      </c>
      <c r="CI225">
        <v>0</v>
      </c>
      <c r="CJ225">
        <v>0</v>
      </c>
      <c r="CK225">
        <v>0</v>
      </c>
      <c r="CL225">
        <v>0</v>
      </c>
      <c r="CM225">
        <v>0</v>
      </c>
      <c r="CN225" s="18">
        <v>0</v>
      </c>
      <c r="CO225">
        <v>4.149</v>
      </c>
      <c r="CP225">
        <v>14</v>
      </c>
      <c r="CQ225">
        <v>1</v>
      </c>
      <c r="CR225">
        <v>0</v>
      </c>
      <c r="CS225">
        <v>25</v>
      </c>
      <c r="CY225" s="34"/>
    </row>
    <row r="226" spans="1:103" x14ac:dyDescent="0.25">
      <c r="A226">
        <v>225</v>
      </c>
      <c r="B226">
        <v>17</v>
      </c>
      <c r="C226" s="78" t="s">
        <v>212</v>
      </c>
      <c r="D226" s="12">
        <v>13.4</v>
      </c>
      <c r="E226" s="14">
        <f t="shared" si="59"/>
        <v>0.30044843049327352</v>
      </c>
      <c r="F226" s="7">
        <v>44.6</v>
      </c>
      <c r="G226" s="7">
        <f t="shared" si="51"/>
        <v>13.099551569506726</v>
      </c>
      <c r="H226" s="16">
        <f t="shared" si="52"/>
        <v>13.700448430493275</v>
      </c>
      <c r="I226" s="11">
        <f t="shared" si="55"/>
        <v>0.2561815851402216</v>
      </c>
      <c r="J226" s="33">
        <f t="shared" si="56"/>
        <v>5.7439817296013806E-3</v>
      </c>
      <c r="K226" s="33">
        <f t="shared" si="57"/>
        <v>174.09526127956499</v>
      </c>
      <c r="L226" s="8">
        <v>1</v>
      </c>
      <c r="M226" s="9">
        <v>0</v>
      </c>
      <c r="N226" s="8">
        <v>0</v>
      </c>
      <c r="O226" s="9">
        <v>0</v>
      </c>
      <c r="P226" s="9">
        <v>0</v>
      </c>
      <c r="Q226" s="9">
        <v>1</v>
      </c>
      <c r="R226" s="9">
        <v>0</v>
      </c>
      <c r="S226" s="8">
        <v>28324</v>
      </c>
      <c r="T226" s="9">
        <v>3</v>
      </c>
      <c r="U226" s="9">
        <f t="shared" si="53"/>
        <v>28320</v>
      </c>
      <c r="V226" s="9">
        <f t="shared" si="54"/>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v>0</v>
      </c>
      <c r="BF226" s="18">
        <v>0</v>
      </c>
      <c r="BG226">
        <v>0</v>
      </c>
      <c r="BH226">
        <v>1</v>
      </c>
      <c r="BI226" s="18">
        <v>0</v>
      </c>
      <c r="BJ226">
        <v>6947</v>
      </c>
      <c r="BK226">
        <v>12580</v>
      </c>
      <c r="BL226" s="25">
        <v>40</v>
      </c>
      <c r="BM226">
        <v>0</v>
      </c>
      <c r="BN226">
        <v>0</v>
      </c>
      <c r="BO226">
        <v>0</v>
      </c>
      <c r="BP226">
        <v>0</v>
      </c>
      <c r="BQ226">
        <v>0</v>
      </c>
      <c r="BR226">
        <v>1</v>
      </c>
      <c r="BS226">
        <v>0</v>
      </c>
      <c r="BT226" s="18">
        <v>0</v>
      </c>
      <c r="BU226">
        <v>0</v>
      </c>
      <c r="BV226">
        <v>0</v>
      </c>
      <c r="BW226">
        <v>1</v>
      </c>
      <c r="BX226" s="18">
        <v>0</v>
      </c>
      <c r="BY226">
        <v>0</v>
      </c>
      <c r="BZ226">
        <v>0</v>
      </c>
      <c r="CA226">
        <v>0</v>
      </c>
      <c r="CB226">
        <v>0</v>
      </c>
      <c r="CC226" s="18">
        <v>0</v>
      </c>
      <c r="CD226">
        <v>0</v>
      </c>
      <c r="CE226">
        <v>0</v>
      </c>
      <c r="CF226">
        <v>1</v>
      </c>
      <c r="CG226">
        <v>1</v>
      </c>
      <c r="CH226">
        <v>0</v>
      </c>
      <c r="CI226">
        <v>0</v>
      </c>
      <c r="CJ226">
        <v>0</v>
      </c>
      <c r="CK226">
        <v>0</v>
      </c>
      <c r="CL226">
        <v>0</v>
      </c>
      <c r="CM226">
        <v>0</v>
      </c>
      <c r="CN226" s="18">
        <v>0</v>
      </c>
      <c r="CO226">
        <v>4.149</v>
      </c>
      <c r="CP226">
        <v>14</v>
      </c>
      <c r="CQ226">
        <v>1</v>
      </c>
      <c r="CR226">
        <v>0</v>
      </c>
      <c r="CS226">
        <v>25</v>
      </c>
      <c r="CY226" s="34"/>
    </row>
    <row r="227" spans="1:103" x14ac:dyDescent="0.25">
      <c r="A227">
        <v>226</v>
      </c>
      <c r="B227">
        <v>17</v>
      </c>
      <c r="C227" s="78" t="s">
        <v>212</v>
      </c>
      <c r="D227" s="12">
        <v>7.9</v>
      </c>
      <c r="E227" s="14">
        <f t="shared" si="59"/>
        <v>8.856502242152467E-2</v>
      </c>
      <c r="F227" s="7">
        <v>89.2</v>
      </c>
      <c r="G227" s="7">
        <f t="shared" si="51"/>
        <v>7.8114349775784753</v>
      </c>
      <c r="H227" s="16">
        <f t="shared" si="52"/>
        <v>7.9885650224215254</v>
      </c>
      <c r="I227" s="11">
        <f t="shared" si="55"/>
        <v>0.50802802585012474</v>
      </c>
      <c r="J227" s="33">
        <f t="shared" si="56"/>
        <v>5.6953814557188873E-3</v>
      </c>
      <c r="K227" s="33">
        <f t="shared" si="57"/>
        <v>175.58086456103354</v>
      </c>
      <c r="L227" s="8">
        <v>1</v>
      </c>
      <c r="M227" s="9">
        <v>0</v>
      </c>
      <c r="N227" s="8">
        <v>0</v>
      </c>
      <c r="O227" s="9">
        <v>0</v>
      </c>
      <c r="P227" s="9">
        <v>0</v>
      </c>
      <c r="Q227" s="9">
        <v>1</v>
      </c>
      <c r="R227" s="9">
        <v>0</v>
      </c>
      <c r="S227" s="8">
        <v>22876</v>
      </c>
      <c r="T227" s="9">
        <v>3</v>
      </c>
      <c r="U227" s="9">
        <f t="shared" si="53"/>
        <v>22872</v>
      </c>
      <c r="V227" s="9">
        <f t="shared" si="54"/>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v>0</v>
      </c>
      <c r="BF227" s="18">
        <v>0</v>
      </c>
      <c r="BG227">
        <v>0</v>
      </c>
      <c r="BH227">
        <v>1</v>
      </c>
      <c r="BI227" s="18">
        <v>0</v>
      </c>
      <c r="BJ227">
        <v>6947</v>
      </c>
      <c r="BK227">
        <v>12580</v>
      </c>
      <c r="BL227" s="25">
        <v>40</v>
      </c>
      <c r="BM227">
        <v>1</v>
      </c>
      <c r="BN227">
        <v>0</v>
      </c>
      <c r="BO227">
        <v>0</v>
      </c>
      <c r="BP227">
        <v>0</v>
      </c>
      <c r="BQ227">
        <v>0</v>
      </c>
      <c r="BR227">
        <v>0</v>
      </c>
      <c r="BS227">
        <v>0</v>
      </c>
      <c r="BT227" s="18">
        <v>0</v>
      </c>
      <c r="BU227">
        <v>0</v>
      </c>
      <c r="BV227">
        <v>0</v>
      </c>
      <c r="BW227">
        <v>1</v>
      </c>
      <c r="BX227" s="18">
        <v>0</v>
      </c>
      <c r="BY227">
        <v>0</v>
      </c>
      <c r="BZ227">
        <v>0</v>
      </c>
      <c r="CA227">
        <v>0</v>
      </c>
      <c r="CB227">
        <v>0</v>
      </c>
      <c r="CC227" s="18">
        <v>0</v>
      </c>
      <c r="CD227">
        <v>0</v>
      </c>
      <c r="CE227">
        <v>0</v>
      </c>
      <c r="CF227">
        <v>1</v>
      </c>
      <c r="CG227">
        <v>1</v>
      </c>
      <c r="CH227">
        <v>0</v>
      </c>
      <c r="CI227">
        <v>0</v>
      </c>
      <c r="CJ227">
        <v>0</v>
      </c>
      <c r="CK227">
        <v>0</v>
      </c>
      <c r="CL227">
        <v>0</v>
      </c>
      <c r="CM227">
        <v>0</v>
      </c>
      <c r="CN227" s="18">
        <v>0</v>
      </c>
      <c r="CO227">
        <v>4.149</v>
      </c>
      <c r="CP227">
        <v>14</v>
      </c>
      <c r="CQ227">
        <v>1</v>
      </c>
      <c r="CR227">
        <v>0</v>
      </c>
      <c r="CS227">
        <v>25</v>
      </c>
      <c r="CY227" s="34"/>
    </row>
    <row r="228" spans="1:103" x14ac:dyDescent="0.25">
      <c r="A228">
        <v>227</v>
      </c>
      <c r="B228">
        <v>17</v>
      </c>
      <c r="C228" s="78" t="s">
        <v>212</v>
      </c>
      <c r="D228" s="12">
        <v>6.5</v>
      </c>
      <c r="E228" s="14">
        <f t="shared" si="59"/>
        <v>5.2208835341365459E-2</v>
      </c>
      <c r="F228" s="7">
        <v>124.5</v>
      </c>
      <c r="G228" s="7">
        <f t="shared" si="51"/>
        <v>6.4477911646586348</v>
      </c>
      <c r="H228" s="16">
        <f t="shared" si="52"/>
        <v>6.5522088353413652</v>
      </c>
      <c r="I228" s="11">
        <f t="shared" si="55"/>
        <v>0.41575771597427358</v>
      </c>
      <c r="J228" s="33">
        <f t="shared" si="56"/>
        <v>3.3394194054158521E-3</v>
      </c>
      <c r="K228" s="33">
        <f t="shared" si="57"/>
        <v>299.4532517773016</v>
      </c>
      <c r="L228" s="8">
        <v>1</v>
      </c>
      <c r="M228" s="9">
        <v>0</v>
      </c>
      <c r="N228" s="8">
        <v>0</v>
      </c>
      <c r="O228" s="9">
        <v>0</v>
      </c>
      <c r="P228" s="9">
        <v>0</v>
      </c>
      <c r="Q228" s="9">
        <v>1</v>
      </c>
      <c r="R228" s="9">
        <v>0</v>
      </c>
      <c r="S228" s="8">
        <v>74176</v>
      </c>
      <c r="T228" s="9">
        <v>3</v>
      </c>
      <c r="U228" s="9">
        <f t="shared" si="53"/>
        <v>74172</v>
      </c>
      <c r="V228" s="9">
        <f t="shared" si="54"/>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v>0</v>
      </c>
      <c r="BF228" s="18">
        <v>0</v>
      </c>
      <c r="BG228">
        <v>0</v>
      </c>
      <c r="BH228">
        <v>1</v>
      </c>
      <c r="BI228" s="18">
        <v>0</v>
      </c>
      <c r="BJ228">
        <v>6947</v>
      </c>
      <c r="BK228">
        <v>12580</v>
      </c>
      <c r="BL228" s="25">
        <v>40</v>
      </c>
      <c r="BM228">
        <v>1</v>
      </c>
      <c r="BN228">
        <v>0</v>
      </c>
      <c r="BO228">
        <v>0</v>
      </c>
      <c r="BP228">
        <v>0</v>
      </c>
      <c r="BQ228">
        <v>0</v>
      </c>
      <c r="BR228">
        <v>0</v>
      </c>
      <c r="BS228">
        <v>0</v>
      </c>
      <c r="BT228" s="18">
        <v>0</v>
      </c>
      <c r="BU228">
        <v>0</v>
      </c>
      <c r="BV228">
        <v>0</v>
      </c>
      <c r="BW228">
        <v>1</v>
      </c>
      <c r="BX228" s="18">
        <v>0</v>
      </c>
      <c r="BY228">
        <v>0</v>
      </c>
      <c r="BZ228">
        <v>0</v>
      </c>
      <c r="CA228">
        <v>0</v>
      </c>
      <c r="CB228">
        <v>0</v>
      </c>
      <c r="CC228" s="18">
        <v>0</v>
      </c>
      <c r="CD228">
        <v>0</v>
      </c>
      <c r="CE228">
        <v>0</v>
      </c>
      <c r="CF228">
        <v>1</v>
      </c>
      <c r="CG228">
        <v>1</v>
      </c>
      <c r="CH228">
        <v>0</v>
      </c>
      <c r="CI228">
        <v>0</v>
      </c>
      <c r="CJ228">
        <v>0</v>
      </c>
      <c r="CK228">
        <v>0</v>
      </c>
      <c r="CL228">
        <v>0</v>
      </c>
      <c r="CM228">
        <v>0</v>
      </c>
      <c r="CN228" s="18">
        <v>0</v>
      </c>
      <c r="CO228">
        <v>4.149</v>
      </c>
      <c r="CP228">
        <v>14</v>
      </c>
      <c r="CQ228">
        <v>1</v>
      </c>
      <c r="CR228">
        <v>0</v>
      </c>
      <c r="CS228">
        <v>25</v>
      </c>
      <c r="CY228" s="34"/>
    </row>
    <row r="229" spans="1:103" x14ac:dyDescent="0.25">
      <c r="A229">
        <v>228</v>
      </c>
      <c r="B229">
        <v>17</v>
      </c>
      <c r="C229" s="78" t="s">
        <v>212</v>
      </c>
      <c r="D229" s="12">
        <v>11.2</v>
      </c>
      <c r="E229" s="14">
        <f t="shared" si="59"/>
        <v>0.86821705426356577</v>
      </c>
      <c r="F229" s="7">
        <v>12.9</v>
      </c>
      <c r="G229" s="7">
        <f t="shared" si="51"/>
        <v>10.331782945736434</v>
      </c>
      <c r="H229" s="16">
        <f t="shared" si="52"/>
        <v>12.068217054263565</v>
      </c>
      <c r="I229" s="11">
        <f t="shared" si="55"/>
        <v>7.6431230218154844E-2</v>
      </c>
      <c r="J229" s="33">
        <f t="shared" si="56"/>
        <v>5.924901567298824E-3</v>
      </c>
      <c r="K229" s="33">
        <f t="shared" si="57"/>
        <v>168.77917525571689</v>
      </c>
      <c r="L229" s="8">
        <v>1</v>
      </c>
      <c r="M229" s="9">
        <v>0</v>
      </c>
      <c r="N229" s="8">
        <v>0</v>
      </c>
      <c r="O229" s="9">
        <v>0</v>
      </c>
      <c r="P229" s="9">
        <v>0</v>
      </c>
      <c r="Q229" s="9">
        <v>1</v>
      </c>
      <c r="R229" s="9">
        <v>0</v>
      </c>
      <c r="S229" s="8">
        <v>28324</v>
      </c>
      <c r="T229" s="9">
        <v>3</v>
      </c>
      <c r="U229" s="9">
        <f t="shared" si="53"/>
        <v>28320</v>
      </c>
      <c r="V229" s="9">
        <f t="shared" si="54"/>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v>0</v>
      </c>
      <c r="BF229" s="18">
        <v>0</v>
      </c>
      <c r="BG229">
        <v>0</v>
      </c>
      <c r="BH229">
        <v>1</v>
      </c>
      <c r="BI229" s="18">
        <v>0</v>
      </c>
      <c r="BJ229">
        <v>6947</v>
      </c>
      <c r="BK229">
        <v>12580</v>
      </c>
      <c r="BL229" s="25">
        <v>40</v>
      </c>
      <c r="BM229">
        <v>0</v>
      </c>
      <c r="BN229">
        <v>0</v>
      </c>
      <c r="BO229">
        <v>0</v>
      </c>
      <c r="BP229">
        <v>0</v>
      </c>
      <c r="BQ229">
        <v>0</v>
      </c>
      <c r="BR229">
        <v>0</v>
      </c>
      <c r="BS229">
        <v>0</v>
      </c>
      <c r="BT229" s="18">
        <v>1</v>
      </c>
      <c r="BU229">
        <v>0</v>
      </c>
      <c r="BV229">
        <v>1</v>
      </c>
      <c r="BW229">
        <v>0</v>
      </c>
      <c r="BX229" s="18">
        <v>0</v>
      </c>
      <c r="BY229">
        <v>0</v>
      </c>
      <c r="BZ229">
        <v>0</v>
      </c>
      <c r="CA229">
        <v>0</v>
      </c>
      <c r="CB229">
        <v>0</v>
      </c>
      <c r="CC229" s="18">
        <v>1</v>
      </c>
      <c r="CD229">
        <v>1</v>
      </c>
      <c r="CE229">
        <v>1</v>
      </c>
      <c r="CF229">
        <v>0</v>
      </c>
      <c r="CG229">
        <v>0</v>
      </c>
      <c r="CH229">
        <v>0</v>
      </c>
      <c r="CI229">
        <v>0</v>
      </c>
      <c r="CJ229">
        <v>0</v>
      </c>
      <c r="CK229">
        <v>0</v>
      </c>
      <c r="CL229">
        <v>0</v>
      </c>
      <c r="CM229">
        <v>0</v>
      </c>
      <c r="CN229" s="18">
        <v>0</v>
      </c>
      <c r="CO229">
        <v>4.149</v>
      </c>
      <c r="CP229">
        <v>14</v>
      </c>
      <c r="CQ229">
        <v>1</v>
      </c>
      <c r="CR229">
        <v>0</v>
      </c>
      <c r="CS229">
        <v>25</v>
      </c>
      <c r="CY229" s="34"/>
    </row>
    <row r="230" spans="1:103" s="51" customFormat="1" x14ac:dyDescent="0.25">
      <c r="A230" s="51">
        <v>229</v>
      </c>
      <c r="B230" s="51">
        <v>17</v>
      </c>
      <c r="C230" s="79" t="s">
        <v>212</v>
      </c>
      <c r="D230" s="53">
        <v>18</v>
      </c>
      <c r="E230" s="54">
        <f t="shared" si="59"/>
        <v>1.0843373493975903</v>
      </c>
      <c r="F230" s="55">
        <v>16.600000000000001</v>
      </c>
      <c r="G230" s="55">
        <f t="shared" si="51"/>
        <v>16.91566265060241</v>
      </c>
      <c r="H230" s="56">
        <f t="shared" si="52"/>
        <v>19.08433734939759</v>
      </c>
      <c r="I230" s="11">
        <f t="shared" si="55"/>
        <v>6.3196237365657243E-2</v>
      </c>
      <c r="J230" s="33">
        <f t="shared" si="56"/>
        <v>3.8070022509432066E-3</v>
      </c>
      <c r="K230" s="33">
        <f t="shared" si="57"/>
        <v>262.67386622958901</v>
      </c>
      <c r="L230" s="59">
        <v>1</v>
      </c>
      <c r="M230" s="60">
        <v>0</v>
      </c>
      <c r="N230" s="59">
        <v>0</v>
      </c>
      <c r="O230" s="60">
        <v>0</v>
      </c>
      <c r="P230" s="60">
        <v>0</v>
      </c>
      <c r="Q230" s="60">
        <v>1</v>
      </c>
      <c r="R230" s="60">
        <v>0</v>
      </c>
      <c r="S230" s="59">
        <v>68726</v>
      </c>
      <c r="T230" s="60">
        <v>3</v>
      </c>
      <c r="U230" s="60">
        <f t="shared" si="53"/>
        <v>68722</v>
      </c>
      <c r="V230" s="60">
        <f t="shared" si="54"/>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v>0</v>
      </c>
      <c r="BF230" s="65">
        <v>0</v>
      </c>
      <c r="BG230">
        <v>0</v>
      </c>
      <c r="BH230">
        <v>1</v>
      </c>
      <c r="BI230" s="65">
        <v>0</v>
      </c>
      <c r="BJ230">
        <v>6947</v>
      </c>
      <c r="BK230">
        <v>12580</v>
      </c>
      <c r="BL230" s="52">
        <v>40</v>
      </c>
      <c r="BM230" s="51">
        <v>0</v>
      </c>
      <c r="BN230" s="51">
        <v>0</v>
      </c>
      <c r="BO230" s="51">
        <v>0</v>
      </c>
      <c r="BP230" s="51">
        <v>0</v>
      </c>
      <c r="BQ230" s="51">
        <v>0</v>
      </c>
      <c r="BR230" s="51">
        <v>0</v>
      </c>
      <c r="BS230" s="51">
        <v>0</v>
      </c>
      <c r="BT230" s="65">
        <v>1</v>
      </c>
      <c r="BU230" s="51">
        <v>0</v>
      </c>
      <c r="BV230" s="51">
        <v>1</v>
      </c>
      <c r="BW230" s="51">
        <v>0</v>
      </c>
      <c r="BX230" s="65">
        <v>0</v>
      </c>
      <c r="BY230" s="51">
        <v>0</v>
      </c>
      <c r="BZ230" s="51">
        <v>0</v>
      </c>
      <c r="CA230" s="51">
        <v>0</v>
      </c>
      <c r="CB230" s="51">
        <v>0</v>
      </c>
      <c r="CC230" s="65">
        <v>1</v>
      </c>
      <c r="CD230" s="51">
        <v>1</v>
      </c>
      <c r="CE230" s="51">
        <v>1</v>
      </c>
      <c r="CF230" s="51">
        <v>0</v>
      </c>
      <c r="CG230" s="51">
        <v>0</v>
      </c>
      <c r="CH230" s="51">
        <v>0</v>
      </c>
      <c r="CI230" s="51">
        <v>0</v>
      </c>
      <c r="CJ230" s="51">
        <v>0</v>
      </c>
      <c r="CK230" s="51">
        <v>0</v>
      </c>
      <c r="CL230" s="51">
        <v>0</v>
      </c>
      <c r="CM230" s="51">
        <v>0</v>
      </c>
      <c r="CN230" s="65">
        <v>0</v>
      </c>
      <c r="CO230">
        <v>4.149</v>
      </c>
      <c r="CP230">
        <v>14</v>
      </c>
      <c r="CQ230">
        <v>1</v>
      </c>
      <c r="CR230">
        <v>0</v>
      </c>
      <c r="CS230">
        <v>25</v>
      </c>
      <c r="CT230" s="67"/>
      <c r="CY230" s="67"/>
    </row>
    <row r="231" spans="1:103" x14ac:dyDescent="0.25">
      <c r="A231">
        <v>230</v>
      </c>
      <c r="B231">
        <v>18</v>
      </c>
      <c r="C231" s="80" t="s">
        <v>213</v>
      </c>
      <c r="D231" s="12">
        <v>8.4182424365889972</v>
      </c>
      <c r="E231" s="14">
        <v>0.49021893707044362</v>
      </c>
      <c r="F231" s="7">
        <v>17.172413793103448</v>
      </c>
      <c r="G231" s="7">
        <f t="shared" si="51"/>
        <v>7.9280234995185532</v>
      </c>
      <c r="H231" s="16">
        <f t="shared" si="52"/>
        <v>8.9084613736594402</v>
      </c>
      <c r="I231" s="11">
        <f t="shared" si="55"/>
        <v>0.27491202321058933</v>
      </c>
      <c r="J231" s="33">
        <f t="shared" si="56"/>
        <v>1.6008933078528294E-2</v>
      </c>
      <c r="K231" s="33">
        <f t="shared" si="57"/>
        <v>62.465124633523068</v>
      </c>
      <c r="L231" s="8">
        <v>1</v>
      </c>
      <c r="M231" s="9">
        <v>0</v>
      </c>
      <c r="N231" s="8">
        <v>1</v>
      </c>
      <c r="O231" s="9">
        <v>0</v>
      </c>
      <c r="P231" s="9">
        <v>0</v>
      </c>
      <c r="Q231" s="9">
        <v>0</v>
      </c>
      <c r="R231" s="9">
        <v>0</v>
      </c>
      <c r="S231" s="8">
        <v>3614</v>
      </c>
      <c r="T231" s="9">
        <v>6</v>
      </c>
      <c r="U231" s="9">
        <f t="shared" si="53"/>
        <v>3607</v>
      </c>
      <c r="V231" s="9">
        <f t="shared" si="54"/>
        <v>48</v>
      </c>
      <c r="W231" s="7">
        <v>17</v>
      </c>
      <c r="X231" s="7">
        <f t="shared" ref="X231:X294" si="60">BL231-W231-6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v>0</v>
      </c>
      <c r="BF231" s="18">
        <v>0</v>
      </c>
      <c r="BG231">
        <v>0</v>
      </c>
      <c r="BH231">
        <v>1</v>
      </c>
      <c r="BI231" s="18">
        <v>0</v>
      </c>
      <c r="BJ231">
        <v>869</v>
      </c>
      <c r="BK231">
        <v>116</v>
      </c>
      <c r="BL231" s="25">
        <v>44.274999999999999</v>
      </c>
      <c r="BM231">
        <v>1</v>
      </c>
      <c r="BN231">
        <v>0</v>
      </c>
      <c r="BO231">
        <v>0</v>
      </c>
      <c r="BP231">
        <v>0</v>
      </c>
      <c r="BQ231">
        <v>0</v>
      </c>
      <c r="BR231">
        <v>0</v>
      </c>
      <c r="BS231">
        <v>0</v>
      </c>
      <c r="BT231" s="18">
        <v>0</v>
      </c>
      <c r="BU231">
        <v>0</v>
      </c>
      <c r="BV231">
        <v>1</v>
      </c>
      <c r="BW231">
        <v>0</v>
      </c>
      <c r="BX231" s="18">
        <v>0</v>
      </c>
      <c r="BY231">
        <v>0</v>
      </c>
      <c r="BZ231">
        <v>0</v>
      </c>
      <c r="CA231">
        <v>0</v>
      </c>
      <c r="CB231">
        <v>0</v>
      </c>
      <c r="CC231" s="18">
        <v>0</v>
      </c>
      <c r="CD231">
        <v>1</v>
      </c>
      <c r="CE231">
        <v>1</v>
      </c>
      <c r="CF231">
        <v>0</v>
      </c>
      <c r="CG231">
        <v>0</v>
      </c>
      <c r="CH231">
        <v>0</v>
      </c>
      <c r="CI231">
        <v>1</v>
      </c>
      <c r="CJ231">
        <v>1</v>
      </c>
      <c r="CK231">
        <v>0</v>
      </c>
      <c r="CL231">
        <v>0</v>
      </c>
      <c r="CM231">
        <v>0</v>
      </c>
      <c r="CN231" s="18">
        <v>1</v>
      </c>
      <c r="CO231">
        <v>0.217</v>
      </c>
      <c r="CP231">
        <v>129</v>
      </c>
      <c r="CQ231">
        <v>1</v>
      </c>
      <c r="CR231">
        <v>0</v>
      </c>
      <c r="CS231">
        <v>23</v>
      </c>
      <c r="CY231" s="34"/>
    </row>
    <row r="232" spans="1:103" x14ac:dyDescent="0.25">
      <c r="A232">
        <v>231</v>
      </c>
      <c r="B232">
        <v>18</v>
      </c>
      <c r="C232" s="25" t="s">
        <v>213</v>
      </c>
      <c r="D232" s="12">
        <v>7.8938142421918212</v>
      </c>
      <c r="E232" s="14">
        <v>0.83255072085616866</v>
      </c>
      <c r="F232" s="7">
        <v>9.481481481481481</v>
      </c>
      <c r="G232" s="7">
        <f t="shared" si="51"/>
        <v>7.0612635213356523</v>
      </c>
      <c r="H232" s="16">
        <f t="shared" si="52"/>
        <v>8.72636496304799</v>
      </c>
      <c r="I232" s="11">
        <f t="shared" si="55"/>
        <v>0.15593996707303245</v>
      </c>
      <c r="J232" s="33">
        <f t="shared" si="56"/>
        <v>1.644679340223389E-2</v>
      </c>
      <c r="K232" s="33">
        <f t="shared" si="57"/>
        <v>60.802125711883434</v>
      </c>
      <c r="L232" s="8">
        <v>1</v>
      </c>
      <c r="M232" s="9">
        <v>0</v>
      </c>
      <c r="N232" s="8">
        <v>1</v>
      </c>
      <c r="O232" s="9">
        <v>0</v>
      </c>
      <c r="P232" s="9">
        <v>0</v>
      </c>
      <c r="Q232" s="9">
        <v>0</v>
      </c>
      <c r="R232" s="9">
        <v>0</v>
      </c>
      <c r="S232" s="8">
        <v>3614</v>
      </c>
      <c r="T232" s="9">
        <v>6</v>
      </c>
      <c r="U232" s="9">
        <f t="shared" si="53"/>
        <v>3607</v>
      </c>
      <c r="V232" s="9">
        <f t="shared" si="54"/>
        <v>48</v>
      </c>
      <c r="W232" s="7">
        <v>12</v>
      </c>
      <c r="X232" s="7">
        <f t="shared" si="60"/>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v>0</v>
      </c>
      <c r="BF232" s="18">
        <v>0</v>
      </c>
      <c r="BG232">
        <v>0</v>
      </c>
      <c r="BH232">
        <v>1</v>
      </c>
      <c r="BI232" s="18">
        <v>0</v>
      </c>
      <c r="BJ232">
        <v>869</v>
      </c>
      <c r="BK232">
        <v>116</v>
      </c>
      <c r="BL232" s="25">
        <v>44.274999999999999</v>
      </c>
      <c r="BM232">
        <v>1</v>
      </c>
      <c r="BN232">
        <v>0</v>
      </c>
      <c r="BO232">
        <v>0</v>
      </c>
      <c r="BP232">
        <v>0</v>
      </c>
      <c r="BQ232">
        <v>0</v>
      </c>
      <c r="BR232">
        <v>0</v>
      </c>
      <c r="BS232">
        <v>0</v>
      </c>
      <c r="BT232" s="18">
        <v>0</v>
      </c>
      <c r="BU232">
        <v>0</v>
      </c>
      <c r="BV232">
        <v>1</v>
      </c>
      <c r="BW232">
        <v>0</v>
      </c>
      <c r="BX232" s="18">
        <v>0</v>
      </c>
      <c r="BY232">
        <v>0</v>
      </c>
      <c r="BZ232">
        <v>0</v>
      </c>
      <c r="CA232">
        <v>0</v>
      </c>
      <c r="CB232">
        <v>0</v>
      </c>
      <c r="CC232" s="18">
        <v>0</v>
      </c>
      <c r="CD232">
        <v>1</v>
      </c>
      <c r="CE232">
        <v>1</v>
      </c>
      <c r="CF232">
        <v>0</v>
      </c>
      <c r="CG232">
        <v>0</v>
      </c>
      <c r="CH232">
        <v>0</v>
      </c>
      <c r="CI232">
        <v>1</v>
      </c>
      <c r="CJ232">
        <v>1</v>
      </c>
      <c r="CK232">
        <v>0</v>
      </c>
      <c r="CL232">
        <v>0</v>
      </c>
      <c r="CM232">
        <v>0</v>
      </c>
      <c r="CN232" s="18">
        <v>1</v>
      </c>
      <c r="CO232">
        <v>0.217</v>
      </c>
      <c r="CP232">
        <v>129</v>
      </c>
      <c r="CQ232">
        <v>1</v>
      </c>
      <c r="CR232">
        <v>0</v>
      </c>
      <c r="CS232">
        <v>23</v>
      </c>
      <c r="CY232" s="34"/>
    </row>
    <row r="233" spans="1:103" x14ac:dyDescent="0.25">
      <c r="A233">
        <v>232</v>
      </c>
      <c r="B233">
        <v>18</v>
      </c>
      <c r="C233" s="25" t="s">
        <v>213</v>
      </c>
      <c r="D233" s="12">
        <v>7.8365153390935971</v>
      </c>
      <c r="E233" s="14">
        <v>1.9128502008811139</v>
      </c>
      <c r="F233" s="7">
        <v>4.096774193548387</v>
      </c>
      <c r="G233" s="7">
        <f t="shared" si="51"/>
        <v>5.923665138212483</v>
      </c>
      <c r="H233" s="16">
        <f t="shared" si="52"/>
        <v>9.7493655399747112</v>
      </c>
      <c r="I233" s="11">
        <f t="shared" si="55"/>
        <v>6.8055135339707112E-2</v>
      </c>
      <c r="J233" s="33">
        <f t="shared" si="56"/>
        <v>1.6611883429377326E-2</v>
      </c>
      <c r="K233" s="33">
        <f t="shared" si="57"/>
        <v>60.19787005196217</v>
      </c>
      <c r="L233" s="8">
        <v>1</v>
      </c>
      <c r="M233" s="9">
        <v>0</v>
      </c>
      <c r="N233" s="8">
        <v>1</v>
      </c>
      <c r="O233" s="9">
        <v>0</v>
      </c>
      <c r="P233" s="9">
        <v>0</v>
      </c>
      <c r="Q233" s="9">
        <v>0</v>
      </c>
      <c r="R233" s="9">
        <v>0</v>
      </c>
      <c r="S233" s="8">
        <v>3614</v>
      </c>
      <c r="T233" s="9">
        <v>6</v>
      </c>
      <c r="U233" s="9">
        <f t="shared" si="53"/>
        <v>3607</v>
      </c>
      <c r="V233" s="9">
        <f t="shared" si="54"/>
        <v>48</v>
      </c>
      <c r="W233" s="7">
        <v>9</v>
      </c>
      <c r="X233" s="7">
        <f t="shared" si="60"/>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v>0</v>
      </c>
      <c r="BF233" s="18">
        <v>0</v>
      </c>
      <c r="BG233">
        <v>0</v>
      </c>
      <c r="BH233">
        <v>1</v>
      </c>
      <c r="BI233" s="18">
        <v>0</v>
      </c>
      <c r="BJ233">
        <v>869</v>
      </c>
      <c r="BK233">
        <v>116</v>
      </c>
      <c r="BL233" s="25">
        <v>44.274999999999999</v>
      </c>
      <c r="BM233">
        <v>1</v>
      </c>
      <c r="BN233">
        <v>0</v>
      </c>
      <c r="BO233">
        <v>0</v>
      </c>
      <c r="BP233">
        <v>0</v>
      </c>
      <c r="BQ233">
        <v>0</v>
      </c>
      <c r="BR233">
        <v>0</v>
      </c>
      <c r="BS233">
        <v>0</v>
      </c>
      <c r="BT233" s="18">
        <v>0</v>
      </c>
      <c r="BU233">
        <v>0</v>
      </c>
      <c r="BV233">
        <v>1</v>
      </c>
      <c r="BW233">
        <v>0</v>
      </c>
      <c r="BX233" s="18">
        <v>0</v>
      </c>
      <c r="BY233">
        <v>0</v>
      </c>
      <c r="BZ233">
        <v>0</v>
      </c>
      <c r="CA233">
        <v>0</v>
      </c>
      <c r="CB233">
        <v>0</v>
      </c>
      <c r="CC233" s="18">
        <v>0</v>
      </c>
      <c r="CD233">
        <v>1</v>
      </c>
      <c r="CE233">
        <v>1</v>
      </c>
      <c r="CF233">
        <v>0</v>
      </c>
      <c r="CG233">
        <v>0</v>
      </c>
      <c r="CH233">
        <v>0</v>
      </c>
      <c r="CI233">
        <v>1</v>
      </c>
      <c r="CJ233">
        <v>1</v>
      </c>
      <c r="CK233">
        <v>0</v>
      </c>
      <c r="CL233">
        <v>0</v>
      </c>
      <c r="CM233">
        <v>0</v>
      </c>
      <c r="CN233" s="18">
        <v>1</v>
      </c>
      <c r="CO233">
        <v>0.217</v>
      </c>
      <c r="CP233">
        <v>129</v>
      </c>
      <c r="CQ233">
        <v>1</v>
      </c>
      <c r="CR233">
        <v>0</v>
      </c>
      <c r="CS233">
        <v>23</v>
      </c>
      <c r="CY233" s="34"/>
    </row>
    <row r="234" spans="1:103" x14ac:dyDescent="0.25">
      <c r="A234">
        <v>233</v>
      </c>
      <c r="B234">
        <v>18</v>
      </c>
      <c r="C234" s="25" t="s">
        <v>213</v>
      </c>
      <c r="D234" s="12">
        <v>8.4037635041231731</v>
      </c>
      <c r="E234" s="14">
        <v>0.49036044591463179</v>
      </c>
      <c r="F234" s="7">
        <v>17.137931034482762</v>
      </c>
      <c r="G234" s="7">
        <f t="shared" si="51"/>
        <v>7.9134030582085408</v>
      </c>
      <c r="H234" s="16">
        <f t="shared" si="52"/>
        <v>8.8941239500378053</v>
      </c>
      <c r="I234" s="11">
        <f t="shared" si="55"/>
        <v>0.27440159564256944</v>
      </c>
      <c r="J234" s="33">
        <f t="shared" si="56"/>
        <v>1.6011360711538254E-2</v>
      </c>
      <c r="K234" s="33">
        <f t="shared" si="57"/>
        <v>62.455653708392866</v>
      </c>
      <c r="L234" s="8">
        <v>1</v>
      </c>
      <c r="M234" s="9">
        <v>0</v>
      </c>
      <c r="N234" s="8">
        <v>1</v>
      </c>
      <c r="O234" s="9">
        <v>0</v>
      </c>
      <c r="P234" s="9">
        <v>0</v>
      </c>
      <c r="Q234" s="9">
        <v>0</v>
      </c>
      <c r="R234" s="9">
        <v>0</v>
      </c>
      <c r="S234" s="8">
        <v>3614</v>
      </c>
      <c r="T234" s="9">
        <v>6</v>
      </c>
      <c r="U234" s="9">
        <f t="shared" si="53"/>
        <v>3607</v>
      </c>
      <c r="V234" s="9">
        <f t="shared" si="54"/>
        <v>48</v>
      </c>
      <c r="W234" s="7">
        <v>17</v>
      </c>
      <c r="X234" s="7">
        <f t="shared" si="60"/>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v>0</v>
      </c>
      <c r="BF234" s="18">
        <v>0</v>
      </c>
      <c r="BG234">
        <v>0</v>
      </c>
      <c r="BH234">
        <v>1</v>
      </c>
      <c r="BI234" s="18">
        <v>0</v>
      </c>
      <c r="BJ234">
        <v>869</v>
      </c>
      <c r="BK234">
        <v>116</v>
      </c>
      <c r="BL234" s="25">
        <v>44.274999999999999</v>
      </c>
      <c r="BM234">
        <v>1</v>
      </c>
      <c r="BN234">
        <v>0</v>
      </c>
      <c r="BO234">
        <v>0</v>
      </c>
      <c r="BP234">
        <v>0</v>
      </c>
      <c r="BQ234">
        <v>0</v>
      </c>
      <c r="BR234">
        <v>0</v>
      </c>
      <c r="BS234">
        <v>0</v>
      </c>
      <c r="BT234" s="18">
        <v>0</v>
      </c>
      <c r="BU234">
        <v>0</v>
      </c>
      <c r="BV234">
        <v>1</v>
      </c>
      <c r="BW234">
        <v>0</v>
      </c>
      <c r="BX234" s="18">
        <v>0</v>
      </c>
      <c r="BY234">
        <v>0</v>
      </c>
      <c r="BZ234">
        <v>0</v>
      </c>
      <c r="CA234">
        <v>0</v>
      </c>
      <c r="CB234">
        <v>0</v>
      </c>
      <c r="CC234" s="18">
        <v>0</v>
      </c>
      <c r="CD234">
        <v>1</v>
      </c>
      <c r="CE234">
        <v>1</v>
      </c>
      <c r="CF234">
        <v>0</v>
      </c>
      <c r="CG234">
        <v>0</v>
      </c>
      <c r="CH234">
        <v>0</v>
      </c>
      <c r="CI234">
        <v>1</v>
      </c>
      <c r="CJ234">
        <v>1</v>
      </c>
      <c r="CK234">
        <v>0</v>
      </c>
      <c r="CL234">
        <v>0</v>
      </c>
      <c r="CM234">
        <v>0</v>
      </c>
      <c r="CN234" s="18">
        <v>1</v>
      </c>
      <c r="CO234">
        <v>0.217</v>
      </c>
      <c r="CP234">
        <v>129</v>
      </c>
      <c r="CQ234">
        <v>1</v>
      </c>
      <c r="CR234">
        <v>0</v>
      </c>
      <c r="CS234">
        <v>23</v>
      </c>
      <c r="CY234" s="34"/>
    </row>
    <row r="235" spans="1:103" x14ac:dyDescent="0.25">
      <c r="A235">
        <v>234</v>
      </c>
      <c r="B235">
        <v>18</v>
      </c>
      <c r="C235" s="25" t="s">
        <v>213</v>
      </c>
      <c r="D235" s="12">
        <v>7.5779135902474204</v>
      </c>
      <c r="E235" s="14">
        <v>0.83511700790481769</v>
      </c>
      <c r="F235" s="7">
        <v>9.0740740740740744</v>
      </c>
      <c r="G235" s="7">
        <f t="shared" si="51"/>
        <v>6.7427965823426028</v>
      </c>
      <c r="H235" s="16">
        <f t="shared" si="52"/>
        <v>8.413030598152238</v>
      </c>
      <c r="I235" s="11">
        <f t="shared" si="55"/>
        <v>0.14939224351455971</v>
      </c>
      <c r="J235" s="33">
        <f t="shared" si="56"/>
        <v>1.6463634999563725E-2</v>
      </c>
      <c r="K235" s="33">
        <f t="shared" si="57"/>
        <v>60.739927727169565</v>
      </c>
      <c r="L235" s="8">
        <v>1</v>
      </c>
      <c r="M235" s="9">
        <v>0</v>
      </c>
      <c r="N235" s="8">
        <v>1</v>
      </c>
      <c r="O235" s="9">
        <v>0</v>
      </c>
      <c r="P235" s="9">
        <v>0</v>
      </c>
      <c r="Q235" s="9">
        <v>0</v>
      </c>
      <c r="R235" s="9">
        <v>0</v>
      </c>
      <c r="S235" s="8">
        <v>3614</v>
      </c>
      <c r="T235" s="9">
        <v>6</v>
      </c>
      <c r="U235" s="9">
        <f t="shared" si="53"/>
        <v>3607</v>
      </c>
      <c r="V235" s="9">
        <f t="shared" si="54"/>
        <v>48</v>
      </c>
      <c r="W235" s="7">
        <v>12</v>
      </c>
      <c r="X235" s="7">
        <f t="shared" si="60"/>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v>0</v>
      </c>
      <c r="BF235" s="18">
        <v>0</v>
      </c>
      <c r="BG235">
        <v>0</v>
      </c>
      <c r="BH235">
        <v>1</v>
      </c>
      <c r="BI235" s="18">
        <v>0</v>
      </c>
      <c r="BJ235">
        <v>869</v>
      </c>
      <c r="BK235">
        <v>116</v>
      </c>
      <c r="BL235" s="25">
        <v>44.274999999999999</v>
      </c>
      <c r="BM235">
        <v>1</v>
      </c>
      <c r="BN235">
        <v>0</v>
      </c>
      <c r="BO235">
        <v>0</v>
      </c>
      <c r="BP235">
        <v>0</v>
      </c>
      <c r="BQ235">
        <v>0</v>
      </c>
      <c r="BR235">
        <v>0</v>
      </c>
      <c r="BS235">
        <v>0</v>
      </c>
      <c r="BT235" s="18">
        <v>0</v>
      </c>
      <c r="BU235">
        <v>0</v>
      </c>
      <c r="BV235">
        <v>1</v>
      </c>
      <c r="BW235">
        <v>0</v>
      </c>
      <c r="BX235" s="18">
        <v>0</v>
      </c>
      <c r="BY235">
        <v>0</v>
      </c>
      <c r="BZ235">
        <v>0</v>
      </c>
      <c r="CA235">
        <v>0</v>
      </c>
      <c r="CB235">
        <v>0</v>
      </c>
      <c r="CC235" s="18">
        <v>0</v>
      </c>
      <c r="CD235">
        <v>1</v>
      </c>
      <c r="CE235">
        <v>1</v>
      </c>
      <c r="CF235">
        <v>0</v>
      </c>
      <c r="CG235">
        <v>0</v>
      </c>
      <c r="CH235">
        <v>0</v>
      </c>
      <c r="CI235">
        <v>1</v>
      </c>
      <c r="CJ235">
        <v>1</v>
      </c>
      <c r="CK235">
        <v>0</v>
      </c>
      <c r="CL235">
        <v>0</v>
      </c>
      <c r="CM235">
        <v>0</v>
      </c>
      <c r="CN235" s="18">
        <v>1</v>
      </c>
      <c r="CO235">
        <v>0.217</v>
      </c>
      <c r="CP235">
        <v>129</v>
      </c>
      <c r="CQ235">
        <v>1</v>
      </c>
      <c r="CR235">
        <v>0</v>
      </c>
      <c r="CS235">
        <v>23</v>
      </c>
      <c r="CY235" s="34"/>
    </row>
    <row r="236" spans="1:103" x14ac:dyDescent="0.25">
      <c r="A236">
        <v>235</v>
      </c>
      <c r="B236">
        <v>18</v>
      </c>
      <c r="C236" s="25" t="s">
        <v>213</v>
      </c>
      <c r="D236" s="12">
        <v>8.2932132831999397</v>
      </c>
      <c r="E236" s="14">
        <v>1.935083099413319</v>
      </c>
      <c r="F236" s="7">
        <v>4.2857142857142856</v>
      </c>
      <c r="G236" s="7">
        <f t="shared" si="51"/>
        <v>6.3581301837866206</v>
      </c>
      <c r="H236" s="16">
        <f t="shared" si="52"/>
        <v>10.228296382613259</v>
      </c>
      <c r="I236" s="11">
        <f t="shared" si="55"/>
        <v>7.1178233468594559E-2</v>
      </c>
      <c r="J236" s="33">
        <f t="shared" si="56"/>
        <v>1.6608254476005398E-2</v>
      </c>
      <c r="K236" s="33">
        <f t="shared" si="57"/>
        <v>60.21102346695973</v>
      </c>
      <c r="L236" s="8">
        <v>1</v>
      </c>
      <c r="M236" s="9">
        <v>0</v>
      </c>
      <c r="N236" s="8">
        <v>1</v>
      </c>
      <c r="O236" s="9">
        <v>0</v>
      </c>
      <c r="P236" s="9">
        <v>0</v>
      </c>
      <c r="Q236" s="9">
        <v>0</v>
      </c>
      <c r="R236" s="9">
        <v>0</v>
      </c>
      <c r="S236" s="8">
        <v>3614</v>
      </c>
      <c r="T236" s="9">
        <v>6</v>
      </c>
      <c r="U236" s="9">
        <f t="shared" si="53"/>
        <v>3607</v>
      </c>
      <c r="V236" s="9">
        <f t="shared" si="54"/>
        <v>48</v>
      </c>
      <c r="W236" s="7">
        <v>9</v>
      </c>
      <c r="X236" s="7">
        <f t="shared" si="60"/>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v>0</v>
      </c>
      <c r="BF236" s="18">
        <v>0</v>
      </c>
      <c r="BG236">
        <v>0</v>
      </c>
      <c r="BH236">
        <v>1</v>
      </c>
      <c r="BI236" s="18">
        <v>0</v>
      </c>
      <c r="BJ236">
        <v>869</v>
      </c>
      <c r="BK236">
        <v>116</v>
      </c>
      <c r="BL236" s="25">
        <v>44.274999999999999</v>
      </c>
      <c r="BM236">
        <v>1</v>
      </c>
      <c r="BN236">
        <v>0</v>
      </c>
      <c r="BO236">
        <v>0</v>
      </c>
      <c r="BP236">
        <v>0</v>
      </c>
      <c r="BQ236">
        <v>0</v>
      </c>
      <c r="BR236">
        <v>0</v>
      </c>
      <c r="BS236">
        <v>0</v>
      </c>
      <c r="BT236" s="18">
        <v>0</v>
      </c>
      <c r="BU236">
        <v>0</v>
      </c>
      <c r="BV236">
        <v>1</v>
      </c>
      <c r="BW236">
        <v>0</v>
      </c>
      <c r="BX236" s="18">
        <v>0</v>
      </c>
      <c r="BY236">
        <v>0</v>
      </c>
      <c r="BZ236">
        <v>0</v>
      </c>
      <c r="CA236">
        <v>0</v>
      </c>
      <c r="CB236">
        <v>0</v>
      </c>
      <c r="CC236" s="18">
        <v>0</v>
      </c>
      <c r="CD236">
        <v>1</v>
      </c>
      <c r="CE236">
        <v>1</v>
      </c>
      <c r="CF236">
        <v>0</v>
      </c>
      <c r="CG236">
        <v>0</v>
      </c>
      <c r="CH236">
        <v>0</v>
      </c>
      <c r="CI236">
        <v>1</v>
      </c>
      <c r="CJ236">
        <v>1</v>
      </c>
      <c r="CK236">
        <v>0</v>
      </c>
      <c r="CL236">
        <v>0</v>
      </c>
      <c r="CM236">
        <v>0</v>
      </c>
      <c r="CN236" s="18">
        <v>1</v>
      </c>
      <c r="CO236">
        <v>0.217</v>
      </c>
      <c r="CP236">
        <v>129</v>
      </c>
      <c r="CQ236">
        <v>1</v>
      </c>
      <c r="CR236">
        <v>0</v>
      </c>
      <c r="CS236">
        <v>23</v>
      </c>
      <c r="CY236" s="34"/>
    </row>
    <row r="237" spans="1:103" x14ac:dyDescent="0.25">
      <c r="A237">
        <v>236</v>
      </c>
      <c r="B237">
        <v>18</v>
      </c>
      <c r="C237" s="25" t="s">
        <v>213</v>
      </c>
      <c r="D237" s="12">
        <v>8.0245670900269026</v>
      </c>
      <c r="E237" s="14">
        <v>0.47704432806953989</v>
      </c>
      <c r="F237" s="7">
        <v>16.821428571428569</v>
      </c>
      <c r="G237" s="7">
        <f t="shared" si="51"/>
        <v>7.5475227619573628</v>
      </c>
      <c r="H237" s="16">
        <f t="shared" si="52"/>
        <v>8.5016114180964433</v>
      </c>
      <c r="I237" s="11">
        <f t="shared" si="55"/>
        <v>0.27001834234929567</v>
      </c>
      <c r="J237" s="33">
        <f t="shared" si="56"/>
        <v>1.6052045829682123E-2</v>
      </c>
      <c r="K237" s="33">
        <f t="shared" si="57"/>
        <v>62.297355154000513</v>
      </c>
      <c r="L237" s="8">
        <v>1</v>
      </c>
      <c r="M237" s="9">
        <v>0</v>
      </c>
      <c r="N237" s="8">
        <v>1</v>
      </c>
      <c r="O237" s="9">
        <v>0</v>
      </c>
      <c r="P237" s="9">
        <v>0</v>
      </c>
      <c r="Q237" s="9">
        <v>0</v>
      </c>
      <c r="R237" s="9">
        <v>0</v>
      </c>
      <c r="S237" s="8">
        <v>3611</v>
      </c>
      <c r="T237" s="9">
        <v>12</v>
      </c>
      <c r="U237" s="9">
        <f t="shared" si="53"/>
        <v>3598</v>
      </c>
      <c r="V237" s="9">
        <f t="shared" si="54"/>
        <v>48</v>
      </c>
      <c r="W237" s="7">
        <v>17</v>
      </c>
      <c r="X237" s="7">
        <f t="shared" si="60"/>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v>0</v>
      </c>
      <c r="BF237" s="18">
        <v>0</v>
      </c>
      <c r="BG237">
        <v>0</v>
      </c>
      <c r="BH237">
        <v>1</v>
      </c>
      <c r="BI237" s="18">
        <v>0</v>
      </c>
      <c r="BJ237">
        <v>869</v>
      </c>
      <c r="BK237">
        <v>116</v>
      </c>
      <c r="BL237" s="25">
        <v>44.274999999999999</v>
      </c>
      <c r="BM237">
        <v>1</v>
      </c>
      <c r="BN237">
        <v>0</v>
      </c>
      <c r="BO237">
        <v>0</v>
      </c>
      <c r="BP237">
        <v>0</v>
      </c>
      <c r="BQ237">
        <v>0</v>
      </c>
      <c r="BR237">
        <v>0</v>
      </c>
      <c r="BS237">
        <v>0</v>
      </c>
      <c r="BT237" s="18">
        <v>0</v>
      </c>
      <c r="BU237">
        <v>0</v>
      </c>
      <c r="BV237">
        <v>1</v>
      </c>
      <c r="BW237">
        <v>0</v>
      </c>
      <c r="BX237" s="18">
        <v>0</v>
      </c>
      <c r="BY237">
        <v>0</v>
      </c>
      <c r="BZ237">
        <v>0</v>
      </c>
      <c r="CA237">
        <v>0</v>
      </c>
      <c r="CB237">
        <v>0</v>
      </c>
      <c r="CC237" s="18">
        <v>0</v>
      </c>
      <c r="CD237">
        <v>1</v>
      </c>
      <c r="CE237">
        <v>1</v>
      </c>
      <c r="CF237">
        <v>0</v>
      </c>
      <c r="CG237">
        <v>0</v>
      </c>
      <c r="CH237">
        <v>0</v>
      </c>
      <c r="CI237">
        <v>1</v>
      </c>
      <c r="CJ237">
        <v>1</v>
      </c>
      <c r="CK237">
        <v>0</v>
      </c>
      <c r="CL237">
        <v>0</v>
      </c>
      <c r="CM237">
        <v>0</v>
      </c>
      <c r="CN237" s="18">
        <v>1</v>
      </c>
      <c r="CO237">
        <v>0.217</v>
      </c>
      <c r="CP237">
        <v>129</v>
      </c>
      <c r="CQ237">
        <v>1</v>
      </c>
      <c r="CR237">
        <v>0</v>
      </c>
      <c r="CS237">
        <v>23</v>
      </c>
      <c r="CY237" s="34"/>
    </row>
    <row r="238" spans="1:103" x14ac:dyDescent="0.25">
      <c r="A238">
        <v>237</v>
      </c>
      <c r="B238">
        <v>18</v>
      </c>
      <c r="C238" s="25" t="s">
        <v>213</v>
      </c>
      <c r="D238" s="12">
        <v>6.7360659488777896</v>
      </c>
      <c r="E238" s="14">
        <v>0.87319373411378753</v>
      </c>
      <c r="F238" s="7">
        <v>7.7142857142857144</v>
      </c>
      <c r="G238" s="7">
        <f t="shared" si="51"/>
        <v>5.8628722147640024</v>
      </c>
      <c r="H238" s="16">
        <f t="shared" si="52"/>
        <v>7.6092596829915768</v>
      </c>
      <c r="I238" s="11">
        <f t="shared" si="55"/>
        <v>0.12755660349884759</v>
      </c>
      <c r="J238" s="33">
        <f t="shared" si="56"/>
        <v>1.6535115268369132E-2</v>
      </c>
      <c r="K238" s="33">
        <f t="shared" si="57"/>
        <v>60.4773528197261</v>
      </c>
      <c r="L238" s="8">
        <v>1</v>
      </c>
      <c r="M238" s="9">
        <v>0</v>
      </c>
      <c r="N238" s="8">
        <v>1</v>
      </c>
      <c r="O238" s="9">
        <v>0</v>
      </c>
      <c r="P238" s="9">
        <v>0</v>
      </c>
      <c r="Q238" s="9">
        <v>0</v>
      </c>
      <c r="R238" s="9">
        <v>0</v>
      </c>
      <c r="S238" s="8">
        <v>3611</v>
      </c>
      <c r="T238" s="9">
        <v>12</v>
      </c>
      <c r="U238" s="9">
        <f t="shared" si="53"/>
        <v>3598</v>
      </c>
      <c r="V238" s="9">
        <f t="shared" si="54"/>
        <v>48</v>
      </c>
      <c r="W238" s="7">
        <v>12</v>
      </c>
      <c r="X238" s="7">
        <f t="shared" si="60"/>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v>0</v>
      </c>
      <c r="BF238" s="18">
        <v>0</v>
      </c>
      <c r="BG238">
        <v>0</v>
      </c>
      <c r="BH238">
        <v>1</v>
      </c>
      <c r="BI238" s="18">
        <v>0</v>
      </c>
      <c r="BJ238">
        <v>869</v>
      </c>
      <c r="BK238">
        <v>116</v>
      </c>
      <c r="BL238" s="25">
        <v>44.274999999999999</v>
      </c>
      <c r="BM238">
        <v>1</v>
      </c>
      <c r="BN238">
        <v>0</v>
      </c>
      <c r="BO238">
        <v>0</v>
      </c>
      <c r="BP238">
        <v>0</v>
      </c>
      <c r="BQ238">
        <v>0</v>
      </c>
      <c r="BR238">
        <v>0</v>
      </c>
      <c r="BS238">
        <v>0</v>
      </c>
      <c r="BT238" s="18">
        <v>0</v>
      </c>
      <c r="BU238">
        <v>0</v>
      </c>
      <c r="BV238">
        <v>1</v>
      </c>
      <c r="BW238">
        <v>0</v>
      </c>
      <c r="BX238" s="18">
        <v>0</v>
      </c>
      <c r="BY238">
        <v>0</v>
      </c>
      <c r="BZ238">
        <v>0</v>
      </c>
      <c r="CA238">
        <v>0</v>
      </c>
      <c r="CB238">
        <v>0</v>
      </c>
      <c r="CC238" s="18">
        <v>0</v>
      </c>
      <c r="CD238">
        <v>1</v>
      </c>
      <c r="CE238">
        <v>1</v>
      </c>
      <c r="CF238">
        <v>0</v>
      </c>
      <c r="CG238">
        <v>0</v>
      </c>
      <c r="CH238">
        <v>0</v>
      </c>
      <c r="CI238">
        <v>1</v>
      </c>
      <c r="CJ238">
        <v>1</v>
      </c>
      <c r="CK238">
        <v>0</v>
      </c>
      <c r="CL238">
        <v>0</v>
      </c>
      <c r="CM238">
        <v>0</v>
      </c>
      <c r="CN238" s="18">
        <v>1</v>
      </c>
      <c r="CO238">
        <v>0.217</v>
      </c>
      <c r="CP238">
        <v>129</v>
      </c>
      <c r="CQ238">
        <v>1</v>
      </c>
      <c r="CR238">
        <v>0</v>
      </c>
      <c r="CS238">
        <v>23</v>
      </c>
      <c r="CY238" s="34"/>
    </row>
    <row r="239" spans="1:103" x14ac:dyDescent="0.25">
      <c r="A239">
        <v>238</v>
      </c>
      <c r="B239">
        <v>18</v>
      </c>
      <c r="C239" s="25" t="s">
        <v>213</v>
      </c>
      <c r="D239" s="12">
        <v>7.4914361304784016</v>
      </c>
      <c r="E239" s="14">
        <v>1.950249901736113</v>
      </c>
      <c r="F239" s="7">
        <v>3.8412698412698409</v>
      </c>
      <c r="G239" s="7">
        <f t="shared" si="51"/>
        <v>5.5411862287422888</v>
      </c>
      <c r="H239" s="16">
        <f t="shared" si="52"/>
        <v>9.4416860322145144</v>
      </c>
      <c r="I239" s="11">
        <f t="shared" si="55"/>
        <v>6.3908046110112735E-2</v>
      </c>
      <c r="J239" s="33">
        <f t="shared" si="56"/>
        <v>1.6637218615442571E-2</v>
      </c>
      <c r="K239" s="33">
        <f t="shared" si="57"/>
        <v>60.106200628499629</v>
      </c>
      <c r="L239" s="8">
        <v>1</v>
      </c>
      <c r="M239" s="9">
        <v>0</v>
      </c>
      <c r="N239" s="8">
        <v>1</v>
      </c>
      <c r="O239" s="9">
        <v>0</v>
      </c>
      <c r="P239" s="9">
        <v>0</v>
      </c>
      <c r="Q239" s="9">
        <v>0</v>
      </c>
      <c r="R239" s="9">
        <v>0</v>
      </c>
      <c r="S239" s="8">
        <v>3611</v>
      </c>
      <c r="T239" s="9">
        <v>12</v>
      </c>
      <c r="U239" s="9">
        <f t="shared" si="53"/>
        <v>3598</v>
      </c>
      <c r="V239" s="9">
        <f t="shared" si="54"/>
        <v>48</v>
      </c>
      <c r="W239" s="7">
        <v>9</v>
      </c>
      <c r="X239" s="7">
        <f t="shared" si="60"/>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v>0</v>
      </c>
      <c r="BF239" s="18">
        <v>0</v>
      </c>
      <c r="BG239">
        <v>0</v>
      </c>
      <c r="BH239">
        <v>1</v>
      </c>
      <c r="BI239" s="18">
        <v>0</v>
      </c>
      <c r="BJ239">
        <v>869</v>
      </c>
      <c r="BK239">
        <v>116</v>
      </c>
      <c r="BL239" s="25">
        <v>44.274999999999999</v>
      </c>
      <c r="BM239">
        <v>1</v>
      </c>
      <c r="BN239">
        <v>0</v>
      </c>
      <c r="BO239">
        <v>0</v>
      </c>
      <c r="BP239">
        <v>0</v>
      </c>
      <c r="BQ239">
        <v>0</v>
      </c>
      <c r="BR239">
        <v>0</v>
      </c>
      <c r="BS239">
        <v>0</v>
      </c>
      <c r="BT239" s="18">
        <v>0</v>
      </c>
      <c r="BU239">
        <v>0</v>
      </c>
      <c r="BV239">
        <v>1</v>
      </c>
      <c r="BW239">
        <v>0</v>
      </c>
      <c r="BX239" s="18">
        <v>0</v>
      </c>
      <c r="BY239">
        <v>0</v>
      </c>
      <c r="BZ239">
        <v>0</v>
      </c>
      <c r="CA239">
        <v>0</v>
      </c>
      <c r="CB239">
        <v>0</v>
      </c>
      <c r="CC239" s="18">
        <v>0</v>
      </c>
      <c r="CD239">
        <v>1</v>
      </c>
      <c r="CE239">
        <v>1</v>
      </c>
      <c r="CF239">
        <v>0</v>
      </c>
      <c r="CG239">
        <v>0</v>
      </c>
      <c r="CH239">
        <v>0</v>
      </c>
      <c r="CI239">
        <v>1</v>
      </c>
      <c r="CJ239">
        <v>1</v>
      </c>
      <c r="CK239">
        <v>0</v>
      </c>
      <c r="CL239">
        <v>0</v>
      </c>
      <c r="CM239">
        <v>0</v>
      </c>
      <c r="CN239" s="18">
        <v>1</v>
      </c>
      <c r="CO239">
        <v>0.217</v>
      </c>
      <c r="CP239">
        <v>129</v>
      </c>
      <c r="CQ239">
        <v>1</v>
      </c>
      <c r="CR239">
        <v>0</v>
      </c>
      <c r="CS239">
        <v>23</v>
      </c>
      <c r="CY239" s="34"/>
    </row>
    <row r="240" spans="1:103" x14ac:dyDescent="0.25">
      <c r="A240">
        <v>239</v>
      </c>
      <c r="B240">
        <v>18</v>
      </c>
      <c r="C240" s="25" t="s">
        <v>213</v>
      </c>
      <c r="D240" s="12">
        <v>7.264909054577684</v>
      </c>
      <c r="E240" s="14">
        <v>0.51892207532697743</v>
      </c>
      <c r="F240" s="7">
        <v>14</v>
      </c>
      <c r="G240" s="7">
        <f t="shared" si="51"/>
        <v>6.7459869792507066</v>
      </c>
      <c r="H240" s="16">
        <f t="shared" si="52"/>
        <v>7.7838311299046614</v>
      </c>
      <c r="I240" s="11">
        <f t="shared" si="55"/>
        <v>0.22737941430131367</v>
      </c>
      <c r="J240" s="33">
        <f t="shared" si="56"/>
        <v>1.6241386735808119E-2</v>
      </c>
      <c r="K240" s="33">
        <f t="shared" si="57"/>
        <v>61.571097115448573</v>
      </c>
      <c r="L240" s="8">
        <v>1</v>
      </c>
      <c r="M240" s="9">
        <v>0</v>
      </c>
      <c r="N240" s="8">
        <v>1</v>
      </c>
      <c r="O240" s="9">
        <v>0</v>
      </c>
      <c r="P240" s="9">
        <v>0</v>
      </c>
      <c r="Q240" s="9">
        <v>0</v>
      </c>
      <c r="R240" s="9">
        <v>0</v>
      </c>
      <c r="S240" s="8">
        <v>3611</v>
      </c>
      <c r="T240" s="9">
        <v>15</v>
      </c>
      <c r="U240" s="9">
        <f t="shared" si="53"/>
        <v>3595</v>
      </c>
      <c r="V240" s="9">
        <f t="shared" si="54"/>
        <v>48</v>
      </c>
      <c r="W240" s="7">
        <v>17</v>
      </c>
      <c r="X240" s="7">
        <f t="shared" si="60"/>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v>0</v>
      </c>
      <c r="BF240" s="18">
        <v>0</v>
      </c>
      <c r="BG240">
        <v>0</v>
      </c>
      <c r="BH240">
        <v>1</v>
      </c>
      <c r="BI240" s="18">
        <v>0</v>
      </c>
      <c r="BJ240">
        <v>869</v>
      </c>
      <c r="BK240">
        <v>116</v>
      </c>
      <c r="BL240" s="25">
        <v>44.274999999999999</v>
      </c>
      <c r="BM240">
        <v>1</v>
      </c>
      <c r="BN240">
        <v>0</v>
      </c>
      <c r="BO240">
        <v>0</v>
      </c>
      <c r="BP240">
        <v>0</v>
      </c>
      <c r="BQ240">
        <v>0</v>
      </c>
      <c r="BR240">
        <v>0</v>
      </c>
      <c r="BS240">
        <v>0</v>
      </c>
      <c r="BT240" s="18">
        <v>0</v>
      </c>
      <c r="BU240">
        <v>0</v>
      </c>
      <c r="BV240">
        <v>1</v>
      </c>
      <c r="BW240">
        <v>0</v>
      </c>
      <c r="BX240" s="18">
        <v>0</v>
      </c>
      <c r="BY240">
        <v>0</v>
      </c>
      <c r="BZ240">
        <v>0</v>
      </c>
      <c r="CA240">
        <v>0</v>
      </c>
      <c r="CB240">
        <v>0</v>
      </c>
      <c r="CC240" s="18">
        <v>0</v>
      </c>
      <c r="CD240">
        <v>1</v>
      </c>
      <c r="CE240">
        <v>1</v>
      </c>
      <c r="CF240">
        <v>0</v>
      </c>
      <c r="CG240">
        <v>0</v>
      </c>
      <c r="CH240">
        <v>0</v>
      </c>
      <c r="CI240">
        <v>1</v>
      </c>
      <c r="CJ240">
        <v>1</v>
      </c>
      <c r="CK240">
        <v>0</v>
      </c>
      <c r="CL240">
        <v>0</v>
      </c>
      <c r="CM240">
        <v>0</v>
      </c>
      <c r="CN240" s="18">
        <v>1</v>
      </c>
      <c r="CO240">
        <v>0.217</v>
      </c>
      <c r="CP240">
        <v>129</v>
      </c>
      <c r="CQ240">
        <v>1</v>
      </c>
      <c r="CR240">
        <v>0</v>
      </c>
      <c r="CS240">
        <v>23</v>
      </c>
      <c r="CY240" s="34"/>
    </row>
    <row r="241" spans="1:103" x14ac:dyDescent="0.25">
      <c r="A241">
        <v>240</v>
      </c>
      <c r="B241">
        <v>18</v>
      </c>
      <c r="C241" s="25" t="s">
        <v>213</v>
      </c>
      <c r="D241" s="12">
        <v>6.5308601525300158</v>
      </c>
      <c r="E241" s="14">
        <v>0.90619590633191616</v>
      </c>
      <c r="F241" s="7">
        <v>7.206896551724137</v>
      </c>
      <c r="G241" s="7">
        <f t="shared" si="51"/>
        <v>5.6246642461980993</v>
      </c>
      <c r="H241" s="16">
        <f t="shared" si="52"/>
        <v>7.4370560588619323</v>
      </c>
      <c r="I241" s="11">
        <f t="shared" si="55"/>
        <v>0.11933944596542113</v>
      </c>
      <c r="J241" s="33">
        <f t="shared" si="56"/>
        <v>1.6559061880369444E-2</v>
      </c>
      <c r="K241" s="33">
        <f t="shared" si="57"/>
        <v>60.389894501541008</v>
      </c>
      <c r="L241" s="8">
        <v>1</v>
      </c>
      <c r="M241" s="9">
        <v>0</v>
      </c>
      <c r="N241" s="8">
        <v>1</v>
      </c>
      <c r="O241" s="9">
        <v>0</v>
      </c>
      <c r="P241" s="9">
        <v>0</v>
      </c>
      <c r="Q241" s="9">
        <v>0</v>
      </c>
      <c r="R241" s="9">
        <v>0</v>
      </c>
      <c r="S241" s="8">
        <v>3611</v>
      </c>
      <c r="T241" s="9">
        <v>15</v>
      </c>
      <c r="U241" s="9">
        <f t="shared" si="53"/>
        <v>3595</v>
      </c>
      <c r="V241" s="9">
        <f t="shared" si="54"/>
        <v>48</v>
      </c>
      <c r="W241" s="7">
        <v>12</v>
      </c>
      <c r="X241" s="7">
        <f t="shared" si="60"/>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v>0</v>
      </c>
      <c r="BF241" s="18">
        <v>0</v>
      </c>
      <c r="BG241">
        <v>0</v>
      </c>
      <c r="BH241">
        <v>1</v>
      </c>
      <c r="BI241" s="18">
        <v>0</v>
      </c>
      <c r="BJ241">
        <v>869</v>
      </c>
      <c r="BK241">
        <v>116</v>
      </c>
      <c r="BL241" s="25">
        <v>44.274999999999999</v>
      </c>
      <c r="BM241">
        <v>1</v>
      </c>
      <c r="BN241">
        <v>0</v>
      </c>
      <c r="BO241">
        <v>0</v>
      </c>
      <c r="BP241">
        <v>0</v>
      </c>
      <c r="BQ241">
        <v>0</v>
      </c>
      <c r="BR241">
        <v>0</v>
      </c>
      <c r="BS241">
        <v>0</v>
      </c>
      <c r="BT241" s="18">
        <v>0</v>
      </c>
      <c r="BU241">
        <v>0</v>
      </c>
      <c r="BV241">
        <v>1</v>
      </c>
      <c r="BW241">
        <v>0</v>
      </c>
      <c r="BX241" s="18">
        <v>0</v>
      </c>
      <c r="BY241">
        <v>0</v>
      </c>
      <c r="BZ241">
        <v>0</v>
      </c>
      <c r="CA241">
        <v>0</v>
      </c>
      <c r="CB241">
        <v>0</v>
      </c>
      <c r="CC241" s="18">
        <v>0</v>
      </c>
      <c r="CD241">
        <v>1</v>
      </c>
      <c r="CE241">
        <v>1</v>
      </c>
      <c r="CF241">
        <v>0</v>
      </c>
      <c r="CG241">
        <v>0</v>
      </c>
      <c r="CH241">
        <v>0</v>
      </c>
      <c r="CI241">
        <v>1</v>
      </c>
      <c r="CJ241">
        <v>1</v>
      </c>
      <c r="CK241">
        <v>0</v>
      </c>
      <c r="CL241">
        <v>0</v>
      </c>
      <c r="CM241">
        <v>0</v>
      </c>
      <c r="CN241" s="18">
        <v>1</v>
      </c>
      <c r="CO241">
        <v>0.217</v>
      </c>
      <c r="CP241">
        <v>129</v>
      </c>
      <c r="CQ241">
        <v>1</v>
      </c>
      <c r="CR241">
        <v>0</v>
      </c>
      <c r="CS241">
        <v>23</v>
      </c>
      <c r="CY241" s="34"/>
    </row>
    <row r="242" spans="1:103" x14ac:dyDescent="0.25">
      <c r="A242">
        <v>241</v>
      </c>
      <c r="B242">
        <v>18</v>
      </c>
      <c r="C242" s="25" t="s">
        <v>213</v>
      </c>
      <c r="D242" s="12">
        <v>7.2601466882732391</v>
      </c>
      <c r="E242" s="14">
        <v>1.98568114551063</v>
      </c>
      <c r="F242" s="7">
        <v>3.65625</v>
      </c>
      <c r="G242" s="7">
        <f t="shared" si="51"/>
        <v>5.2744655427626093</v>
      </c>
      <c r="H242" s="16">
        <f t="shared" si="52"/>
        <v>9.2458278337838689</v>
      </c>
      <c r="I242" s="11">
        <f t="shared" si="55"/>
        <v>6.0866798928885767E-2</v>
      </c>
      <c r="J242" s="33">
        <f t="shared" si="56"/>
        <v>1.6647329621575595E-2</v>
      </c>
      <c r="K242" s="33">
        <f t="shared" si="57"/>
        <v>60.069694223147991</v>
      </c>
      <c r="L242" s="8">
        <v>1</v>
      </c>
      <c r="M242" s="9">
        <v>0</v>
      </c>
      <c r="N242" s="8">
        <v>1</v>
      </c>
      <c r="O242" s="9">
        <v>0</v>
      </c>
      <c r="P242" s="9">
        <v>0</v>
      </c>
      <c r="Q242" s="9">
        <v>0</v>
      </c>
      <c r="R242" s="9">
        <v>0</v>
      </c>
      <c r="S242" s="8">
        <v>3611</v>
      </c>
      <c r="T242" s="9">
        <v>15</v>
      </c>
      <c r="U242" s="9">
        <f t="shared" si="53"/>
        <v>3595</v>
      </c>
      <c r="V242" s="9">
        <f t="shared" si="54"/>
        <v>48</v>
      </c>
      <c r="W242" s="7">
        <v>9</v>
      </c>
      <c r="X242" s="7">
        <f t="shared" si="60"/>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v>0</v>
      </c>
      <c r="BF242" s="18">
        <v>0</v>
      </c>
      <c r="BG242">
        <v>0</v>
      </c>
      <c r="BH242">
        <v>1</v>
      </c>
      <c r="BI242" s="18">
        <v>0</v>
      </c>
      <c r="BJ242">
        <v>869</v>
      </c>
      <c r="BK242">
        <v>116</v>
      </c>
      <c r="BL242" s="25">
        <v>44.274999999999999</v>
      </c>
      <c r="BM242">
        <v>1</v>
      </c>
      <c r="BN242">
        <v>0</v>
      </c>
      <c r="BO242">
        <v>0</v>
      </c>
      <c r="BP242">
        <v>0</v>
      </c>
      <c r="BQ242">
        <v>0</v>
      </c>
      <c r="BR242">
        <v>0</v>
      </c>
      <c r="BS242">
        <v>0</v>
      </c>
      <c r="BT242" s="18">
        <v>0</v>
      </c>
      <c r="BU242">
        <v>0</v>
      </c>
      <c r="BV242">
        <v>1</v>
      </c>
      <c r="BW242">
        <v>0</v>
      </c>
      <c r="BX242" s="18">
        <v>0</v>
      </c>
      <c r="BY242">
        <v>0</v>
      </c>
      <c r="BZ242">
        <v>0</v>
      </c>
      <c r="CA242">
        <v>0</v>
      </c>
      <c r="CB242">
        <v>0</v>
      </c>
      <c r="CC242" s="18">
        <v>0</v>
      </c>
      <c r="CD242">
        <v>1</v>
      </c>
      <c r="CE242">
        <v>1</v>
      </c>
      <c r="CF242">
        <v>0</v>
      </c>
      <c r="CG242">
        <v>0</v>
      </c>
      <c r="CH242">
        <v>0</v>
      </c>
      <c r="CI242">
        <v>1</v>
      </c>
      <c r="CJ242">
        <v>1</v>
      </c>
      <c r="CK242">
        <v>0</v>
      </c>
      <c r="CL242">
        <v>0</v>
      </c>
      <c r="CM242">
        <v>0</v>
      </c>
      <c r="CN242" s="18">
        <v>1</v>
      </c>
      <c r="CO242">
        <v>0.217</v>
      </c>
      <c r="CP242">
        <v>129</v>
      </c>
      <c r="CQ242">
        <v>1</v>
      </c>
      <c r="CR242">
        <v>0</v>
      </c>
      <c r="CS242">
        <v>23</v>
      </c>
      <c r="CY242" s="34"/>
    </row>
    <row r="243" spans="1:103" x14ac:dyDescent="0.25">
      <c r="A243">
        <v>242</v>
      </c>
      <c r="B243">
        <v>18</v>
      </c>
      <c r="C243" s="25" t="s">
        <v>213</v>
      </c>
      <c r="D243" s="12">
        <v>9.6</v>
      </c>
      <c r="E243" s="14">
        <v>0.4</v>
      </c>
      <c r="F243" s="7">
        <f t="shared" ref="F243:F254" si="61">D243/E243</f>
        <v>23.999999999999996</v>
      </c>
      <c r="G243" s="7">
        <f t="shared" si="51"/>
        <v>9.1999999999999993</v>
      </c>
      <c r="H243" s="16">
        <f t="shared" si="52"/>
        <v>10</v>
      </c>
      <c r="I243" s="11">
        <f t="shared" si="55"/>
        <v>0.37112415986742592</v>
      </c>
      <c r="J243" s="33">
        <f t="shared" si="56"/>
        <v>1.5463506661142748E-2</v>
      </c>
      <c r="K243" s="33">
        <f t="shared" si="57"/>
        <v>64.668384856898967</v>
      </c>
      <c r="L243" s="8">
        <v>1</v>
      </c>
      <c r="M243" s="9">
        <v>0</v>
      </c>
      <c r="N243" s="8">
        <v>1</v>
      </c>
      <c r="O243" s="9">
        <v>0</v>
      </c>
      <c r="P243" s="9">
        <v>0</v>
      </c>
      <c r="Q243" s="9">
        <v>0</v>
      </c>
      <c r="R243" s="9">
        <v>0</v>
      </c>
      <c r="S243" s="8">
        <v>3613</v>
      </c>
      <c r="T243" s="9">
        <v>6</v>
      </c>
      <c r="U243" s="9">
        <f t="shared" si="53"/>
        <v>3606</v>
      </c>
      <c r="V243" s="9">
        <f t="shared" si="54"/>
        <v>48</v>
      </c>
      <c r="W243" s="7">
        <v>10.967499999999999</v>
      </c>
      <c r="X243" s="7">
        <f t="shared" si="60"/>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v>0</v>
      </c>
      <c r="BF243" s="18">
        <v>0</v>
      </c>
      <c r="BG243">
        <v>0</v>
      </c>
      <c r="BH243">
        <v>1</v>
      </c>
      <c r="BI243" s="18">
        <v>0</v>
      </c>
      <c r="BJ243">
        <v>869</v>
      </c>
      <c r="BK243">
        <v>116</v>
      </c>
      <c r="BL243" s="25">
        <v>44.274999999999999</v>
      </c>
      <c r="BM243">
        <v>1</v>
      </c>
      <c r="BN243">
        <v>0</v>
      </c>
      <c r="BO243">
        <v>0</v>
      </c>
      <c r="BP243">
        <v>0</v>
      </c>
      <c r="BQ243">
        <v>0</v>
      </c>
      <c r="BR243">
        <v>0</v>
      </c>
      <c r="BS243">
        <v>0</v>
      </c>
      <c r="BT243" s="18">
        <v>0</v>
      </c>
      <c r="BU243">
        <v>0</v>
      </c>
      <c r="BV243">
        <v>1</v>
      </c>
      <c r="BW243">
        <v>0</v>
      </c>
      <c r="BX243" s="18">
        <v>0</v>
      </c>
      <c r="BY243">
        <v>0</v>
      </c>
      <c r="BZ243">
        <v>0</v>
      </c>
      <c r="CA243">
        <v>0</v>
      </c>
      <c r="CB243">
        <v>0</v>
      </c>
      <c r="CC243" s="18">
        <v>0</v>
      </c>
      <c r="CD243">
        <v>1</v>
      </c>
      <c r="CE243">
        <v>1</v>
      </c>
      <c r="CF243">
        <v>0</v>
      </c>
      <c r="CG243">
        <v>0</v>
      </c>
      <c r="CH243">
        <v>0</v>
      </c>
      <c r="CI243">
        <v>1</v>
      </c>
      <c r="CJ243">
        <v>1</v>
      </c>
      <c r="CK243">
        <v>0</v>
      </c>
      <c r="CL243">
        <v>0</v>
      </c>
      <c r="CM243">
        <v>0</v>
      </c>
      <c r="CN243" s="18">
        <v>1</v>
      </c>
      <c r="CO243">
        <v>0.217</v>
      </c>
      <c r="CP243">
        <v>129</v>
      </c>
      <c r="CQ243">
        <v>1</v>
      </c>
      <c r="CR243">
        <v>0</v>
      </c>
      <c r="CS243">
        <v>23</v>
      </c>
      <c r="CY243" s="34"/>
    </row>
    <row r="244" spans="1:103" x14ac:dyDescent="0.25">
      <c r="A244">
        <v>243</v>
      </c>
      <c r="B244">
        <v>18</v>
      </c>
      <c r="C244" s="25" t="s">
        <v>213</v>
      </c>
      <c r="D244" s="12">
        <v>9.6</v>
      </c>
      <c r="E244" s="14">
        <v>0.4</v>
      </c>
      <c r="F244" s="7">
        <f t="shared" si="61"/>
        <v>23.999999999999996</v>
      </c>
      <c r="G244" s="7">
        <f t="shared" si="51"/>
        <v>9.1999999999999993</v>
      </c>
      <c r="H244" s="16">
        <f t="shared" si="52"/>
        <v>10</v>
      </c>
      <c r="I244" s="11">
        <f t="shared" si="55"/>
        <v>0.37112415986742592</v>
      </c>
      <c r="J244" s="33">
        <f t="shared" si="56"/>
        <v>1.5463506661142748E-2</v>
      </c>
      <c r="K244" s="33">
        <f t="shared" si="57"/>
        <v>64.668384856898967</v>
      </c>
      <c r="L244" s="8">
        <v>1</v>
      </c>
      <c r="M244" s="9">
        <v>0</v>
      </c>
      <c r="N244" s="8">
        <v>1</v>
      </c>
      <c r="O244" s="9">
        <v>0</v>
      </c>
      <c r="P244" s="9">
        <v>0</v>
      </c>
      <c r="Q244" s="9">
        <v>0</v>
      </c>
      <c r="R244" s="9">
        <v>0</v>
      </c>
      <c r="S244" s="8">
        <v>3613</v>
      </c>
      <c r="T244" s="9">
        <v>6</v>
      </c>
      <c r="U244" s="9">
        <f t="shared" si="53"/>
        <v>3606</v>
      </c>
      <c r="V244" s="9">
        <f t="shared" si="54"/>
        <v>48</v>
      </c>
      <c r="W244" s="7">
        <v>10.967499999999999</v>
      </c>
      <c r="X244" s="7">
        <f t="shared" si="60"/>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v>0</v>
      </c>
      <c r="BF244" s="18">
        <v>0</v>
      </c>
      <c r="BG244">
        <v>0</v>
      </c>
      <c r="BH244">
        <v>1</v>
      </c>
      <c r="BI244" s="18">
        <v>0</v>
      </c>
      <c r="BJ244">
        <v>869</v>
      </c>
      <c r="BK244">
        <v>116</v>
      </c>
      <c r="BL244" s="25">
        <v>44.274999999999999</v>
      </c>
      <c r="BM244">
        <v>1</v>
      </c>
      <c r="BN244">
        <v>0</v>
      </c>
      <c r="BO244">
        <v>0</v>
      </c>
      <c r="BP244">
        <v>0</v>
      </c>
      <c r="BQ244">
        <v>0</v>
      </c>
      <c r="BR244">
        <v>0</v>
      </c>
      <c r="BS244">
        <v>0</v>
      </c>
      <c r="BT244" s="18">
        <v>0</v>
      </c>
      <c r="BU244">
        <v>0</v>
      </c>
      <c r="BV244">
        <v>1</v>
      </c>
      <c r="BW244">
        <v>0</v>
      </c>
      <c r="BX244" s="18">
        <v>0</v>
      </c>
      <c r="BY244">
        <v>0</v>
      </c>
      <c r="BZ244">
        <v>0</v>
      </c>
      <c r="CA244">
        <v>0</v>
      </c>
      <c r="CB244">
        <v>0</v>
      </c>
      <c r="CC244" s="18">
        <v>0</v>
      </c>
      <c r="CD244">
        <v>1</v>
      </c>
      <c r="CE244">
        <v>1</v>
      </c>
      <c r="CF244">
        <v>0</v>
      </c>
      <c r="CG244">
        <v>0</v>
      </c>
      <c r="CH244">
        <v>0</v>
      </c>
      <c r="CI244">
        <v>1</v>
      </c>
      <c r="CJ244">
        <v>1</v>
      </c>
      <c r="CK244">
        <v>0</v>
      </c>
      <c r="CL244">
        <v>0</v>
      </c>
      <c r="CM244">
        <v>0</v>
      </c>
      <c r="CN244" s="18">
        <v>1</v>
      </c>
      <c r="CO244">
        <v>0.217</v>
      </c>
      <c r="CP244">
        <v>129</v>
      </c>
      <c r="CQ244">
        <v>1</v>
      </c>
      <c r="CR244">
        <v>0</v>
      </c>
      <c r="CS244">
        <v>23</v>
      </c>
      <c r="CY244" s="34"/>
    </row>
    <row r="245" spans="1:103" x14ac:dyDescent="0.25">
      <c r="A245">
        <v>244</v>
      </c>
      <c r="B245">
        <v>18</v>
      </c>
      <c r="C245" s="25" t="s">
        <v>213</v>
      </c>
      <c r="D245" s="12">
        <v>8.9</v>
      </c>
      <c r="E245" s="14">
        <v>0.4</v>
      </c>
      <c r="F245" s="7">
        <f t="shared" si="61"/>
        <v>22.25</v>
      </c>
      <c r="G245" s="7">
        <f t="shared" si="51"/>
        <v>8.5</v>
      </c>
      <c r="H245" s="16">
        <f t="shared" si="52"/>
        <v>9.3000000000000007</v>
      </c>
      <c r="I245" s="11">
        <f t="shared" si="55"/>
        <v>0.34782347219477794</v>
      </c>
      <c r="J245" s="33">
        <f t="shared" si="56"/>
        <v>1.5632515604259684E-2</v>
      </c>
      <c r="K245" s="33">
        <f t="shared" si="57"/>
        <v>63.969230884855875</v>
      </c>
      <c r="L245" s="8">
        <v>1</v>
      </c>
      <c r="M245" s="9">
        <v>0</v>
      </c>
      <c r="N245" s="8">
        <v>1</v>
      </c>
      <c r="O245" s="9">
        <v>0</v>
      </c>
      <c r="P245" s="9">
        <v>0</v>
      </c>
      <c r="Q245" s="9">
        <v>0</v>
      </c>
      <c r="R245" s="9">
        <v>0</v>
      </c>
      <c r="S245" s="8">
        <v>3610</v>
      </c>
      <c r="T245" s="9">
        <v>12</v>
      </c>
      <c r="U245" s="9">
        <f t="shared" si="53"/>
        <v>3597</v>
      </c>
      <c r="V245" s="9">
        <f t="shared" si="54"/>
        <v>48</v>
      </c>
      <c r="W245" s="7">
        <v>10.967499999999999</v>
      </c>
      <c r="X245" s="7">
        <f t="shared" si="60"/>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v>0</v>
      </c>
      <c r="BF245" s="18">
        <v>0</v>
      </c>
      <c r="BG245">
        <v>0</v>
      </c>
      <c r="BH245">
        <v>1</v>
      </c>
      <c r="BI245" s="18">
        <v>0</v>
      </c>
      <c r="BJ245">
        <v>869</v>
      </c>
      <c r="BK245">
        <v>116</v>
      </c>
      <c r="BL245" s="25">
        <v>44.274999999999999</v>
      </c>
      <c r="BM245">
        <v>1</v>
      </c>
      <c r="BN245">
        <v>0</v>
      </c>
      <c r="BO245">
        <v>0</v>
      </c>
      <c r="BP245">
        <v>0</v>
      </c>
      <c r="BQ245">
        <v>0</v>
      </c>
      <c r="BR245">
        <v>0</v>
      </c>
      <c r="BS245">
        <v>0</v>
      </c>
      <c r="BT245" s="18">
        <v>0</v>
      </c>
      <c r="BU245">
        <v>0</v>
      </c>
      <c r="BV245">
        <v>1</v>
      </c>
      <c r="BW245">
        <v>0</v>
      </c>
      <c r="BX245" s="18">
        <v>0</v>
      </c>
      <c r="BY245">
        <v>0</v>
      </c>
      <c r="BZ245">
        <v>0</v>
      </c>
      <c r="CA245">
        <v>0</v>
      </c>
      <c r="CB245">
        <v>0</v>
      </c>
      <c r="CC245" s="18">
        <v>0</v>
      </c>
      <c r="CD245">
        <v>1</v>
      </c>
      <c r="CE245">
        <v>1</v>
      </c>
      <c r="CF245">
        <v>0</v>
      </c>
      <c r="CG245">
        <v>0</v>
      </c>
      <c r="CH245">
        <v>0</v>
      </c>
      <c r="CI245">
        <v>1</v>
      </c>
      <c r="CJ245">
        <v>1</v>
      </c>
      <c r="CK245">
        <v>0</v>
      </c>
      <c r="CL245">
        <v>0</v>
      </c>
      <c r="CM245">
        <v>0</v>
      </c>
      <c r="CN245" s="18">
        <v>1</v>
      </c>
      <c r="CO245">
        <v>0.217</v>
      </c>
      <c r="CP245">
        <v>129</v>
      </c>
      <c r="CQ245">
        <v>1</v>
      </c>
      <c r="CR245">
        <v>0</v>
      </c>
      <c r="CS245">
        <v>23</v>
      </c>
      <c r="CY245" s="34"/>
    </row>
    <row r="246" spans="1:103" x14ac:dyDescent="0.25">
      <c r="A246">
        <v>245</v>
      </c>
      <c r="B246">
        <v>18</v>
      </c>
      <c r="C246" s="25" t="s">
        <v>213</v>
      </c>
      <c r="D246" s="12">
        <v>8.3000000000000007</v>
      </c>
      <c r="E246" s="14">
        <v>0.4</v>
      </c>
      <c r="F246" s="7">
        <f t="shared" si="61"/>
        <v>20.75</v>
      </c>
      <c r="G246" s="7">
        <f t="shared" si="51"/>
        <v>7.9</v>
      </c>
      <c r="H246" s="16">
        <f t="shared" si="52"/>
        <v>8.7000000000000011</v>
      </c>
      <c r="I246" s="11">
        <f t="shared" si="55"/>
        <v>0.32708359535466042</v>
      </c>
      <c r="J246" s="33">
        <f t="shared" si="56"/>
        <v>1.5763064836369176E-2</v>
      </c>
      <c r="K246" s="33">
        <f t="shared" si="57"/>
        <v>63.439439625520023</v>
      </c>
      <c r="L246" s="8">
        <v>1</v>
      </c>
      <c r="M246" s="9">
        <v>0</v>
      </c>
      <c r="N246" s="8">
        <v>1</v>
      </c>
      <c r="O246" s="9">
        <v>0</v>
      </c>
      <c r="P246" s="9">
        <v>0</v>
      </c>
      <c r="Q246" s="9">
        <v>0</v>
      </c>
      <c r="R246" s="9">
        <v>0</v>
      </c>
      <c r="S246" s="8">
        <v>3610</v>
      </c>
      <c r="T246" s="9">
        <v>15</v>
      </c>
      <c r="U246" s="9">
        <f t="shared" si="53"/>
        <v>3594</v>
      </c>
      <c r="V246" s="9">
        <f t="shared" si="54"/>
        <v>48</v>
      </c>
      <c r="W246" s="7">
        <v>10.967499999999999</v>
      </c>
      <c r="X246" s="7">
        <f t="shared" si="60"/>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v>0</v>
      </c>
      <c r="BF246" s="18">
        <v>0</v>
      </c>
      <c r="BG246">
        <v>0</v>
      </c>
      <c r="BH246">
        <v>1</v>
      </c>
      <c r="BI246" s="18">
        <v>0</v>
      </c>
      <c r="BJ246">
        <v>869</v>
      </c>
      <c r="BK246">
        <v>116</v>
      </c>
      <c r="BL246" s="25">
        <v>44.274999999999999</v>
      </c>
      <c r="BM246">
        <v>1</v>
      </c>
      <c r="BN246">
        <v>0</v>
      </c>
      <c r="BO246">
        <v>0</v>
      </c>
      <c r="BP246">
        <v>0</v>
      </c>
      <c r="BQ246">
        <v>0</v>
      </c>
      <c r="BR246">
        <v>0</v>
      </c>
      <c r="BS246">
        <v>0</v>
      </c>
      <c r="BT246" s="18">
        <v>0</v>
      </c>
      <c r="BU246">
        <v>0</v>
      </c>
      <c r="BV246">
        <v>1</v>
      </c>
      <c r="BW246">
        <v>0</v>
      </c>
      <c r="BX246" s="18">
        <v>0</v>
      </c>
      <c r="BY246">
        <v>0</v>
      </c>
      <c r="BZ246">
        <v>0</v>
      </c>
      <c r="CA246">
        <v>0</v>
      </c>
      <c r="CB246">
        <v>0</v>
      </c>
      <c r="CC246" s="18">
        <v>0</v>
      </c>
      <c r="CD246">
        <v>1</v>
      </c>
      <c r="CE246">
        <v>1</v>
      </c>
      <c r="CF246">
        <v>0</v>
      </c>
      <c r="CG246">
        <v>0</v>
      </c>
      <c r="CH246">
        <v>0</v>
      </c>
      <c r="CI246">
        <v>1</v>
      </c>
      <c r="CJ246">
        <v>1</v>
      </c>
      <c r="CK246">
        <v>0</v>
      </c>
      <c r="CL246">
        <v>0</v>
      </c>
      <c r="CM246">
        <v>0</v>
      </c>
      <c r="CN246" s="18">
        <v>1</v>
      </c>
      <c r="CO246">
        <v>0.217</v>
      </c>
      <c r="CP246">
        <v>129</v>
      </c>
      <c r="CQ246">
        <v>1</v>
      </c>
      <c r="CR246">
        <v>0</v>
      </c>
      <c r="CS246">
        <v>23</v>
      </c>
      <c r="CY246" s="34"/>
    </row>
    <row r="247" spans="1:103" x14ac:dyDescent="0.25">
      <c r="A247">
        <v>246</v>
      </c>
      <c r="B247">
        <v>18</v>
      </c>
      <c r="C247" s="25" t="s">
        <v>213</v>
      </c>
      <c r="D247" s="12">
        <v>13.5</v>
      </c>
      <c r="E247" s="14">
        <v>0.7</v>
      </c>
      <c r="F247" s="7">
        <f t="shared" si="61"/>
        <v>19.285714285714288</v>
      </c>
      <c r="G247" s="7">
        <f t="shared" si="51"/>
        <v>12.8</v>
      </c>
      <c r="H247" s="16">
        <f t="shared" si="52"/>
        <v>14.2</v>
      </c>
      <c r="I247" s="11">
        <f t="shared" si="55"/>
        <v>0.30573988659797846</v>
      </c>
      <c r="J247" s="33">
        <f t="shared" si="56"/>
        <v>1.5853179305080366E-2</v>
      </c>
      <c r="K247" s="33">
        <f t="shared" si="57"/>
        <v>63.078829852100171</v>
      </c>
      <c r="L247" s="8">
        <v>1</v>
      </c>
      <c r="M247" s="9">
        <v>0</v>
      </c>
      <c r="N247" s="8">
        <v>1</v>
      </c>
      <c r="O247" s="9">
        <v>0</v>
      </c>
      <c r="P247" s="9">
        <v>0</v>
      </c>
      <c r="Q247" s="9">
        <v>0</v>
      </c>
      <c r="R247" s="9">
        <v>0</v>
      </c>
      <c r="S247" s="8">
        <v>3613</v>
      </c>
      <c r="T247" s="9">
        <v>5</v>
      </c>
      <c r="U247" s="9">
        <f t="shared" si="53"/>
        <v>3607</v>
      </c>
      <c r="V247" s="9">
        <f t="shared" si="54"/>
        <v>48</v>
      </c>
      <c r="W247" s="7">
        <v>17</v>
      </c>
      <c r="X247" s="7">
        <f t="shared" si="60"/>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v>0</v>
      </c>
      <c r="BF247" s="18">
        <v>0</v>
      </c>
      <c r="BG247">
        <v>0</v>
      </c>
      <c r="BH247">
        <v>1</v>
      </c>
      <c r="BI247" s="18">
        <v>0</v>
      </c>
      <c r="BJ247">
        <v>869</v>
      </c>
      <c r="BK247">
        <v>116</v>
      </c>
      <c r="BL247" s="25">
        <v>44.274999999999999</v>
      </c>
      <c r="BM247">
        <v>1</v>
      </c>
      <c r="BN247">
        <v>0</v>
      </c>
      <c r="BO247">
        <v>0</v>
      </c>
      <c r="BP247">
        <v>0</v>
      </c>
      <c r="BQ247">
        <v>0</v>
      </c>
      <c r="BR247">
        <v>0</v>
      </c>
      <c r="BS247">
        <v>0</v>
      </c>
      <c r="BT247" s="18">
        <v>0</v>
      </c>
      <c r="BU247">
        <v>0</v>
      </c>
      <c r="BV247">
        <v>1</v>
      </c>
      <c r="BW247">
        <v>0</v>
      </c>
      <c r="BX247" s="18">
        <v>0</v>
      </c>
      <c r="BY247">
        <v>0</v>
      </c>
      <c r="BZ247">
        <v>0</v>
      </c>
      <c r="CA247">
        <v>0</v>
      </c>
      <c r="CB247">
        <v>0</v>
      </c>
      <c r="CC247" s="18">
        <v>0</v>
      </c>
      <c r="CD247">
        <v>1</v>
      </c>
      <c r="CE247">
        <v>1</v>
      </c>
      <c r="CF247">
        <v>0</v>
      </c>
      <c r="CG247">
        <v>0</v>
      </c>
      <c r="CH247">
        <v>0</v>
      </c>
      <c r="CI247">
        <v>1</v>
      </c>
      <c r="CJ247">
        <v>1</v>
      </c>
      <c r="CK247">
        <v>0</v>
      </c>
      <c r="CL247">
        <v>0</v>
      </c>
      <c r="CM247">
        <v>0</v>
      </c>
      <c r="CN247" s="18">
        <v>1</v>
      </c>
      <c r="CO247">
        <v>0.217</v>
      </c>
      <c r="CP247">
        <v>129</v>
      </c>
      <c r="CQ247">
        <v>1</v>
      </c>
      <c r="CR247">
        <v>0</v>
      </c>
      <c r="CS247">
        <v>23</v>
      </c>
      <c r="CY247" s="34"/>
    </row>
    <row r="248" spans="1:103" x14ac:dyDescent="0.25">
      <c r="A248">
        <v>247</v>
      </c>
      <c r="B248">
        <v>18</v>
      </c>
      <c r="C248" s="25" t="s">
        <v>213</v>
      </c>
      <c r="D248" s="12">
        <v>6.3</v>
      </c>
      <c r="E248" s="14">
        <v>0.7</v>
      </c>
      <c r="F248" s="7">
        <f t="shared" si="61"/>
        <v>9</v>
      </c>
      <c r="G248" s="7">
        <f t="shared" si="51"/>
        <v>5.6</v>
      </c>
      <c r="H248" s="16">
        <f t="shared" si="52"/>
        <v>7</v>
      </c>
      <c r="I248" s="11">
        <f t="shared" si="55"/>
        <v>0.14819960743622645</v>
      </c>
      <c r="J248" s="33">
        <f t="shared" si="56"/>
        <v>1.6466623048469606E-2</v>
      </c>
      <c r="K248" s="33">
        <f t="shared" si="57"/>
        <v>60.728905802755904</v>
      </c>
      <c r="L248" s="8">
        <v>1</v>
      </c>
      <c r="M248" s="9">
        <v>0</v>
      </c>
      <c r="N248" s="8">
        <v>1</v>
      </c>
      <c r="O248" s="9">
        <v>0</v>
      </c>
      <c r="P248" s="9">
        <v>0</v>
      </c>
      <c r="Q248" s="9">
        <v>0</v>
      </c>
      <c r="R248" s="9">
        <v>0</v>
      </c>
      <c r="S248" s="8">
        <v>3613</v>
      </c>
      <c r="T248" s="9">
        <v>5</v>
      </c>
      <c r="U248" s="9">
        <f t="shared" si="53"/>
        <v>3607</v>
      </c>
      <c r="V248" s="9">
        <f t="shared" si="54"/>
        <v>48</v>
      </c>
      <c r="W248" s="7">
        <v>7</v>
      </c>
      <c r="X248" s="7">
        <f t="shared" si="60"/>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v>0</v>
      </c>
      <c r="BF248" s="18">
        <v>0</v>
      </c>
      <c r="BG248">
        <v>0</v>
      </c>
      <c r="BH248">
        <v>1</v>
      </c>
      <c r="BI248" s="18">
        <v>0</v>
      </c>
      <c r="BJ248">
        <v>869</v>
      </c>
      <c r="BK248">
        <v>116</v>
      </c>
      <c r="BL248" s="25">
        <v>44.274999999999999</v>
      </c>
      <c r="BM248">
        <v>1</v>
      </c>
      <c r="BN248">
        <v>0</v>
      </c>
      <c r="BO248">
        <v>0</v>
      </c>
      <c r="BP248">
        <v>0</v>
      </c>
      <c r="BQ248">
        <v>0</v>
      </c>
      <c r="BR248">
        <v>0</v>
      </c>
      <c r="BS248">
        <v>0</v>
      </c>
      <c r="BT248" s="18">
        <v>0</v>
      </c>
      <c r="BU248">
        <v>0</v>
      </c>
      <c r="BV248">
        <v>1</v>
      </c>
      <c r="BW248">
        <v>0</v>
      </c>
      <c r="BX248" s="18">
        <v>0</v>
      </c>
      <c r="BY248">
        <v>0</v>
      </c>
      <c r="BZ248">
        <v>0</v>
      </c>
      <c r="CA248">
        <v>0</v>
      </c>
      <c r="CB248">
        <v>0</v>
      </c>
      <c r="CC248" s="18">
        <v>0</v>
      </c>
      <c r="CD248">
        <v>1</v>
      </c>
      <c r="CE248">
        <v>1</v>
      </c>
      <c r="CF248">
        <v>0</v>
      </c>
      <c r="CG248">
        <v>0</v>
      </c>
      <c r="CH248">
        <v>0</v>
      </c>
      <c r="CI248">
        <v>1</v>
      </c>
      <c r="CJ248">
        <v>1</v>
      </c>
      <c r="CK248">
        <v>0</v>
      </c>
      <c r="CL248">
        <v>0</v>
      </c>
      <c r="CM248">
        <v>0</v>
      </c>
      <c r="CN248" s="18">
        <v>1</v>
      </c>
      <c r="CO248">
        <v>0.217</v>
      </c>
      <c r="CP248">
        <v>129</v>
      </c>
      <c r="CQ248">
        <v>1</v>
      </c>
      <c r="CR248">
        <v>0</v>
      </c>
      <c r="CS248">
        <v>23</v>
      </c>
      <c r="CY248" s="34"/>
    </row>
    <row r="249" spans="1:103" x14ac:dyDescent="0.25">
      <c r="A249">
        <v>248</v>
      </c>
      <c r="B249">
        <v>18</v>
      </c>
      <c r="C249" s="25" t="s">
        <v>213</v>
      </c>
      <c r="D249" s="12">
        <v>13.5</v>
      </c>
      <c r="E249" s="14">
        <v>0.7</v>
      </c>
      <c r="F249" s="7">
        <f t="shared" si="61"/>
        <v>19.285714285714288</v>
      </c>
      <c r="G249" s="7">
        <f t="shared" si="51"/>
        <v>12.8</v>
      </c>
      <c r="H249" s="16">
        <f t="shared" si="52"/>
        <v>14.2</v>
      </c>
      <c r="I249" s="11">
        <f t="shared" si="55"/>
        <v>0.30573988659797846</v>
      </c>
      <c r="J249" s="33">
        <f t="shared" si="56"/>
        <v>1.5853179305080366E-2</v>
      </c>
      <c r="K249" s="33">
        <f t="shared" si="57"/>
        <v>63.078829852100171</v>
      </c>
      <c r="L249" s="8">
        <v>1</v>
      </c>
      <c r="M249" s="9">
        <v>0</v>
      </c>
      <c r="N249" s="8">
        <v>1</v>
      </c>
      <c r="O249" s="9">
        <v>0</v>
      </c>
      <c r="P249" s="9">
        <v>0</v>
      </c>
      <c r="Q249" s="9">
        <v>0</v>
      </c>
      <c r="R249" s="9">
        <v>0</v>
      </c>
      <c r="S249" s="8">
        <v>3613</v>
      </c>
      <c r="T249" s="9">
        <v>5</v>
      </c>
      <c r="U249" s="9">
        <f t="shared" si="53"/>
        <v>3607</v>
      </c>
      <c r="V249" s="9">
        <f t="shared" si="54"/>
        <v>48</v>
      </c>
      <c r="W249" s="7">
        <v>17</v>
      </c>
      <c r="X249" s="7">
        <f t="shared" si="60"/>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v>0</v>
      </c>
      <c r="BF249" s="18">
        <v>0</v>
      </c>
      <c r="BG249">
        <v>0</v>
      </c>
      <c r="BH249">
        <v>1</v>
      </c>
      <c r="BI249" s="18">
        <v>0</v>
      </c>
      <c r="BJ249">
        <v>869</v>
      </c>
      <c r="BK249">
        <v>116</v>
      </c>
      <c r="BL249" s="25">
        <v>44.274999999999999</v>
      </c>
      <c r="BM249">
        <v>1</v>
      </c>
      <c r="BN249">
        <v>0</v>
      </c>
      <c r="BO249">
        <v>0</v>
      </c>
      <c r="BP249">
        <v>0</v>
      </c>
      <c r="BQ249">
        <v>0</v>
      </c>
      <c r="BR249">
        <v>0</v>
      </c>
      <c r="BS249">
        <v>0</v>
      </c>
      <c r="BT249" s="18">
        <v>0</v>
      </c>
      <c r="BU249">
        <v>0</v>
      </c>
      <c r="BV249">
        <v>1</v>
      </c>
      <c r="BW249">
        <v>0</v>
      </c>
      <c r="BX249" s="18">
        <v>0</v>
      </c>
      <c r="BY249">
        <v>0</v>
      </c>
      <c r="BZ249">
        <v>0</v>
      </c>
      <c r="CA249">
        <v>0</v>
      </c>
      <c r="CB249">
        <v>0</v>
      </c>
      <c r="CC249" s="18">
        <v>0</v>
      </c>
      <c r="CD249">
        <v>1</v>
      </c>
      <c r="CE249">
        <v>1</v>
      </c>
      <c r="CF249">
        <v>0</v>
      </c>
      <c r="CG249">
        <v>0</v>
      </c>
      <c r="CH249">
        <v>0</v>
      </c>
      <c r="CI249">
        <v>1</v>
      </c>
      <c r="CJ249">
        <v>1</v>
      </c>
      <c r="CK249">
        <v>0</v>
      </c>
      <c r="CL249">
        <v>0</v>
      </c>
      <c r="CM249">
        <v>0</v>
      </c>
      <c r="CN249" s="18">
        <v>1</v>
      </c>
      <c r="CO249">
        <v>0.217</v>
      </c>
      <c r="CP249">
        <v>129</v>
      </c>
      <c r="CQ249">
        <v>1</v>
      </c>
      <c r="CR249">
        <v>0</v>
      </c>
      <c r="CS249">
        <v>23</v>
      </c>
      <c r="CY249" s="34"/>
    </row>
    <row r="250" spans="1:103" x14ac:dyDescent="0.25">
      <c r="A250">
        <v>249</v>
      </c>
      <c r="B250">
        <v>18</v>
      </c>
      <c r="C250" s="25" t="s">
        <v>213</v>
      </c>
      <c r="D250" s="12">
        <v>6.2</v>
      </c>
      <c r="E250" s="14">
        <v>0.8</v>
      </c>
      <c r="F250" s="7">
        <f t="shared" si="61"/>
        <v>7.75</v>
      </c>
      <c r="G250" s="7">
        <f t="shared" si="51"/>
        <v>5.4</v>
      </c>
      <c r="H250" s="16">
        <f t="shared" si="52"/>
        <v>7</v>
      </c>
      <c r="I250" s="11">
        <f t="shared" si="55"/>
        <v>0.12803251186248216</v>
      </c>
      <c r="J250" s="33">
        <f t="shared" si="56"/>
        <v>1.652032411128802E-2</v>
      </c>
      <c r="K250" s="33">
        <f t="shared" si="57"/>
        <v>60.531500064016249</v>
      </c>
      <c r="L250" s="8">
        <v>1</v>
      </c>
      <c r="M250" s="9">
        <v>0</v>
      </c>
      <c r="N250" s="8">
        <v>1</v>
      </c>
      <c r="O250" s="9">
        <v>0</v>
      </c>
      <c r="P250" s="9">
        <v>0</v>
      </c>
      <c r="Q250" s="9">
        <v>0</v>
      </c>
      <c r="R250" s="9">
        <v>0</v>
      </c>
      <c r="S250" s="8">
        <v>3610</v>
      </c>
      <c r="T250" s="9">
        <v>5</v>
      </c>
      <c r="U250" s="9">
        <f t="shared" si="53"/>
        <v>3604</v>
      </c>
      <c r="V250" s="9">
        <f t="shared" si="54"/>
        <v>48</v>
      </c>
      <c r="W250" s="7">
        <v>7</v>
      </c>
      <c r="X250" s="7">
        <f t="shared" si="60"/>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v>0</v>
      </c>
      <c r="BF250" s="18">
        <v>0</v>
      </c>
      <c r="BG250">
        <v>0</v>
      </c>
      <c r="BH250">
        <v>1</v>
      </c>
      <c r="BI250" s="18">
        <v>0</v>
      </c>
      <c r="BJ250">
        <v>869</v>
      </c>
      <c r="BK250">
        <v>116</v>
      </c>
      <c r="BL250" s="25">
        <v>44.274999999999999</v>
      </c>
      <c r="BM250">
        <v>1</v>
      </c>
      <c r="BN250">
        <v>0</v>
      </c>
      <c r="BO250">
        <v>0</v>
      </c>
      <c r="BP250">
        <v>0</v>
      </c>
      <c r="BQ250">
        <v>0</v>
      </c>
      <c r="BR250">
        <v>0</v>
      </c>
      <c r="BS250">
        <v>0</v>
      </c>
      <c r="BT250" s="18">
        <v>0</v>
      </c>
      <c r="BU250">
        <v>0</v>
      </c>
      <c r="BV250">
        <v>1</v>
      </c>
      <c r="BW250">
        <v>0</v>
      </c>
      <c r="BX250" s="18">
        <v>0</v>
      </c>
      <c r="BY250">
        <v>0</v>
      </c>
      <c r="BZ250">
        <v>0</v>
      </c>
      <c r="CA250">
        <v>0</v>
      </c>
      <c r="CB250">
        <v>0</v>
      </c>
      <c r="CC250" s="18">
        <v>0</v>
      </c>
      <c r="CD250">
        <v>1</v>
      </c>
      <c r="CE250">
        <v>1</v>
      </c>
      <c r="CF250">
        <v>0</v>
      </c>
      <c r="CG250">
        <v>0</v>
      </c>
      <c r="CH250">
        <v>0</v>
      </c>
      <c r="CI250">
        <v>1</v>
      </c>
      <c r="CJ250">
        <v>1</v>
      </c>
      <c r="CK250">
        <v>0</v>
      </c>
      <c r="CL250">
        <v>0</v>
      </c>
      <c r="CM250">
        <v>0</v>
      </c>
      <c r="CN250" s="18">
        <v>1</v>
      </c>
      <c r="CO250">
        <v>0.217</v>
      </c>
      <c r="CP250">
        <v>129</v>
      </c>
      <c r="CQ250">
        <v>1</v>
      </c>
      <c r="CR250">
        <v>0</v>
      </c>
      <c r="CS250">
        <v>23</v>
      </c>
      <c r="CY250" s="34"/>
    </row>
    <row r="251" spans="1:103" x14ac:dyDescent="0.25">
      <c r="A251">
        <v>250</v>
      </c>
      <c r="B251">
        <v>18</v>
      </c>
      <c r="C251" s="25" t="s">
        <v>213</v>
      </c>
      <c r="D251" s="12">
        <v>12.9</v>
      </c>
      <c r="E251" s="14">
        <v>0.7</v>
      </c>
      <c r="F251" s="7">
        <f t="shared" si="61"/>
        <v>18.428571428571431</v>
      </c>
      <c r="G251" s="7">
        <f t="shared" si="51"/>
        <v>12.200000000000001</v>
      </c>
      <c r="H251" s="16">
        <f t="shared" si="52"/>
        <v>13.6</v>
      </c>
      <c r="I251" s="11">
        <f t="shared" si="55"/>
        <v>0.2936805581146279</v>
      </c>
      <c r="J251" s="33">
        <f t="shared" si="56"/>
        <v>1.5936154316297638E-2</v>
      </c>
      <c r="K251" s="33">
        <f t="shared" si="57"/>
        <v>62.750396372437024</v>
      </c>
      <c r="L251" s="8">
        <v>1</v>
      </c>
      <c r="M251" s="9">
        <v>0</v>
      </c>
      <c r="N251" s="8">
        <v>1</v>
      </c>
      <c r="O251" s="9">
        <v>0</v>
      </c>
      <c r="P251" s="9">
        <v>0</v>
      </c>
      <c r="Q251" s="9">
        <v>0</v>
      </c>
      <c r="R251" s="9">
        <v>0</v>
      </c>
      <c r="S251" s="8">
        <v>3610</v>
      </c>
      <c r="T251" s="9">
        <v>11</v>
      </c>
      <c r="U251" s="9">
        <f t="shared" si="53"/>
        <v>3598</v>
      </c>
      <c r="V251" s="9">
        <f t="shared" si="54"/>
        <v>48</v>
      </c>
      <c r="W251" s="7">
        <v>17</v>
      </c>
      <c r="X251" s="7">
        <f t="shared" si="60"/>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v>0</v>
      </c>
      <c r="BF251" s="18">
        <v>0</v>
      </c>
      <c r="BG251">
        <v>0</v>
      </c>
      <c r="BH251">
        <v>1</v>
      </c>
      <c r="BI251" s="18">
        <v>0</v>
      </c>
      <c r="BJ251">
        <v>869</v>
      </c>
      <c r="BK251">
        <v>116</v>
      </c>
      <c r="BL251" s="25">
        <v>44.274999999999999</v>
      </c>
      <c r="BM251">
        <v>1</v>
      </c>
      <c r="BN251">
        <v>0</v>
      </c>
      <c r="BO251">
        <v>0</v>
      </c>
      <c r="BP251">
        <v>0</v>
      </c>
      <c r="BQ251">
        <v>0</v>
      </c>
      <c r="BR251">
        <v>0</v>
      </c>
      <c r="BS251">
        <v>0</v>
      </c>
      <c r="BT251" s="18">
        <v>0</v>
      </c>
      <c r="BU251">
        <v>0</v>
      </c>
      <c r="BV251">
        <v>1</v>
      </c>
      <c r="BW251">
        <v>0</v>
      </c>
      <c r="BX251" s="18">
        <v>0</v>
      </c>
      <c r="BY251">
        <v>0</v>
      </c>
      <c r="BZ251">
        <v>0</v>
      </c>
      <c r="CA251">
        <v>0</v>
      </c>
      <c r="CB251">
        <v>0</v>
      </c>
      <c r="CC251" s="18">
        <v>0</v>
      </c>
      <c r="CD251">
        <v>1</v>
      </c>
      <c r="CE251">
        <v>1</v>
      </c>
      <c r="CF251">
        <v>0</v>
      </c>
      <c r="CG251">
        <v>0</v>
      </c>
      <c r="CH251">
        <v>0</v>
      </c>
      <c r="CI251">
        <v>1</v>
      </c>
      <c r="CJ251">
        <v>1</v>
      </c>
      <c r="CK251">
        <v>0</v>
      </c>
      <c r="CL251">
        <v>0</v>
      </c>
      <c r="CM251">
        <v>0</v>
      </c>
      <c r="CN251" s="18">
        <v>1</v>
      </c>
      <c r="CO251">
        <v>0.217</v>
      </c>
      <c r="CP251">
        <v>129</v>
      </c>
      <c r="CQ251">
        <v>1</v>
      </c>
      <c r="CR251">
        <v>0</v>
      </c>
      <c r="CS251">
        <v>23</v>
      </c>
      <c r="CY251" s="34"/>
    </row>
    <row r="252" spans="1:103" x14ac:dyDescent="0.25">
      <c r="A252">
        <v>251</v>
      </c>
      <c r="B252">
        <v>18</v>
      </c>
      <c r="C252" s="25" t="s">
        <v>213</v>
      </c>
      <c r="D252" s="12">
        <v>5.4</v>
      </c>
      <c r="E252" s="14">
        <v>0.7</v>
      </c>
      <c r="F252" s="7">
        <f t="shared" si="61"/>
        <v>7.7142857142857153</v>
      </c>
      <c r="G252" s="7">
        <f t="shared" si="51"/>
        <v>4.7</v>
      </c>
      <c r="H252" s="16">
        <f t="shared" si="52"/>
        <v>6.1000000000000005</v>
      </c>
      <c r="I252" s="11">
        <f t="shared" si="55"/>
        <v>0.12755660349884759</v>
      </c>
      <c r="J252" s="33">
        <f t="shared" si="56"/>
        <v>1.6535115268369132E-2</v>
      </c>
      <c r="K252" s="33">
        <f t="shared" si="57"/>
        <v>60.4773528197261</v>
      </c>
      <c r="L252" s="8">
        <v>1</v>
      </c>
      <c r="M252" s="9">
        <v>0</v>
      </c>
      <c r="N252" s="8">
        <v>1</v>
      </c>
      <c r="O252" s="9">
        <v>0</v>
      </c>
      <c r="P252" s="9">
        <v>0</v>
      </c>
      <c r="Q252" s="9">
        <v>0</v>
      </c>
      <c r="R252" s="9">
        <v>0</v>
      </c>
      <c r="S252" s="8">
        <v>3610</v>
      </c>
      <c r="T252" s="9">
        <v>11</v>
      </c>
      <c r="U252" s="9">
        <f t="shared" si="53"/>
        <v>3598</v>
      </c>
      <c r="V252" s="9">
        <f t="shared" si="54"/>
        <v>48</v>
      </c>
      <c r="W252" s="7">
        <v>7</v>
      </c>
      <c r="X252" s="7">
        <f t="shared" si="60"/>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v>0</v>
      </c>
      <c r="BF252" s="18">
        <v>0</v>
      </c>
      <c r="BG252">
        <v>0</v>
      </c>
      <c r="BH252">
        <v>1</v>
      </c>
      <c r="BI252" s="18">
        <v>0</v>
      </c>
      <c r="BJ252">
        <v>869</v>
      </c>
      <c r="BK252">
        <v>116</v>
      </c>
      <c r="BL252" s="25">
        <v>44.274999999999999</v>
      </c>
      <c r="BM252">
        <v>1</v>
      </c>
      <c r="BN252">
        <v>0</v>
      </c>
      <c r="BO252">
        <v>0</v>
      </c>
      <c r="BP252">
        <v>0</v>
      </c>
      <c r="BQ252">
        <v>0</v>
      </c>
      <c r="BR252">
        <v>0</v>
      </c>
      <c r="BS252">
        <v>0</v>
      </c>
      <c r="BT252" s="18">
        <v>0</v>
      </c>
      <c r="BU252">
        <v>0</v>
      </c>
      <c r="BV252">
        <v>1</v>
      </c>
      <c r="BW252">
        <v>0</v>
      </c>
      <c r="BX252" s="18">
        <v>0</v>
      </c>
      <c r="BY252">
        <v>0</v>
      </c>
      <c r="BZ252">
        <v>0</v>
      </c>
      <c r="CA252">
        <v>0</v>
      </c>
      <c r="CB252">
        <v>0</v>
      </c>
      <c r="CC252" s="18">
        <v>0</v>
      </c>
      <c r="CD252">
        <v>1</v>
      </c>
      <c r="CE252">
        <v>1</v>
      </c>
      <c r="CF252">
        <v>0</v>
      </c>
      <c r="CG252">
        <v>0</v>
      </c>
      <c r="CH252">
        <v>0</v>
      </c>
      <c r="CI252">
        <v>1</v>
      </c>
      <c r="CJ252">
        <v>1</v>
      </c>
      <c r="CK252">
        <v>0</v>
      </c>
      <c r="CL252">
        <v>0</v>
      </c>
      <c r="CM252">
        <v>0</v>
      </c>
      <c r="CN252" s="18">
        <v>1</v>
      </c>
      <c r="CO252">
        <v>0.217</v>
      </c>
      <c r="CP252">
        <v>129</v>
      </c>
      <c r="CQ252">
        <v>1</v>
      </c>
      <c r="CR252">
        <v>0</v>
      </c>
      <c r="CS252">
        <v>23</v>
      </c>
      <c r="CY252" s="34"/>
    </row>
    <row r="253" spans="1:103" x14ac:dyDescent="0.25">
      <c r="A253">
        <v>252</v>
      </c>
      <c r="B253">
        <v>18</v>
      </c>
      <c r="C253" s="25" t="s">
        <v>213</v>
      </c>
      <c r="D253" s="12">
        <v>11.9</v>
      </c>
      <c r="E253" s="14">
        <v>0.7</v>
      </c>
      <c r="F253" s="7">
        <f t="shared" si="61"/>
        <v>17</v>
      </c>
      <c r="G253" s="7">
        <f t="shared" si="51"/>
        <v>11.200000000000001</v>
      </c>
      <c r="H253" s="16">
        <f t="shared" si="52"/>
        <v>12.6</v>
      </c>
      <c r="I253" s="11">
        <f t="shared" si="55"/>
        <v>0.27277798111741397</v>
      </c>
      <c r="J253" s="33">
        <f t="shared" si="56"/>
        <v>1.6045763595141999E-2</v>
      </c>
      <c r="K253" s="33">
        <f t="shared" si="57"/>
        <v>62.321745803531535</v>
      </c>
      <c r="L253" s="8">
        <v>1</v>
      </c>
      <c r="M253" s="9">
        <v>0</v>
      </c>
      <c r="N253" s="8">
        <v>1</v>
      </c>
      <c r="O253" s="9">
        <v>0</v>
      </c>
      <c r="P253" s="9">
        <v>0</v>
      </c>
      <c r="Q253" s="9">
        <v>0</v>
      </c>
      <c r="R253" s="9">
        <v>0</v>
      </c>
      <c r="S253" s="8">
        <v>3610</v>
      </c>
      <c r="T253" s="9">
        <v>14</v>
      </c>
      <c r="U253" s="9">
        <f t="shared" si="53"/>
        <v>3595</v>
      </c>
      <c r="V253" s="9">
        <f t="shared" si="54"/>
        <v>48</v>
      </c>
      <c r="W253" s="7">
        <v>17</v>
      </c>
      <c r="X253" s="7">
        <f t="shared" si="60"/>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v>0</v>
      </c>
      <c r="BF253" s="18">
        <v>0</v>
      </c>
      <c r="BG253">
        <v>0</v>
      </c>
      <c r="BH253">
        <v>1</v>
      </c>
      <c r="BI253" s="18">
        <v>0</v>
      </c>
      <c r="BJ253">
        <v>869</v>
      </c>
      <c r="BK253">
        <v>116</v>
      </c>
      <c r="BL253" s="25">
        <v>44.274999999999999</v>
      </c>
      <c r="BM253">
        <v>1</v>
      </c>
      <c r="BN253">
        <v>0</v>
      </c>
      <c r="BO253">
        <v>0</v>
      </c>
      <c r="BP253">
        <v>0</v>
      </c>
      <c r="BQ253">
        <v>0</v>
      </c>
      <c r="BR253">
        <v>0</v>
      </c>
      <c r="BS253">
        <v>0</v>
      </c>
      <c r="BT253" s="18">
        <v>0</v>
      </c>
      <c r="BU253">
        <v>0</v>
      </c>
      <c r="BV253">
        <v>1</v>
      </c>
      <c r="BW253">
        <v>0</v>
      </c>
      <c r="BX253" s="18">
        <v>0</v>
      </c>
      <c r="BY253">
        <v>0</v>
      </c>
      <c r="BZ253">
        <v>0</v>
      </c>
      <c r="CA253">
        <v>0</v>
      </c>
      <c r="CB253">
        <v>0</v>
      </c>
      <c r="CC253" s="18">
        <v>0</v>
      </c>
      <c r="CD253">
        <v>1</v>
      </c>
      <c r="CE253">
        <v>1</v>
      </c>
      <c r="CF253">
        <v>0</v>
      </c>
      <c r="CG253">
        <v>0</v>
      </c>
      <c r="CH253">
        <v>0</v>
      </c>
      <c r="CI253">
        <v>1</v>
      </c>
      <c r="CJ253">
        <v>1</v>
      </c>
      <c r="CK253">
        <v>0</v>
      </c>
      <c r="CL253">
        <v>0</v>
      </c>
      <c r="CM253">
        <v>0</v>
      </c>
      <c r="CN253" s="18">
        <v>1</v>
      </c>
      <c r="CO253">
        <v>0.217</v>
      </c>
      <c r="CP253">
        <v>129</v>
      </c>
      <c r="CQ253">
        <v>1</v>
      </c>
      <c r="CR253">
        <v>0</v>
      </c>
      <c r="CS253">
        <v>23</v>
      </c>
      <c r="CY253" s="34"/>
    </row>
    <row r="254" spans="1:103" x14ac:dyDescent="0.25">
      <c r="A254">
        <v>253</v>
      </c>
      <c r="B254">
        <v>18</v>
      </c>
      <c r="C254" s="25" t="s">
        <v>213</v>
      </c>
      <c r="D254" s="12">
        <v>5.3</v>
      </c>
      <c r="E254" s="14">
        <v>0.8</v>
      </c>
      <c r="F254" s="7">
        <f t="shared" si="61"/>
        <v>6.6249999999999991</v>
      </c>
      <c r="G254" s="7">
        <f t="shared" si="51"/>
        <v>4.5</v>
      </c>
      <c r="H254" s="16">
        <f t="shared" si="52"/>
        <v>6.1</v>
      </c>
      <c r="I254" s="11">
        <f t="shared" si="55"/>
        <v>0.10982504289539416</v>
      </c>
      <c r="J254" s="33">
        <f t="shared" si="56"/>
        <v>1.6577364965342515E-2</v>
      </c>
      <c r="K254" s="33">
        <f t="shared" si="57"/>
        <v>60.323217959588334</v>
      </c>
      <c r="L254" s="8">
        <v>1</v>
      </c>
      <c r="M254" s="9">
        <v>0</v>
      </c>
      <c r="N254" s="8">
        <v>1</v>
      </c>
      <c r="O254" s="9">
        <v>0</v>
      </c>
      <c r="P254" s="9">
        <v>0</v>
      </c>
      <c r="Q254" s="9">
        <v>0</v>
      </c>
      <c r="R254" s="9">
        <v>0</v>
      </c>
      <c r="S254" s="8">
        <v>3610</v>
      </c>
      <c r="T254" s="9">
        <v>14</v>
      </c>
      <c r="U254" s="9">
        <f t="shared" si="53"/>
        <v>3595</v>
      </c>
      <c r="V254" s="9">
        <f t="shared" si="54"/>
        <v>48</v>
      </c>
      <c r="W254" s="7">
        <v>7</v>
      </c>
      <c r="X254" s="7">
        <f t="shared" si="60"/>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v>0</v>
      </c>
      <c r="BF254" s="18">
        <v>0</v>
      </c>
      <c r="BG254">
        <v>0</v>
      </c>
      <c r="BH254">
        <v>1</v>
      </c>
      <c r="BI254" s="18">
        <v>0</v>
      </c>
      <c r="BJ254">
        <v>869</v>
      </c>
      <c r="BK254">
        <v>116</v>
      </c>
      <c r="BL254" s="25">
        <v>44.274999999999999</v>
      </c>
      <c r="BM254">
        <v>1</v>
      </c>
      <c r="BN254">
        <v>0</v>
      </c>
      <c r="BO254">
        <v>0</v>
      </c>
      <c r="BP254">
        <v>0</v>
      </c>
      <c r="BQ254">
        <v>0</v>
      </c>
      <c r="BR254">
        <v>0</v>
      </c>
      <c r="BS254">
        <v>0</v>
      </c>
      <c r="BT254" s="18">
        <v>0</v>
      </c>
      <c r="BU254">
        <v>0</v>
      </c>
      <c r="BV254">
        <v>1</v>
      </c>
      <c r="BW254">
        <v>0</v>
      </c>
      <c r="BX254" s="18">
        <v>0</v>
      </c>
      <c r="BY254">
        <v>0</v>
      </c>
      <c r="BZ254">
        <v>0</v>
      </c>
      <c r="CA254">
        <v>0</v>
      </c>
      <c r="CB254">
        <v>0</v>
      </c>
      <c r="CC254" s="18">
        <v>0</v>
      </c>
      <c r="CD254">
        <v>1</v>
      </c>
      <c r="CE254">
        <v>1</v>
      </c>
      <c r="CF254">
        <v>0</v>
      </c>
      <c r="CG254">
        <v>0</v>
      </c>
      <c r="CH254">
        <v>0</v>
      </c>
      <c r="CI254">
        <v>1</v>
      </c>
      <c r="CJ254">
        <v>1</v>
      </c>
      <c r="CK254">
        <v>0</v>
      </c>
      <c r="CL254">
        <v>0</v>
      </c>
      <c r="CM254">
        <v>0</v>
      </c>
      <c r="CN254" s="18">
        <v>1</v>
      </c>
      <c r="CO254">
        <v>0.217</v>
      </c>
      <c r="CP254">
        <v>129</v>
      </c>
      <c r="CQ254">
        <v>1</v>
      </c>
      <c r="CR254">
        <v>0</v>
      </c>
      <c r="CS254">
        <v>23</v>
      </c>
      <c r="CY254" s="34"/>
    </row>
    <row r="255" spans="1:103" x14ac:dyDescent="0.25">
      <c r="A255">
        <v>254</v>
      </c>
      <c r="B255">
        <v>18</v>
      </c>
      <c r="C255" s="25" t="s">
        <v>213</v>
      </c>
      <c r="D255" s="12">
        <v>7.264909054577684</v>
      </c>
      <c r="E255" s="14">
        <v>0.51892207532697743</v>
      </c>
      <c r="F255" s="7">
        <v>14</v>
      </c>
      <c r="G255" s="7">
        <f t="shared" si="51"/>
        <v>6.7459869792507066</v>
      </c>
      <c r="H255" s="16">
        <f t="shared" si="52"/>
        <v>7.7838311299046614</v>
      </c>
      <c r="I255" s="11">
        <f t="shared" si="55"/>
        <v>0.22710998958306755</v>
      </c>
      <c r="J255" s="33">
        <f t="shared" si="56"/>
        <v>1.6222142113076255E-2</v>
      </c>
      <c r="K255" s="33">
        <f t="shared" si="57"/>
        <v>61.644140029689758</v>
      </c>
      <c r="L255" s="8">
        <v>1</v>
      </c>
      <c r="M255" s="9">
        <v>0</v>
      </c>
      <c r="N255" s="8">
        <v>1</v>
      </c>
      <c r="O255" s="9">
        <v>0</v>
      </c>
      <c r="P255" s="9">
        <v>0</v>
      </c>
      <c r="Q255" s="9">
        <v>0</v>
      </c>
      <c r="R255" s="9">
        <v>0</v>
      </c>
      <c r="S255" s="8">
        <v>3611</v>
      </c>
      <c r="T255" s="9">
        <v>6</v>
      </c>
      <c r="U255" s="9">
        <f t="shared" si="53"/>
        <v>3604</v>
      </c>
      <c r="V255" s="9">
        <f t="shared" si="54"/>
        <v>48</v>
      </c>
      <c r="W255" s="7">
        <v>17</v>
      </c>
      <c r="X255" s="7">
        <f t="shared" si="60"/>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v>0</v>
      </c>
      <c r="BF255" s="18">
        <v>0</v>
      </c>
      <c r="BG255">
        <v>0</v>
      </c>
      <c r="BH255">
        <v>1</v>
      </c>
      <c r="BI255" s="18">
        <v>0</v>
      </c>
      <c r="BJ255">
        <v>869</v>
      </c>
      <c r="BK255">
        <v>116</v>
      </c>
      <c r="BL255" s="25">
        <v>44.274999999999999</v>
      </c>
      <c r="BM255">
        <v>1</v>
      </c>
      <c r="BN255">
        <v>0</v>
      </c>
      <c r="BO255">
        <v>0</v>
      </c>
      <c r="BP255">
        <v>0</v>
      </c>
      <c r="BQ255">
        <v>0</v>
      </c>
      <c r="BR255">
        <v>0</v>
      </c>
      <c r="BS255">
        <v>0</v>
      </c>
      <c r="BT255" s="18">
        <v>0</v>
      </c>
      <c r="BU255">
        <v>0</v>
      </c>
      <c r="BV255">
        <v>1</v>
      </c>
      <c r="BW255">
        <v>0</v>
      </c>
      <c r="BX255" s="18">
        <v>0</v>
      </c>
      <c r="BY255">
        <v>1</v>
      </c>
      <c r="BZ255">
        <v>0</v>
      </c>
      <c r="CA255">
        <v>0</v>
      </c>
      <c r="CB255">
        <v>0</v>
      </c>
      <c r="CC255" s="18">
        <v>1</v>
      </c>
      <c r="CD255">
        <v>1</v>
      </c>
      <c r="CE255">
        <v>1</v>
      </c>
      <c r="CF255">
        <v>0</v>
      </c>
      <c r="CG255">
        <v>0</v>
      </c>
      <c r="CH255">
        <v>0</v>
      </c>
      <c r="CI255">
        <v>1</v>
      </c>
      <c r="CJ255">
        <v>1</v>
      </c>
      <c r="CK255">
        <v>0</v>
      </c>
      <c r="CL255">
        <v>0</v>
      </c>
      <c r="CM255">
        <v>0</v>
      </c>
      <c r="CN255" s="18">
        <v>1</v>
      </c>
      <c r="CO255">
        <v>0.217</v>
      </c>
      <c r="CP255">
        <v>129</v>
      </c>
      <c r="CQ255">
        <v>1</v>
      </c>
      <c r="CR255">
        <v>0</v>
      </c>
      <c r="CS255">
        <v>23</v>
      </c>
      <c r="CY255" s="34"/>
    </row>
    <row r="256" spans="1:103" x14ac:dyDescent="0.25">
      <c r="A256">
        <v>255</v>
      </c>
      <c r="B256">
        <v>18</v>
      </c>
      <c r="C256" s="25" t="s">
        <v>213</v>
      </c>
      <c r="D256" s="12">
        <v>6.5308601525300158</v>
      </c>
      <c r="E256" s="14">
        <v>0.90619590633191616</v>
      </c>
      <c r="F256" s="7">
        <v>7.206896551724137</v>
      </c>
      <c r="G256" s="7">
        <f t="shared" si="51"/>
        <v>5.6246642461980993</v>
      </c>
      <c r="H256" s="16">
        <f t="shared" si="52"/>
        <v>7.4370560588619323</v>
      </c>
      <c r="I256" s="11">
        <f t="shared" si="55"/>
        <v>0.11919246365301839</v>
      </c>
      <c r="J256" s="33">
        <f t="shared" si="56"/>
        <v>1.6538667205442746E-2</v>
      </c>
      <c r="K256" s="33">
        <f t="shared" si="57"/>
        <v>60.464364363708086</v>
      </c>
      <c r="L256" s="8">
        <v>1</v>
      </c>
      <c r="M256" s="9">
        <v>0</v>
      </c>
      <c r="N256" s="8">
        <v>1</v>
      </c>
      <c r="O256" s="9">
        <v>0</v>
      </c>
      <c r="P256" s="9">
        <v>0</v>
      </c>
      <c r="Q256" s="9">
        <v>0</v>
      </c>
      <c r="R256" s="9">
        <v>0</v>
      </c>
      <c r="S256" s="8">
        <v>3611</v>
      </c>
      <c r="T256" s="9">
        <v>6</v>
      </c>
      <c r="U256" s="9">
        <f t="shared" si="53"/>
        <v>3604</v>
      </c>
      <c r="V256" s="9">
        <f t="shared" si="54"/>
        <v>48</v>
      </c>
      <c r="W256" s="7">
        <v>12</v>
      </c>
      <c r="X256" s="7">
        <f t="shared" si="60"/>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v>0</v>
      </c>
      <c r="BF256" s="18">
        <v>0</v>
      </c>
      <c r="BG256">
        <v>0</v>
      </c>
      <c r="BH256">
        <v>1</v>
      </c>
      <c r="BI256" s="18">
        <v>0</v>
      </c>
      <c r="BJ256">
        <v>869</v>
      </c>
      <c r="BK256">
        <v>116</v>
      </c>
      <c r="BL256" s="25">
        <v>44.274999999999999</v>
      </c>
      <c r="BM256">
        <v>1</v>
      </c>
      <c r="BN256">
        <v>0</v>
      </c>
      <c r="BO256">
        <v>0</v>
      </c>
      <c r="BP256">
        <v>0</v>
      </c>
      <c r="BQ256">
        <v>0</v>
      </c>
      <c r="BR256">
        <v>0</v>
      </c>
      <c r="BS256">
        <v>0</v>
      </c>
      <c r="BT256" s="18">
        <v>0</v>
      </c>
      <c r="BU256">
        <v>0</v>
      </c>
      <c r="BV256">
        <v>1</v>
      </c>
      <c r="BW256">
        <v>0</v>
      </c>
      <c r="BX256" s="18">
        <v>0</v>
      </c>
      <c r="BY256">
        <v>1</v>
      </c>
      <c r="BZ256">
        <v>0</v>
      </c>
      <c r="CA256">
        <v>0</v>
      </c>
      <c r="CB256">
        <v>0</v>
      </c>
      <c r="CC256" s="18">
        <v>1</v>
      </c>
      <c r="CD256">
        <v>1</v>
      </c>
      <c r="CE256">
        <v>1</v>
      </c>
      <c r="CF256">
        <v>0</v>
      </c>
      <c r="CG256">
        <v>0</v>
      </c>
      <c r="CH256">
        <v>0</v>
      </c>
      <c r="CI256">
        <v>1</v>
      </c>
      <c r="CJ256">
        <v>1</v>
      </c>
      <c r="CK256">
        <v>0</v>
      </c>
      <c r="CL256">
        <v>0</v>
      </c>
      <c r="CM256">
        <v>0</v>
      </c>
      <c r="CN256" s="18">
        <v>1</v>
      </c>
      <c r="CO256">
        <v>0.217</v>
      </c>
      <c r="CP256">
        <v>129</v>
      </c>
      <c r="CQ256">
        <v>1</v>
      </c>
      <c r="CR256">
        <v>0</v>
      </c>
      <c r="CS256">
        <v>23</v>
      </c>
      <c r="CY256" s="34"/>
    </row>
    <row r="257" spans="1:103" x14ac:dyDescent="0.25">
      <c r="A257">
        <v>256</v>
      </c>
      <c r="B257">
        <v>18</v>
      </c>
      <c r="C257" s="25" t="s">
        <v>213</v>
      </c>
      <c r="D257" s="12">
        <v>7.2601466882732391</v>
      </c>
      <c r="E257" s="14">
        <v>1.98568114551063</v>
      </c>
      <c r="F257" s="7">
        <v>3.65625</v>
      </c>
      <c r="G257" s="7">
        <f t="shared" si="51"/>
        <v>5.2744655427626093</v>
      </c>
      <c r="H257" s="16">
        <f t="shared" si="52"/>
        <v>9.2458278337838689</v>
      </c>
      <c r="I257" s="11">
        <f t="shared" si="55"/>
        <v>6.0791033576574907E-2</v>
      </c>
      <c r="J257" s="33">
        <f t="shared" si="56"/>
        <v>1.6626607473935018E-2</v>
      </c>
      <c r="K257" s="33">
        <f t="shared" si="57"/>
        <v>60.144560552576159</v>
      </c>
      <c r="L257" s="8">
        <v>1</v>
      </c>
      <c r="M257" s="9">
        <v>0</v>
      </c>
      <c r="N257" s="8">
        <v>1</v>
      </c>
      <c r="O257" s="9">
        <v>0</v>
      </c>
      <c r="P257" s="9">
        <v>0</v>
      </c>
      <c r="Q257" s="9">
        <v>0</v>
      </c>
      <c r="R257" s="9">
        <v>0</v>
      </c>
      <c r="S257" s="8">
        <v>3611</v>
      </c>
      <c r="T257" s="9">
        <v>6</v>
      </c>
      <c r="U257" s="9">
        <f t="shared" si="53"/>
        <v>3604</v>
      </c>
      <c r="V257" s="9">
        <f t="shared" si="54"/>
        <v>48</v>
      </c>
      <c r="W257" s="7">
        <v>9</v>
      </c>
      <c r="X257" s="7">
        <f t="shared" si="60"/>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v>0</v>
      </c>
      <c r="BF257" s="18">
        <v>0</v>
      </c>
      <c r="BG257">
        <v>0</v>
      </c>
      <c r="BH257">
        <v>1</v>
      </c>
      <c r="BI257" s="18">
        <v>0</v>
      </c>
      <c r="BJ257">
        <v>869</v>
      </c>
      <c r="BK257">
        <v>116</v>
      </c>
      <c r="BL257" s="25">
        <v>44.274999999999999</v>
      </c>
      <c r="BM257">
        <v>1</v>
      </c>
      <c r="BN257">
        <v>0</v>
      </c>
      <c r="BO257">
        <v>0</v>
      </c>
      <c r="BP257">
        <v>0</v>
      </c>
      <c r="BQ257">
        <v>0</v>
      </c>
      <c r="BR257">
        <v>0</v>
      </c>
      <c r="BS257">
        <v>0</v>
      </c>
      <c r="BT257" s="18">
        <v>0</v>
      </c>
      <c r="BU257">
        <v>0</v>
      </c>
      <c r="BV257">
        <v>1</v>
      </c>
      <c r="BW257">
        <v>0</v>
      </c>
      <c r="BX257" s="18">
        <v>0</v>
      </c>
      <c r="BY257">
        <v>1</v>
      </c>
      <c r="BZ257">
        <v>0</v>
      </c>
      <c r="CA257">
        <v>0</v>
      </c>
      <c r="CB257">
        <v>0</v>
      </c>
      <c r="CC257" s="18">
        <v>1</v>
      </c>
      <c r="CD257">
        <v>1</v>
      </c>
      <c r="CE257">
        <v>1</v>
      </c>
      <c r="CF257">
        <v>0</v>
      </c>
      <c r="CG257">
        <v>0</v>
      </c>
      <c r="CH257">
        <v>0</v>
      </c>
      <c r="CI257">
        <v>1</v>
      </c>
      <c r="CJ257">
        <v>1</v>
      </c>
      <c r="CK257">
        <v>0</v>
      </c>
      <c r="CL257">
        <v>0</v>
      </c>
      <c r="CM257">
        <v>0</v>
      </c>
      <c r="CN257" s="18">
        <v>1</v>
      </c>
      <c r="CO257">
        <v>0.217</v>
      </c>
      <c r="CP257">
        <v>129</v>
      </c>
      <c r="CQ257">
        <v>1</v>
      </c>
      <c r="CR257">
        <v>0</v>
      </c>
      <c r="CS257">
        <v>23</v>
      </c>
      <c r="CY257" s="34"/>
    </row>
    <row r="258" spans="1:103" x14ac:dyDescent="0.25">
      <c r="A258">
        <v>257</v>
      </c>
      <c r="B258">
        <v>18</v>
      </c>
      <c r="C258" s="25" t="s">
        <v>213</v>
      </c>
      <c r="D258" s="12">
        <v>6.6382116493849166</v>
      </c>
      <c r="E258" s="14">
        <v>3.1001674457549622</v>
      </c>
      <c r="F258" s="7">
        <v>2.1412429378531068</v>
      </c>
      <c r="G258" s="7">
        <f t="shared" ref="G258:G321" si="62">D258-E258</f>
        <v>3.5380442036299544</v>
      </c>
      <c r="H258" s="16">
        <f t="shared" ref="H258:H321" si="63">D258+E258</f>
        <v>9.7383790951398783</v>
      </c>
      <c r="I258" s="11">
        <f t="shared" si="55"/>
        <v>3.5644906394878516E-2</v>
      </c>
      <c r="J258" s="33">
        <f t="shared" si="56"/>
        <v>1.6646829635602899E-2</v>
      </c>
      <c r="K258" s="33">
        <f t="shared" si="57"/>
        <v>60.071498410801333</v>
      </c>
      <c r="L258" s="8">
        <v>1</v>
      </c>
      <c r="M258" s="9">
        <v>0</v>
      </c>
      <c r="N258" s="8">
        <v>1</v>
      </c>
      <c r="O258" s="9">
        <v>0</v>
      </c>
      <c r="P258" s="9">
        <v>0</v>
      </c>
      <c r="Q258" s="9">
        <v>0</v>
      </c>
      <c r="R258" s="9">
        <v>0</v>
      </c>
      <c r="S258" s="8">
        <v>3611</v>
      </c>
      <c r="T258" s="9">
        <v>6</v>
      </c>
      <c r="U258" s="9">
        <f t="shared" ref="U258:U321" si="64">S258-T258-1</f>
        <v>3604</v>
      </c>
      <c r="V258" s="9">
        <f t="shared" ref="V258:V321" si="65">COUNTIF(B:B,B258)</f>
        <v>48</v>
      </c>
      <c r="W258" s="7">
        <v>17</v>
      </c>
      <c r="X258" s="7">
        <f t="shared" si="60"/>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v>0</v>
      </c>
      <c r="BF258" s="18">
        <v>0</v>
      </c>
      <c r="BG258">
        <v>0</v>
      </c>
      <c r="BH258">
        <v>1</v>
      </c>
      <c r="BI258" s="18">
        <v>0</v>
      </c>
      <c r="BJ258">
        <v>869</v>
      </c>
      <c r="BK258">
        <v>116</v>
      </c>
      <c r="BL258" s="25">
        <v>44.274999999999999</v>
      </c>
      <c r="BM258">
        <v>0</v>
      </c>
      <c r="BN258">
        <v>0</v>
      </c>
      <c r="BO258">
        <v>0</v>
      </c>
      <c r="BP258">
        <v>0</v>
      </c>
      <c r="BQ258">
        <v>0</v>
      </c>
      <c r="BR258">
        <v>0</v>
      </c>
      <c r="BS258">
        <v>0</v>
      </c>
      <c r="BT258" s="18">
        <v>1</v>
      </c>
      <c r="BU258">
        <v>0</v>
      </c>
      <c r="BV258">
        <v>1</v>
      </c>
      <c r="BW258">
        <v>0</v>
      </c>
      <c r="BX258" s="18">
        <v>0</v>
      </c>
      <c r="BY258">
        <v>1</v>
      </c>
      <c r="BZ258">
        <v>0</v>
      </c>
      <c r="CA258">
        <v>0</v>
      </c>
      <c r="CB258">
        <v>0</v>
      </c>
      <c r="CC258" s="18">
        <v>1</v>
      </c>
      <c r="CD258">
        <v>1</v>
      </c>
      <c r="CE258">
        <v>1</v>
      </c>
      <c r="CF258">
        <v>0</v>
      </c>
      <c r="CG258">
        <v>0</v>
      </c>
      <c r="CH258">
        <v>0</v>
      </c>
      <c r="CI258">
        <v>1</v>
      </c>
      <c r="CJ258">
        <v>1</v>
      </c>
      <c r="CK258">
        <v>0</v>
      </c>
      <c r="CL258">
        <v>0</v>
      </c>
      <c r="CM258">
        <v>0</v>
      </c>
      <c r="CN258" s="18">
        <v>1</v>
      </c>
      <c r="CO258">
        <v>0.217</v>
      </c>
      <c r="CP258">
        <v>129</v>
      </c>
      <c r="CQ258">
        <v>1</v>
      </c>
      <c r="CR258">
        <v>0</v>
      </c>
      <c r="CS258">
        <v>23</v>
      </c>
      <c r="CY258" s="34"/>
    </row>
    <row r="259" spans="1:103" x14ac:dyDescent="0.25">
      <c r="A259">
        <v>258</v>
      </c>
      <c r="B259">
        <v>18</v>
      </c>
      <c r="C259" s="25" t="s">
        <v>213</v>
      </c>
      <c r="D259" s="12">
        <v>8.8024365082959513</v>
      </c>
      <c r="E259" s="14">
        <v>3.698245894110451</v>
      </c>
      <c r="F259" s="7">
        <v>2.380165289256198</v>
      </c>
      <c r="G259" s="7">
        <f t="shared" si="62"/>
        <v>5.1041906141854998</v>
      </c>
      <c r="H259" s="16">
        <f t="shared" si="63"/>
        <v>12.500682402406403</v>
      </c>
      <c r="I259" s="11">
        <f t="shared" si="55"/>
        <v>3.9616276756962047E-2</v>
      </c>
      <c r="J259" s="33">
        <f t="shared" si="56"/>
        <v>1.6644338498584751E-2</v>
      </c>
      <c r="K259" s="33">
        <f t="shared" si="57"/>
        <v>60.080489235725942</v>
      </c>
      <c r="L259" s="8">
        <v>1</v>
      </c>
      <c r="M259" s="9">
        <v>0</v>
      </c>
      <c r="N259" s="8">
        <v>1</v>
      </c>
      <c r="O259" s="9">
        <v>0</v>
      </c>
      <c r="P259" s="9">
        <v>0</v>
      </c>
      <c r="Q259" s="9">
        <v>0</v>
      </c>
      <c r="R259" s="9">
        <v>0</v>
      </c>
      <c r="S259" s="8">
        <v>3611</v>
      </c>
      <c r="T259" s="9">
        <v>6</v>
      </c>
      <c r="U259" s="9">
        <f t="shared" si="64"/>
        <v>3604</v>
      </c>
      <c r="V259" s="9">
        <f t="shared" si="65"/>
        <v>48</v>
      </c>
      <c r="W259" s="7">
        <v>12</v>
      </c>
      <c r="X259" s="7">
        <f t="shared" si="60"/>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v>0</v>
      </c>
      <c r="BF259" s="18">
        <v>0</v>
      </c>
      <c r="BG259">
        <v>0</v>
      </c>
      <c r="BH259">
        <v>1</v>
      </c>
      <c r="BI259" s="18">
        <v>0</v>
      </c>
      <c r="BJ259">
        <v>869</v>
      </c>
      <c r="BK259">
        <v>116</v>
      </c>
      <c r="BL259" s="25">
        <v>44.274999999999999</v>
      </c>
      <c r="BM259">
        <v>0</v>
      </c>
      <c r="BN259">
        <v>0</v>
      </c>
      <c r="BO259">
        <v>0</v>
      </c>
      <c r="BP259">
        <v>0</v>
      </c>
      <c r="BQ259">
        <v>0</v>
      </c>
      <c r="BR259">
        <v>0</v>
      </c>
      <c r="BS259">
        <v>0</v>
      </c>
      <c r="BT259" s="18">
        <v>1</v>
      </c>
      <c r="BU259">
        <v>0</v>
      </c>
      <c r="BV259">
        <v>1</v>
      </c>
      <c r="BW259">
        <v>0</v>
      </c>
      <c r="BX259" s="18">
        <v>0</v>
      </c>
      <c r="BY259">
        <v>1</v>
      </c>
      <c r="BZ259">
        <v>0</v>
      </c>
      <c r="CA259">
        <v>0</v>
      </c>
      <c r="CB259">
        <v>0</v>
      </c>
      <c r="CC259" s="18">
        <v>1</v>
      </c>
      <c r="CD259">
        <v>1</v>
      </c>
      <c r="CE259">
        <v>1</v>
      </c>
      <c r="CF259">
        <v>0</v>
      </c>
      <c r="CG259">
        <v>0</v>
      </c>
      <c r="CH259">
        <v>0</v>
      </c>
      <c r="CI259">
        <v>1</v>
      </c>
      <c r="CJ259">
        <v>1</v>
      </c>
      <c r="CK259">
        <v>0</v>
      </c>
      <c r="CL259">
        <v>0</v>
      </c>
      <c r="CM259">
        <v>0</v>
      </c>
      <c r="CN259" s="18">
        <v>1</v>
      </c>
      <c r="CO259">
        <v>0.217</v>
      </c>
      <c r="CP259">
        <v>129</v>
      </c>
      <c r="CQ259">
        <v>1</v>
      </c>
      <c r="CR259">
        <v>0</v>
      </c>
      <c r="CS259">
        <v>23</v>
      </c>
      <c r="CY259" s="34"/>
    </row>
    <row r="260" spans="1:103" x14ac:dyDescent="0.25">
      <c r="A260">
        <v>259</v>
      </c>
      <c r="B260">
        <v>18</v>
      </c>
      <c r="C260" s="25" t="s">
        <v>213</v>
      </c>
      <c r="D260" s="12">
        <v>6.0291838476180803</v>
      </c>
      <c r="E260" s="14">
        <v>2.7319739309519422</v>
      </c>
      <c r="F260" s="7">
        <v>2.2068965517241379</v>
      </c>
      <c r="G260" s="7">
        <f t="shared" si="62"/>
        <v>3.2972099166661382</v>
      </c>
      <c r="H260" s="16">
        <f t="shared" si="63"/>
        <v>8.7611577785700234</v>
      </c>
      <c r="I260" s="11">
        <f t="shared" si="55"/>
        <v>3.6736377862039801E-2</v>
      </c>
      <c r="J260" s="33">
        <f t="shared" si="56"/>
        <v>1.6646171218736787E-2</v>
      </c>
      <c r="K260" s="33">
        <f t="shared" si="57"/>
        <v>60.073874457953949</v>
      </c>
      <c r="L260" s="8">
        <v>1</v>
      </c>
      <c r="M260" s="9">
        <v>0</v>
      </c>
      <c r="N260" s="8">
        <v>1</v>
      </c>
      <c r="O260" s="9">
        <v>0</v>
      </c>
      <c r="P260" s="9">
        <v>0</v>
      </c>
      <c r="Q260" s="9">
        <v>0</v>
      </c>
      <c r="R260" s="9">
        <v>0</v>
      </c>
      <c r="S260" s="8">
        <v>3611</v>
      </c>
      <c r="T260" s="9">
        <v>6</v>
      </c>
      <c r="U260" s="9">
        <f t="shared" si="64"/>
        <v>3604</v>
      </c>
      <c r="V260" s="9">
        <f t="shared" si="65"/>
        <v>48</v>
      </c>
      <c r="W260" s="7">
        <v>9</v>
      </c>
      <c r="X260" s="7">
        <f t="shared" si="60"/>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v>0</v>
      </c>
      <c r="BF260" s="18">
        <v>0</v>
      </c>
      <c r="BG260">
        <v>0</v>
      </c>
      <c r="BH260">
        <v>1</v>
      </c>
      <c r="BI260" s="18">
        <v>0</v>
      </c>
      <c r="BJ260">
        <v>869</v>
      </c>
      <c r="BK260">
        <v>116</v>
      </c>
      <c r="BL260" s="25">
        <v>44.274999999999999</v>
      </c>
      <c r="BM260">
        <v>0</v>
      </c>
      <c r="BN260">
        <v>0</v>
      </c>
      <c r="BO260">
        <v>0</v>
      </c>
      <c r="BP260">
        <v>0</v>
      </c>
      <c r="BQ260">
        <v>0</v>
      </c>
      <c r="BR260">
        <v>0</v>
      </c>
      <c r="BS260">
        <v>0</v>
      </c>
      <c r="BT260" s="18">
        <v>1</v>
      </c>
      <c r="BU260">
        <v>0</v>
      </c>
      <c r="BV260">
        <v>1</v>
      </c>
      <c r="BW260">
        <v>0</v>
      </c>
      <c r="BX260" s="18">
        <v>0</v>
      </c>
      <c r="BY260">
        <v>1</v>
      </c>
      <c r="BZ260">
        <v>0</v>
      </c>
      <c r="CA260">
        <v>0</v>
      </c>
      <c r="CB260">
        <v>0</v>
      </c>
      <c r="CC260" s="18">
        <v>1</v>
      </c>
      <c r="CD260">
        <v>1</v>
      </c>
      <c r="CE260">
        <v>1</v>
      </c>
      <c r="CF260">
        <v>0</v>
      </c>
      <c r="CG260">
        <v>0</v>
      </c>
      <c r="CH260">
        <v>0</v>
      </c>
      <c r="CI260">
        <v>1</v>
      </c>
      <c r="CJ260">
        <v>1</v>
      </c>
      <c r="CK260">
        <v>0</v>
      </c>
      <c r="CL260">
        <v>0</v>
      </c>
      <c r="CM260">
        <v>0</v>
      </c>
      <c r="CN260" s="18">
        <v>1</v>
      </c>
      <c r="CO260">
        <v>0.217</v>
      </c>
      <c r="CP260">
        <v>129</v>
      </c>
      <c r="CQ260">
        <v>1</v>
      </c>
      <c r="CR260">
        <v>0</v>
      </c>
      <c r="CS260">
        <v>23</v>
      </c>
      <c r="CY260" s="34"/>
    </row>
    <row r="261" spans="1:103" x14ac:dyDescent="0.25">
      <c r="A261">
        <v>260</v>
      </c>
      <c r="B261">
        <v>18</v>
      </c>
      <c r="C261" s="25" t="s">
        <v>213</v>
      </c>
      <c r="D261" s="12">
        <v>6.3739831279421733</v>
      </c>
      <c r="E261" s="14">
        <v>2.940483929188793</v>
      </c>
      <c r="F261" s="7">
        <v>2.1676646706586831</v>
      </c>
      <c r="G261" s="7">
        <f t="shared" si="62"/>
        <v>3.4334991987533803</v>
      </c>
      <c r="H261" s="16">
        <f t="shared" si="63"/>
        <v>9.3144670571309653</v>
      </c>
      <c r="I261" s="11">
        <f t="shared" si="55"/>
        <v>3.6174506318020869E-2</v>
      </c>
      <c r="J261" s="33">
        <f t="shared" si="56"/>
        <v>1.6688239102512385E-2</v>
      </c>
      <c r="K261" s="33">
        <f t="shared" si="57"/>
        <v>59.92243962093351</v>
      </c>
      <c r="L261" s="8">
        <v>1</v>
      </c>
      <c r="M261" s="9">
        <v>0</v>
      </c>
      <c r="N261" s="8">
        <v>1</v>
      </c>
      <c r="O261" s="9">
        <v>0</v>
      </c>
      <c r="P261" s="9">
        <v>0</v>
      </c>
      <c r="Q261" s="9">
        <v>0</v>
      </c>
      <c r="R261" s="9">
        <v>0</v>
      </c>
      <c r="S261" s="8">
        <v>3599</v>
      </c>
      <c r="T261" s="9">
        <v>12</v>
      </c>
      <c r="U261" s="9">
        <f t="shared" si="64"/>
        <v>3586</v>
      </c>
      <c r="V261" s="9">
        <f t="shared" si="65"/>
        <v>48</v>
      </c>
      <c r="W261" s="7">
        <v>17</v>
      </c>
      <c r="X261" s="7">
        <f t="shared" si="60"/>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v>0</v>
      </c>
      <c r="BF261" s="18">
        <v>0</v>
      </c>
      <c r="BG261">
        <v>0</v>
      </c>
      <c r="BH261">
        <v>1</v>
      </c>
      <c r="BI261" s="18">
        <v>0</v>
      </c>
      <c r="BJ261">
        <v>869</v>
      </c>
      <c r="BK261">
        <v>116</v>
      </c>
      <c r="BL261" s="25">
        <v>44.274999999999999</v>
      </c>
      <c r="BM261">
        <v>0</v>
      </c>
      <c r="BN261">
        <v>0</v>
      </c>
      <c r="BO261">
        <v>0</v>
      </c>
      <c r="BP261">
        <v>0</v>
      </c>
      <c r="BQ261">
        <v>0</v>
      </c>
      <c r="BR261">
        <v>0</v>
      </c>
      <c r="BS261">
        <v>0</v>
      </c>
      <c r="BT261" s="18">
        <v>1</v>
      </c>
      <c r="BU261">
        <v>0</v>
      </c>
      <c r="BV261">
        <v>1</v>
      </c>
      <c r="BW261">
        <v>0</v>
      </c>
      <c r="BX261" s="18">
        <v>0</v>
      </c>
      <c r="BY261">
        <v>1</v>
      </c>
      <c r="BZ261">
        <v>0</v>
      </c>
      <c r="CA261">
        <v>0</v>
      </c>
      <c r="CB261">
        <v>0</v>
      </c>
      <c r="CC261" s="18">
        <v>1</v>
      </c>
      <c r="CD261">
        <v>1</v>
      </c>
      <c r="CE261">
        <v>1</v>
      </c>
      <c r="CF261">
        <v>0</v>
      </c>
      <c r="CG261">
        <v>0</v>
      </c>
      <c r="CH261">
        <v>0</v>
      </c>
      <c r="CI261">
        <v>1</v>
      </c>
      <c r="CJ261">
        <v>1</v>
      </c>
      <c r="CK261">
        <v>0</v>
      </c>
      <c r="CL261">
        <v>0</v>
      </c>
      <c r="CM261">
        <v>0</v>
      </c>
      <c r="CN261" s="18">
        <v>1</v>
      </c>
      <c r="CO261">
        <v>0.217</v>
      </c>
      <c r="CP261">
        <v>129</v>
      </c>
      <c r="CQ261">
        <v>1</v>
      </c>
      <c r="CR261">
        <v>0</v>
      </c>
      <c r="CS261">
        <v>23</v>
      </c>
      <c r="CY261" s="34"/>
    </row>
    <row r="262" spans="1:103" x14ac:dyDescent="0.25">
      <c r="A262">
        <v>261</v>
      </c>
      <c r="B262">
        <v>18</v>
      </c>
      <c r="C262" s="25" t="s">
        <v>213</v>
      </c>
      <c r="D262" s="12">
        <v>9.1672655665788518</v>
      </c>
      <c r="E262" s="14">
        <v>3.776547941049095</v>
      </c>
      <c r="F262" s="7">
        <v>2.42741935483871</v>
      </c>
      <c r="G262" s="7">
        <f t="shared" si="62"/>
        <v>5.3907176255297564</v>
      </c>
      <c r="H262" s="16">
        <f t="shared" si="63"/>
        <v>12.943813507627947</v>
      </c>
      <c r="I262" s="11">
        <f t="shared" si="55"/>
        <v>4.0502623357663275E-2</v>
      </c>
      <c r="J262" s="33">
        <f t="shared" si="56"/>
        <v>1.6685466100831381E-2</v>
      </c>
      <c r="K262" s="33">
        <f t="shared" si="57"/>
        <v>59.932398289441451</v>
      </c>
      <c r="L262" s="8">
        <v>1</v>
      </c>
      <c r="M262" s="9">
        <v>0</v>
      </c>
      <c r="N262" s="8">
        <v>1</v>
      </c>
      <c r="O262" s="9">
        <v>0</v>
      </c>
      <c r="P262" s="9">
        <v>0</v>
      </c>
      <c r="Q262" s="9">
        <v>0</v>
      </c>
      <c r="R262" s="9">
        <v>0</v>
      </c>
      <c r="S262" s="8">
        <v>3599</v>
      </c>
      <c r="T262" s="9">
        <v>12</v>
      </c>
      <c r="U262" s="9">
        <f t="shared" si="64"/>
        <v>3586</v>
      </c>
      <c r="V262" s="9">
        <f t="shared" si="65"/>
        <v>48</v>
      </c>
      <c r="W262" s="7">
        <v>12</v>
      </c>
      <c r="X262" s="7">
        <f t="shared" si="60"/>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v>0</v>
      </c>
      <c r="BF262" s="18">
        <v>0</v>
      </c>
      <c r="BG262">
        <v>0</v>
      </c>
      <c r="BH262">
        <v>1</v>
      </c>
      <c r="BI262" s="18">
        <v>0</v>
      </c>
      <c r="BJ262">
        <v>869</v>
      </c>
      <c r="BK262">
        <v>116</v>
      </c>
      <c r="BL262" s="25">
        <v>44.274999999999999</v>
      </c>
      <c r="BM262">
        <v>0</v>
      </c>
      <c r="BN262">
        <v>0</v>
      </c>
      <c r="BO262">
        <v>0</v>
      </c>
      <c r="BP262">
        <v>0</v>
      </c>
      <c r="BQ262">
        <v>0</v>
      </c>
      <c r="BR262">
        <v>0</v>
      </c>
      <c r="BS262">
        <v>0</v>
      </c>
      <c r="BT262" s="18">
        <v>1</v>
      </c>
      <c r="BU262">
        <v>0</v>
      </c>
      <c r="BV262">
        <v>1</v>
      </c>
      <c r="BW262">
        <v>0</v>
      </c>
      <c r="BX262" s="18">
        <v>0</v>
      </c>
      <c r="BY262">
        <v>1</v>
      </c>
      <c r="BZ262">
        <v>0</v>
      </c>
      <c r="CA262">
        <v>0</v>
      </c>
      <c r="CB262">
        <v>0</v>
      </c>
      <c r="CC262" s="18">
        <v>1</v>
      </c>
      <c r="CD262">
        <v>1</v>
      </c>
      <c r="CE262">
        <v>1</v>
      </c>
      <c r="CF262">
        <v>0</v>
      </c>
      <c r="CG262">
        <v>0</v>
      </c>
      <c r="CH262">
        <v>0</v>
      </c>
      <c r="CI262">
        <v>1</v>
      </c>
      <c r="CJ262">
        <v>1</v>
      </c>
      <c r="CK262">
        <v>0</v>
      </c>
      <c r="CL262">
        <v>0</v>
      </c>
      <c r="CM262">
        <v>0</v>
      </c>
      <c r="CN262" s="18">
        <v>1</v>
      </c>
      <c r="CO262">
        <v>0.217</v>
      </c>
      <c r="CP262">
        <v>129</v>
      </c>
      <c r="CQ262">
        <v>1</v>
      </c>
      <c r="CR262">
        <v>0</v>
      </c>
      <c r="CS262">
        <v>23</v>
      </c>
      <c r="CY262" s="34"/>
    </row>
    <row r="263" spans="1:103" x14ac:dyDescent="0.25">
      <c r="A263">
        <v>262</v>
      </c>
      <c r="B263">
        <v>18</v>
      </c>
      <c r="C263" s="25" t="s">
        <v>213</v>
      </c>
      <c r="D263" s="12">
        <v>5.9698502124814867</v>
      </c>
      <c r="E263" s="14">
        <v>2.796403520583433</v>
      </c>
      <c r="F263" s="7">
        <v>2.1348314606741581</v>
      </c>
      <c r="G263" s="7">
        <f t="shared" si="62"/>
        <v>3.1734466918980537</v>
      </c>
      <c r="H263" s="16">
        <f t="shared" si="63"/>
        <v>8.7662537330649197</v>
      </c>
      <c r="I263" s="11">
        <f t="shared" si="55"/>
        <v>3.5627278687847784E-2</v>
      </c>
      <c r="J263" s="33">
        <f t="shared" si="56"/>
        <v>1.6688567385360273E-2</v>
      </c>
      <c r="K263" s="33">
        <f t="shared" si="57"/>
        <v>59.92126087930297</v>
      </c>
      <c r="L263" s="8">
        <v>1</v>
      </c>
      <c r="M263" s="9">
        <v>0</v>
      </c>
      <c r="N263" s="8">
        <v>1</v>
      </c>
      <c r="O263" s="9">
        <v>0</v>
      </c>
      <c r="P263" s="9">
        <v>0</v>
      </c>
      <c r="Q263" s="9">
        <v>0</v>
      </c>
      <c r="R263" s="9">
        <v>0</v>
      </c>
      <c r="S263" s="8">
        <v>3599</v>
      </c>
      <c r="T263" s="9">
        <v>12</v>
      </c>
      <c r="U263" s="9">
        <f t="shared" si="64"/>
        <v>3586</v>
      </c>
      <c r="V263" s="9">
        <f t="shared" si="65"/>
        <v>48</v>
      </c>
      <c r="W263" s="7">
        <v>9</v>
      </c>
      <c r="X263" s="7">
        <f t="shared" si="60"/>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v>0</v>
      </c>
      <c r="BF263" s="18">
        <v>0</v>
      </c>
      <c r="BG263">
        <v>0</v>
      </c>
      <c r="BH263">
        <v>1</v>
      </c>
      <c r="BI263" s="18">
        <v>0</v>
      </c>
      <c r="BJ263">
        <v>869</v>
      </c>
      <c r="BK263">
        <v>116</v>
      </c>
      <c r="BL263" s="25">
        <v>44.274999999999999</v>
      </c>
      <c r="BM263">
        <v>0</v>
      </c>
      <c r="BN263">
        <v>0</v>
      </c>
      <c r="BO263">
        <v>0</v>
      </c>
      <c r="BP263">
        <v>0</v>
      </c>
      <c r="BQ263">
        <v>0</v>
      </c>
      <c r="BR263">
        <v>0</v>
      </c>
      <c r="BS263">
        <v>0</v>
      </c>
      <c r="BT263" s="18">
        <v>1</v>
      </c>
      <c r="BU263">
        <v>0</v>
      </c>
      <c r="BV263">
        <v>1</v>
      </c>
      <c r="BW263">
        <v>0</v>
      </c>
      <c r="BX263" s="18">
        <v>0</v>
      </c>
      <c r="BY263">
        <v>1</v>
      </c>
      <c r="BZ263">
        <v>0</v>
      </c>
      <c r="CA263">
        <v>0</v>
      </c>
      <c r="CB263">
        <v>0</v>
      </c>
      <c r="CC263" s="18">
        <v>1</v>
      </c>
      <c r="CD263">
        <v>1</v>
      </c>
      <c r="CE263">
        <v>1</v>
      </c>
      <c r="CF263">
        <v>0</v>
      </c>
      <c r="CG263">
        <v>0</v>
      </c>
      <c r="CH263">
        <v>0</v>
      </c>
      <c r="CI263">
        <v>1</v>
      </c>
      <c r="CJ263">
        <v>1</v>
      </c>
      <c r="CK263">
        <v>0</v>
      </c>
      <c r="CL263">
        <v>0</v>
      </c>
      <c r="CM263">
        <v>0</v>
      </c>
      <c r="CN263" s="18">
        <v>1</v>
      </c>
      <c r="CO263">
        <v>0.217</v>
      </c>
      <c r="CP263">
        <v>129</v>
      </c>
      <c r="CQ263">
        <v>1</v>
      </c>
      <c r="CR263">
        <v>0</v>
      </c>
      <c r="CS263">
        <v>23</v>
      </c>
      <c r="CY263" s="34"/>
    </row>
    <row r="264" spans="1:103" x14ac:dyDescent="0.25">
      <c r="A264">
        <v>263</v>
      </c>
      <c r="B264">
        <v>18</v>
      </c>
      <c r="C264" s="25" t="s">
        <v>213</v>
      </c>
      <c r="D264" s="12">
        <v>6.5452536016274987</v>
      </c>
      <c r="E264" s="14">
        <v>3.1059246313353008</v>
      </c>
      <c r="F264" s="7">
        <v>2.107344632768362</v>
      </c>
      <c r="G264" s="7">
        <f t="shared" si="62"/>
        <v>3.4393289702921979</v>
      </c>
      <c r="H264" s="16">
        <f t="shared" si="63"/>
        <v>9.6511782329627991</v>
      </c>
      <c r="I264" s="11">
        <f t="shared" ref="I264:I327" si="66">IFERROR(F264/SQRT(F264^2+U264), "X")</f>
        <v>3.5183836008184803E-2</v>
      </c>
      <c r="J264" s="33">
        <f t="shared" ref="J264:J327" si="67">IFERROR(SQRT((1-I264^2)/U264), "X")</f>
        <v>1.6695814942221738E-2</v>
      </c>
      <c r="K264" s="33">
        <f t="shared" ref="K264:K327" si="68">IFERROR(1/J264, "X")</f>
        <v>59.895249405952534</v>
      </c>
      <c r="L264" s="8">
        <v>1</v>
      </c>
      <c r="M264" s="9">
        <v>0</v>
      </c>
      <c r="N264" s="8">
        <v>1</v>
      </c>
      <c r="O264" s="9">
        <v>0</v>
      </c>
      <c r="P264" s="9">
        <v>0</v>
      </c>
      <c r="Q264" s="9">
        <v>0</v>
      </c>
      <c r="R264" s="9">
        <v>0</v>
      </c>
      <c r="S264" s="8">
        <v>3599</v>
      </c>
      <c r="T264" s="9">
        <v>15</v>
      </c>
      <c r="U264" s="9">
        <f t="shared" si="64"/>
        <v>3583</v>
      </c>
      <c r="V264" s="9">
        <f t="shared" si="65"/>
        <v>48</v>
      </c>
      <c r="W264" s="7">
        <v>17</v>
      </c>
      <c r="X264" s="7">
        <f t="shared" si="60"/>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v>0</v>
      </c>
      <c r="BF264" s="18">
        <v>0</v>
      </c>
      <c r="BG264">
        <v>0</v>
      </c>
      <c r="BH264">
        <v>1</v>
      </c>
      <c r="BI264" s="18">
        <v>0</v>
      </c>
      <c r="BJ264">
        <v>869</v>
      </c>
      <c r="BK264">
        <v>116</v>
      </c>
      <c r="BL264" s="25">
        <v>44.274999999999999</v>
      </c>
      <c r="BM264">
        <v>0</v>
      </c>
      <c r="BN264">
        <v>0</v>
      </c>
      <c r="BO264">
        <v>0</v>
      </c>
      <c r="BP264">
        <v>0</v>
      </c>
      <c r="BQ264">
        <v>0</v>
      </c>
      <c r="BR264">
        <v>0</v>
      </c>
      <c r="BS264">
        <v>0</v>
      </c>
      <c r="BT264" s="18">
        <v>1</v>
      </c>
      <c r="BU264">
        <v>0</v>
      </c>
      <c r="BV264">
        <v>1</v>
      </c>
      <c r="BW264">
        <v>0</v>
      </c>
      <c r="BX264" s="18">
        <v>0</v>
      </c>
      <c r="BY264">
        <v>1</v>
      </c>
      <c r="BZ264">
        <v>0</v>
      </c>
      <c r="CA264">
        <v>0</v>
      </c>
      <c r="CB264">
        <v>0</v>
      </c>
      <c r="CC264" s="18">
        <v>1</v>
      </c>
      <c r="CD264">
        <v>1</v>
      </c>
      <c r="CE264">
        <v>1</v>
      </c>
      <c r="CF264">
        <v>0</v>
      </c>
      <c r="CG264">
        <v>0</v>
      </c>
      <c r="CH264">
        <v>0</v>
      </c>
      <c r="CI264">
        <v>1</v>
      </c>
      <c r="CJ264">
        <v>1</v>
      </c>
      <c r="CK264">
        <v>0</v>
      </c>
      <c r="CL264">
        <v>0</v>
      </c>
      <c r="CM264">
        <v>0</v>
      </c>
      <c r="CN264" s="18">
        <v>1</v>
      </c>
      <c r="CO264">
        <v>0.217</v>
      </c>
      <c r="CP264">
        <v>129</v>
      </c>
      <c r="CQ264">
        <v>1</v>
      </c>
      <c r="CR264">
        <v>0</v>
      </c>
      <c r="CS264">
        <v>23</v>
      </c>
      <c r="CY264" s="34"/>
    </row>
    <row r="265" spans="1:103" x14ac:dyDescent="0.25">
      <c r="A265">
        <v>264</v>
      </c>
      <c r="B265">
        <v>18</v>
      </c>
      <c r="C265" s="25" t="s">
        <v>213</v>
      </c>
      <c r="D265" s="12">
        <v>8.7742712374262446</v>
      </c>
      <c r="E265" s="14">
        <v>3.7298295852473928</v>
      </c>
      <c r="F265" s="7">
        <v>2.3524590163934431</v>
      </c>
      <c r="G265" s="7">
        <f t="shared" si="62"/>
        <v>5.0444416521788522</v>
      </c>
      <c r="H265" s="16">
        <f t="shared" si="63"/>
        <v>12.504100822673637</v>
      </c>
      <c r="I265" s="11">
        <f t="shared" si="66"/>
        <v>3.9270237655435788E-2</v>
      </c>
      <c r="J265" s="33">
        <f t="shared" si="67"/>
        <v>1.6693271755969217E-2</v>
      </c>
      <c r="K265" s="33">
        <f t="shared" si="68"/>
        <v>59.904374326286145</v>
      </c>
      <c r="L265" s="8">
        <v>1</v>
      </c>
      <c r="M265" s="9">
        <v>0</v>
      </c>
      <c r="N265" s="8">
        <v>1</v>
      </c>
      <c r="O265" s="9">
        <v>0</v>
      </c>
      <c r="P265" s="9">
        <v>0</v>
      </c>
      <c r="Q265" s="9">
        <v>0</v>
      </c>
      <c r="R265" s="9">
        <v>0</v>
      </c>
      <c r="S265" s="8">
        <v>3599</v>
      </c>
      <c r="T265" s="9">
        <v>15</v>
      </c>
      <c r="U265" s="9">
        <f t="shared" si="64"/>
        <v>3583</v>
      </c>
      <c r="V265" s="9">
        <f t="shared" si="65"/>
        <v>48</v>
      </c>
      <c r="W265" s="7">
        <v>12</v>
      </c>
      <c r="X265" s="7">
        <f t="shared" si="60"/>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v>0</v>
      </c>
      <c r="BF265" s="18">
        <v>0</v>
      </c>
      <c r="BG265">
        <v>0</v>
      </c>
      <c r="BH265">
        <v>1</v>
      </c>
      <c r="BI265" s="18">
        <v>0</v>
      </c>
      <c r="BJ265">
        <v>869</v>
      </c>
      <c r="BK265">
        <v>116</v>
      </c>
      <c r="BL265" s="25">
        <v>44.274999999999999</v>
      </c>
      <c r="BM265">
        <v>0</v>
      </c>
      <c r="BN265">
        <v>0</v>
      </c>
      <c r="BO265">
        <v>0</v>
      </c>
      <c r="BP265">
        <v>0</v>
      </c>
      <c r="BQ265">
        <v>0</v>
      </c>
      <c r="BR265">
        <v>0</v>
      </c>
      <c r="BS265">
        <v>0</v>
      </c>
      <c r="BT265" s="18">
        <v>1</v>
      </c>
      <c r="BU265">
        <v>0</v>
      </c>
      <c r="BV265">
        <v>1</v>
      </c>
      <c r="BW265">
        <v>0</v>
      </c>
      <c r="BX265" s="18">
        <v>0</v>
      </c>
      <c r="BY265">
        <v>1</v>
      </c>
      <c r="BZ265">
        <v>0</v>
      </c>
      <c r="CA265">
        <v>0</v>
      </c>
      <c r="CB265">
        <v>0</v>
      </c>
      <c r="CC265" s="18">
        <v>1</v>
      </c>
      <c r="CD265">
        <v>1</v>
      </c>
      <c r="CE265">
        <v>1</v>
      </c>
      <c r="CF265">
        <v>0</v>
      </c>
      <c r="CG265">
        <v>0</v>
      </c>
      <c r="CH265">
        <v>0</v>
      </c>
      <c r="CI265">
        <v>1</v>
      </c>
      <c r="CJ265">
        <v>1</v>
      </c>
      <c r="CK265">
        <v>0</v>
      </c>
      <c r="CL265">
        <v>0</v>
      </c>
      <c r="CM265">
        <v>0</v>
      </c>
      <c r="CN265" s="18">
        <v>1</v>
      </c>
      <c r="CO265">
        <v>0.217</v>
      </c>
      <c r="CP265">
        <v>129</v>
      </c>
      <c r="CQ265">
        <v>1</v>
      </c>
      <c r="CR265">
        <v>0</v>
      </c>
      <c r="CS265">
        <v>23</v>
      </c>
      <c r="CY265" s="34"/>
    </row>
    <row r="266" spans="1:103" x14ac:dyDescent="0.25">
      <c r="A266">
        <v>265</v>
      </c>
      <c r="B266">
        <v>18</v>
      </c>
      <c r="C266" s="25" t="s">
        <v>213</v>
      </c>
      <c r="D266" s="12">
        <v>6.1772281390967132</v>
      </c>
      <c r="E266" s="14">
        <v>2.7593709453833029</v>
      </c>
      <c r="F266" s="7">
        <v>2.2386363636363642</v>
      </c>
      <c r="G266" s="7">
        <f t="shared" si="62"/>
        <v>3.4178571937134103</v>
      </c>
      <c r="H266" s="16">
        <f t="shared" si="63"/>
        <v>8.9365990844800152</v>
      </c>
      <c r="I266" s="11">
        <f t="shared" si="66"/>
        <v>3.7372886443261172E-2</v>
      </c>
      <c r="J266" s="33">
        <f t="shared" si="67"/>
        <v>1.6694487345213109E-2</v>
      </c>
      <c r="K266" s="33">
        <f t="shared" si="68"/>
        <v>59.900012460504506</v>
      </c>
      <c r="L266" s="8">
        <v>1</v>
      </c>
      <c r="M266" s="9">
        <v>0</v>
      </c>
      <c r="N266" s="8">
        <v>1</v>
      </c>
      <c r="O266" s="9">
        <v>0</v>
      </c>
      <c r="P266" s="9">
        <v>0</v>
      </c>
      <c r="Q266" s="9">
        <v>0</v>
      </c>
      <c r="R266" s="9">
        <v>0</v>
      </c>
      <c r="S266" s="8">
        <v>3599</v>
      </c>
      <c r="T266" s="9">
        <v>15</v>
      </c>
      <c r="U266" s="9">
        <f t="shared" si="64"/>
        <v>3583</v>
      </c>
      <c r="V266" s="9">
        <f t="shared" si="65"/>
        <v>48</v>
      </c>
      <c r="W266" s="7">
        <v>9</v>
      </c>
      <c r="X266" s="7">
        <f t="shared" si="60"/>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v>0</v>
      </c>
      <c r="BF266" s="18">
        <v>0</v>
      </c>
      <c r="BG266">
        <v>0</v>
      </c>
      <c r="BH266">
        <v>1</v>
      </c>
      <c r="BI266" s="18">
        <v>0</v>
      </c>
      <c r="BJ266">
        <v>869</v>
      </c>
      <c r="BK266">
        <v>116</v>
      </c>
      <c r="BL266" s="25">
        <v>44.274999999999999</v>
      </c>
      <c r="BM266">
        <v>0</v>
      </c>
      <c r="BN266">
        <v>0</v>
      </c>
      <c r="BO266">
        <v>0</v>
      </c>
      <c r="BP266">
        <v>0</v>
      </c>
      <c r="BQ266">
        <v>0</v>
      </c>
      <c r="BR266">
        <v>0</v>
      </c>
      <c r="BS266">
        <v>0</v>
      </c>
      <c r="BT266" s="18">
        <v>1</v>
      </c>
      <c r="BU266">
        <v>0</v>
      </c>
      <c r="BV266">
        <v>1</v>
      </c>
      <c r="BW266">
        <v>0</v>
      </c>
      <c r="BX266" s="18">
        <v>0</v>
      </c>
      <c r="BY266">
        <v>1</v>
      </c>
      <c r="BZ266">
        <v>0</v>
      </c>
      <c r="CA266">
        <v>0</v>
      </c>
      <c r="CB266">
        <v>0</v>
      </c>
      <c r="CC266" s="18">
        <v>1</v>
      </c>
      <c r="CD266">
        <v>1</v>
      </c>
      <c r="CE266">
        <v>1</v>
      </c>
      <c r="CF266">
        <v>0</v>
      </c>
      <c r="CG266">
        <v>0</v>
      </c>
      <c r="CH266">
        <v>0</v>
      </c>
      <c r="CI266">
        <v>1</v>
      </c>
      <c r="CJ266">
        <v>1</v>
      </c>
      <c r="CK266">
        <v>0</v>
      </c>
      <c r="CL266">
        <v>0</v>
      </c>
      <c r="CM266">
        <v>0</v>
      </c>
      <c r="CN266" s="18">
        <v>1</v>
      </c>
      <c r="CO266">
        <v>0.217</v>
      </c>
      <c r="CP266">
        <v>129</v>
      </c>
      <c r="CQ266">
        <v>1</v>
      </c>
      <c r="CR266">
        <v>0</v>
      </c>
      <c r="CS266">
        <v>23</v>
      </c>
      <c r="CY266" s="34"/>
    </row>
    <row r="267" spans="1:103" x14ac:dyDescent="0.25">
      <c r="A267">
        <v>266</v>
      </c>
      <c r="B267">
        <v>18</v>
      </c>
      <c r="C267" s="25" t="s">
        <v>213</v>
      </c>
      <c r="D267" s="12">
        <v>8.3000000000000007</v>
      </c>
      <c r="E267" s="14">
        <v>0.4</v>
      </c>
      <c r="F267" s="7">
        <f t="shared" ref="F267:F278" si="69">D267/E267</f>
        <v>20.75</v>
      </c>
      <c r="G267" s="7">
        <f t="shared" si="62"/>
        <v>7.9</v>
      </c>
      <c r="H267" s="16">
        <f t="shared" si="63"/>
        <v>8.7000000000000011</v>
      </c>
      <c r="I267" s="11">
        <f t="shared" si="66"/>
        <v>0.3266375144591237</v>
      </c>
      <c r="J267" s="33">
        <f t="shared" si="67"/>
        <v>1.5741566961885479E-2</v>
      </c>
      <c r="K267" s="33">
        <f t="shared" si="68"/>
        <v>63.526077322623976</v>
      </c>
      <c r="L267" s="8">
        <v>1</v>
      </c>
      <c r="M267" s="9">
        <v>0</v>
      </c>
      <c r="N267" s="8">
        <v>1</v>
      </c>
      <c r="O267" s="9">
        <v>0</v>
      </c>
      <c r="P267" s="9">
        <v>0</v>
      </c>
      <c r="Q267" s="9">
        <v>0</v>
      </c>
      <c r="R267" s="9">
        <v>0</v>
      </c>
      <c r="S267" s="8">
        <v>3610</v>
      </c>
      <c r="T267" s="9">
        <v>4</v>
      </c>
      <c r="U267" s="9">
        <f t="shared" si="64"/>
        <v>3605</v>
      </c>
      <c r="V267" s="9">
        <f t="shared" si="65"/>
        <v>48</v>
      </c>
      <c r="W267" s="7">
        <v>10.967499999999999</v>
      </c>
      <c r="X267" s="7">
        <f t="shared" si="60"/>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v>0</v>
      </c>
      <c r="BF267" s="18">
        <v>0</v>
      </c>
      <c r="BG267">
        <v>0</v>
      </c>
      <c r="BH267">
        <v>1</v>
      </c>
      <c r="BI267" s="18">
        <v>0</v>
      </c>
      <c r="BJ267">
        <v>869</v>
      </c>
      <c r="BK267">
        <v>116</v>
      </c>
      <c r="BL267" s="25">
        <v>44.274999999999999</v>
      </c>
      <c r="BM267">
        <v>1</v>
      </c>
      <c r="BN267">
        <v>0</v>
      </c>
      <c r="BO267">
        <v>0</v>
      </c>
      <c r="BP267">
        <v>0</v>
      </c>
      <c r="BQ267">
        <v>0</v>
      </c>
      <c r="BR267">
        <v>0</v>
      </c>
      <c r="BS267">
        <v>0</v>
      </c>
      <c r="BT267" s="18">
        <v>0</v>
      </c>
      <c r="BU267">
        <v>0</v>
      </c>
      <c r="BV267">
        <v>1</v>
      </c>
      <c r="BW267">
        <v>0</v>
      </c>
      <c r="BX267" s="18">
        <v>0</v>
      </c>
      <c r="BY267">
        <v>1</v>
      </c>
      <c r="BZ267">
        <v>0</v>
      </c>
      <c r="CA267">
        <v>0</v>
      </c>
      <c r="CB267">
        <v>0</v>
      </c>
      <c r="CC267" s="18">
        <v>1</v>
      </c>
      <c r="CD267">
        <v>1</v>
      </c>
      <c r="CE267">
        <v>1</v>
      </c>
      <c r="CF267">
        <v>0</v>
      </c>
      <c r="CG267">
        <v>0</v>
      </c>
      <c r="CH267">
        <v>0</v>
      </c>
      <c r="CI267">
        <v>1</v>
      </c>
      <c r="CJ267">
        <v>1</v>
      </c>
      <c r="CK267">
        <v>0</v>
      </c>
      <c r="CL267">
        <v>0</v>
      </c>
      <c r="CM267">
        <v>0</v>
      </c>
      <c r="CN267" s="18">
        <v>1</v>
      </c>
      <c r="CO267">
        <v>0.217</v>
      </c>
      <c r="CP267">
        <v>129</v>
      </c>
      <c r="CQ267">
        <v>1</v>
      </c>
      <c r="CR267">
        <v>0</v>
      </c>
      <c r="CS267">
        <v>23</v>
      </c>
      <c r="CY267" s="34"/>
    </row>
    <row r="268" spans="1:103" x14ac:dyDescent="0.25">
      <c r="A268">
        <v>267</v>
      </c>
      <c r="B268">
        <v>18</v>
      </c>
      <c r="C268" s="25" t="s">
        <v>213</v>
      </c>
      <c r="D268" s="12">
        <v>8</v>
      </c>
      <c r="E268" s="14">
        <v>1.7</v>
      </c>
      <c r="F268" s="7">
        <f t="shared" si="69"/>
        <v>4.7058823529411766</v>
      </c>
      <c r="G268" s="7">
        <f t="shared" si="62"/>
        <v>6.3</v>
      </c>
      <c r="H268" s="16">
        <f t="shared" si="63"/>
        <v>9.6999999999999993</v>
      </c>
      <c r="I268" s="11">
        <f t="shared" si="66"/>
        <v>7.8137333630947534E-2</v>
      </c>
      <c r="J268" s="33">
        <f t="shared" si="67"/>
        <v>1.660418339657635E-2</v>
      </c>
      <c r="K268" s="33">
        <f t="shared" si="68"/>
        <v>60.225786244097499</v>
      </c>
      <c r="L268" s="8">
        <v>1</v>
      </c>
      <c r="M268" s="9">
        <v>0</v>
      </c>
      <c r="N268" s="8">
        <v>1</v>
      </c>
      <c r="O268" s="9">
        <v>0</v>
      </c>
      <c r="P268" s="9">
        <v>0</v>
      </c>
      <c r="Q268" s="9">
        <v>0</v>
      </c>
      <c r="R268" s="9">
        <v>0</v>
      </c>
      <c r="S268" s="8">
        <v>3610</v>
      </c>
      <c r="T268" s="9">
        <v>4</v>
      </c>
      <c r="U268" s="9">
        <f t="shared" si="64"/>
        <v>3605</v>
      </c>
      <c r="V268" s="9">
        <f t="shared" si="65"/>
        <v>48</v>
      </c>
      <c r="W268" s="7">
        <v>10.967499999999999</v>
      </c>
      <c r="X268" s="7">
        <f t="shared" si="60"/>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v>0</v>
      </c>
      <c r="BF268" s="18">
        <v>0</v>
      </c>
      <c r="BG268">
        <v>0</v>
      </c>
      <c r="BH268">
        <v>1</v>
      </c>
      <c r="BI268" s="18">
        <v>0</v>
      </c>
      <c r="BJ268">
        <v>869</v>
      </c>
      <c r="BK268">
        <v>116</v>
      </c>
      <c r="BL268" s="25">
        <v>44.274999999999999</v>
      </c>
      <c r="BM268">
        <v>0</v>
      </c>
      <c r="BN268">
        <v>0</v>
      </c>
      <c r="BO268">
        <v>0</v>
      </c>
      <c r="BP268">
        <v>0</v>
      </c>
      <c r="BQ268">
        <v>0</v>
      </c>
      <c r="BR268">
        <v>0</v>
      </c>
      <c r="BS268">
        <v>0</v>
      </c>
      <c r="BT268" s="18">
        <v>1</v>
      </c>
      <c r="BU268">
        <v>0</v>
      </c>
      <c r="BV268">
        <v>1</v>
      </c>
      <c r="BW268">
        <v>0</v>
      </c>
      <c r="BX268" s="18">
        <v>0</v>
      </c>
      <c r="BY268">
        <v>1</v>
      </c>
      <c r="BZ268">
        <v>0</v>
      </c>
      <c r="CA268">
        <v>0</v>
      </c>
      <c r="CB268">
        <v>0</v>
      </c>
      <c r="CC268" s="18">
        <v>1</v>
      </c>
      <c r="CD268">
        <v>1</v>
      </c>
      <c r="CE268">
        <v>1</v>
      </c>
      <c r="CF268">
        <v>0</v>
      </c>
      <c r="CG268">
        <v>0</v>
      </c>
      <c r="CH268">
        <v>0</v>
      </c>
      <c r="CI268">
        <v>1</v>
      </c>
      <c r="CJ268">
        <v>1</v>
      </c>
      <c r="CK268">
        <v>0</v>
      </c>
      <c r="CL268">
        <v>0</v>
      </c>
      <c r="CM268">
        <v>0</v>
      </c>
      <c r="CN268" s="18">
        <v>1</v>
      </c>
      <c r="CO268">
        <v>0.217</v>
      </c>
      <c r="CP268">
        <v>129</v>
      </c>
      <c r="CQ268">
        <v>1</v>
      </c>
      <c r="CR268">
        <v>0</v>
      </c>
      <c r="CS268">
        <v>23</v>
      </c>
      <c r="CY268" s="34"/>
    </row>
    <row r="269" spans="1:103" x14ac:dyDescent="0.25">
      <c r="A269">
        <v>268</v>
      </c>
      <c r="B269">
        <v>18</v>
      </c>
      <c r="C269" s="25" t="s">
        <v>213</v>
      </c>
      <c r="D269" s="12">
        <v>8.1999999999999993</v>
      </c>
      <c r="E269" s="14">
        <v>1.7</v>
      </c>
      <c r="F269" s="7">
        <f t="shared" si="69"/>
        <v>4.8235294117647056</v>
      </c>
      <c r="G269" s="7">
        <f t="shared" si="62"/>
        <v>6.4999999999999991</v>
      </c>
      <c r="H269" s="16">
        <f t="shared" si="63"/>
        <v>9.8999999999999986</v>
      </c>
      <c r="I269" s="11">
        <f t="shared" si="66"/>
        <v>8.0277770773294066E-2</v>
      </c>
      <c r="J269" s="33">
        <f t="shared" si="67"/>
        <v>1.6642952477390238E-2</v>
      </c>
      <c r="K269" s="33">
        <f t="shared" si="68"/>
        <v>60.085492724834651</v>
      </c>
      <c r="L269" s="8">
        <v>1</v>
      </c>
      <c r="M269" s="9">
        <v>0</v>
      </c>
      <c r="N269" s="8">
        <v>1</v>
      </c>
      <c r="O269" s="9">
        <v>0</v>
      </c>
      <c r="P269" s="9">
        <v>0</v>
      </c>
      <c r="Q269" s="9">
        <v>0</v>
      </c>
      <c r="R269" s="9">
        <v>0</v>
      </c>
      <c r="S269" s="8">
        <v>3598</v>
      </c>
      <c r="T269" s="9">
        <v>10</v>
      </c>
      <c r="U269" s="9">
        <f t="shared" si="64"/>
        <v>3587</v>
      </c>
      <c r="V269" s="9">
        <f t="shared" si="65"/>
        <v>48</v>
      </c>
      <c r="W269" s="7">
        <v>10.967499999999999</v>
      </c>
      <c r="X269" s="7">
        <f t="shared" si="60"/>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v>0</v>
      </c>
      <c r="BF269" s="18">
        <v>0</v>
      </c>
      <c r="BG269">
        <v>0</v>
      </c>
      <c r="BH269">
        <v>1</v>
      </c>
      <c r="BI269" s="18">
        <v>0</v>
      </c>
      <c r="BJ269">
        <v>869</v>
      </c>
      <c r="BK269">
        <v>116</v>
      </c>
      <c r="BL269" s="25">
        <v>44.274999999999999</v>
      </c>
      <c r="BM269">
        <v>0</v>
      </c>
      <c r="BN269">
        <v>0</v>
      </c>
      <c r="BO269">
        <v>0</v>
      </c>
      <c r="BP269">
        <v>0</v>
      </c>
      <c r="BQ269">
        <v>0</v>
      </c>
      <c r="BR269">
        <v>0</v>
      </c>
      <c r="BS269">
        <v>0</v>
      </c>
      <c r="BT269" s="18">
        <v>1</v>
      </c>
      <c r="BU269">
        <v>0</v>
      </c>
      <c r="BV269">
        <v>1</v>
      </c>
      <c r="BW269">
        <v>0</v>
      </c>
      <c r="BX269" s="18">
        <v>0</v>
      </c>
      <c r="BY269">
        <v>1</v>
      </c>
      <c r="BZ269">
        <v>0</v>
      </c>
      <c r="CA269">
        <v>0</v>
      </c>
      <c r="CB269">
        <v>0</v>
      </c>
      <c r="CC269" s="18">
        <v>1</v>
      </c>
      <c r="CD269">
        <v>1</v>
      </c>
      <c r="CE269">
        <v>1</v>
      </c>
      <c r="CF269">
        <v>0</v>
      </c>
      <c r="CG269">
        <v>0</v>
      </c>
      <c r="CH269">
        <v>0</v>
      </c>
      <c r="CI269">
        <v>1</v>
      </c>
      <c r="CJ269">
        <v>1</v>
      </c>
      <c r="CK269">
        <v>0</v>
      </c>
      <c r="CL269">
        <v>0</v>
      </c>
      <c r="CM269">
        <v>0</v>
      </c>
      <c r="CN269" s="18">
        <v>1</v>
      </c>
      <c r="CO269">
        <v>0.217</v>
      </c>
      <c r="CP269">
        <v>129</v>
      </c>
      <c r="CQ269">
        <v>1</v>
      </c>
      <c r="CR269">
        <v>0</v>
      </c>
      <c r="CS269">
        <v>23</v>
      </c>
      <c r="CY269" s="34"/>
    </row>
    <row r="270" spans="1:103" x14ac:dyDescent="0.25">
      <c r="A270">
        <v>269</v>
      </c>
      <c r="B270">
        <v>18</v>
      </c>
      <c r="C270" s="25" t="s">
        <v>213</v>
      </c>
      <c r="D270" s="12">
        <v>8</v>
      </c>
      <c r="E270" s="14">
        <v>1.7</v>
      </c>
      <c r="F270" s="7">
        <f t="shared" si="69"/>
        <v>4.7058823529411766</v>
      </c>
      <c r="G270" s="7">
        <f t="shared" si="62"/>
        <v>6.3</v>
      </c>
      <c r="H270" s="16">
        <f t="shared" si="63"/>
        <v>9.6999999999999993</v>
      </c>
      <c r="I270" s="11">
        <f t="shared" si="66"/>
        <v>7.8364515553668732E-2</v>
      </c>
      <c r="J270" s="33">
        <f t="shared" si="67"/>
        <v>1.6652459555154608E-2</v>
      </c>
      <c r="K270" s="33">
        <f t="shared" si="68"/>
        <v>60.051189236514894</v>
      </c>
      <c r="L270" s="8">
        <v>1</v>
      </c>
      <c r="M270" s="9">
        <v>0</v>
      </c>
      <c r="N270" s="8">
        <v>1</v>
      </c>
      <c r="O270" s="9">
        <v>0</v>
      </c>
      <c r="P270" s="9">
        <v>0</v>
      </c>
      <c r="Q270" s="9">
        <v>0</v>
      </c>
      <c r="R270" s="9">
        <v>0</v>
      </c>
      <c r="S270" s="8">
        <v>3598</v>
      </c>
      <c r="T270" s="9">
        <v>13</v>
      </c>
      <c r="U270" s="9">
        <f t="shared" si="64"/>
        <v>3584</v>
      </c>
      <c r="V270" s="9">
        <f t="shared" si="65"/>
        <v>48</v>
      </c>
      <c r="W270" s="7">
        <v>10.967499999999999</v>
      </c>
      <c r="X270" s="7">
        <f t="shared" si="60"/>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v>0</v>
      </c>
      <c r="BF270" s="18">
        <v>0</v>
      </c>
      <c r="BG270">
        <v>0</v>
      </c>
      <c r="BH270">
        <v>1</v>
      </c>
      <c r="BI270" s="18">
        <v>0</v>
      </c>
      <c r="BJ270">
        <v>869</v>
      </c>
      <c r="BK270">
        <v>116</v>
      </c>
      <c r="BL270" s="25">
        <v>44.274999999999999</v>
      </c>
      <c r="BM270">
        <v>0</v>
      </c>
      <c r="BN270">
        <v>0</v>
      </c>
      <c r="BO270">
        <v>0</v>
      </c>
      <c r="BP270">
        <v>0</v>
      </c>
      <c r="BQ270">
        <v>0</v>
      </c>
      <c r="BR270">
        <v>0</v>
      </c>
      <c r="BS270">
        <v>0</v>
      </c>
      <c r="BT270" s="18">
        <v>1</v>
      </c>
      <c r="BU270">
        <v>0</v>
      </c>
      <c r="BV270">
        <v>1</v>
      </c>
      <c r="BW270">
        <v>0</v>
      </c>
      <c r="BX270" s="18">
        <v>0</v>
      </c>
      <c r="BY270">
        <v>1</v>
      </c>
      <c r="BZ270">
        <v>0</v>
      </c>
      <c r="CA270">
        <v>0</v>
      </c>
      <c r="CB270">
        <v>0</v>
      </c>
      <c r="CC270" s="18">
        <v>1</v>
      </c>
      <c r="CD270">
        <v>1</v>
      </c>
      <c r="CE270">
        <v>1</v>
      </c>
      <c r="CF270">
        <v>0</v>
      </c>
      <c r="CG270">
        <v>0</v>
      </c>
      <c r="CH270">
        <v>0</v>
      </c>
      <c r="CI270">
        <v>1</v>
      </c>
      <c r="CJ270">
        <v>1</v>
      </c>
      <c r="CK270">
        <v>0</v>
      </c>
      <c r="CL270">
        <v>0</v>
      </c>
      <c r="CM270">
        <v>0</v>
      </c>
      <c r="CN270" s="18">
        <v>1</v>
      </c>
      <c r="CO270">
        <v>0.217</v>
      </c>
      <c r="CP270">
        <v>129</v>
      </c>
      <c r="CQ270">
        <v>1</v>
      </c>
      <c r="CR270">
        <v>0</v>
      </c>
      <c r="CS270">
        <v>23</v>
      </c>
      <c r="CY270" s="34"/>
    </row>
    <row r="271" spans="1:103" x14ac:dyDescent="0.25">
      <c r="A271">
        <v>270</v>
      </c>
      <c r="B271">
        <v>18</v>
      </c>
      <c r="C271" s="25" t="s">
        <v>213</v>
      </c>
      <c r="D271" s="12">
        <v>11.9</v>
      </c>
      <c r="E271" s="14">
        <v>0.7</v>
      </c>
      <c r="F271" s="7">
        <f t="shared" si="69"/>
        <v>17</v>
      </c>
      <c r="G271" s="7">
        <f t="shared" si="62"/>
        <v>11.200000000000001</v>
      </c>
      <c r="H271" s="16">
        <f t="shared" si="63"/>
        <v>12.6</v>
      </c>
      <c r="I271" s="11">
        <f t="shared" si="66"/>
        <v>0.27246248890491698</v>
      </c>
      <c r="J271" s="33">
        <f t="shared" si="67"/>
        <v>1.6027205229700997E-2</v>
      </c>
      <c r="K271" s="33">
        <f t="shared" si="68"/>
        <v>62.393909959225994</v>
      </c>
      <c r="L271" s="8">
        <v>1</v>
      </c>
      <c r="M271" s="9">
        <v>0</v>
      </c>
      <c r="N271" s="8">
        <v>1</v>
      </c>
      <c r="O271" s="9">
        <v>0</v>
      </c>
      <c r="P271" s="9">
        <v>0</v>
      </c>
      <c r="Q271" s="9">
        <v>0</v>
      </c>
      <c r="R271" s="9">
        <v>0</v>
      </c>
      <c r="S271" s="8">
        <v>3610</v>
      </c>
      <c r="T271" s="9">
        <v>5</v>
      </c>
      <c r="U271" s="9">
        <f t="shared" si="64"/>
        <v>3604</v>
      </c>
      <c r="V271" s="9">
        <f t="shared" si="65"/>
        <v>48</v>
      </c>
      <c r="W271" s="7">
        <v>17</v>
      </c>
      <c r="X271" s="7">
        <f t="shared" si="60"/>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v>0</v>
      </c>
      <c r="BF271" s="18">
        <v>0</v>
      </c>
      <c r="BG271">
        <v>0</v>
      </c>
      <c r="BH271">
        <v>1</v>
      </c>
      <c r="BI271" s="18">
        <v>0</v>
      </c>
      <c r="BJ271">
        <v>869</v>
      </c>
      <c r="BK271">
        <v>116</v>
      </c>
      <c r="BL271" s="25">
        <v>44.274999999999999</v>
      </c>
      <c r="BM271">
        <v>1</v>
      </c>
      <c r="BN271">
        <v>0</v>
      </c>
      <c r="BO271">
        <v>0</v>
      </c>
      <c r="BP271">
        <v>0</v>
      </c>
      <c r="BQ271">
        <v>0</v>
      </c>
      <c r="BR271">
        <v>0</v>
      </c>
      <c r="BS271">
        <v>0</v>
      </c>
      <c r="BT271" s="18">
        <v>0</v>
      </c>
      <c r="BU271">
        <v>0</v>
      </c>
      <c r="BV271">
        <v>1</v>
      </c>
      <c r="BW271">
        <v>0</v>
      </c>
      <c r="BX271" s="18">
        <v>0</v>
      </c>
      <c r="BY271">
        <v>1</v>
      </c>
      <c r="BZ271">
        <v>0</v>
      </c>
      <c r="CA271">
        <v>0</v>
      </c>
      <c r="CB271">
        <v>0</v>
      </c>
      <c r="CC271" s="18">
        <v>1</v>
      </c>
      <c r="CD271">
        <v>1</v>
      </c>
      <c r="CE271">
        <v>1</v>
      </c>
      <c r="CF271">
        <v>0</v>
      </c>
      <c r="CG271">
        <v>0</v>
      </c>
      <c r="CH271">
        <v>0</v>
      </c>
      <c r="CI271">
        <v>1</v>
      </c>
      <c r="CJ271">
        <v>1</v>
      </c>
      <c r="CK271">
        <v>0</v>
      </c>
      <c r="CL271">
        <v>0</v>
      </c>
      <c r="CM271">
        <v>0</v>
      </c>
      <c r="CN271" s="18">
        <v>1</v>
      </c>
      <c r="CO271">
        <v>0.217</v>
      </c>
      <c r="CP271">
        <v>129</v>
      </c>
      <c r="CQ271">
        <v>1</v>
      </c>
      <c r="CR271">
        <v>0</v>
      </c>
      <c r="CS271">
        <v>23</v>
      </c>
      <c r="CY271" s="34"/>
    </row>
    <row r="272" spans="1:103" x14ac:dyDescent="0.25">
      <c r="A272">
        <v>271</v>
      </c>
      <c r="B272">
        <v>18</v>
      </c>
      <c r="C272" s="25" t="s">
        <v>213</v>
      </c>
      <c r="D272" s="12">
        <v>5.3</v>
      </c>
      <c r="E272" s="14">
        <v>0.8</v>
      </c>
      <c r="F272" s="7">
        <f t="shared" si="69"/>
        <v>6.6249999999999991</v>
      </c>
      <c r="G272" s="7">
        <f t="shared" si="62"/>
        <v>4.5</v>
      </c>
      <c r="H272" s="16">
        <f t="shared" si="63"/>
        <v>6.1</v>
      </c>
      <c r="I272" s="11">
        <f t="shared" si="66"/>
        <v>0.10968948019675485</v>
      </c>
      <c r="J272" s="33">
        <f t="shared" si="67"/>
        <v>1.6556902671208282E-2</v>
      </c>
      <c r="K272" s="33">
        <f t="shared" si="68"/>
        <v>60.397770033338155</v>
      </c>
      <c r="L272" s="8">
        <v>1</v>
      </c>
      <c r="M272" s="9">
        <v>0</v>
      </c>
      <c r="N272" s="8">
        <v>1</v>
      </c>
      <c r="O272" s="9">
        <v>0</v>
      </c>
      <c r="P272" s="9">
        <v>0</v>
      </c>
      <c r="Q272" s="9">
        <v>0</v>
      </c>
      <c r="R272" s="9">
        <v>0</v>
      </c>
      <c r="S272" s="8">
        <v>3610</v>
      </c>
      <c r="T272" s="9">
        <v>5</v>
      </c>
      <c r="U272" s="9">
        <f t="shared" si="64"/>
        <v>3604</v>
      </c>
      <c r="V272" s="9">
        <f t="shared" si="65"/>
        <v>48</v>
      </c>
      <c r="W272" s="7">
        <v>7</v>
      </c>
      <c r="X272" s="7">
        <f t="shared" si="60"/>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v>0</v>
      </c>
      <c r="BF272" s="18">
        <v>0</v>
      </c>
      <c r="BG272">
        <v>0</v>
      </c>
      <c r="BH272">
        <v>1</v>
      </c>
      <c r="BI272" s="18">
        <v>0</v>
      </c>
      <c r="BJ272">
        <v>869</v>
      </c>
      <c r="BK272">
        <v>116</v>
      </c>
      <c r="BL272" s="25">
        <v>44.274999999999999</v>
      </c>
      <c r="BM272">
        <v>1</v>
      </c>
      <c r="BN272">
        <v>0</v>
      </c>
      <c r="BO272">
        <v>0</v>
      </c>
      <c r="BP272">
        <v>0</v>
      </c>
      <c r="BQ272">
        <v>0</v>
      </c>
      <c r="BR272">
        <v>0</v>
      </c>
      <c r="BS272">
        <v>0</v>
      </c>
      <c r="BT272" s="18">
        <v>0</v>
      </c>
      <c r="BU272">
        <v>0</v>
      </c>
      <c r="BV272">
        <v>1</v>
      </c>
      <c r="BW272">
        <v>0</v>
      </c>
      <c r="BX272" s="18">
        <v>0</v>
      </c>
      <c r="BY272">
        <v>1</v>
      </c>
      <c r="BZ272">
        <v>0</v>
      </c>
      <c r="CA272">
        <v>0</v>
      </c>
      <c r="CB272">
        <v>0</v>
      </c>
      <c r="CC272" s="18">
        <v>1</v>
      </c>
      <c r="CD272">
        <v>1</v>
      </c>
      <c r="CE272">
        <v>1</v>
      </c>
      <c r="CF272">
        <v>0</v>
      </c>
      <c r="CG272">
        <v>0</v>
      </c>
      <c r="CH272">
        <v>0</v>
      </c>
      <c r="CI272">
        <v>1</v>
      </c>
      <c r="CJ272">
        <v>1</v>
      </c>
      <c r="CK272">
        <v>0</v>
      </c>
      <c r="CL272">
        <v>0</v>
      </c>
      <c r="CM272">
        <v>0</v>
      </c>
      <c r="CN272" s="18">
        <v>1</v>
      </c>
      <c r="CO272">
        <v>0.217</v>
      </c>
      <c r="CP272">
        <v>129</v>
      </c>
      <c r="CQ272">
        <v>1</v>
      </c>
      <c r="CR272">
        <v>0</v>
      </c>
      <c r="CS272">
        <v>23</v>
      </c>
      <c r="CY272" s="34"/>
    </row>
    <row r="273" spans="1:103" x14ac:dyDescent="0.25">
      <c r="A273">
        <v>272</v>
      </c>
      <c r="B273">
        <v>18</v>
      </c>
      <c r="C273" s="25" t="s">
        <v>213</v>
      </c>
      <c r="D273" s="12">
        <v>9.9</v>
      </c>
      <c r="E273" s="14">
        <v>3.9</v>
      </c>
      <c r="F273" s="7">
        <f t="shared" si="69"/>
        <v>2.5384615384615388</v>
      </c>
      <c r="G273" s="7">
        <f t="shared" si="62"/>
        <v>6</v>
      </c>
      <c r="H273" s="16">
        <f t="shared" si="63"/>
        <v>13.8</v>
      </c>
      <c r="I273" s="11">
        <f t="shared" si="66"/>
        <v>4.2246457103995896E-2</v>
      </c>
      <c r="J273" s="33">
        <f t="shared" si="67"/>
        <v>1.6642543707634745E-2</v>
      </c>
      <c r="K273" s="33">
        <f t="shared" si="68"/>
        <v>60.086968528810374</v>
      </c>
      <c r="L273" s="8">
        <v>1</v>
      </c>
      <c r="M273" s="9">
        <v>0</v>
      </c>
      <c r="N273" s="8">
        <v>1</v>
      </c>
      <c r="O273" s="9">
        <v>0</v>
      </c>
      <c r="P273" s="9">
        <v>0</v>
      </c>
      <c r="Q273" s="9">
        <v>0</v>
      </c>
      <c r="R273" s="9">
        <v>0</v>
      </c>
      <c r="S273" s="8">
        <v>3610</v>
      </c>
      <c r="T273" s="9">
        <v>5</v>
      </c>
      <c r="U273" s="9">
        <f t="shared" si="64"/>
        <v>3604</v>
      </c>
      <c r="V273" s="9">
        <f t="shared" si="65"/>
        <v>48</v>
      </c>
      <c r="W273" s="7">
        <v>17</v>
      </c>
      <c r="X273" s="7">
        <f t="shared" si="60"/>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v>0</v>
      </c>
      <c r="BF273" s="18">
        <v>0</v>
      </c>
      <c r="BG273">
        <v>0</v>
      </c>
      <c r="BH273">
        <v>1</v>
      </c>
      <c r="BI273" s="18">
        <v>0</v>
      </c>
      <c r="BJ273">
        <v>869</v>
      </c>
      <c r="BK273">
        <v>116</v>
      </c>
      <c r="BL273" s="25">
        <v>44.274999999999999</v>
      </c>
      <c r="BM273">
        <v>0</v>
      </c>
      <c r="BN273">
        <v>0</v>
      </c>
      <c r="BO273">
        <v>0</v>
      </c>
      <c r="BP273">
        <v>0</v>
      </c>
      <c r="BQ273">
        <v>0</v>
      </c>
      <c r="BR273">
        <v>0</v>
      </c>
      <c r="BS273">
        <v>0</v>
      </c>
      <c r="BT273" s="18">
        <v>1</v>
      </c>
      <c r="BU273">
        <v>0</v>
      </c>
      <c r="BV273">
        <v>1</v>
      </c>
      <c r="BW273">
        <v>0</v>
      </c>
      <c r="BX273" s="18">
        <v>0</v>
      </c>
      <c r="BY273">
        <v>1</v>
      </c>
      <c r="BZ273">
        <v>0</v>
      </c>
      <c r="CA273">
        <v>0</v>
      </c>
      <c r="CB273">
        <v>0</v>
      </c>
      <c r="CC273" s="18">
        <v>1</v>
      </c>
      <c r="CD273">
        <v>1</v>
      </c>
      <c r="CE273">
        <v>1</v>
      </c>
      <c r="CF273">
        <v>0</v>
      </c>
      <c r="CG273">
        <v>0</v>
      </c>
      <c r="CH273">
        <v>0</v>
      </c>
      <c r="CI273">
        <v>1</v>
      </c>
      <c r="CJ273">
        <v>1</v>
      </c>
      <c r="CK273">
        <v>0</v>
      </c>
      <c r="CL273">
        <v>0</v>
      </c>
      <c r="CM273">
        <v>0</v>
      </c>
      <c r="CN273" s="18">
        <v>1</v>
      </c>
      <c r="CO273">
        <v>0.217</v>
      </c>
      <c r="CP273">
        <v>129</v>
      </c>
      <c r="CQ273">
        <v>1</v>
      </c>
      <c r="CR273">
        <v>0</v>
      </c>
      <c r="CS273">
        <v>23</v>
      </c>
      <c r="CY273" s="34"/>
    </row>
    <row r="274" spans="1:103" x14ac:dyDescent="0.25">
      <c r="A274">
        <v>273</v>
      </c>
      <c r="B274">
        <v>18</v>
      </c>
      <c r="C274" s="25" t="s">
        <v>213</v>
      </c>
      <c r="D274" s="12">
        <v>7</v>
      </c>
      <c r="E274" s="14">
        <v>2.7</v>
      </c>
      <c r="F274" s="7">
        <f t="shared" si="69"/>
        <v>2.5925925925925926</v>
      </c>
      <c r="G274" s="7">
        <f t="shared" si="62"/>
        <v>4.3</v>
      </c>
      <c r="H274" s="16">
        <f t="shared" si="63"/>
        <v>9.6999999999999993</v>
      </c>
      <c r="I274" s="11">
        <f t="shared" si="66"/>
        <v>4.3145675984180239E-2</v>
      </c>
      <c r="J274" s="33">
        <f t="shared" si="67"/>
        <v>1.664190359389809E-2</v>
      </c>
      <c r="K274" s="33">
        <f t="shared" si="68"/>
        <v>60.08927971236772</v>
      </c>
      <c r="L274" s="8">
        <v>1</v>
      </c>
      <c r="M274" s="9">
        <v>0</v>
      </c>
      <c r="N274" s="8">
        <v>1</v>
      </c>
      <c r="O274" s="9">
        <v>0</v>
      </c>
      <c r="P274" s="9">
        <v>0</v>
      </c>
      <c r="Q274" s="9">
        <v>0</v>
      </c>
      <c r="R274" s="9">
        <v>0</v>
      </c>
      <c r="S274" s="8">
        <v>3610</v>
      </c>
      <c r="T274" s="9">
        <v>5</v>
      </c>
      <c r="U274" s="9">
        <f t="shared" si="64"/>
        <v>3604</v>
      </c>
      <c r="V274" s="9">
        <f t="shared" si="65"/>
        <v>48</v>
      </c>
      <c r="W274" s="7">
        <v>7</v>
      </c>
      <c r="X274" s="7">
        <f t="shared" si="60"/>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v>0</v>
      </c>
      <c r="BF274" s="18">
        <v>0</v>
      </c>
      <c r="BG274">
        <v>0</v>
      </c>
      <c r="BH274">
        <v>1</v>
      </c>
      <c r="BI274" s="18">
        <v>0</v>
      </c>
      <c r="BJ274">
        <v>869</v>
      </c>
      <c r="BK274">
        <v>116</v>
      </c>
      <c r="BL274" s="25">
        <v>44.274999999999999</v>
      </c>
      <c r="BM274">
        <v>0</v>
      </c>
      <c r="BN274">
        <v>0</v>
      </c>
      <c r="BO274">
        <v>0</v>
      </c>
      <c r="BP274">
        <v>0</v>
      </c>
      <c r="BQ274">
        <v>0</v>
      </c>
      <c r="BR274">
        <v>0</v>
      </c>
      <c r="BS274">
        <v>0</v>
      </c>
      <c r="BT274" s="18">
        <v>1</v>
      </c>
      <c r="BU274">
        <v>0</v>
      </c>
      <c r="BV274">
        <v>1</v>
      </c>
      <c r="BW274">
        <v>0</v>
      </c>
      <c r="BX274" s="18">
        <v>0</v>
      </c>
      <c r="BY274">
        <v>1</v>
      </c>
      <c r="BZ274">
        <v>0</v>
      </c>
      <c r="CA274">
        <v>0</v>
      </c>
      <c r="CB274">
        <v>0</v>
      </c>
      <c r="CC274" s="18">
        <v>1</v>
      </c>
      <c r="CD274">
        <v>1</v>
      </c>
      <c r="CE274">
        <v>1</v>
      </c>
      <c r="CF274">
        <v>0</v>
      </c>
      <c r="CG274">
        <v>0</v>
      </c>
      <c r="CH274">
        <v>0</v>
      </c>
      <c r="CI274">
        <v>1</v>
      </c>
      <c r="CJ274">
        <v>1</v>
      </c>
      <c r="CK274">
        <v>0</v>
      </c>
      <c r="CL274">
        <v>0</v>
      </c>
      <c r="CM274">
        <v>0</v>
      </c>
      <c r="CN274" s="18">
        <v>1</v>
      </c>
      <c r="CO274">
        <v>0.217</v>
      </c>
      <c r="CP274">
        <v>129</v>
      </c>
      <c r="CQ274">
        <v>1</v>
      </c>
      <c r="CR274">
        <v>0</v>
      </c>
      <c r="CS274">
        <v>23</v>
      </c>
      <c r="CY274" s="34"/>
    </row>
    <row r="275" spans="1:103" x14ac:dyDescent="0.25">
      <c r="A275">
        <v>274</v>
      </c>
      <c r="B275">
        <v>18</v>
      </c>
      <c r="C275" s="25" t="s">
        <v>213</v>
      </c>
      <c r="D275" s="12">
        <v>9.6</v>
      </c>
      <c r="E275" s="14">
        <v>3.7</v>
      </c>
      <c r="F275" s="7">
        <f t="shared" si="69"/>
        <v>2.5945945945945943</v>
      </c>
      <c r="G275" s="7">
        <f t="shared" si="62"/>
        <v>5.8999999999999995</v>
      </c>
      <c r="H275" s="16">
        <f t="shared" si="63"/>
        <v>13.3</v>
      </c>
      <c r="I275" s="11">
        <f t="shared" si="66"/>
        <v>4.3286961577418265E-2</v>
      </c>
      <c r="J275" s="33">
        <f t="shared" si="67"/>
        <v>1.6683516441296627E-2</v>
      </c>
      <c r="K275" s="33">
        <f t="shared" si="68"/>
        <v>59.93940207501489</v>
      </c>
      <c r="L275" s="8">
        <v>1</v>
      </c>
      <c r="M275" s="9">
        <v>0</v>
      </c>
      <c r="N275" s="8">
        <v>1</v>
      </c>
      <c r="O275" s="9">
        <v>0</v>
      </c>
      <c r="P275" s="9">
        <v>0</v>
      </c>
      <c r="Q275" s="9">
        <v>0</v>
      </c>
      <c r="R275" s="9">
        <v>0</v>
      </c>
      <c r="S275" s="8">
        <v>3598</v>
      </c>
      <c r="T275" s="9">
        <v>11</v>
      </c>
      <c r="U275" s="9">
        <f t="shared" si="64"/>
        <v>3586</v>
      </c>
      <c r="V275" s="9">
        <f t="shared" si="65"/>
        <v>48</v>
      </c>
      <c r="W275" s="7">
        <v>17</v>
      </c>
      <c r="X275" s="7">
        <f t="shared" si="60"/>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v>0</v>
      </c>
      <c r="BF275" s="18">
        <v>0</v>
      </c>
      <c r="BG275">
        <v>0</v>
      </c>
      <c r="BH275">
        <v>1</v>
      </c>
      <c r="BI275" s="18">
        <v>0</v>
      </c>
      <c r="BJ275">
        <v>869</v>
      </c>
      <c r="BK275">
        <v>116</v>
      </c>
      <c r="BL275" s="25">
        <v>44.274999999999999</v>
      </c>
      <c r="BM275">
        <v>0</v>
      </c>
      <c r="BN275">
        <v>0</v>
      </c>
      <c r="BO275">
        <v>0</v>
      </c>
      <c r="BP275">
        <v>0</v>
      </c>
      <c r="BQ275">
        <v>0</v>
      </c>
      <c r="BR275">
        <v>0</v>
      </c>
      <c r="BS275">
        <v>0</v>
      </c>
      <c r="BT275" s="18">
        <v>1</v>
      </c>
      <c r="BU275">
        <v>0</v>
      </c>
      <c r="BV275">
        <v>1</v>
      </c>
      <c r="BW275">
        <v>0</v>
      </c>
      <c r="BX275" s="18">
        <v>0</v>
      </c>
      <c r="BY275">
        <v>1</v>
      </c>
      <c r="BZ275">
        <v>0</v>
      </c>
      <c r="CA275">
        <v>0</v>
      </c>
      <c r="CB275">
        <v>0</v>
      </c>
      <c r="CC275" s="18">
        <v>1</v>
      </c>
      <c r="CD275">
        <v>1</v>
      </c>
      <c r="CE275">
        <v>1</v>
      </c>
      <c r="CF275">
        <v>0</v>
      </c>
      <c r="CG275">
        <v>0</v>
      </c>
      <c r="CH275">
        <v>0</v>
      </c>
      <c r="CI275">
        <v>1</v>
      </c>
      <c r="CJ275">
        <v>1</v>
      </c>
      <c r="CK275">
        <v>0</v>
      </c>
      <c r="CL275">
        <v>0</v>
      </c>
      <c r="CM275">
        <v>0</v>
      </c>
      <c r="CN275" s="18">
        <v>1</v>
      </c>
      <c r="CO275">
        <v>0.217</v>
      </c>
      <c r="CP275">
        <v>129</v>
      </c>
      <c r="CQ275">
        <v>1</v>
      </c>
      <c r="CR275">
        <v>0</v>
      </c>
      <c r="CS275">
        <v>23</v>
      </c>
      <c r="CY275" s="34"/>
    </row>
    <row r="276" spans="1:103" x14ac:dyDescent="0.25">
      <c r="A276">
        <v>275</v>
      </c>
      <c r="B276">
        <v>18</v>
      </c>
      <c r="C276" s="25" t="s">
        <v>213</v>
      </c>
      <c r="D276" s="12">
        <v>7.4</v>
      </c>
      <c r="E276" s="14">
        <v>2.7</v>
      </c>
      <c r="F276" s="7">
        <f t="shared" si="69"/>
        <v>2.7407407407407405</v>
      </c>
      <c r="G276" s="7">
        <f t="shared" si="62"/>
        <v>4.7</v>
      </c>
      <c r="H276" s="16">
        <f t="shared" si="63"/>
        <v>10.100000000000001</v>
      </c>
      <c r="I276" s="11">
        <f t="shared" si="66"/>
        <v>4.5720232096191346E-2</v>
      </c>
      <c r="J276" s="33">
        <f t="shared" si="67"/>
        <v>1.6681706305367115E-2</v>
      </c>
      <c r="K276" s="33">
        <f t="shared" si="68"/>
        <v>59.94590611382862</v>
      </c>
      <c r="L276" s="8">
        <v>1</v>
      </c>
      <c r="M276" s="9">
        <v>0</v>
      </c>
      <c r="N276" s="8">
        <v>1</v>
      </c>
      <c r="O276" s="9">
        <v>0</v>
      </c>
      <c r="P276" s="9">
        <v>0</v>
      </c>
      <c r="Q276" s="9">
        <v>0</v>
      </c>
      <c r="R276" s="9">
        <v>0</v>
      </c>
      <c r="S276" s="8">
        <v>3598</v>
      </c>
      <c r="T276" s="9">
        <v>11</v>
      </c>
      <c r="U276" s="9">
        <f t="shared" si="64"/>
        <v>3586</v>
      </c>
      <c r="V276" s="9">
        <f t="shared" si="65"/>
        <v>48</v>
      </c>
      <c r="W276" s="7">
        <v>7</v>
      </c>
      <c r="X276" s="7">
        <f t="shared" si="60"/>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v>0</v>
      </c>
      <c r="BF276" s="18">
        <v>0</v>
      </c>
      <c r="BG276">
        <v>0</v>
      </c>
      <c r="BH276">
        <v>1</v>
      </c>
      <c r="BI276" s="18">
        <v>0</v>
      </c>
      <c r="BJ276">
        <v>869</v>
      </c>
      <c r="BK276">
        <v>116</v>
      </c>
      <c r="BL276" s="25">
        <v>44.274999999999999</v>
      </c>
      <c r="BM276">
        <v>0</v>
      </c>
      <c r="BN276">
        <v>0</v>
      </c>
      <c r="BO276">
        <v>0</v>
      </c>
      <c r="BP276">
        <v>0</v>
      </c>
      <c r="BQ276">
        <v>0</v>
      </c>
      <c r="BR276">
        <v>0</v>
      </c>
      <c r="BS276">
        <v>0</v>
      </c>
      <c r="BT276" s="18">
        <v>1</v>
      </c>
      <c r="BU276">
        <v>0</v>
      </c>
      <c r="BV276">
        <v>1</v>
      </c>
      <c r="BW276">
        <v>0</v>
      </c>
      <c r="BX276" s="18">
        <v>0</v>
      </c>
      <c r="BY276">
        <v>1</v>
      </c>
      <c r="BZ276">
        <v>0</v>
      </c>
      <c r="CA276">
        <v>0</v>
      </c>
      <c r="CB276">
        <v>0</v>
      </c>
      <c r="CC276" s="18">
        <v>1</v>
      </c>
      <c r="CD276">
        <v>1</v>
      </c>
      <c r="CE276">
        <v>1</v>
      </c>
      <c r="CF276">
        <v>0</v>
      </c>
      <c r="CG276">
        <v>0</v>
      </c>
      <c r="CH276">
        <v>0</v>
      </c>
      <c r="CI276">
        <v>1</v>
      </c>
      <c r="CJ276">
        <v>1</v>
      </c>
      <c r="CK276">
        <v>0</v>
      </c>
      <c r="CL276">
        <v>0</v>
      </c>
      <c r="CM276">
        <v>0</v>
      </c>
      <c r="CN276" s="18">
        <v>1</v>
      </c>
      <c r="CO276">
        <v>0.217</v>
      </c>
      <c r="CP276">
        <v>129</v>
      </c>
      <c r="CQ276">
        <v>1</v>
      </c>
      <c r="CR276">
        <v>0</v>
      </c>
      <c r="CS276">
        <v>23</v>
      </c>
      <c r="CY276" s="34"/>
    </row>
    <row r="277" spans="1:103" x14ac:dyDescent="0.25">
      <c r="A277">
        <v>276</v>
      </c>
      <c r="B277">
        <v>18</v>
      </c>
      <c r="C277" s="25" t="s">
        <v>213</v>
      </c>
      <c r="D277" s="12">
        <v>9.8000000000000007</v>
      </c>
      <c r="E277" s="14">
        <v>4</v>
      </c>
      <c r="F277" s="7">
        <f t="shared" si="69"/>
        <v>2.4500000000000002</v>
      </c>
      <c r="G277" s="7">
        <f t="shared" si="62"/>
        <v>5.8000000000000007</v>
      </c>
      <c r="H277" s="16">
        <f t="shared" si="63"/>
        <v>13.8</v>
      </c>
      <c r="I277" s="11">
        <f t="shared" si="66"/>
        <v>4.0895846678058546E-2</v>
      </c>
      <c r="J277" s="33">
        <f t="shared" si="67"/>
        <v>1.6692182317574914E-2</v>
      </c>
      <c r="K277" s="33">
        <f t="shared" si="68"/>
        <v>59.90828406823217</v>
      </c>
      <c r="L277" s="8">
        <v>1</v>
      </c>
      <c r="M277" s="9">
        <v>0</v>
      </c>
      <c r="N277" s="8">
        <v>1</v>
      </c>
      <c r="O277" s="9">
        <v>0</v>
      </c>
      <c r="P277" s="9">
        <v>0</v>
      </c>
      <c r="Q277" s="9">
        <v>0</v>
      </c>
      <c r="R277" s="9">
        <v>0</v>
      </c>
      <c r="S277" s="8">
        <v>3598</v>
      </c>
      <c r="T277" s="9">
        <v>14</v>
      </c>
      <c r="U277" s="9">
        <f t="shared" si="64"/>
        <v>3583</v>
      </c>
      <c r="V277" s="9">
        <f t="shared" si="65"/>
        <v>48</v>
      </c>
      <c r="W277" s="7">
        <v>17</v>
      </c>
      <c r="X277" s="7">
        <f t="shared" si="60"/>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v>0</v>
      </c>
      <c r="BF277" s="18">
        <v>0</v>
      </c>
      <c r="BG277">
        <v>0</v>
      </c>
      <c r="BH277">
        <v>1</v>
      </c>
      <c r="BI277" s="18">
        <v>0</v>
      </c>
      <c r="BJ277">
        <v>869</v>
      </c>
      <c r="BK277">
        <v>116</v>
      </c>
      <c r="BL277" s="25">
        <v>44.274999999999999</v>
      </c>
      <c r="BM277">
        <v>0</v>
      </c>
      <c r="BN277">
        <v>0</v>
      </c>
      <c r="BO277">
        <v>0</v>
      </c>
      <c r="BP277">
        <v>0</v>
      </c>
      <c r="BQ277">
        <v>0</v>
      </c>
      <c r="BR277">
        <v>0</v>
      </c>
      <c r="BS277">
        <v>0</v>
      </c>
      <c r="BT277" s="18">
        <v>1</v>
      </c>
      <c r="BU277">
        <v>0</v>
      </c>
      <c r="BV277">
        <v>1</v>
      </c>
      <c r="BW277">
        <v>0</v>
      </c>
      <c r="BX277" s="18">
        <v>0</v>
      </c>
      <c r="BY277">
        <v>1</v>
      </c>
      <c r="BZ277">
        <v>0</v>
      </c>
      <c r="CA277">
        <v>0</v>
      </c>
      <c r="CB277">
        <v>0</v>
      </c>
      <c r="CC277" s="18">
        <v>1</v>
      </c>
      <c r="CD277">
        <v>1</v>
      </c>
      <c r="CE277">
        <v>1</v>
      </c>
      <c r="CF277">
        <v>0</v>
      </c>
      <c r="CG277">
        <v>0</v>
      </c>
      <c r="CH277">
        <v>0</v>
      </c>
      <c r="CI277">
        <v>1</v>
      </c>
      <c r="CJ277">
        <v>1</v>
      </c>
      <c r="CK277">
        <v>0</v>
      </c>
      <c r="CL277">
        <v>0</v>
      </c>
      <c r="CM277">
        <v>0</v>
      </c>
      <c r="CN277" s="18">
        <v>1</v>
      </c>
      <c r="CO277">
        <v>0.217</v>
      </c>
      <c r="CP277">
        <v>129</v>
      </c>
      <c r="CQ277">
        <v>1</v>
      </c>
      <c r="CR277">
        <v>0</v>
      </c>
      <c r="CS277">
        <v>23</v>
      </c>
      <c r="CY277" s="34"/>
    </row>
    <row r="278" spans="1:103" s="51" customFormat="1" x14ac:dyDescent="0.25">
      <c r="A278" s="51">
        <v>277</v>
      </c>
      <c r="B278" s="51">
        <v>18</v>
      </c>
      <c r="C278" s="52" t="s">
        <v>213</v>
      </c>
      <c r="D278" s="53">
        <v>7</v>
      </c>
      <c r="E278" s="54">
        <v>2.7</v>
      </c>
      <c r="F278" s="55">
        <f t="shared" si="69"/>
        <v>2.5925925925925926</v>
      </c>
      <c r="G278" s="55">
        <f t="shared" si="62"/>
        <v>4.3</v>
      </c>
      <c r="H278" s="56">
        <f t="shared" si="63"/>
        <v>9.6999999999999993</v>
      </c>
      <c r="I278" s="11">
        <f t="shared" si="66"/>
        <v>4.3271693828277141E-2</v>
      </c>
      <c r="J278" s="33">
        <f t="shared" si="67"/>
        <v>1.6690510476621182E-2</v>
      </c>
      <c r="K278" s="33">
        <f t="shared" si="68"/>
        <v>59.914284910621824</v>
      </c>
      <c r="L278" s="59">
        <v>1</v>
      </c>
      <c r="M278" s="60">
        <v>0</v>
      </c>
      <c r="N278" s="59">
        <v>1</v>
      </c>
      <c r="O278" s="60">
        <v>0</v>
      </c>
      <c r="P278" s="60">
        <v>0</v>
      </c>
      <c r="Q278" s="60">
        <v>0</v>
      </c>
      <c r="R278" s="60">
        <v>0</v>
      </c>
      <c r="S278" s="59">
        <v>3598</v>
      </c>
      <c r="T278" s="60">
        <v>14</v>
      </c>
      <c r="U278" s="60">
        <f t="shared" si="64"/>
        <v>3583</v>
      </c>
      <c r="V278" s="60">
        <f t="shared" si="65"/>
        <v>48</v>
      </c>
      <c r="W278" s="55">
        <v>7</v>
      </c>
      <c r="X278" s="55">
        <f t="shared" si="60"/>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v>0</v>
      </c>
      <c r="BF278" s="65">
        <v>0</v>
      </c>
      <c r="BG278">
        <v>0</v>
      </c>
      <c r="BH278">
        <v>1</v>
      </c>
      <c r="BI278" s="65">
        <v>0</v>
      </c>
      <c r="BJ278">
        <v>869</v>
      </c>
      <c r="BK278">
        <v>116</v>
      </c>
      <c r="BL278" s="52">
        <v>44.274999999999999</v>
      </c>
      <c r="BM278" s="51">
        <v>0</v>
      </c>
      <c r="BN278" s="51">
        <v>0</v>
      </c>
      <c r="BO278" s="51">
        <v>0</v>
      </c>
      <c r="BP278" s="51">
        <v>0</v>
      </c>
      <c r="BQ278" s="51">
        <v>0</v>
      </c>
      <c r="BR278" s="51">
        <v>0</v>
      </c>
      <c r="BS278" s="51">
        <v>0</v>
      </c>
      <c r="BT278" s="65">
        <v>1</v>
      </c>
      <c r="BU278" s="51">
        <v>0</v>
      </c>
      <c r="BV278" s="51">
        <v>1</v>
      </c>
      <c r="BW278" s="51">
        <v>0</v>
      </c>
      <c r="BX278" s="65">
        <v>0</v>
      </c>
      <c r="BY278" s="51">
        <v>1</v>
      </c>
      <c r="BZ278" s="51">
        <v>0</v>
      </c>
      <c r="CA278" s="51">
        <v>0</v>
      </c>
      <c r="CB278" s="51">
        <v>0</v>
      </c>
      <c r="CC278" s="65">
        <v>1</v>
      </c>
      <c r="CD278" s="51">
        <v>1</v>
      </c>
      <c r="CE278" s="51">
        <v>1</v>
      </c>
      <c r="CF278" s="51">
        <v>0</v>
      </c>
      <c r="CG278" s="51">
        <v>0</v>
      </c>
      <c r="CH278" s="51">
        <v>0</v>
      </c>
      <c r="CI278" s="51">
        <v>1</v>
      </c>
      <c r="CJ278" s="51">
        <v>1</v>
      </c>
      <c r="CK278" s="51">
        <v>0</v>
      </c>
      <c r="CL278" s="51">
        <v>0</v>
      </c>
      <c r="CM278" s="51">
        <v>0</v>
      </c>
      <c r="CN278" s="65">
        <v>1</v>
      </c>
      <c r="CO278">
        <v>0.217</v>
      </c>
      <c r="CP278">
        <v>129</v>
      </c>
      <c r="CQ278">
        <v>1</v>
      </c>
      <c r="CR278">
        <v>0</v>
      </c>
      <c r="CS278">
        <v>23</v>
      </c>
      <c r="CT278" s="67"/>
      <c r="CY278" s="67"/>
    </row>
    <row r="279" spans="1:103" x14ac:dyDescent="0.25">
      <c r="A279">
        <v>278</v>
      </c>
      <c r="B279">
        <v>19</v>
      </c>
      <c r="C279" s="25" t="s">
        <v>219</v>
      </c>
      <c r="D279" s="12">
        <v>1.5842461862563659</v>
      </c>
      <c r="E279" s="14">
        <v>10.58752761730153</v>
      </c>
      <c r="F279" s="7">
        <v>0.14963325183374079</v>
      </c>
      <c r="G279" s="7">
        <f t="shared" si="62"/>
        <v>-9.0032814310451652</v>
      </c>
      <c r="H279" s="16">
        <f t="shared" si="63"/>
        <v>12.171773803557896</v>
      </c>
      <c r="I279" s="11">
        <f t="shared" si="66"/>
        <v>2.1486033195640079E-3</v>
      </c>
      <c r="J279" s="33">
        <f t="shared" si="67"/>
        <v>1.4359130027805221E-2</v>
      </c>
      <c r="K279" s="33">
        <f t="shared" si="68"/>
        <v>69.642102137356929</v>
      </c>
      <c r="L279" s="8">
        <v>1</v>
      </c>
      <c r="M279" s="9">
        <v>0</v>
      </c>
      <c r="N279" s="8">
        <v>0</v>
      </c>
      <c r="O279" s="9">
        <v>1</v>
      </c>
      <c r="P279" s="9">
        <v>0</v>
      </c>
      <c r="Q279" s="9">
        <v>0</v>
      </c>
      <c r="R279" s="9">
        <v>0</v>
      </c>
      <c r="S279" s="8">
        <v>4880</v>
      </c>
      <c r="T279" s="9">
        <v>29</v>
      </c>
      <c r="U279" s="9">
        <f t="shared" si="64"/>
        <v>4850</v>
      </c>
      <c r="V279" s="9">
        <f t="shared" si="65"/>
        <v>16</v>
      </c>
      <c r="W279" s="7">
        <v>6</v>
      </c>
      <c r="X279" s="7">
        <f t="shared" si="60"/>
        <v>37.57</v>
      </c>
      <c r="Y279" s="9">
        <v>0</v>
      </c>
      <c r="Z279" s="9">
        <v>1</v>
      </c>
      <c r="AA279" s="9">
        <v>0</v>
      </c>
      <c r="AB279" s="9">
        <v>0</v>
      </c>
      <c r="AC279" s="9">
        <v>1</v>
      </c>
      <c r="AD279" s="9">
        <v>0</v>
      </c>
      <c r="AE279" s="8">
        <v>0</v>
      </c>
      <c r="AF279" s="9">
        <v>1</v>
      </c>
      <c r="AG279" s="30">
        <v>0</v>
      </c>
      <c r="AH279" s="9">
        <v>1</v>
      </c>
      <c r="AI279" s="30">
        <v>0</v>
      </c>
      <c r="AJ279" s="21">
        <v>2011</v>
      </c>
      <c r="AK279" s="33">
        <f t="shared" ref="AK279:AK294" si="70">1-(AL279+AM279+AN279)</f>
        <v>0.3972</v>
      </c>
      <c r="AL279" s="33">
        <v>0.26300000000000001</v>
      </c>
      <c r="AM279" s="33">
        <v>0.2162</v>
      </c>
      <c r="AN279" s="43">
        <v>0.1236</v>
      </c>
      <c r="AO279" s="42">
        <v>1</v>
      </c>
      <c r="AP279" s="18">
        <v>0</v>
      </c>
      <c r="AQ279">
        <v>0.18748699999999999</v>
      </c>
      <c r="AR279" s="40">
        <f t="shared" ref="AR279:AR294" si="71">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v>0</v>
      </c>
      <c r="BF279" s="18">
        <v>1</v>
      </c>
      <c r="BG279">
        <v>0</v>
      </c>
      <c r="BH279">
        <v>1</v>
      </c>
      <c r="BI279" s="18">
        <v>0</v>
      </c>
      <c r="BJ279">
        <v>1894</v>
      </c>
      <c r="BK279">
        <v>75</v>
      </c>
      <c r="BL279" s="25">
        <v>49.57</v>
      </c>
      <c r="BM279">
        <v>0</v>
      </c>
      <c r="BN279">
        <v>1</v>
      </c>
      <c r="BO279">
        <v>0</v>
      </c>
      <c r="BP279">
        <v>0</v>
      </c>
      <c r="BQ279">
        <v>0</v>
      </c>
      <c r="BR279">
        <v>0</v>
      </c>
      <c r="BS279">
        <v>0</v>
      </c>
      <c r="BT279" s="18">
        <v>0</v>
      </c>
      <c r="BU279">
        <v>0</v>
      </c>
      <c r="BV279">
        <v>0</v>
      </c>
      <c r="BW279">
        <v>1</v>
      </c>
      <c r="BX279" s="18">
        <v>0</v>
      </c>
      <c r="BY279">
        <v>1</v>
      </c>
      <c r="BZ279">
        <v>0</v>
      </c>
      <c r="CA279">
        <v>0</v>
      </c>
      <c r="CB279">
        <v>0</v>
      </c>
      <c r="CC279" s="18">
        <v>0</v>
      </c>
      <c r="CD279">
        <v>1</v>
      </c>
      <c r="CE279">
        <v>0</v>
      </c>
      <c r="CF279">
        <v>0</v>
      </c>
      <c r="CG279">
        <v>0</v>
      </c>
      <c r="CH279">
        <v>0</v>
      </c>
      <c r="CI279">
        <v>1</v>
      </c>
      <c r="CJ279">
        <v>1</v>
      </c>
      <c r="CK279">
        <v>1</v>
      </c>
      <c r="CL279">
        <v>1</v>
      </c>
      <c r="CM279">
        <v>1</v>
      </c>
      <c r="CN279" s="18">
        <v>1</v>
      </c>
      <c r="CO279">
        <v>0</v>
      </c>
      <c r="CP279">
        <v>0</v>
      </c>
      <c r="CQ279">
        <v>0</v>
      </c>
      <c r="CR279">
        <v>1</v>
      </c>
      <c r="CS279">
        <v>17</v>
      </c>
      <c r="CY279" s="34"/>
    </row>
    <row r="280" spans="1:103" x14ac:dyDescent="0.25">
      <c r="A280">
        <v>279</v>
      </c>
      <c r="B280">
        <v>19</v>
      </c>
      <c r="C280" s="25" t="s">
        <v>219</v>
      </c>
      <c r="D280" s="12">
        <v>1.329986355269575</v>
      </c>
      <c r="E280" s="14">
        <v>5.2789439149428192</v>
      </c>
      <c r="F280" s="7">
        <v>0.25194174757281562</v>
      </c>
      <c r="G280" s="7">
        <f t="shared" si="62"/>
        <v>-3.9489575596732442</v>
      </c>
      <c r="H280" s="16">
        <f t="shared" si="63"/>
        <v>6.6089302702123938</v>
      </c>
      <c r="I280" s="11">
        <f t="shared" si="66"/>
        <v>3.6176489903127604E-3</v>
      </c>
      <c r="J280" s="33">
        <f t="shared" si="67"/>
        <v>1.4359069210104596E-2</v>
      </c>
      <c r="K280" s="33">
        <f t="shared" si="68"/>
        <v>69.642397105816002</v>
      </c>
      <c r="L280" s="8">
        <v>1</v>
      </c>
      <c r="M280" s="9">
        <v>0</v>
      </c>
      <c r="N280" s="8">
        <v>0</v>
      </c>
      <c r="O280" s="9">
        <v>1</v>
      </c>
      <c r="P280" s="9">
        <v>0</v>
      </c>
      <c r="Q280" s="9">
        <v>0</v>
      </c>
      <c r="R280" s="9">
        <v>0</v>
      </c>
      <c r="S280" s="8">
        <v>4880</v>
      </c>
      <c r="T280" s="9">
        <v>29</v>
      </c>
      <c r="U280" s="9">
        <f t="shared" si="64"/>
        <v>4850</v>
      </c>
      <c r="V280" s="9">
        <f t="shared" si="65"/>
        <v>16</v>
      </c>
      <c r="W280" s="7">
        <v>12</v>
      </c>
      <c r="X280" s="7">
        <f t="shared" si="60"/>
        <v>31.57</v>
      </c>
      <c r="Y280" s="9">
        <v>0</v>
      </c>
      <c r="Z280" s="9">
        <v>1</v>
      </c>
      <c r="AA280" s="9">
        <v>0</v>
      </c>
      <c r="AB280" s="9">
        <v>0</v>
      </c>
      <c r="AC280" s="9">
        <v>1</v>
      </c>
      <c r="AD280" s="9">
        <v>0</v>
      </c>
      <c r="AE280" s="8">
        <v>0</v>
      </c>
      <c r="AF280" s="9">
        <v>1</v>
      </c>
      <c r="AG280" s="30">
        <v>0</v>
      </c>
      <c r="AH280" s="9">
        <v>1</v>
      </c>
      <c r="AI280" s="30">
        <v>0</v>
      </c>
      <c r="AJ280" s="21">
        <v>2011</v>
      </c>
      <c r="AK280" s="33">
        <f t="shared" si="70"/>
        <v>0.3972</v>
      </c>
      <c r="AL280" s="33">
        <v>0.26300000000000001</v>
      </c>
      <c r="AM280" s="33">
        <v>0.2162</v>
      </c>
      <c r="AN280" s="43">
        <v>0.1236</v>
      </c>
      <c r="AO280" s="42">
        <v>1</v>
      </c>
      <c r="AP280" s="18">
        <v>0</v>
      </c>
      <c r="AQ280">
        <v>0.18748699999999999</v>
      </c>
      <c r="AR280" s="40">
        <f t="shared" si="71"/>
        <v>0.81251300000000004</v>
      </c>
      <c r="AS280">
        <v>0.498</v>
      </c>
      <c r="AT280" s="40">
        <v>0.502</v>
      </c>
      <c r="AU280">
        <v>0</v>
      </c>
      <c r="AV280" s="18">
        <v>1</v>
      </c>
      <c r="AW280">
        <v>0.32400000000000001</v>
      </c>
      <c r="AX280" s="18">
        <v>0.67600000000000005</v>
      </c>
      <c r="AY280" s="18" t="s">
        <v>19</v>
      </c>
      <c r="AZ280">
        <v>0</v>
      </c>
      <c r="BA280">
        <v>0</v>
      </c>
      <c r="BB280">
        <v>0</v>
      </c>
      <c r="BC280">
        <v>0</v>
      </c>
      <c r="BD280">
        <v>0</v>
      </c>
      <c r="BE280">
        <v>0</v>
      </c>
      <c r="BF280" s="18">
        <v>1</v>
      </c>
      <c r="BG280">
        <v>0</v>
      </c>
      <c r="BH280">
        <v>1</v>
      </c>
      <c r="BI280" s="18">
        <v>0</v>
      </c>
      <c r="BJ280">
        <v>1894</v>
      </c>
      <c r="BK280">
        <v>75</v>
      </c>
      <c r="BL280" s="25">
        <v>49.57</v>
      </c>
      <c r="BM280">
        <v>0</v>
      </c>
      <c r="BN280">
        <v>1</v>
      </c>
      <c r="BO280">
        <v>0</v>
      </c>
      <c r="BP280">
        <v>0</v>
      </c>
      <c r="BQ280">
        <v>0</v>
      </c>
      <c r="BR280">
        <v>0</v>
      </c>
      <c r="BS280">
        <v>0</v>
      </c>
      <c r="BT280" s="18">
        <v>0</v>
      </c>
      <c r="BU280">
        <v>0</v>
      </c>
      <c r="BV280">
        <v>0</v>
      </c>
      <c r="BW280">
        <v>1</v>
      </c>
      <c r="BX280" s="18">
        <v>0</v>
      </c>
      <c r="BY280">
        <v>1</v>
      </c>
      <c r="BZ280">
        <v>0</v>
      </c>
      <c r="CA280">
        <v>0</v>
      </c>
      <c r="CB280">
        <v>0</v>
      </c>
      <c r="CC280" s="18">
        <v>0</v>
      </c>
      <c r="CD280">
        <v>1</v>
      </c>
      <c r="CE280">
        <v>0</v>
      </c>
      <c r="CF280">
        <v>0</v>
      </c>
      <c r="CG280">
        <v>0</v>
      </c>
      <c r="CH280">
        <v>0</v>
      </c>
      <c r="CI280">
        <v>1</v>
      </c>
      <c r="CJ280">
        <v>1</v>
      </c>
      <c r="CK280">
        <v>1</v>
      </c>
      <c r="CL280">
        <v>1</v>
      </c>
      <c r="CM280">
        <v>1</v>
      </c>
      <c r="CN280" s="18">
        <v>1</v>
      </c>
      <c r="CO280">
        <v>0</v>
      </c>
      <c r="CP280">
        <v>0</v>
      </c>
      <c r="CQ280">
        <v>0</v>
      </c>
      <c r="CR280">
        <v>1</v>
      </c>
      <c r="CS280">
        <v>17</v>
      </c>
      <c r="CY280" s="34"/>
    </row>
    <row r="281" spans="1:103" x14ac:dyDescent="0.25">
      <c r="A281">
        <v>280</v>
      </c>
      <c r="B281">
        <v>19</v>
      </c>
      <c r="C281" s="25" t="s">
        <v>219</v>
      </c>
      <c r="D281" s="12">
        <v>3.127680663207633</v>
      </c>
      <c r="E281" s="14">
        <v>3.674597500489841</v>
      </c>
      <c r="F281" s="7">
        <v>0.85116279069767442</v>
      </c>
      <c r="G281" s="7">
        <f t="shared" si="62"/>
        <v>-0.54691683728220797</v>
      </c>
      <c r="H281" s="16">
        <f t="shared" si="63"/>
        <v>6.8022781636974745</v>
      </c>
      <c r="I281" s="11">
        <f t="shared" si="66"/>
        <v>1.2221072658809409E-2</v>
      </c>
      <c r="J281" s="33">
        <f t="shared" si="67"/>
        <v>1.4358090828655861E-2</v>
      </c>
      <c r="K281" s="33">
        <f t="shared" si="68"/>
        <v>69.647142641290515</v>
      </c>
      <c r="L281" s="8">
        <v>1</v>
      </c>
      <c r="M281" s="9">
        <v>0</v>
      </c>
      <c r="N281" s="8">
        <v>0</v>
      </c>
      <c r="O281" s="9">
        <v>1</v>
      </c>
      <c r="P281" s="9">
        <v>0</v>
      </c>
      <c r="Q281" s="9">
        <v>0</v>
      </c>
      <c r="R281" s="9">
        <v>0</v>
      </c>
      <c r="S281" s="8">
        <v>4880</v>
      </c>
      <c r="T281" s="9">
        <v>29</v>
      </c>
      <c r="U281" s="9">
        <f t="shared" si="64"/>
        <v>4850</v>
      </c>
      <c r="V281" s="9">
        <f t="shared" si="65"/>
        <v>16</v>
      </c>
      <c r="W281" s="7">
        <v>16</v>
      </c>
      <c r="X281" s="7">
        <f t="shared" si="60"/>
        <v>27.57</v>
      </c>
      <c r="Y281" s="9">
        <v>0</v>
      </c>
      <c r="Z281" s="9">
        <v>1</v>
      </c>
      <c r="AA281" s="9">
        <v>0</v>
      </c>
      <c r="AB281" s="9">
        <v>0</v>
      </c>
      <c r="AC281" s="9">
        <v>1</v>
      </c>
      <c r="AD281" s="9">
        <v>0</v>
      </c>
      <c r="AE281" s="8">
        <v>0</v>
      </c>
      <c r="AF281" s="9">
        <v>1</v>
      </c>
      <c r="AG281" s="30">
        <v>0</v>
      </c>
      <c r="AH281" s="9">
        <v>1</v>
      </c>
      <c r="AI281" s="30">
        <v>0</v>
      </c>
      <c r="AJ281" s="21">
        <v>2011</v>
      </c>
      <c r="AK281" s="33">
        <f t="shared" si="70"/>
        <v>0.3972</v>
      </c>
      <c r="AL281" s="33">
        <v>0.26300000000000001</v>
      </c>
      <c r="AM281" s="33">
        <v>0.2162</v>
      </c>
      <c r="AN281" s="43">
        <v>0.1236</v>
      </c>
      <c r="AO281" s="42">
        <v>1</v>
      </c>
      <c r="AP281" s="18">
        <v>0</v>
      </c>
      <c r="AQ281">
        <v>0.18748699999999999</v>
      </c>
      <c r="AR281" s="40">
        <f t="shared" si="71"/>
        <v>0.81251300000000004</v>
      </c>
      <c r="AS281">
        <v>0.498</v>
      </c>
      <c r="AT281" s="40">
        <v>0.502</v>
      </c>
      <c r="AU281">
        <v>0</v>
      </c>
      <c r="AV281" s="18">
        <v>1</v>
      </c>
      <c r="AW281">
        <v>0.32400000000000001</v>
      </c>
      <c r="AX281" s="18">
        <v>0.67600000000000005</v>
      </c>
      <c r="AY281" s="18" t="s">
        <v>19</v>
      </c>
      <c r="AZ281">
        <v>0</v>
      </c>
      <c r="BA281">
        <v>0</v>
      </c>
      <c r="BB281">
        <v>0</v>
      </c>
      <c r="BC281">
        <v>0</v>
      </c>
      <c r="BD281">
        <v>0</v>
      </c>
      <c r="BE281">
        <v>0</v>
      </c>
      <c r="BF281" s="18">
        <v>1</v>
      </c>
      <c r="BG281">
        <v>0</v>
      </c>
      <c r="BH281">
        <v>1</v>
      </c>
      <c r="BI281" s="18">
        <v>0</v>
      </c>
      <c r="BJ281">
        <v>1894</v>
      </c>
      <c r="BK281">
        <v>75</v>
      </c>
      <c r="BL281" s="25">
        <v>49.57</v>
      </c>
      <c r="BM281">
        <v>0</v>
      </c>
      <c r="BN281">
        <v>1</v>
      </c>
      <c r="BO281">
        <v>0</v>
      </c>
      <c r="BP281">
        <v>0</v>
      </c>
      <c r="BQ281">
        <v>0</v>
      </c>
      <c r="BR281">
        <v>0</v>
      </c>
      <c r="BS281">
        <v>0</v>
      </c>
      <c r="BT281" s="18">
        <v>0</v>
      </c>
      <c r="BU281">
        <v>0</v>
      </c>
      <c r="BV281">
        <v>0</v>
      </c>
      <c r="BW281">
        <v>1</v>
      </c>
      <c r="BX281" s="18">
        <v>0</v>
      </c>
      <c r="BY281">
        <v>1</v>
      </c>
      <c r="BZ281">
        <v>0</v>
      </c>
      <c r="CA281">
        <v>0</v>
      </c>
      <c r="CB281">
        <v>0</v>
      </c>
      <c r="CC281" s="18">
        <v>0</v>
      </c>
      <c r="CD281">
        <v>1</v>
      </c>
      <c r="CE281">
        <v>0</v>
      </c>
      <c r="CF281">
        <v>0</v>
      </c>
      <c r="CG281">
        <v>0</v>
      </c>
      <c r="CH281">
        <v>0</v>
      </c>
      <c r="CI281">
        <v>1</v>
      </c>
      <c r="CJ281">
        <v>1</v>
      </c>
      <c r="CK281">
        <v>1</v>
      </c>
      <c r="CL281">
        <v>1</v>
      </c>
      <c r="CM281">
        <v>1</v>
      </c>
      <c r="CN281" s="18">
        <v>1</v>
      </c>
      <c r="CO281">
        <v>0</v>
      </c>
      <c r="CP281">
        <v>0</v>
      </c>
      <c r="CQ281">
        <v>0</v>
      </c>
      <c r="CR281">
        <v>1</v>
      </c>
      <c r="CS281">
        <v>17</v>
      </c>
      <c r="CY281" s="34"/>
    </row>
    <row r="282" spans="1:103" x14ac:dyDescent="0.25">
      <c r="A282">
        <v>281</v>
      </c>
      <c r="B282">
        <v>19</v>
      </c>
      <c r="C282" s="25" t="s">
        <v>219</v>
      </c>
      <c r="D282" s="12">
        <v>4.5673010915691981</v>
      </c>
      <c r="E282" s="14">
        <v>3.2367530819754009</v>
      </c>
      <c r="F282" s="7">
        <v>1.411074918566775</v>
      </c>
      <c r="G282" s="7">
        <f t="shared" si="62"/>
        <v>1.3305480095937972</v>
      </c>
      <c r="H282" s="16">
        <f t="shared" si="63"/>
        <v>7.804054173544599</v>
      </c>
      <c r="I282" s="11">
        <f t="shared" si="66"/>
        <v>2.0257697105299E-2</v>
      </c>
      <c r="J282" s="33">
        <f t="shared" si="67"/>
        <v>1.4356216554309312E-2</v>
      </c>
      <c r="K282" s="33">
        <f t="shared" si="68"/>
        <v>69.656235416693377</v>
      </c>
      <c r="L282" s="8">
        <v>1</v>
      </c>
      <c r="M282" s="9">
        <v>0</v>
      </c>
      <c r="N282" s="8">
        <v>0</v>
      </c>
      <c r="O282" s="9">
        <v>1</v>
      </c>
      <c r="P282" s="9">
        <v>0</v>
      </c>
      <c r="Q282" s="9">
        <v>0</v>
      </c>
      <c r="R282" s="9">
        <v>0</v>
      </c>
      <c r="S282" s="8">
        <v>4880</v>
      </c>
      <c r="T282" s="9">
        <v>29</v>
      </c>
      <c r="U282" s="9">
        <f t="shared" si="64"/>
        <v>4850</v>
      </c>
      <c r="V282" s="9">
        <f t="shared" si="65"/>
        <v>16</v>
      </c>
      <c r="W282" s="7">
        <v>21</v>
      </c>
      <c r="X282" s="7">
        <f t="shared" si="60"/>
        <v>22.57</v>
      </c>
      <c r="Y282" s="9">
        <v>0</v>
      </c>
      <c r="Z282" s="9">
        <v>1</v>
      </c>
      <c r="AA282" s="9">
        <v>0</v>
      </c>
      <c r="AB282" s="9">
        <v>0</v>
      </c>
      <c r="AC282" s="9">
        <v>1</v>
      </c>
      <c r="AD282" s="9">
        <v>0</v>
      </c>
      <c r="AE282" s="8">
        <v>0</v>
      </c>
      <c r="AF282" s="9">
        <v>1</v>
      </c>
      <c r="AG282" s="30">
        <v>0</v>
      </c>
      <c r="AH282" s="9">
        <v>1</v>
      </c>
      <c r="AI282" s="30">
        <v>0</v>
      </c>
      <c r="AJ282" s="21">
        <v>2011</v>
      </c>
      <c r="AK282" s="33">
        <f t="shared" si="70"/>
        <v>0.3972</v>
      </c>
      <c r="AL282" s="33">
        <v>0.26300000000000001</v>
      </c>
      <c r="AM282" s="33">
        <v>0.2162</v>
      </c>
      <c r="AN282" s="43">
        <v>0.1236</v>
      </c>
      <c r="AO282" s="42">
        <v>1</v>
      </c>
      <c r="AP282" s="18">
        <v>0</v>
      </c>
      <c r="AQ282">
        <v>0.18748699999999999</v>
      </c>
      <c r="AR282" s="40">
        <f t="shared" si="71"/>
        <v>0.81251300000000004</v>
      </c>
      <c r="AS282">
        <v>0.498</v>
      </c>
      <c r="AT282" s="40">
        <v>0.502</v>
      </c>
      <c r="AU282">
        <v>0</v>
      </c>
      <c r="AV282" s="18">
        <v>1</v>
      </c>
      <c r="AW282">
        <v>0.32400000000000001</v>
      </c>
      <c r="AX282" s="18">
        <v>0.67600000000000005</v>
      </c>
      <c r="AY282" s="18" t="s">
        <v>19</v>
      </c>
      <c r="AZ282">
        <v>0</v>
      </c>
      <c r="BA282">
        <v>0</v>
      </c>
      <c r="BB282">
        <v>0</v>
      </c>
      <c r="BC282">
        <v>0</v>
      </c>
      <c r="BD282">
        <v>0</v>
      </c>
      <c r="BE282">
        <v>0</v>
      </c>
      <c r="BF282" s="18">
        <v>1</v>
      </c>
      <c r="BG282">
        <v>0</v>
      </c>
      <c r="BH282">
        <v>1</v>
      </c>
      <c r="BI282" s="18">
        <v>0</v>
      </c>
      <c r="BJ282">
        <v>1894</v>
      </c>
      <c r="BK282">
        <v>75</v>
      </c>
      <c r="BL282" s="25">
        <v>49.57</v>
      </c>
      <c r="BM282">
        <v>0</v>
      </c>
      <c r="BN282">
        <v>1</v>
      </c>
      <c r="BO282">
        <v>0</v>
      </c>
      <c r="BP282">
        <v>0</v>
      </c>
      <c r="BQ282">
        <v>0</v>
      </c>
      <c r="BR282">
        <v>0</v>
      </c>
      <c r="BS282">
        <v>0</v>
      </c>
      <c r="BT282" s="18">
        <v>0</v>
      </c>
      <c r="BU282">
        <v>0</v>
      </c>
      <c r="BV282">
        <v>0</v>
      </c>
      <c r="BW282">
        <v>1</v>
      </c>
      <c r="BX282" s="18">
        <v>0</v>
      </c>
      <c r="BY282">
        <v>1</v>
      </c>
      <c r="BZ282">
        <v>0</v>
      </c>
      <c r="CA282">
        <v>0</v>
      </c>
      <c r="CB282">
        <v>0</v>
      </c>
      <c r="CC282" s="18">
        <v>0</v>
      </c>
      <c r="CD282">
        <v>1</v>
      </c>
      <c r="CE282">
        <v>0</v>
      </c>
      <c r="CF282">
        <v>0</v>
      </c>
      <c r="CG282">
        <v>0</v>
      </c>
      <c r="CH282">
        <v>0</v>
      </c>
      <c r="CI282">
        <v>1</v>
      </c>
      <c r="CJ282">
        <v>1</v>
      </c>
      <c r="CK282">
        <v>1</v>
      </c>
      <c r="CL282">
        <v>1</v>
      </c>
      <c r="CM282">
        <v>1</v>
      </c>
      <c r="CN282" s="18">
        <v>1</v>
      </c>
      <c r="CO282">
        <v>0</v>
      </c>
      <c r="CP282">
        <v>0</v>
      </c>
      <c r="CQ282">
        <v>0</v>
      </c>
      <c r="CR282">
        <v>1</v>
      </c>
      <c r="CS282">
        <v>17</v>
      </c>
      <c r="CY282" s="34"/>
    </row>
    <row r="283" spans="1:103" x14ac:dyDescent="0.25">
      <c r="A283">
        <v>282</v>
      </c>
      <c r="B283">
        <v>19</v>
      </c>
      <c r="C283" s="25" t="s">
        <v>219</v>
      </c>
      <c r="D283" s="12">
        <v>1.1607883405032831</v>
      </c>
      <c r="E283" s="14">
        <v>3.0638272536664108</v>
      </c>
      <c r="F283" s="7">
        <v>0.37886872998932758</v>
      </c>
      <c r="G283" s="7">
        <f t="shared" si="62"/>
        <v>-1.9030389131631278</v>
      </c>
      <c r="H283" s="16">
        <f t="shared" si="63"/>
        <v>4.2246155941696939</v>
      </c>
      <c r="I283" s="11">
        <f t="shared" si="66"/>
        <v>5.4401574114529179E-3</v>
      </c>
      <c r="J283" s="33">
        <f t="shared" si="67"/>
        <v>1.4358950688820801E-2</v>
      </c>
      <c r="K283" s="33">
        <f t="shared" si="68"/>
        <v>69.642971946310297</v>
      </c>
      <c r="L283" s="8">
        <v>1</v>
      </c>
      <c r="M283" s="9">
        <v>0</v>
      </c>
      <c r="N283" s="8">
        <v>0</v>
      </c>
      <c r="O283" s="9">
        <v>1</v>
      </c>
      <c r="P283" s="9">
        <v>0</v>
      </c>
      <c r="Q283" s="9">
        <v>0</v>
      </c>
      <c r="R283" s="9">
        <v>0</v>
      </c>
      <c r="S283" s="8">
        <v>4880</v>
      </c>
      <c r="T283" s="9">
        <v>29</v>
      </c>
      <c r="U283" s="9">
        <f t="shared" si="64"/>
        <v>4850</v>
      </c>
      <c r="V283" s="9">
        <f t="shared" si="65"/>
        <v>16</v>
      </c>
      <c r="W283" s="7">
        <v>6</v>
      </c>
      <c r="X283" s="7">
        <f t="shared" si="60"/>
        <v>37.57</v>
      </c>
      <c r="Y283" s="9">
        <v>0</v>
      </c>
      <c r="Z283" s="9">
        <v>1</v>
      </c>
      <c r="AA283" s="9">
        <v>0</v>
      </c>
      <c r="AB283" s="9">
        <v>0</v>
      </c>
      <c r="AC283" s="9">
        <v>1</v>
      </c>
      <c r="AD283" s="9">
        <v>0</v>
      </c>
      <c r="AE283" s="8">
        <v>0</v>
      </c>
      <c r="AF283" s="9">
        <v>1</v>
      </c>
      <c r="AG283" s="30">
        <v>0</v>
      </c>
      <c r="AH283" s="9">
        <v>1</v>
      </c>
      <c r="AI283" s="30">
        <v>0</v>
      </c>
      <c r="AJ283" s="21">
        <v>2011</v>
      </c>
      <c r="AK283" s="33">
        <f t="shared" si="70"/>
        <v>0.3972</v>
      </c>
      <c r="AL283" s="33">
        <v>0.26300000000000001</v>
      </c>
      <c r="AM283" s="33">
        <v>0.2162</v>
      </c>
      <c r="AN283" s="43">
        <v>0.1236</v>
      </c>
      <c r="AO283" s="42">
        <v>1</v>
      </c>
      <c r="AP283" s="18">
        <v>0</v>
      </c>
      <c r="AQ283">
        <v>0.18748699999999999</v>
      </c>
      <c r="AR283" s="40">
        <f t="shared" si="71"/>
        <v>0.81251300000000004</v>
      </c>
      <c r="AS283">
        <v>0.498</v>
      </c>
      <c r="AT283" s="40">
        <v>0.502</v>
      </c>
      <c r="AU283">
        <v>0</v>
      </c>
      <c r="AV283" s="18">
        <v>1</v>
      </c>
      <c r="AW283">
        <v>0.32400000000000001</v>
      </c>
      <c r="AX283" s="18">
        <v>0.67600000000000005</v>
      </c>
      <c r="AY283" s="18" t="s">
        <v>19</v>
      </c>
      <c r="AZ283">
        <v>0</v>
      </c>
      <c r="BA283">
        <v>0</v>
      </c>
      <c r="BB283">
        <v>0</v>
      </c>
      <c r="BC283">
        <v>0</v>
      </c>
      <c r="BD283">
        <v>0</v>
      </c>
      <c r="BE283">
        <v>0</v>
      </c>
      <c r="BF283" s="18">
        <v>1</v>
      </c>
      <c r="BG283">
        <v>0</v>
      </c>
      <c r="BH283">
        <v>1</v>
      </c>
      <c r="BI283" s="18">
        <v>0</v>
      </c>
      <c r="BJ283">
        <v>1894</v>
      </c>
      <c r="BK283">
        <v>75</v>
      </c>
      <c r="BL283" s="25">
        <v>49.57</v>
      </c>
      <c r="BM283">
        <v>0</v>
      </c>
      <c r="BN283">
        <v>1</v>
      </c>
      <c r="BO283">
        <v>0</v>
      </c>
      <c r="BP283">
        <v>0</v>
      </c>
      <c r="BQ283">
        <v>0</v>
      </c>
      <c r="BR283">
        <v>0</v>
      </c>
      <c r="BS283">
        <v>0</v>
      </c>
      <c r="BT283" s="18">
        <v>0</v>
      </c>
      <c r="BU283">
        <v>0</v>
      </c>
      <c r="BV283">
        <v>0</v>
      </c>
      <c r="BW283">
        <v>1</v>
      </c>
      <c r="BX283" s="18">
        <v>0</v>
      </c>
      <c r="BY283">
        <v>1</v>
      </c>
      <c r="BZ283">
        <v>0</v>
      </c>
      <c r="CA283">
        <v>0</v>
      </c>
      <c r="CB283">
        <v>0</v>
      </c>
      <c r="CC283" s="18">
        <v>0</v>
      </c>
      <c r="CD283">
        <v>1</v>
      </c>
      <c r="CE283">
        <v>0</v>
      </c>
      <c r="CF283">
        <v>0</v>
      </c>
      <c r="CG283">
        <v>0</v>
      </c>
      <c r="CH283">
        <v>0</v>
      </c>
      <c r="CI283">
        <v>1</v>
      </c>
      <c r="CJ283">
        <v>1</v>
      </c>
      <c r="CK283">
        <v>1</v>
      </c>
      <c r="CL283">
        <v>1</v>
      </c>
      <c r="CM283">
        <v>1</v>
      </c>
      <c r="CN283" s="18">
        <v>1</v>
      </c>
      <c r="CO283">
        <v>0</v>
      </c>
      <c r="CP283">
        <v>0</v>
      </c>
      <c r="CQ283">
        <v>0</v>
      </c>
      <c r="CR283">
        <v>1</v>
      </c>
      <c r="CS283">
        <v>17</v>
      </c>
      <c r="CY283" s="34"/>
    </row>
    <row r="284" spans="1:103" x14ac:dyDescent="0.25">
      <c r="A284">
        <v>283</v>
      </c>
      <c r="B284">
        <v>19</v>
      </c>
      <c r="C284" s="25" t="s">
        <v>219</v>
      </c>
      <c r="D284" s="12">
        <v>2.899804781149951</v>
      </c>
      <c r="E284" s="14">
        <v>4.6831472563791197</v>
      </c>
      <c r="F284" s="7">
        <v>0.61919999999999997</v>
      </c>
      <c r="G284" s="7">
        <f t="shared" si="62"/>
        <v>-1.7833424752291687</v>
      </c>
      <c r="H284" s="16">
        <f t="shared" si="63"/>
        <v>7.5829520375290702</v>
      </c>
      <c r="I284" s="11">
        <f t="shared" si="66"/>
        <v>8.8908424179269321E-3</v>
      </c>
      <c r="J284" s="33">
        <f t="shared" si="67"/>
        <v>1.4358595636186907E-2</v>
      </c>
      <c r="K284" s="33">
        <f t="shared" si="68"/>
        <v>69.644694045131686</v>
      </c>
      <c r="L284" s="8">
        <v>1</v>
      </c>
      <c r="M284" s="9">
        <v>0</v>
      </c>
      <c r="N284" s="8">
        <v>0</v>
      </c>
      <c r="O284" s="9">
        <v>1</v>
      </c>
      <c r="P284" s="9">
        <v>0</v>
      </c>
      <c r="Q284" s="9">
        <v>0</v>
      </c>
      <c r="R284" s="9">
        <v>0</v>
      </c>
      <c r="S284" s="8">
        <v>4880</v>
      </c>
      <c r="T284" s="9">
        <v>29</v>
      </c>
      <c r="U284" s="9">
        <f t="shared" si="64"/>
        <v>4850</v>
      </c>
      <c r="V284" s="9">
        <f t="shared" si="65"/>
        <v>16</v>
      </c>
      <c r="W284" s="7">
        <v>12</v>
      </c>
      <c r="X284" s="7">
        <f t="shared" si="60"/>
        <v>31.57</v>
      </c>
      <c r="Y284" s="9">
        <v>0</v>
      </c>
      <c r="Z284" s="9">
        <v>1</v>
      </c>
      <c r="AA284" s="9">
        <v>0</v>
      </c>
      <c r="AB284" s="9">
        <v>0</v>
      </c>
      <c r="AC284" s="9">
        <v>1</v>
      </c>
      <c r="AD284" s="9">
        <v>0</v>
      </c>
      <c r="AE284" s="8">
        <v>0</v>
      </c>
      <c r="AF284" s="9">
        <v>1</v>
      </c>
      <c r="AG284" s="30">
        <v>0</v>
      </c>
      <c r="AH284" s="9">
        <v>1</v>
      </c>
      <c r="AI284" s="30">
        <v>0</v>
      </c>
      <c r="AJ284" s="21">
        <v>2011</v>
      </c>
      <c r="AK284" s="33">
        <f t="shared" si="70"/>
        <v>0.3972</v>
      </c>
      <c r="AL284" s="33">
        <v>0.26300000000000001</v>
      </c>
      <c r="AM284" s="33">
        <v>0.2162</v>
      </c>
      <c r="AN284" s="43">
        <v>0.1236</v>
      </c>
      <c r="AO284" s="42">
        <v>1</v>
      </c>
      <c r="AP284" s="18">
        <v>0</v>
      </c>
      <c r="AQ284">
        <v>0.18748699999999999</v>
      </c>
      <c r="AR284" s="40">
        <f t="shared" si="71"/>
        <v>0.81251300000000004</v>
      </c>
      <c r="AS284">
        <v>0.498</v>
      </c>
      <c r="AT284" s="40">
        <v>0.502</v>
      </c>
      <c r="AU284">
        <v>0</v>
      </c>
      <c r="AV284" s="18">
        <v>1</v>
      </c>
      <c r="AW284">
        <v>0.32400000000000001</v>
      </c>
      <c r="AX284" s="18">
        <v>0.67600000000000005</v>
      </c>
      <c r="AY284" s="18" t="s">
        <v>19</v>
      </c>
      <c r="AZ284">
        <v>0</v>
      </c>
      <c r="BA284">
        <v>0</v>
      </c>
      <c r="BB284">
        <v>0</v>
      </c>
      <c r="BC284">
        <v>0</v>
      </c>
      <c r="BD284">
        <v>0</v>
      </c>
      <c r="BE284">
        <v>0</v>
      </c>
      <c r="BF284" s="18">
        <v>1</v>
      </c>
      <c r="BG284">
        <v>0</v>
      </c>
      <c r="BH284">
        <v>1</v>
      </c>
      <c r="BI284" s="18">
        <v>0</v>
      </c>
      <c r="BJ284">
        <v>1894</v>
      </c>
      <c r="BK284">
        <v>75</v>
      </c>
      <c r="BL284" s="25">
        <v>49.57</v>
      </c>
      <c r="BM284">
        <v>0</v>
      </c>
      <c r="BN284">
        <v>1</v>
      </c>
      <c r="BO284">
        <v>0</v>
      </c>
      <c r="BP284">
        <v>0</v>
      </c>
      <c r="BQ284">
        <v>0</v>
      </c>
      <c r="BR284">
        <v>0</v>
      </c>
      <c r="BS284">
        <v>0</v>
      </c>
      <c r="BT284" s="18">
        <v>0</v>
      </c>
      <c r="BU284">
        <v>0</v>
      </c>
      <c r="BV284">
        <v>0</v>
      </c>
      <c r="BW284">
        <v>1</v>
      </c>
      <c r="BX284" s="18">
        <v>0</v>
      </c>
      <c r="BY284">
        <v>1</v>
      </c>
      <c r="BZ284">
        <v>0</v>
      </c>
      <c r="CA284">
        <v>0</v>
      </c>
      <c r="CB284">
        <v>0</v>
      </c>
      <c r="CC284" s="18">
        <v>0</v>
      </c>
      <c r="CD284">
        <v>1</v>
      </c>
      <c r="CE284">
        <v>0</v>
      </c>
      <c r="CF284">
        <v>0</v>
      </c>
      <c r="CG284">
        <v>0</v>
      </c>
      <c r="CH284">
        <v>0</v>
      </c>
      <c r="CI284">
        <v>1</v>
      </c>
      <c r="CJ284">
        <v>1</v>
      </c>
      <c r="CK284">
        <v>1</v>
      </c>
      <c r="CL284">
        <v>1</v>
      </c>
      <c r="CM284">
        <v>1</v>
      </c>
      <c r="CN284" s="18">
        <v>1</v>
      </c>
      <c r="CO284">
        <v>0</v>
      </c>
      <c r="CP284">
        <v>0</v>
      </c>
      <c r="CQ284">
        <v>0</v>
      </c>
      <c r="CR284">
        <v>1</v>
      </c>
      <c r="CS284">
        <v>17</v>
      </c>
      <c r="CY284" s="34"/>
    </row>
    <row r="285" spans="1:103" x14ac:dyDescent="0.25">
      <c r="A285">
        <v>284</v>
      </c>
      <c r="B285">
        <v>19</v>
      </c>
      <c r="C285" s="25" t="s">
        <v>219</v>
      </c>
      <c r="D285" s="12">
        <v>9.0215836453789056</v>
      </c>
      <c r="E285" s="14">
        <v>3.215901129262337</v>
      </c>
      <c r="F285" s="7">
        <v>2.805305039787799</v>
      </c>
      <c r="G285" s="7">
        <f t="shared" si="62"/>
        <v>5.805682516116569</v>
      </c>
      <c r="H285" s="16">
        <f t="shared" si="63"/>
        <v>12.237484774641242</v>
      </c>
      <c r="I285" s="11">
        <f t="shared" si="66"/>
        <v>4.024919135710265E-2</v>
      </c>
      <c r="J285" s="33">
        <f t="shared" si="67"/>
        <v>1.4347527554489122E-2</v>
      </c>
      <c r="K285" s="33">
        <f t="shared" si="68"/>
        <v>69.698419898633702</v>
      </c>
      <c r="L285" s="8">
        <v>1</v>
      </c>
      <c r="M285" s="9">
        <v>0</v>
      </c>
      <c r="N285" s="8">
        <v>0</v>
      </c>
      <c r="O285" s="9">
        <v>1</v>
      </c>
      <c r="P285" s="9">
        <v>0</v>
      </c>
      <c r="Q285" s="9">
        <v>0</v>
      </c>
      <c r="R285" s="9">
        <v>0</v>
      </c>
      <c r="S285" s="8">
        <v>4880</v>
      </c>
      <c r="T285" s="9">
        <v>29</v>
      </c>
      <c r="U285" s="9">
        <f t="shared" si="64"/>
        <v>4850</v>
      </c>
      <c r="V285" s="9">
        <f t="shared" si="65"/>
        <v>16</v>
      </c>
      <c r="W285" s="7">
        <v>16</v>
      </c>
      <c r="X285" s="7">
        <f t="shared" si="60"/>
        <v>27.57</v>
      </c>
      <c r="Y285" s="9">
        <v>0</v>
      </c>
      <c r="Z285" s="9">
        <v>1</v>
      </c>
      <c r="AA285" s="9">
        <v>0</v>
      </c>
      <c r="AB285" s="9">
        <v>0</v>
      </c>
      <c r="AC285" s="9">
        <v>1</v>
      </c>
      <c r="AD285" s="9">
        <v>0</v>
      </c>
      <c r="AE285" s="8">
        <v>0</v>
      </c>
      <c r="AF285" s="9">
        <v>1</v>
      </c>
      <c r="AG285" s="30">
        <v>0</v>
      </c>
      <c r="AH285" s="9">
        <v>1</v>
      </c>
      <c r="AI285" s="30">
        <v>0</v>
      </c>
      <c r="AJ285" s="21">
        <v>2011</v>
      </c>
      <c r="AK285" s="33">
        <f t="shared" si="70"/>
        <v>0.3972</v>
      </c>
      <c r="AL285" s="33">
        <v>0.26300000000000001</v>
      </c>
      <c r="AM285" s="33">
        <v>0.2162</v>
      </c>
      <c r="AN285" s="43">
        <v>0.1236</v>
      </c>
      <c r="AO285" s="42">
        <v>1</v>
      </c>
      <c r="AP285" s="18">
        <v>0</v>
      </c>
      <c r="AQ285">
        <v>0.18748699999999999</v>
      </c>
      <c r="AR285" s="40">
        <f t="shared" si="71"/>
        <v>0.81251300000000004</v>
      </c>
      <c r="AS285">
        <v>0.498</v>
      </c>
      <c r="AT285" s="40">
        <v>0.502</v>
      </c>
      <c r="AU285">
        <v>0</v>
      </c>
      <c r="AV285" s="18">
        <v>1</v>
      </c>
      <c r="AW285">
        <v>0.32400000000000001</v>
      </c>
      <c r="AX285" s="18">
        <v>0.67600000000000005</v>
      </c>
      <c r="AY285" s="18" t="s">
        <v>19</v>
      </c>
      <c r="AZ285">
        <v>0</v>
      </c>
      <c r="BA285">
        <v>0</v>
      </c>
      <c r="BB285">
        <v>0</v>
      </c>
      <c r="BC285">
        <v>0</v>
      </c>
      <c r="BD285">
        <v>0</v>
      </c>
      <c r="BE285">
        <v>0</v>
      </c>
      <c r="BF285" s="18">
        <v>1</v>
      </c>
      <c r="BG285">
        <v>0</v>
      </c>
      <c r="BH285">
        <v>1</v>
      </c>
      <c r="BI285" s="18">
        <v>0</v>
      </c>
      <c r="BJ285">
        <v>1894</v>
      </c>
      <c r="BK285">
        <v>75</v>
      </c>
      <c r="BL285" s="25">
        <v>49.57</v>
      </c>
      <c r="BM285">
        <v>0</v>
      </c>
      <c r="BN285">
        <v>1</v>
      </c>
      <c r="BO285">
        <v>0</v>
      </c>
      <c r="BP285">
        <v>0</v>
      </c>
      <c r="BQ285">
        <v>0</v>
      </c>
      <c r="BR285">
        <v>0</v>
      </c>
      <c r="BS285">
        <v>0</v>
      </c>
      <c r="BT285" s="18">
        <v>0</v>
      </c>
      <c r="BU285">
        <v>0</v>
      </c>
      <c r="BV285">
        <v>0</v>
      </c>
      <c r="BW285">
        <v>1</v>
      </c>
      <c r="BX285" s="18">
        <v>0</v>
      </c>
      <c r="BY285">
        <v>1</v>
      </c>
      <c r="BZ285">
        <v>0</v>
      </c>
      <c r="CA285">
        <v>0</v>
      </c>
      <c r="CB285">
        <v>0</v>
      </c>
      <c r="CC285" s="18">
        <v>0</v>
      </c>
      <c r="CD285">
        <v>1</v>
      </c>
      <c r="CE285">
        <v>0</v>
      </c>
      <c r="CF285">
        <v>0</v>
      </c>
      <c r="CG285">
        <v>0</v>
      </c>
      <c r="CH285">
        <v>0</v>
      </c>
      <c r="CI285">
        <v>1</v>
      </c>
      <c r="CJ285">
        <v>1</v>
      </c>
      <c r="CK285">
        <v>1</v>
      </c>
      <c r="CL285">
        <v>1</v>
      </c>
      <c r="CM285">
        <v>1</v>
      </c>
      <c r="CN285" s="18">
        <v>1</v>
      </c>
      <c r="CO285">
        <v>0</v>
      </c>
      <c r="CP285">
        <v>0</v>
      </c>
      <c r="CQ285">
        <v>0</v>
      </c>
      <c r="CR285">
        <v>1</v>
      </c>
      <c r="CS285">
        <v>17</v>
      </c>
      <c r="CY285" s="34"/>
    </row>
    <row r="286" spans="1:103" x14ac:dyDescent="0.25">
      <c r="A286">
        <v>285</v>
      </c>
      <c r="B286">
        <v>19</v>
      </c>
      <c r="C286" s="25" t="s">
        <v>219</v>
      </c>
      <c r="D286" s="12">
        <v>10.99528104162324</v>
      </c>
      <c r="E286" s="14">
        <v>2.0495530050392889</v>
      </c>
      <c r="F286" s="7">
        <v>5.36472148541114</v>
      </c>
      <c r="G286" s="7">
        <f t="shared" si="62"/>
        <v>8.9457280365839509</v>
      </c>
      <c r="H286" s="16">
        <f t="shared" si="63"/>
        <v>13.04483404666253</v>
      </c>
      <c r="I286" s="11">
        <f t="shared" si="66"/>
        <v>7.6805364073472646E-2</v>
      </c>
      <c r="J286" s="33">
        <f t="shared" si="67"/>
        <v>1.4316747716044097E-2</v>
      </c>
      <c r="K286" s="33">
        <f t="shared" si="68"/>
        <v>69.848265809653654</v>
      </c>
      <c r="L286" s="8">
        <v>1</v>
      </c>
      <c r="M286" s="9">
        <v>0</v>
      </c>
      <c r="N286" s="8">
        <v>0</v>
      </c>
      <c r="O286" s="9">
        <v>1</v>
      </c>
      <c r="P286" s="9">
        <v>0</v>
      </c>
      <c r="Q286" s="9">
        <v>0</v>
      </c>
      <c r="R286" s="9">
        <v>0</v>
      </c>
      <c r="S286" s="8">
        <v>4880</v>
      </c>
      <c r="T286" s="9">
        <v>29</v>
      </c>
      <c r="U286" s="9">
        <f t="shared" si="64"/>
        <v>4850</v>
      </c>
      <c r="V286" s="9">
        <f t="shared" si="65"/>
        <v>16</v>
      </c>
      <c r="W286" s="7">
        <v>21</v>
      </c>
      <c r="X286" s="7">
        <f t="shared" si="60"/>
        <v>22.57</v>
      </c>
      <c r="Y286" s="9">
        <v>0</v>
      </c>
      <c r="Z286" s="9">
        <v>1</v>
      </c>
      <c r="AA286" s="9">
        <v>0</v>
      </c>
      <c r="AB286" s="9">
        <v>0</v>
      </c>
      <c r="AC286" s="9">
        <v>1</v>
      </c>
      <c r="AD286" s="9">
        <v>0</v>
      </c>
      <c r="AE286" s="8">
        <v>0</v>
      </c>
      <c r="AF286" s="9">
        <v>1</v>
      </c>
      <c r="AG286" s="30">
        <v>0</v>
      </c>
      <c r="AH286" s="9">
        <v>1</v>
      </c>
      <c r="AI286" s="30">
        <v>0</v>
      </c>
      <c r="AJ286" s="21">
        <v>2011</v>
      </c>
      <c r="AK286" s="33">
        <f t="shared" si="70"/>
        <v>0.3972</v>
      </c>
      <c r="AL286" s="33">
        <v>0.26300000000000001</v>
      </c>
      <c r="AM286" s="33">
        <v>0.2162</v>
      </c>
      <c r="AN286" s="43">
        <v>0.1236</v>
      </c>
      <c r="AO286" s="42">
        <v>1</v>
      </c>
      <c r="AP286" s="18">
        <v>0</v>
      </c>
      <c r="AQ286">
        <v>0.18748699999999999</v>
      </c>
      <c r="AR286" s="40">
        <f t="shared" si="71"/>
        <v>0.81251300000000004</v>
      </c>
      <c r="AS286">
        <v>0.498</v>
      </c>
      <c r="AT286" s="40">
        <v>0.502</v>
      </c>
      <c r="AU286">
        <v>0</v>
      </c>
      <c r="AV286" s="18">
        <v>1</v>
      </c>
      <c r="AW286">
        <v>0.32400000000000001</v>
      </c>
      <c r="AX286" s="18">
        <v>0.67600000000000005</v>
      </c>
      <c r="AY286" s="18" t="s">
        <v>19</v>
      </c>
      <c r="AZ286">
        <v>0</v>
      </c>
      <c r="BA286">
        <v>0</v>
      </c>
      <c r="BB286">
        <v>0</v>
      </c>
      <c r="BC286">
        <v>0</v>
      </c>
      <c r="BD286">
        <v>0</v>
      </c>
      <c r="BE286">
        <v>0</v>
      </c>
      <c r="BF286" s="18">
        <v>1</v>
      </c>
      <c r="BG286">
        <v>0</v>
      </c>
      <c r="BH286">
        <v>1</v>
      </c>
      <c r="BI286" s="18">
        <v>0</v>
      </c>
      <c r="BJ286">
        <v>1894</v>
      </c>
      <c r="BK286">
        <v>75</v>
      </c>
      <c r="BL286" s="25">
        <v>49.57</v>
      </c>
      <c r="BM286">
        <v>0</v>
      </c>
      <c r="BN286">
        <v>1</v>
      </c>
      <c r="BO286">
        <v>0</v>
      </c>
      <c r="BP286">
        <v>0</v>
      </c>
      <c r="BQ286">
        <v>0</v>
      </c>
      <c r="BR286">
        <v>0</v>
      </c>
      <c r="BS286">
        <v>0</v>
      </c>
      <c r="BT286" s="18">
        <v>0</v>
      </c>
      <c r="BU286">
        <v>0</v>
      </c>
      <c r="BV286">
        <v>0</v>
      </c>
      <c r="BW286">
        <v>1</v>
      </c>
      <c r="BX286" s="18">
        <v>0</v>
      </c>
      <c r="BY286">
        <v>1</v>
      </c>
      <c r="BZ286">
        <v>0</v>
      </c>
      <c r="CA286">
        <v>0</v>
      </c>
      <c r="CB286">
        <v>0</v>
      </c>
      <c r="CC286" s="18">
        <v>0</v>
      </c>
      <c r="CD286">
        <v>1</v>
      </c>
      <c r="CE286">
        <v>0</v>
      </c>
      <c r="CF286">
        <v>0</v>
      </c>
      <c r="CG286">
        <v>0</v>
      </c>
      <c r="CH286">
        <v>0</v>
      </c>
      <c r="CI286">
        <v>1</v>
      </c>
      <c r="CJ286">
        <v>1</v>
      </c>
      <c r="CK286">
        <v>1</v>
      </c>
      <c r="CL286">
        <v>1</v>
      </c>
      <c r="CM286">
        <v>1</v>
      </c>
      <c r="CN286" s="18">
        <v>1</v>
      </c>
      <c r="CO286">
        <v>0</v>
      </c>
      <c r="CP286">
        <v>0</v>
      </c>
      <c r="CQ286">
        <v>0</v>
      </c>
      <c r="CR286">
        <v>1</v>
      </c>
      <c r="CS286">
        <v>17</v>
      </c>
      <c r="CY286" s="34"/>
    </row>
    <row r="287" spans="1:103" x14ac:dyDescent="0.25">
      <c r="A287">
        <v>286</v>
      </c>
      <c r="B287">
        <v>19</v>
      </c>
      <c r="C287" s="25" t="s">
        <v>219</v>
      </c>
      <c r="D287" s="12">
        <v>1.39385068411813</v>
      </c>
      <c r="E287" s="14">
        <v>5.2275794464907301</v>
      </c>
      <c r="F287" s="7">
        <v>0.26663405088062619</v>
      </c>
      <c r="G287" s="7">
        <f t="shared" si="62"/>
        <v>-3.8337287623726004</v>
      </c>
      <c r="H287" s="16">
        <f t="shared" si="63"/>
        <v>6.6214301306088599</v>
      </c>
      <c r="I287" s="11">
        <f t="shared" si="66"/>
        <v>3.8529197966167953E-3</v>
      </c>
      <c r="J287" s="33">
        <f t="shared" si="67"/>
        <v>1.44502166317151E-2</v>
      </c>
      <c r="K287" s="33">
        <f t="shared" si="68"/>
        <v>69.203114768896697</v>
      </c>
      <c r="L287" s="8">
        <v>1</v>
      </c>
      <c r="M287" s="9">
        <v>0</v>
      </c>
      <c r="N287" s="8">
        <v>0</v>
      </c>
      <c r="O287" s="9">
        <v>1</v>
      </c>
      <c r="P287" s="9">
        <v>0</v>
      </c>
      <c r="Q287" s="9">
        <v>0</v>
      </c>
      <c r="R287" s="9">
        <v>0</v>
      </c>
      <c r="S287" s="8">
        <v>4821</v>
      </c>
      <c r="T287" s="9">
        <v>31</v>
      </c>
      <c r="U287" s="9">
        <f t="shared" si="64"/>
        <v>4789</v>
      </c>
      <c r="V287" s="9">
        <f t="shared" si="65"/>
        <v>16</v>
      </c>
      <c r="W287" s="7">
        <v>6</v>
      </c>
      <c r="X287" s="7">
        <f t="shared" si="60"/>
        <v>37.57</v>
      </c>
      <c r="Y287" s="9">
        <v>0</v>
      </c>
      <c r="Z287" s="9">
        <v>1</v>
      </c>
      <c r="AA287" s="9">
        <v>0</v>
      </c>
      <c r="AB287" s="9">
        <v>0</v>
      </c>
      <c r="AC287" s="9">
        <v>1</v>
      </c>
      <c r="AD287" s="9">
        <v>0</v>
      </c>
      <c r="AE287" s="8">
        <v>0</v>
      </c>
      <c r="AF287" s="9">
        <v>1</v>
      </c>
      <c r="AG287" s="30">
        <v>0</v>
      </c>
      <c r="AH287" s="9">
        <v>1</v>
      </c>
      <c r="AI287" s="30">
        <v>0</v>
      </c>
      <c r="AJ287" s="21">
        <v>2011</v>
      </c>
      <c r="AK287" s="33">
        <f t="shared" si="70"/>
        <v>0.3972</v>
      </c>
      <c r="AL287" s="33">
        <v>0.26300000000000001</v>
      </c>
      <c r="AM287" s="33">
        <v>0.2162</v>
      </c>
      <c r="AN287" s="43">
        <v>0.1236</v>
      </c>
      <c r="AO287" s="42">
        <v>1</v>
      </c>
      <c r="AP287" s="18">
        <v>0</v>
      </c>
      <c r="AQ287">
        <v>0.18748699999999999</v>
      </c>
      <c r="AR287" s="40">
        <f t="shared" si="71"/>
        <v>0.81251300000000004</v>
      </c>
      <c r="AS287">
        <v>0.498</v>
      </c>
      <c r="AT287" s="40">
        <v>0.502</v>
      </c>
      <c r="AU287">
        <v>0</v>
      </c>
      <c r="AV287" s="18">
        <v>1</v>
      </c>
      <c r="AW287">
        <v>0.32400000000000001</v>
      </c>
      <c r="AX287" s="18">
        <v>0.67600000000000005</v>
      </c>
      <c r="AY287" s="18" t="s">
        <v>19</v>
      </c>
      <c r="AZ287">
        <v>0</v>
      </c>
      <c r="BA287">
        <v>0</v>
      </c>
      <c r="BB287">
        <v>0</v>
      </c>
      <c r="BC287">
        <v>0</v>
      </c>
      <c r="BD287">
        <v>0</v>
      </c>
      <c r="BE287">
        <v>0</v>
      </c>
      <c r="BF287" s="18">
        <v>1</v>
      </c>
      <c r="BG287">
        <v>0</v>
      </c>
      <c r="BH287">
        <v>1</v>
      </c>
      <c r="BI287" s="18">
        <v>0</v>
      </c>
      <c r="BJ287">
        <v>1894</v>
      </c>
      <c r="BK287">
        <v>75</v>
      </c>
      <c r="BL287" s="25">
        <v>49.57</v>
      </c>
      <c r="BM287">
        <v>0</v>
      </c>
      <c r="BN287">
        <v>1</v>
      </c>
      <c r="BO287">
        <v>0</v>
      </c>
      <c r="BP287">
        <v>0</v>
      </c>
      <c r="BQ287">
        <v>0</v>
      </c>
      <c r="BR287">
        <v>0</v>
      </c>
      <c r="BS287">
        <v>0</v>
      </c>
      <c r="BT287" s="18">
        <v>0</v>
      </c>
      <c r="BU287">
        <v>0</v>
      </c>
      <c r="BV287">
        <v>1</v>
      </c>
      <c r="BW287">
        <v>0</v>
      </c>
      <c r="BX287" s="18">
        <v>0</v>
      </c>
      <c r="BY287">
        <v>1</v>
      </c>
      <c r="BZ287">
        <v>0</v>
      </c>
      <c r="CA287">
        <v>0</v>
      </c>
      <c r="CB287">
        <v>0</v>
      </c>
      <c r="CC287" s="18">
        <v>0</v>
      </c>
      <c r="CD287">
        <v>1</v>
      </c>
      <c r="CE287">
        <v>0</v>
      </c>
      <c r="CF287">
        <v>0</v>
      </c>
      <c r="CG287">
        <v>0</v>
      </c>
      <c r="CH287">
        <v>0</v>
      </c>
      <c r="CI287">
        <v>1</v>
      </c>
      <c r="CJ287">
        <v>1</v>
      </c>
      <c r="CK287">
        <v>1</v>
      </c>
      <c r="CL287">
        <v>1</v>
      </c>
      <c r="CM287">
        <v>1</v>
      </c>
      <c r="CN287" s="18">
        <v>1</v>
      </c>
      <c r="CO287">
        <v>0</v>
      </c>
      <c r="CP287">
        <v>0</v>
      </c>
      <c r="CQ287">
        <v>0</v>
      </c>
      <c r="CR287">
        <v>1</v>
      </c>
      <c r="CS287">
        <v>17</v>
      </c>
      <c r="CY287" s="34"/>
    </row>
    <row r="288" spans="1:103" x14ac:dyDescent="0.25">
      <c r="A288">
        <v>287</v>
      </c>
      <c r="B288">
        <v>19</v>
      </c>
      <c r="C288" s="25" t="s">
        <v>219</v>
      </c>
      <c r="D288" s="12">
        <v>1.396960877242837</v>
      </c>
      <c r="E288" s="14">
        <v>8.9180598417174259</v>
      </c>
      <c r="F288" s="7">
        <v>0.1566440349175558</v>
      </c>
      <c r="G288" s="7">
        <f t="shared" si="62"/>
        <v>-7.5210989644745894</v>
      </c>
      <c r="H288" s="16">
        <f t="shared" si="63"/>
        <v>10.315020718960263</v>
      </c>
      <c r="I288" s="11">
        <f t="shared" si="66"/>
        <v>2.2635512410683397E-3</v>
      </c>
      <c r="J288" s="33">
        <f t="shared" si="67"/>
        <v>1.4450286870225745E-2</v>
      </c>
      <c r="K288" s="33">
        <f t="shared" si="68"/>
        <v>69.202778393310737</v>
      </c>
      <c r="L288" s="8">
        <v>1</v>
      </c>
      <c r="M288" s="9">
        <v>0</v>
      </c>
      <c r="N288" s="8">
        <v>0</v>
      </c>
      <c r="O288" s="9">
        <v>1</v>
      </c>
      <c r="P288" s="9">
        <v>0</v>
      </c>
      <c r="Q288" s="9">
        <v>0</v>
      </c>
      <c r="R288" s="9">
        <v>0</v>
      </c>
      <c r="S288" s="8">
        <v>4821</v>
      </c>
      <c r="T288" s="9">
        <v>31</v>
      </c>
      <c r="U288" s="9">
        <f t="shared" si="64"/>
        <v>4789</v>
      </c>
      <c r="V288" s="9">
        <f t="shared" si="65"/>
        <v>16</v>
      </c>
      <c r="W288" s="7">
        <v>12</v>
      </c>
      <c r="X288" s="7">
        <f t="shared" si="60"/>
        <v>31.57</v>
      </c>
      <c r="Y288" s="9">
        <v>0</v>
      </c>
      <c r="Z288" s="9">
        <v>1</v>
      </c>
      <c r="AA288" s="9">
        <v>0</v>
      </c>
      <c r="AB288" s="9">
        <v>0</v>
      </c>
      <c r="AC288" s="9">
        <v>1</v>
      </c>
      <c r="AD288" s="9">
        <v>0</v>
      </c>
      <c r="AE288" s="8">
        <v>0</v>
      </c>
      <c r="AF288" s="9">
        <v>1</v>
      </c>
      <c r="AG288" s="30">
        <v>0</v>
      </c>
      <c r="AH288" s="9">
        <v>1</v>
      </c>
      <c r="AI288" s="30">
        <v>0</v>
      </c>
      <c r="AJ288" s="21">
        <v>2011</v>
      </c>
      <c r="AK288" s="33">
        <f t="shared" si="70"/>
        <v>0.3972</v>
      </c>
      <c r="AL288" s="33">
        <v>0.26300000000000001</v>
      </c>
      <c r="AM288" s="33">
        <v>0.2162</v>
      </c>
      <c r="AN288" s="43">
        <v>0.1236</v>
      </c>
      <c r="AO288" s="42">
        <v>1</v>
      </c>
      <c r="AP288" s="18">
        <v>0</v>
      </c>
      <c r="AQ288">
        <v>0.18748699999999999</v>
      </c>
      <c r="AR288" s="40">
        <f t="shared" si="71"/>
        <v>0.81251300000000004</v>
      </c>
      <c r="AS288">
        <v>0.498</v>
      </c>
      <c r="AT288" s="40">
        <v>0.502</v>
      </c>
      <c r="AU288">
        <v>0</v>
      </c>
      <c r="AV288" s="18">
        <v>1</v>
      </c>
      <c r="AW288">
        <v>0.32400000000000001</v>
      </c>
      <c r="AX288" s="18">
        <v>0.67600000000000005</v>
      </c>
      <c r="AY288" s="18" t="s">
        <v>19</v>
      </c>
      <c r="AZ288">
        <v>0</v>
      </c>
      <c r="BA288">
        <v>0</v>
      </c>
      <c r="BB288">
        <v>0</v>
      </c>
      <c r="BC288">
        <v>0</v>
      </c>
      <c r="BD288">
        <v>0</v>
      </c>
      <c r="BE288">
        <v>0</v>
      </c>
      <c r="BF288" s="18">
        <v>1</v>
      </c>
      <c r="BG288">
        <v>0</v>
      </c>
      <c r="BH288">
        <v>1</v>
      </c>
      <c r="BI288" s="18">
        <v>0</v>
      </c>
      <c r="BJ288">
        <v>1894</v>
      </c>
      <c r="BK288">
        <v>75</v>
      </c>
      <c r="BL288" s="25">
        <v>49.57</v>
      </c>
      <c r="BM288">
        <v>0</v>
      </c>
      <c r="BN288">
        <v>1</v>
      </c>
      <c r="BO288">
        <v>0</v>
      </c>
      <c r="BP288">
        <v>0</v>
      </c>
      <c r="BQ288">
        <v>0</v>
      </c>
      <c r="BR288">
        <v>0</v>
      </c>
      <c r="BS288">
        <v>0</v>
      </c>
      <c r="BT288" s="18">
        <v>0</v>
      </c>
      <c r="BU288">
        <v>0</v>
      </c>
      <c r="BV288">
        <v>1</v>
      </c>
      <c r="BW288">
        <v>0</v>
      </c>
      <c r="BX288" s="18">
        <v>0</v>
      </c>
      <c r="BY288">
        <v>1</v>
      </c>
      <c r="BZ288">
        <v>0</v>
      </c>
      <c r="CA288">
        <v>0</v>
      </c>
      <c r="CB288">
        <v>0</v>
      </c>
      <c r="CC288" s="18">
        <v>0</v>
      </c>
      <c r="CD288">
        <v>1</v>
      </c>
      <c r="CE288">
        <v>0</v>
      </c>
      <c r="CF288">
        <v>0</v>
      </c>
      <c r="CG288">
        <v>0</v>
      </c>
      <c r="CH288">
        <v>0</v>
      </c>
      <c r="CI288">
        <v>1</v>
      </c>
      <c r="CJ288">
        <v>1</v>
      </c>
      <c r="CK288">
        <v>1</v>
      </c>
      <c r="CL288">
        <v>1</v>
      </c>
      <c r="CM288">
        <v>1</v>
      </c>
      <c r="CN288" s="18">
        <v>1</v>
      </c>
      <c r="CO288">
        <v>0</v>
      </c>
      <c r="CP288">
        <v>0</v>
      </c>
      <c r="CQ288">
        <v>0</v>
      </c>
      <c r="CR288">
        <v>1</v>
      </c>
      <c r="CS288">
        <v>17</v>
      </c>
      <c r="CY288" s="34"/>
    </row>
    <row r="289" spans="1:103" x14ac:dyDescent="0.25">
      <c r="A289">
        <v>288</v>
      </c>
      <c r="B289">
        <v>19</v>
      </c>
      <c r="C289" s="25" t="s">
        <v>219</v>
      </c>
      <c r="D289" s="12">
        <v>3.1982685342211381</v>
      </c>
      <c r="E289" s="14">
        <v>4.1337380694557888</v>
      </c>
      <c r="F289" s="7">
        <v>0.77369888475836446</v>
      </c>
      <c r="G289" s="7">
        <f t="shared" si="62"/>
        <v>-0.93546953523465071</v>
      </c>
      <c r="H289" s="16">
        <f t="shared" si="63"/>
        <v>7.3320066036769269</v>
      </c>
      <c r="I289" s="11">
        <f t="shared" si="66"/>
        <v>1.1179500798345203E-2</v>
      </c>
      <c r="J289" s="33">
        <f t="shared" si="67"/>
        <v>1.4449420851674995E-2</v>
      </c>
      <c r="K289" s="33">
        <f t="shared" si="68"/>
        <v>69.206926025971399</v>
      </c>
      <c r="L289" s="8">
        <v>1</v>
      </c>
      <c r="M289" s="9">
        <v>0</v>
      </c>
      <c r="N289" s="8">
        <v>0</v>
      </c>
      <c r="O289" s="9">
        <v>1</v>
      </c>
      <c r="P289" s="9">
        <v>0</v>
      </c>
      <c r="Q289" s="9">
        <v>0</v>
      </c>
      <c r="R289" s="9">
        <v>0</v>
      </c>
      <c r="S289" s="8">
        <v>4821</v>
      </c>
      <c r="T289" s="9">
        <v>31</v>
      </c>
      <c r="U289" s="9">
        <f t="shared" si="64"/>
        <v>4789</v>
      </c>
      <c r="V289" s="9">
        <f t="shared" si="65"/>
        <v>16</v>
      </c>
      <c r="W289" s="7">
        <v>16</v>
      </c>
      <c r="X289" s="7">
        <f t="shared" si="60"/>
        <v>27.57</v>
      </c>
      <c r="Y289" s="9">
        <v>0</v>
      </c>
      <c r="Z289" s="9">
        <v>1</v>
      </c>
      <c r="AA289" s="9">
        <v>0</v>
      </c>
      <c r="AB289" s="9">
        <v>0</v>
      </c>
      <c r="AC289" s="9">
        <v>1</v>
      </c>
      <c r="AD289" s="9">
        <v>0</v>
      </c>
      <c r="AE289" s="8">
        <v>0</v>
      </c>
      <c r="AF289" s="9">
        <v>1</v>
      </c>
      <c r="AG289" s="30">
        <v>0</v>
      </c>
      <c r="AH289" s="9">
        <v>1</v>
      </c>
      <c r="AI289" s="30">
        <v>0</v>
      </c>
      <c r="AJ289" s="21">
        <v>2011</v>
      </c>
      <c r="AK289" s="33">
        <f t="shared" si="70"/>
        <v>0.3972</v>
      </c>
      <c r="AL289" s="33">
        <v>0.26300000000000001</v>
      </c>
      <c r="AM289" s="33">
        <v>0.2162</v>
      </c>
      <c r="AN289" s="43">
        <v>0.1236</v>
      </c>
      <c r="AO289" s="42">
        <v>1</v>
      </c>
      <c r="AP289" s="18">
        <v>0</v>
      </c>
      <c r="AQ289">
        <v>0.18748699999999999</v>
      </c>
      <c r="AR289" s="40">
        <f t="shared" si="71"/>
        <v>0.81251300000000004</v>
      </c>
      <c r="AS289">
        <v>0.498</v>
      </c>
      <c r="AT289" s="40">
        <v>0.502</v>
      </c>
      <c r="AU289">
        <v>0</v>
      </c>
      <c r="AV289" s="18">
        <v>1</v>
      </c>
      <c r="AW289">
        <v>0.32400000000000001</v>
      </c>
      <c r="AX289" s="18">
        <v>0.67600000000000005</v>
      </c>
      <c r="AY289" s="18" t="s">
        <v>19</v>
      </c>
      <c r="AZ289">
        <v>0</v>
      </c>
      <c r="BA289">
        <v>0</v>
      </c>
      <c r="BB289">
        <v>0</v>
      </c>
      <c r="BC289">
        <v>0</v>
      </c>
      <c r="BD289">
        <v>0</v>
      </c>
      <c r="BE289">
        <v>0</v>
      </c>
      <c r="BF289" s="18">
        <v>1</v>
      </c>
      <c r="BG289">
        <v>0</v>
      </c>
      <c r="BH289">
        <v>1</v>
      </c>
      <c r="BI289" s="18">
        <v>0</v>
      </c>
      <c r="BJ289">
        <v>1894</v>
      </c>
      <c r="BK289">
        <v>75</v>
      </c>
      <c r="BL289" s="25">
        <v>49.57</v>
      </c>
      <c r="BM289">
        <v>0</v>
      </c>
      <c r="BN289">
        <v>1</v>
      </c>
      <c r="BO289">
        <v>0</v>
      </c>
      <c r="BP289">
        <v>0</v>
      </c>
      <c r="BQ289">
        <v>0</v>
      </c>
      <c r="BR289">
        <v>0</v>
      </c>
      <c r="BS289">
        <v>0</v>
      </c>
      <c r="BT289" s="18">
        <v>0</v>
      </c>
      <c r="BU289">
        <v>0</v>
      </c>
      <c r="BV289">
        <v>1</v>
      </c>
      <c r="BW289">
        <v>0</v>
      </c>
      <c r="BX289" s="18">
        <v>0</v>
      </c>
      <c r="BY289">
        <v>1</v>
      </c>
      <c r="BZ289">
        <v>0</v>
      </c>
      <c r="CA289">
        <v>0</v>
      </c>
      <c r="CB289">
        <v>0</v>
      </c>
      <c r="CC289" s="18">
        <v>0</v>
      </c>
      <c r="CD289">
        <v>1</v>
      </c>
      <c r="CE289">
        <v>0</v>
      </c>
      <c r="CF289">
        <v>0</v>
      </c>
      <c r="CG289">
        <v>0</v>
      </c>
      <c r="CH289">
        <v>0</v>
      </c>
      <c r="CI289">
        <v>1</v>
      </c>
      <c r="CJ289">
        <v>1</v>
      </c>
      <c r="CK289">
        <v>1</v>
      </c>
      <c r="CL289">
        <v>1</v>
      </c>
      <c r="CM289">
        <v>1</v>
      </c>
      <c r="CN289" s="18">
        <v>1</v>
      </c>
      <c r="CO289">
        <v>0</v>
      </c>
      <c r="CP289">
        <v>0</v>
      </c>
      <c r="CQ289">
        <v>0</v>
      </c>
      <c r="CR289">
        <v>1</v>
      </c>
      <c r="CS289">
        <v>17</v>
      </c>
      <c r="CY289" s="34"/>
    </row>
    <row r="290" spans="1:103" x14ac:dyDescent="0.25">
      <c r="A290">
        <v>289</v>
      </c>
      <c r="B290">
        <v>19</v>
      </c>
      <c r="C290" s="25" t="s">
        <v>219</v>
      </c>
      <c r="D290" s="12">
        <v>4.3893788765642316</v>
      </c>
      <c r="E290" s="14">
        <v>3.3247302202195459</v>
      </c>
      <c r="F290" s="7">
        <v>1.3202210663198961</v>
      </c>
      <c r="G290" s="7">
        <f t="shared" si="62"/>
        <v>1.0646486563446858</v>
      </c>
      <c r="H290" s="16">
        <f t="shared" si="63"/>
        <v>7.714109096783778</v>
      </c>
      <c r="I290" s="11">
        <f t="shared" si="66"/>
        <v>1.9074151257265526E-2</v>
      </c>
      <c r="J290" s="33">
        <f t="shared" si="67"/>
        <v>1.4447694968566549E-2</v>
      </c>
      <c r="K290" s="33">
        <f t="shared" si="68"/>
        <v>69.215193300777216</v>
      </c>
      <c r="L290" s="8">
        <v>1</v>
      </c>
      <c r="M290" s="9">
        <v>0</v>
      </c>
      <c r="N290" s="8">
        <v>0</v>
      </c>
      <c r="O290" s="9">
        <v>1</v>
      </c>
      <c r="P290" s="9">
        <v>0</v>
      </c>
      <c r="Q290" s="9">
        <v>0</v>
      </c>
      <c r="R290" s="9">
        <v>0</v>
      </c>
      <c r="S290" s="8">
        <v>4821</v>
      </c>
      <c r="T290" s="9">
        <v>31</v>
      </c>
      <c r="U290" s="9">
        <f t="shared" si="64"/>
        <v>4789</v>
      </c>
      <c r="V290" s="9">
        <f t="shared" si="65"/>
        <v>16</v>
      </c>
      <c r="W290" s="7">
        <v>21</v>
      </c>
      <c r="X290" s="7">
        <f t="shared" si="60"/>
        <v>22.57</v>
      </c>
      <c r="Y290" s="9">
        <v>0</v>
      </c>
      <c r="Z290" s="9">
        <v>1</v>
      </c>
      <c r="AA290" s="9">
        <v>0</v>
      </c>
      <c r="AB290" s="9">
        <v>0</v>
      </c>
      <c r="AC290" s="9">
        <v>1</v>
      </c>
      <c r="AD290" s="9">
        <v>0</v>
      </c>
      <c r="AE290" s="8">
        <v>0</v>
      </c>
      <c r="AF290" s="9">
        <v>1</v>
      </c>
      <c r="AG290" s="30">
        <v>0</v>
      </c>
      <c r="AH290" s="9">
        <v>1</v>
      </c>
      <c r="AI290" s="30">
        <v>0</v>
      </c>
      <c r="AJ290" s="21">
        <v>2011</v>
      </c>
      <c r="AK290" s="33">
        <f t="shared" si="70"/>
        <v>0.3972</v>
      </c>
      <c r="AL290" s="33">
        <v>0.26300000000000001</v>
      </c>
      <c r="AM290" s="33">
        <v>0.2162</v>
      </c>
      <c r="AN290" s="43">
        <v>0.1236</v>
      </c>
      <c r="AO290" s="42">
        <v>1</v>
      </c>
      <c r="AP290" s="18">
        <v>0</v>
      </c>
      <c r="AQ290">
        <v>0.18748699999999999</v>
      </c>
      <c r="AR290" s="40">
        <f t="shared" si="71"/>
        <v>0.81251300000000004</v>
      </c>
      <c r="AS290">
        <v>0.498</v>
      </c>
      <c r="AT290" s="40">
        <v>0.502</v>
      </c>
      <c r="AU290">
        <v>0</v>
      </c>
      <c r="AV290" s="18">
        <v>1</v>
      </c>
      <c r="AW290">
        <v>0.32400000000000001</v>
      </c>
      <c r="AX290" s="18">
        <v>0.67600000000000005</v>
      </c>
      <c r="AY290" s="18" t="s">
        <v>19</v>
      </c>
      <c r="AZ290">
        <v>0</v>
      </c>
      <c r="BA290">
        <v>0</v>
      </c>
      <c r="BB290">
        <v>0</v>
      </c>
      <c r="BC290">
        <v>0</v>
      </c>
      <c r="BD290">
        <v>0</v>
      </c>
      <c r="BE290">
        <v>0</v>
      </c>
      <c r="BF290" s="18">
        <v>1</v>
      </c>
      <c r="BG290">
        <v>0</v>
      </c>
      <c r="BH290">
        <v>1</v>
      </c>
      <c r="BI290" s="18">
        <v>0</v>
      </c>
      <c r="BJ290">
        <v>1894</v>
      </c>
      <c r="BK290">
        <v>75</v>
      </c>
      <c r="BL290" s="25">
        <v>49.57</v>
      </c>
      <c r="BM290">
        <v>0</v>
      </c>
      <c r="BN290">
        <v>1</v>
      </c>
      <c r="BO290">
        <v>0</v>
      </c>
      <c r="BP290">
        <v>0</v>
      </c>
      <c r="BQ290">
        <v>0</v>
      </c>
      <c r="BR290">
        <v>0</v>
      </c>
      <c r="BS290">
        <v>0</v>
      </c>
      <c r="BT290" s="18">
        <v>0</v>
      </c>
      <c r="BU290">
        <v>0</v>
      </c>
      <c r="BV290">
        <v>1</v>
      </c>
      <c r="BW290">
        <v>0</v>
      </c>
      <c r="BX290" s="18">
        <v>0</v>
      </c>
      <c r="BY290">
        <v>1</v>
      </c>
      <c r="BZ290">
        <v>0</v>
      </c>
      <c r="CA290">
        <v>0</v>
      </c>
      <c r="CB290">
        <v>0</v>
      </c>
      <c r="CC290" s="18">
        <v>0</v>
      </c>
      <c r="CD290">
        <v>1</v>
      </c>
      <c r="CE290">
        <v>0</v>
      </c>
      <c r="CF290">
        <v>0</v>
      </c>
      <c r="CG290">
        <v>0</v>
      </c>
      <c r="CH290">
        <v>0</v>
      </c>
      <c r="CI290">
        <v>1</v>
      </c>
      <c r="CJ290">
        <v>1</v>
      </c>
      <c r="CK290">
        <v>1</v>
      </c>
      <c r="CL290">
        <v>1</v>
      </c>
      <c r="CM290">
        <v>1</v>
      </c>
      <c r="CN290" s="18">
        <v>1</v>
      </c>
      <c r="CO290">
        <v>0</v>
      </c>
      <c r="CP290">
        <v>0</v>
      </c>
      <c r="CQ290">
        <v>0</v>
      </c>
      <c r="CR290">
        <v>1</v>
      </c>
      <c r="CS290">
        <v>17</v>
      </c>
      <c r="CY290" s="34"/>
    </row>
    <row r="291" spans="1:103" x14ac:dyDescent="0.25">
      <c r="A291">
        <v>290</v>
      </c>
      <c r="B291">
        <v>19</v>
      </c>
      <c r="C291" s="25" t="s">
        <v>219</v>
      </c>
      <c r="D291" s="12">
        <v>1.2455640711427569</v>
      </c>
      <c r="E291" s="14">
        <v>3.485345203556415</v>
      </c>
      <c r="F291" s="7">
        <v>0.35737179487179488</v>
      </c>
      <c r="G291" s="7">
        <f t="shared" si="62"/>
        <v>-2.2397811324136581</v>
      </c>
      <c r="H291" s="16">
        <f t="shared" si="63"/>
        <v>4.7309092746991723</v>
      </c>
      <c r="I291" s="11">
        <f t="shared" si="66"/>
        <v>5.1640693268210575E-3</v>
      </c>
      <c r="J291" s="33">
        <f t="shared" si="67"/>
        <v>1.445013121047686E-2</v>
      </c>
      <c r="K291" s="33">
        <f t="shared" si="68"/>
        <v>69.203523859697853</v>
      </c>
      <c r="L291" s="8">
        <v>1</v>
      </c>
      <c r="M291" s="9">
        <v>0</v>
      </c>
      <c r="N291" s="8">
        <v>0</v>
      </c>
      <c r="O291" s="9">
        <v>1</v>
      </c>
      <c r="P291" s="9">
        <v>0</v>
      </c>
      <c r="Q291" s="9">
        <v>0</v>
      </c>
      <c r="R291" s="9">
        <v>0</v>
      </c>
      <c r="S291" s="8">
        <v>4821</v>
      </c>
      <c r="T291" s="9">
        <v>31</v>
      </c>
      <c r="U291" s="9">
        <f t="shared" si="64"/>
        <v>4789</v>
      </c>
      <c r="V291" s="9">
        <f t="shared" si="65"/>
        <v>16</v>
      </c>
      <c r="W291" s="7">
        <v>6</v>
      </c>
      <c r="X291" s="7">
        <f t="shared" si="60"/>
        <v>37.57</v>
      </c>
      <c r="Y291" s="9">
        <v>0</v>
      </c>
      <c r="Z291" s="9">
        <v>1</v>
      </c>
      <c r="AA291" s="9">
        <v>0</v>
      </c>
      <c r="AB291" s="9">
        <v>0</v>
      </c>
      <c r="AC291" s="9">
        <v>1</v>
      </c>
      <c r="AD291" s="9">
        <v>0</v>
      </c>
      <c r="AE291" s="8">
        <v>0</v>
      </c>
      <c r="AF291" s="9">
        <v>1</v>
      </c>
      <c r="AG291" s="30">
        <v>0</v>
      </c>
      <c r="AH291" s="9">
        <v>1</v>
      </c>
      <c r="AI291" s="30">
        <v>0</v>
      </c>
      <c r="AJ291" s="21">
        <v>2011</v>
      </c>
      <c r="AK291" s="33">
        <f t="shared" si="70"/>
        <v>0.3972</v>
      </c>
      <c r="AL291" s="33">
        <v>0.26300000000000001</v>
      </c>
      <c r="AM291" s="33">
        <v>0.2162</v>
      </c>
      <c r="AN291" s="43">
        <v>0.1236</v>
      </c>
      <c r="AO291" s="42">
        <v>1</v>
      </c>
      <c r="AP291" s="18">
        <v>0</v>
      </c>
      <c r="AQ291">
        <v>0.18748699999999999</v>
      </c>
      <c r="AR291" s="40">
        <f t="shared" si="71"/>
        <v>0.81251300000000004</v>
      </c>
      <c r="AS291">
        <v>0.498</v>
      </c>
      <c r="AT291" s="40">
        <v>0.502</v>
      </c>
      <c r="AU291">
        <v>0</v>
      </c>
      <c r="AV291" s="18">
        <v>1</v>
      </c>
      <c r="AW291">
        <v>0.32400000000000001</v>
      </c>
      <c r="AX291" s="18">
        <v>0.67600000000000005</v>
      </c>
      <c r="AY291" s="18" t="s">
        <v>19</v>
      </c>
      <c r="AZ291">
        <v>0</v>
      </c>
      <c r="BA291">
        <v>0</v>
      </c>
      <c r="BB291">
        <v>0</v>
      </c>
      <c r="BC291">
        <v>0</v>
      </c>
      <c r="BD291">
        <v>0</v>
      </c>
      <c r="BE291">
        <v>0</v>
      </c>
      <c r="BF291" s="18">
        <v>1</v>
      </c>
      <c r="BG291">
        <v>0</v>
      </c>
      <c r="BH291">
        <v>1</v>
      </c>
      <c r="BI291" s="18">
        <v>0</v>
      </c>
      <c r="BJ291">
        <v>1894</v>
      </c>
      <c r="BK291">
        <v>75</v>
      </c>
      <c r="BL291" s="25">
        <v>49.57</v>
      </c>
      <c r="BM291">
        <v>0</v>
      </c>
      <c r="BN291">
        <v>1</v>
      </c>
      <c r="BO291">
        <v>0</v>
      </c>
      <c r="BP291">
        <v>0</v>
      </c>
      <c r="BQ291">
        <v>0</v>
      </c>
      <c r="BR291">
        <v>0</v>
      </c>
      <c r="BS291">
        <v>0</v>
      </c>
      <c r="BT291" s="18">
        <v>0</v>
      </c>
      <c r="BU291">
        <v>0</v>
      </c>
      <c r="BV291">
        <v>1</v>
      </c>
      <c r="BW291">
        <v>0</v>
      </c>
      <c r="BX291" s="18">
        <v>0</v>
      </c>
      <c r="BY291">
        <v>1</v>
      </c>
      <c r="BZ291">
        <v>0</v>
      </c>
      <c r="CA291">
        <v>0</v>
      </c>
      <c r="CB291">
        <v>0</v>
      </c>
      <c r="CC291" s="18">
        <v>0</v>
      </c>
      <c r="CD291">
        <v>1</v>
      </c>
      <c r="CE291">
        <v>0</v>
      </c>
      <c r="CF291">
        <v>0</v>
      </c>
      <c r="CG291">
        <v>0</v>
      </c>
      <c r="CH291">
        <v>0</v>
      </c>
      <c r="CI291">
        <v>1</v>
      </c>
      <c r="CJ291">
        <v>1</v>
      </c>
      <c r="CK291">
        <v>1</v>
      </c>
      <c r="CL291">
        <v>1</v>
      </c>
      <c r="CM291">
        <v>1</v>
      </c>
      <c r="CN291" s="18">
        <v>1</v>
      </c>
      <c r="CO291">
        <v>0</v>
      </c>
      <c r="CP291">
        <v>0</v>
      </c>
      <c r="CQ291">
        <v>0</v>
      </c>
      <c r="CR291">
        <v>1</v>
      </c>
      <c r="CS291">
        <v>17</v>
      </c>
      <c r="CY291" s="34"/>
    </row>
    <row r="292" spans="1:103" x14ac:dyDescent="0.25">
      <c r="A292">
        <v>291</v>
      </c>
      <c r="B292">
        <v>19</v>
      </c>
      <c r="C292" s="25" t="s">
        <v>219</v>
      </c>
      <c r="D292" s="12">
        <v>3.1368104442244031</v>
      </c>
      <c r="E292" s="14">
        <v>4.3002068562374038</v>
      </c>
      <c r="F292" s="7">
        <v>0.72945570971184626</v>
      </c>
      <c r="G292" s="7">
        <f t="shared" si="62"/>
        <v>-1.1633964120130007</v>
      </c>
      <c r="H292" s="16">
        <f t="shared" si="63"/>
        <v>7.4370173004618074</v>
      </c>
      <c r="I292" s="11">
        <f t="shared" si="66"/>
        <v>1.054028571930227E-2</v>
      </c>
      <c r="J292" s="33">
        <f t="shared" si="67"/>
        <v>1.4449521168963026E-2</v>
      </c>
      <c r="K292" s="33">
        <f t="shared" si="68"/>
        <v>69.20644554976387</v>
      </c>
      <c r="L292" s="8">
        <v>1</v>
      </c>
      <c r="M292" s="9">
        <v>0</v>
      </c>
      <c r="N292" s="8">
        <v>0</v>
      </c>
      <c r="O292" s="9">
        <v>1</v>
      </c>
      <c r="P292" s="9">
        <v>0</v>
      </c>
      <c r="Q292" s="9">
        <v>0</v>
      </c>
      <c r="R292" s="9">
        <v>0</v>
      </c>
      <c r="S292" s="8">
        <v>4821</v>
      </c>
      <c r="T292" s="9">
        <v>31</v>
      </c>
      <c r="U292" s="9">
        <f t="shared" si="64"/>
        <v>4789</v>
      </c>
      <c r="V292" s="9">
        <f t="shared" si="65"/>
        <v>16</v>
      </c>
      <c r="W292" s="7">
        <v>12</v>
      </c>
      <c r="X292" s="7">
        <f t="shared" si="60"/>
        <v>31.57</v>
      </c>
      <c r="Y292" s="9">
        <v>0</v>
      </c>
      <c r="Z292" s="9">
        <v>1</v>
      </c>
      <c r="AA292" s="9">
        <v>0</v>
      </c>
      <c r="AB292" s="9">
        <v>0</v>
      </c>
      <c r="AC292" s="9">
        <v>1</v>
      </c>
      <c r="AD292" s="9">
        <v>0</v>
      </c>
      <c r="AE292" s="8">
        <v>0</v>
      </c>
      <c r="AF292" s="9">
        <v>1</v>
      </c>
      <c r="AG292" s="30">
        <v>0</v>
      </c>
      <c r="AH292" s="9">
        <v>1</v>
      </c>
      <c r="AI292" s="30">
        <v>0</v>
      </c>
      <c r="AJ292" s="21">
        <v>2011</v>
      </c>
      <c r="AK292" s="33">
        <f t="shared" si="70"/>
        <v>0.3972</v>
      </c>
      <c r="AL292" s="33">
        <v>0.26300000000000001</v>
      </c>
      <c r="AM292" s="33">
        <v>0.2162</v>
      </c>
      <c r="AN292" s="43">
        <v>0.1236</v>
      </c>
      <c r="AO292" s="42">
        <v>1</v>
      </c>
      <c r="AP292" s="18">
        <v>0</v>
      </c>
      <c r="AQ292">
        <v>0.18748699999999999</v>
      </c>
      <c r="AR292" s="40">
        <f t="shared" si="71"/>
        <v>0.81251300000000004</v>
      </c>
      <c r="AS292">
        <v>0.498</v>
      </c>
      <c r="AT292" s="40">
        <v>0.502</v>
      </c>
      <c r="AU292">
        <v>0</v>
      </c>
      <c r="AV292" s="18">
        <v>1</v>
      </c>
      <c r="AW292">
        <v>0.32400000000000001</v>
      </c>
      <c r="AX292" s="18">
        <v>0.67600000000000005</v>
      </c>
      <c r="AY292" s="18" t="s">
        <v>19</v>
      </c>
      <c r="AZ292">
        <v>0</v>
      </c>
      <c r="BA292">
        <v>0</v>
      </c>
      <c r="BB292">
        <v>0</v>
      </c>
      <c r="BC292">
        <v>0</v>
      </c>
      <c r="BD292">
        <v>0</v>
      </c>
      <c r="BE292">
        <v>0</v>
      </c>
      <c r="BF292" s="18">
        <v>1</v>
      </c>
      <c r="BG292">
        <v>0</v>
      </c>
      <c r="BH292">
        <v>1</v>
      </c>
      <c r="BI292" s="18">
        <v>0</v>
      </c>
      <c r="BJ292">
        <v>1894</v>
      </c>
      <c r="BK292">
        <v>75</v>
      </c>
      <c r="BL292" s="25">
        <v>49.57</v>
      </c>
      <c r="BM292">
        <v>0</v>
      </c>
      <c r="BN292">
        <v>1</v>
      </c>
      <c r="BO292">
        <v>0</v>
      </c>
      <c r="BP292">
        <v>0</v>
      </c>
      <c r="BQ292">
        <v>0</v>
      </c>
      <c r="BR292">
        <v>0</v>
      </c>
      <c r="BS292">
        <v>0</v>
      </c>
      <c r="BT292" s="18">
        <v>0</v>
      </c>
      <c r="BU292">
        <v>0</v>
      </c>
      <c r="BV292">
        <v>1</v>
      </c>
      <c r="BW292">
        <v>0</v>
      </c>
      <c r="BX292" s="18">
        <v>0</v>
      </c>
      <c r="BY292">
        <v>1</v>
      </c>
      <c r="BZ292">
        <v>0</v>
      </c>
      <c r="CA292">
        <v>0</v>
      </c>
      <c r="CB292">
        <v>0</v>
      </c>
      <c r="CC292" s="18">
        <v>0</v>
      </c>
      <c r="CD292">
        <v>1</v>
      </c>
      <c r="CE292">
        <v>0</v>
      </c>
      <c r="CF292">
        <v>0</v>
      </c>
      <c r="CG292">
        <v>0</v>
      </c>
      <c r="CH292">
        <v>0</v>
      </c>
      <c r="CI292">
        <v>1</v>
      </c>
      <c r="CJ292">
        <v>1</v>
      </c>
      <c r="CK292">
        <v>1</v>
      </c>
      <c r="CL292">
        <v>1</v>
      </c>
      <c r="CM292">
        <v>1</v>
      </c>
      <c r="CN292" s="18">
        <v>1</v>
      </c>
      <c r="CO292">
        <v>0</v>
      </c>
      <c r="CP292">
        <v>0</v>
      </c>
      <c r="CQ292">
        <v>0</v>
      </c>
      <c r="CR292">
        <v>1</v>
      </c>
      <c r="CS292">
        <v>17</v>
      </c>
      <c r="CY292" s="34"/>
    </row>
    <row r="293" spans="1:103" x14ac:dyDescent="0.25">
      <c r="A293">
        <v>292</v>
      </c>
      <c r="B293">
        <v>19</v>
      </c>
      <c r="C293" s="25" t="s">
        <v>219</v>
      </c>
      <c r="D293" s="12">
        <v>9.0389433100003913</v>
      </c>
      <c r="E293" s="14">
        <v>3.0962035506724952</v>
      </c>
      <c r="F293" s="7">
        <v>2.9193633952254641</v>
      </c>
      <c r="G293" s="7">
        <f t="shared" si="62"/>
        <v>5.9427397593278961</v>
      </c>
      <c r="H293" s="16">
        <f t="shared" si="63"/>
        <v>12.135146860672887</v>
      </c>
      <c r="I293" s="11">
        <f t="shared" si="66"/>
        <v>4.214825897840617E-2</v>
      </c>
      <c r="J293" s="33">
        <f t="shared" si="67"/>
        <v>1.4437482859221445E-2</v>
      </c>
      <c r="K293" s="33">
        <f t="shared" si="68"/>
        <v>69.26415149724555</v>
      </c>
      <c r="L293" s="8">
        <v>1</v>
      </c>
      <c r="M293" s="9">
        <v>0</v>
      </c>
      <c r="N293" s="8">
        <v>0</v>
      </c>
      <c r="O293" s="9">
        <v>1</v>
      </c>
      <c r="P293" s="9">
        <v>0</v>
      </c>
      <c r="Q293" s="9">
        <v>0</v>
      </c>
      <c r="R293" s="9">
        <v>0</v>
      </c>
      <c r="S293" s="8">
        <v>4821</v>
      </c>
      <c r="T293" s="9">
        <v>31</v>
      </c>
      <c r="U293" s="9">
        <f t="shared" si="64"/>
        <v>4789</v>
      </c>
      <c r="V293" s="9">
        <f t="shared" si="65"/>
        <v>16</v>
      </c>
      <c r="W293" s="7">
        <v>16</v>
      </c>
      <c r="X293" s="7">
        <f t="shared" si="60"/>
        <v>27.57</v>
      </c>
      <c r="Y293" s="9">
        <v>0</v>
      </c>
      <c r="Z293" s="9">
        <v>1</v>
      </c>
      <c r="AA293" s="9">
        <v>0</v>
      </c>
      <c r="AB293" s="9">
        <v>0</v>
      </c>
      <c r="AC293" s="9">
        <v>1</v>
      </c>
      <c r="AD293" s="9">
        <v>0</v>
      </c>
      <c r="AE293" s="8">
        <v>0</v>
      </c>
      <c r="AF293" s="9">
        <v>1</v>
      </c>
      <c r="AG293" s="30">
        <v>0</v>
      </c>
      <c r="AH293" s="9">
        <v>1</v>
      </c>
      <c r="AI293" s="30">
        <v>0</v>
      </c>
      <c r="AJ293" s="21">
        <v>2011</v>
      </c>
      <c r="AK293" s="33">
        <f t="shared" si="70"/>
        <v>0.3972</v>
      </c>
      <c r="AL293" s="33">
        <v>0.26300000000000001</v>
      </c>
      <c r="AM293" s="33">
        <v>0.2162</v>
      </c>
      <c r="AN293" s="43">
        <v>0.1236</v>
      </c>
      <c r="AO293" s="42">
        <v>1</v>
      </c>
      <c r="AP293" s="18">
        <v>0</v>
      </c>
      <c r="AQ293">
        <v>0.18748699999999999</v>
      </c>
      <c r="AR293" s="40">
        <f t="shared" si="71"/>
        <v>0.81251300000000004</v>
      </c>
      <c r="AS293">
        <v>0.498</v>
      </c>
      <c r="AT293" s="40">
        <v>0.502</v>
      </c>
      <c r="AU293">
        <v>0</v>
      </c>
      <c r="AV293" s="18">
        <v>1</v>
      </c>
      <c r="AW293">
        <v>0.32400000000000001</v>
      </c>
      <c r="AX293" s="18">
        <v>0.67600000000000005</v>
      </c>
      <c r="AY293" s="18" t="s">
        <v>19</v>
      </c>
      <c r="AZ293">
        <v>0</v>
      </c>
      <c r="BA293">
        <v>0</v>
      </c>
      <c r="BB293">
        <v>0</v>
      </c>
      <c r="BC293">
        <v>0</v>
      </c>
      <c r="BD293">
        <v>0</v>
      </c>
      <c r="BE293">
        <v>0</v>
      </c>
      <c r="BF293" s="18">
        <v>1</v>
      </c>
      <c r="BG293">
        <v>0</v>
      </c>
      <c r="BH293">
        <v>1</v>
      </c>
      <c r="BI293" s="18">
        <v>0</v>
      </c>
      <c r="BJ293">
        <v>1894</v>
      </c>
      <c r="BK293">
        <v>75</v>
      </c>
      <c r="BL293" s="25">
        <v>49.57</v>
      </c>
      <c r="BM293">
        <v>0</v>
      </c>
      <c r="BN293">
        <v>1</v>
      </c>
      <c r="BO293">
        <v>0</v>
      </c>
      <c r="BP293">
        <v>0</v>
      </c>
      <c r="BQ293">
        <v>0</v>
      </c>
      <c r="BR293">
        <v>0</v>
      </c>
      <c r="BS293">
        <v>0</v>
      </c>
      <c r="BT293" s="18">
        <v>0</v>
      </c>
      <c r="BU293">
        <v>0</v>
      </c>
      <c r="BV293">
        <v>1</v>
      </c>
      <c r="BW293">
        <v>0</v>
      </c>
      <c r="BX293" s="18">
        <v>0</v>
      </c>
      <c r="BY293">
        <v>1</v>
      </c>
      <c r="BZ293">
        <v>0</v>
      </c>
      <c r="CA293">
        <v>0</v>
      </c>
      <c r="CB293">
        <v>0</v>
      </c>
      <c r="CC293" s="18">
        <v>0</v>
      </c>
      <c r="CD293">
        <v>1</v>
      </c>
      <c r="CE293">
        <v>0</v>
      </c>
      <c r="CF293">
        <v>0</v>
      </c>
      <c r="CG293">
        <v>0</v>
      </c>
      <c r="CH293">
        <v>0</v>
      </c>
      <c r="CI293">
        <v>1</v>
      </c>
      <c r="CJ293">
        <v>1</v>
      </c>
      <c r="CK293">
        <v>1</v>
      </c>
      <c r="CL293">
        <v>1</v>
      </c>
      <c r="CM293">
        <v>1</v>
      </c>
      <c r="CN293" s="18">
        <v>1</v>
      </c>
      <c r="CO293">
        <v>0</v>
      </c>
      <c r="CP293">
        <v>0</v>
      </c>
      <c r="CQ293">
        <v>0</v>
      </c>
      <c r="CR293">
        <v>1</v>
      </c>
      <c r="CS293">
        <v>17</v>
      </c>
      <c r="CY293" s="34"/>
    </row>
    <row r="294" spans="1:103" s="51" customFormat="1" x14ac:dyDescent="0.25">
      <c r="A294" s="51">
        <v>293</v>
      </c>
      <c r="B294" s="51">
        <v>19</v>
      </c>
      <c r="C294" s="52" t="s">
        <v>219</v>
      </c>
      <c r="D294" s="53">
        <v>10.99264554445076</v>
      </c>
      <c r="E294" s="54">
        <v>2.014606160276327</v>
      </c>
      <c r="F294" s="55">
        <v>5.4564737074679623</v>
      </c>
      <c r="G294" s="55">
        <f t="shared" si="62"/>
        <v>8.9780393841744335</v>
      </c>
      <c r="H294" s="56">
        <f t="shared" si="63"/>
        <v>13.007251704727086</v>
      </c>
      <c r="I294" s="11">
        <f t="shared" si="66"/>
        <v>7.8603851765246743E-2</v>
      </c>
      <c r="J294" s="33">
        <f t="shared" si="67"/>
        <v>1.4405613584771087E-2</v>
      </c>
      <c r="K294" s="33">
        <f t="shared" si="68"/>
        <v>69.417383307931516</v>
      </c>
      <c r="L294" s="59">
        <v>1</v>
      </c>
      <c r="M294" s="60">
        <v>0</v>
      </c>
      <c r="N294" s="59">
        <v>0</v>
      </c>
      <c r="O294" s="60">
        <v>1</v>
      </c>
      <c r="P294" s="60">
        <v>0</v>
      </c>
      <c r="Q294" s="60">
        <v>0</v>
      </c>
      <c r="R294" s="60">
        <v>0</v>
      </c>
      <c r="S294" s="59">
        <v>4821</v>
      </c>
      <c r="T294" s="60">
        <v>31</v>
      </c>
      <c r="U294" s="60">
        <f t="shared" si="64"/>
        <v>4789</v>
      </c>
      <c r="V294" s="60">
        <f t="shared" si="65"/>
        <v>16</v>
      </c>
      <c r="W294" s="55">
        <v>21</v>
      </c>
      <c r="X294" s="55">
        <f t="shared" si="60"/>
        <v>22.57</v>
      </c>
      <c r="Y294" s="60">
        <v>0</v>
      </c>
      <c r="Z294" s="60">
        <v>1</v>
      </c>
      <c r="AA294" s="60">
        <v>0</v>
      </c>
      <c r="AB294" s="60">
        <v>0</v>
      </c>
      <c r="AC294" s="60">
        <v>1</v>
      </c>
      <c r="AD294" s="60">
        <v>0</v>
      </c>
      <c r="AE294" s="59">
        <v>0</v>
      </c>
      <c r="AF294" s="60">
        <v>1</v>
      </c>
      <c r="AG294" s="61">
        <v>0</v>
      </c>
      <c r="AH294" s="60">
        <v>1</v>
      </c>
      <c r="AI294" s="61">
        <v>0</v>
      </c>
      <c r="AJ294" s="62">
        <v>2011</v>
      </c>
      <c r="AK294" s="58">
        <f t="shared" si="70"/>
        <v>0.3972</v>
      </c>
      <c r="AL294" s="58">
        <v>0.26300000000000001</v>
      </c>
      <c r="AM294" s="58">
        <v>0.2162</v>
      </c>
      <c r="AN294" s="63">
        <v>0.1236</v>
      </c>
      <c r="AO294" s="64">
        <v>1</v>
      </c>
      <c r="AP294" s="65">
        <v>0</v>
      </c>
      <c r="AQ294" s="51">
        <v>0.18748699999999999</v>
      </c>
      <c r="AR294" s="66">
        <f t="shared" si="71"/>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v>0</v>
      </c>
      <c r="BF294" s="65">
        <v>1</v>
      </c>
      <c r="BG294">
        <v>0</v>
      </c>
      <c r="BH294">
        <v>1</v>
      </c>
      <c r="BI294" s="65">
        <v>0</v>
      </c>
      <c r="BJ294">
        <v>1894</v>
      </c>
      <c r="BK294">
        <v>75</v>
      </c>
      <c r="BL294" s="52">
        <v>49.57</v>
      </c>
      <c r="BM294" s="51">
        <v>0</v>
      </c>
      <c r="BN294" s="51">
        <v>1</v>
      </c>
      <c r="BO294" s="51">
        <v>0</v>
      </c>
      <c r="BP294" s="51">
        <v>0</v>
      </c>
      <c r="BQ294" s="51">
        <v>0</v>
      </c>
      <c r="BR294" s="51">
        <v>0</v>
      </c>
      <c r="BS294" s="51">
        <v>0</v>
      </c>
      <c r="BT294" s="65">
        <v>0</v>
      </c>
      <c r="BU294" s="51">
        <v>0</v>
      </c>
      <c r="BV294" s="51">
        <v>1</v>
      </c>
      <c r="BW294" s="51">
        <v>0</v>
      </c>
      <c r="BX294" s="65">
        <v>0</v>
      </c>
      <c r="BY294" s="51">
        <v>1</v>
      </c>
      <c r="BZ294" s="51">
        <v>0</v>
      </c>
      <c r="CA294" s="51">
        <v>0</v>
      </c>
      <c r="CB294" s="51">
        <v>0</v>
      </c>
      <c r="CC294" s="65">
        <v>0</v>
      </c>
      <c r="CD294" s="51">
        <v>1</v>
      </c>
      <c r="CE294" s="51">
        <v>0</v>
      </c>
      <c r="CF294" s="51">
        <v>0</v>
      </c>
      <c r="CG294" s="51">
        <v>0</v>
      </c>
      <c r="CH294" s="51">
        <v>0</v>
      </c>
      <c r="CI294" s="51">
        <v>1</v>
      </c>
      <c r="CJ294" s="51">
        <v>1</v>
      </c>
      <c r="CK294" s="51">
        <v>1</v>
      </c>
      <c r="CL294" s="51">
        <v>1</v>
      </c>
      <c r="CM294" s="51">
        <v>1</v>
      </c>
      <c r="CN294" s="65">
        <v>1</v>
      </c>
      <c r="CO294">
        <v>0</v>
      </c>
      <c r="CP294">
        <v>0</v>
      </c>
      <c r="CQ294">
        <v>0</v>
      </c>
      <c r="CR294">
        <v>1</v>
      </c>
      <c r="CS294">
        <v>17</v>
      </c>
      <c r="CT294" s="67"/>
      <c r="CY294" s="67"/>
    </row>
    <row r="295" spans="1:103" x14ac:dyDescent="0.25">
      <c r="A295">
        <v>294</v>
      </c>
      <c r="B295">
        <v>20</v>
      </c>
      <c r="C295" s="25" t="s">
        <v>232</v>
      </c>
      <c r="D295" s="12">
        <v>7.3</v>
      </c>
      <c r="E295" s="14">
        <v>0.03</v>
      </c>
      <c r="F295" s="7">
        <f t="shared" ref="F295:F322" si="72">D295/E295</f>
        <v>243.33333333333334</v>
      </c>
      <c r="G295" s="7">
        <f t="shared" si="62"/>
        <v>7.27</v>
      </c>
      <c r="H295" s="16">
        <f t="shared" si="63"/>
        <v>7.33</v>
      </c>
      <c r="I295" s="11">
        <f t="shared" si="66"/>
        <v>0.29748793755946545</v>
      </c>
      <c r="J295" s="33">
        <f t="shared" si="67"/>
        <v>1.2225531680525976E-3</v>
      </c>
      <c r="K295" s="33">
        <f t="shared" si="68"/>
        <v>817.96033590334389</v>
      </c>
      <c r="L295" s="8">
        <v>0</v>
      </c>
      <c r="M295" s="9">
        <v>1</v>
      </c>
      <c r="N295" s="8">
        <v>0</v>
      </c>
      <c r="O295" s="9">
        <v>0</v>
      </c>
      <c r="P295" s="9">
        <v>0</v>
      </c>
      <c r="Q295" s="9">
        <v>1</v>
      </c>
      <c r="R295" s="9">
        <v>0</v>
      </c>
      <c r="S295" s="8">
        <v>609852</v>
      </c>
      <c r="T295" s="9">
        <v>3</v>
      </c>
      <c r="U295" s="9">
        <f t="shared" si="64"/>
        <v>609848</v>
      </c>
      <c r="V295" s="9">
        <f t="shared" si="65"/>
        <v>16</v>
      </c>
      <c r="W295" s="7">
        <v>11.59</v>
      </c>
      <c r="X295" s="7">
        <f t="shared" ref="X295:X322" si="73">BL295-W295-6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v>0</v>
      </c>
      <c r="BF295" s="18">
        <v>0</v>
      </c>
      <c r="BG295">
        <v>1</v>
      </c>
      <c r="BH295">
        <v>0</v>
      </c>
      <c r="BI295" s="18">
        <v>0</v>
      </c>
      <c r="BJ295">
        <v>15553</v>
      </c>
      <c r="BK295">
        <v>23227</v>
      </c>
      <c r="BL295" s="25">
        <v>44.74</v>
      </c>
      <c r="BM295">
        <v>0</v>
      </c>
      <c r="BN295">
        <v>0</v>
      </c>
      <c r="BO295">
        <v>0</v>
      </c>
      <c r="BP295">
        <v>0</v>
      </c>
      <c r="BQ295">
        <v>1</v>
      </c>
      <c r="BR295">
        <v>0</v>
      </c>
      <c r="BS295">
        <v>0</v>
      </c>
      <c r="BT295" s="18">
        <v>0</v>
      </c>
      <c r="BU295">
        <v>0</v>
      </c>
      <c r="BV295">
        <v>0</v>
      </c>
      <c r="BW295">
        <v>0</v>
      </c>
      <c r="BX295" s="18">
        <v>1</v>
      </c>
      <c r="BY295">
        <v>0</v>
      </c>
      <c r="BZ295">
        <v>0</v>
      </c>
      <c r="CA295">
        <v>0</v>
      </c>
      <c r="CB295">
        <v>0</v>
      </c>
      <c r="CC295" s="18">
        <v>0</v>
      </c>
      <c r="CD295">
        <v>1</v>
      </c>
      <c r="CE295">
        <v>0</v>
      </c>
      <c r="CF295">
        <v>0</v>
      </c>
      <c r="CG295">
        <v>0</v>
      </c>
      <c r="CH295">
        <v>0</v>
      </c>
      <c r="CI295">
        <v>0</v>
      </c>
      <c r="CJ295">
        <v>0</v>
      </c>
      <c r="CK295">
        <v>0</v>
      </c>
      <c r="CL295">
        <v>0</v>
      </c>
      <c r="CM295">
        <v>0</v>
      </c>
      <c r="CN295" s="18">
        <v>1</v>
      </c>
      <c r="CO295">
        <v>0</v>
      </c>
      <c r="CP295">
        <v>591</v>
      </c>
      <c r="CQ295">
        <v>0</v>
      </c>
      <c r="CR295">
        <v>1</v>
      </c>
      <c r="CS295">
        <v>3</v>
      </c>
      <c r="CY295" s="34"/>
    </row>
    <row r="296" spans="1:103" x14ac:dyDescent="0.25">
      <c r="A296">
        <v>295</v>
      </c>
      <c r="B296">
        <v>20</v>
      </c>
      <c r="C296" s="25" t="s">
        <v>232</v>
      </c>
      <c r="D296" s="12">
        <v>6.8</v>
      </c>
      <c r="E296" s="14">
        <v>0.03</v>
      </c>
      <c r="F296" s="7">
        <f t="shared" si="72"/>
        <v>226.66666666666666</v>
      </c>
      <c r="G296" s="7">
        <f t="shared" si="62"/>
        <v>6.77</v>
      </c>
      <c r="H296" s="16">
        <f t="shared" si="63"/>
        <v>6.83</v>
      </c>
      <c r="I296" s="11">
        <f t="shared" si="66"/>
        <v>0.27530222229546214</v>
      </c>
      <c r="J296" s="33">
        <f t="shared" si="67"/>
        <v>1.2145686277740978E-3</v>
      </c>
      <c r="K296" s="33">
        <f t="shared" si="68"/>
        <v>823.33758433450487</v>
      </c>
      <c r="L296" s="8">
        <v>0</v>
      </c>
      <c r="M296" s="9">
        <v>1</v>
      </c>
      <c r="N296" s="8">
        <v>0</v>
      </c>
      <c r="O296" s="9">
        <v>0</v>
      </c>
      <c r="P296" s="9">
        <v>0</v>
      </c>
      <c r="Q296" s="9">
        <v>1</v>
      </c>
      <c r="R296" s="9">
        <v>0</v>
      </c>
      <c r="S296" s="8">
        <v>626511</v>
      </c>
      <c r="T296" s="9">
        <v>3</v>
      </c>
      <c r="U296" s="9">
        <f t="shared" si="64"/>
        <v>626507</v>
      </c>
      <c r="V296" s="9">
        <f t="shared" si="65"/>
        <v>16</v>
      </c>
      <c r="W296" s="7">
        <v>10.52</v>
      </c>
      <c r="X296" s="7">
        <f t="shared" si="73"/>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v>0</v>
      </c>
      <c r="BF296" s="18">
        <v>0</v>
      </c>
      <c r="BG296">
        <v>1</v>
      </c>
      <c r="BH296">
        <v>0</v>
      </c>
      <c r="BI296" s="18">
        <v>0</v>
      </c>
      <c r="BJ296">
        <v>16678</v>
      </c>
      <c r="BK296">
        <v>22359</v>
      </c>
      <c r="BL296" s="25">
        <v>44.55</v>
      </c>
      <c r="BM296">
        <v>0</v>
      </c>
      <c r="BN296">
        <v>0</v>
      </c>
      <c r="BO296">
        <v>0</v>
      </c>
      <c r="BP296">
        <v>0</v>
      </c>
      <c r="BQ296">
        <v>1</v>
      </c>
      <c r="BR296">
        <v>0</v>
      </c>
      <c r="BS296">
        <v>0</v>
      </c>
      <c r="BT296" s="18">
        <v>0</v>
      </c>
      <c r="BU296">
        <v>0</v>
      </c>
      <c r="BV296">
        <v>0</v>
      </c>
      <c r="BW296">
        <v>0</v>
      </c>
      <c r="BX296" s="18">
        <v>1</v>
      </c>
      <c r="BY296">
        <v>0</v>
      </c>
      <c r="BZ296">
        <v>0</v>
      </c>
      <c r="CA296">
        <v>0</v>
      </c>
      <c r="CB296">
        <v>0</v>
      </c>
      <c r="CC296" s="18">
        <v>0</v>
      </c>
      <c r="CD296">
        <v>1</v>
      </c>
      <c r="CE296">
        <v>0</v>
      </c>
      <c r="CF296">
        <v>0</v>
      </c>
      <c r="CG296">
        <v>0</v>
      </c>
      <c r="CH296">
        <v>0</v>
      </c>
      <c r="CI296">
        <v>0</v>
      </c>
      <c r="CJ296">
        <v>0</v>
      </c>
      <c r="CK296">
        <v>0</v>
      </c>
      <c r="CL296">
        <v>0</v>
      </c>
      <c r="CM296">
        <v>0</v>
      </c>
      <c r="CN296" s="18">
        <v>1</v>
      </c>
      <c r="CO296">
        <v>0</v>
      </c>
      <c r="CP296">
        <v>591</v>
      </c>
      <c r="CQ296">
        <v>0</v>
      </c>
      <c r="CR296">
        <v>1</v>
      </c>
      <c r="CS296">
        <v>3</v>
      </c>
      <c r="CY296" s="34"/>
    </row>
    <row r="297" spans="1:103" x14ac:dyDescent="0.25">
      <c r="A297">
        <v>296</v>
      </c>
      <c r="B297">
        <v>20</v>
      </c>
      <c r="C297" s="25" t="s">
        <v>232</v>
      </c>
      <c r="D297" s="12">
        <v>7.5</v>
      </c>
      <c r="E297" s="14">
        <v>0.03</v>
      </c>
      <c r="F297" s="7">
        <f t="shared" si="72"/>
        <v>250</v>
      </c>
      <c r="G297" s="7">
        <f t="shared" si="62"/>
        <v>7.47</v>
      </c>
      <c r="H297" s="16">
        <f t="shared" si="63"/>
        <v>7.53</v>
      </c>
      <c r="I297" s="11">
        <f t="shared" si="66"/>
        <v>0.28088274233337129</v>
      </c>
      <c r="J297" s="33">
        <f t="shared" si="67"/>
        <v>1.1235309693334852E-3</v>
      </c>
      <c r="K297" s="33">
        <f t="shared" si="68"/>
        <v>890.05112212726294</v>
      </c>
      <c r="L297" s="8">
        <v>0</v>
      </c>
      <c r="M297" s="9">
        <v>1</v>
      </c>
      <c r="N297" s="8">
        <v>0</v>
      </c>
      <c r="O297" s="9">
        <v>0</v>
      </c>
      <c r="P297" s="9">
        <v>0</v>
      </c>
      <c r="Q297" s="9">
        <v>1</v>
      </c>
      <c r="R297" s="9">
        <v>0</v>
      </c>
      <c r="S297" s="8">
        <v>729695</v>
      </c>
      <c r="T297" s="9">
        <v>3</v>
      </c>
      <c r="U297" s="9">
        <f t="shared" si="64"/>
        <v>729691</v>
      </c>
      <c r="V297" s="9">
        <f t="shared" si="65"/>
        <v>16</v>
      </c>
      <c r="W297" s="7">
        <v>11.59</v>
      </c>
      <c r="X297" s="7">
        <f t="shared" si="73"/>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v>0</v>
      </c>
      <c r="BF297" s="18">
        <v>0</v>
      </c>
      <c r="BG297">
        <v>1</v>
      </c>
      <c r="BH297">
        <v>0</v>
      </c>
      <c r="BI297" s="18">
        <v>0</v>
      </c>
      <c r="BJ297">
        <v>15553</v>
      </c>
      <c r="BK297">
        <v>23227</v>
      </c>
      <c r="BL297" s="25">
        <v>44.74</v>
      </c>
      <c r="BM297">
        <v>0</v>
      </c>
      <c r="BN297">
        <v>0</v>
      </c>
      <c r="BO297">
        <v>0</v>
      </c>
      <c r="BP297">
        <v>0</v>
      </c>
      <c r="BQ297">
        <v>1</v>
      </c>
      <c r="BR297">
        <v>0</v>
      </c>
      <c r="BS297">
        <v>0</v>
      </c>
      <c r="BT297" s="18">
        <v>0</v>
      </c>
      <c r="BU297">
        <v>0</v>
      </c>
      <c r="BV297">
        <v>0</v>
      </c>
      <c r="BW297">
        <v>0</v>
      </c>
      <c r="BX297" s="18">
        <v>1</v>
      </c>
      <c r="BY297">
        <v>0</v>
      </c>
      <c r="BZ297">
        <v>0</v>
      </c>
      <c r="CA297">
        <v>0</v>
      </c>
      <c r="CB297">
        <v>0</v>
      </c>
      <c r="CC297" s="18">
        <v>0</v>
      </c>
      <c r="CD297">
        <v>1</v>
      </c>
      <c r="CE297">
        <v>0</v>
      </c>
      <c r="CF297">
        <v>0</v>
      </c>
      <c r="CG297">
        <v>0</v>
      </c>
      <c r="CH297">
        <v>0</v>
      </c>
      <c r="CI297">
        <v>0</v>
      </c>
      <c r="CJ297">
        <v>0</v>
      </c>
      <c r="CK297">
        <v>0</v>
      </c>
      <c r="CL297">
        <v>0</v>
      </c>
      <c r="CM297">
        <v>0</v>
      </c>
      <c r="CN297" s="18">
        <v>1</v>
      </c>
      <c r="CO297">
        <v>0</v>
      </c>
      <c r="CP297">
        <v>591</v>
      </c>
      <c r="CQ297">
        <v>0</v>
      </c>
      <c r="CR297">
        <v>1</v>
      </c>
      <c r="CS297">
        <v>3</v>
      </c>
      <c r="CY297" s="34"/>
    </row>
    <row r="298" spans="1:103" x14ac:dyDescent="0.25">
      <c r="A298">
        <v>297</v>
      </c>
      <c r="B298">
        <v>20</v>
      </c>
      <c r="C298" s="25" t="s">
        <v>232</v>
      </c>
      <c r="D298" s="12">
        <v>5.5</v>
      </c>
      <c r="E298" s="14">
        <v>0.2</v>
      </c>
      <c r="F298" s="7">
        <f t="shared" si="72"/>
        <v>27.5</v>
      </c>
      <c r="G298" s="7">
        <f t="shared" si="62"/>
        <v>5.3</v>
      </c>
      <c r="H298" s="16">
        <f t="shared" si="63"/>
        <v>5.7</v>
      </c>
      <c r="I298" s="11">
        <f t="shared" si="66"/>
        <v>0.20840959907803441</v>
      </c>
      <c r="J298" s="33">
        <f t="shared" si="67"/>
        <v>7.5785308755648879E-3</v>
      </c>
      <c r="K298" s="33">
        <f t="shared" si="68"/>
        <v>131.95169570717914</v>
      </c>
      <c r="L298" s="8">
        <v>0</v>
      </c>
      <c r="M298" s="9">
        <v>1</v>
      </c>
      <c r="N298" s="8">
        <v>0</v>
      </c>
      <c r="O298" s="9">
        <v>0</v>
      </c>
      <c r="P298" s="9">
        <v>0</v>
      </c>
      <c r="Q298" s="9">
        <v>1</v>
      </c>
      <c r="R298" s="9">
        <v>0</v>
      </c>
      <c r="S298" s="8">
        <v>16659</v>
      </c>
      <c r="T298" s="9">
        <v>3</v>
      </c>
      <c r="U298" s="9">
        <f t="shared" si="64"/>
        <v>16655</v>
      </c>
      <c r="V298" s="9">
        <f t="shared" si="65"/>
        <v>16</v>
      </c>
      <c r="W298" s="7">
        <v>6.97</v>
      </c>
      <c r="X298" s="7">
        <f t="shared" si="73"/>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v>0</v>
      </c>
      <c r="BF298" s="18">
        <v>0</v>
      </c>
      <c r="BG298">
        <v>1</v>
      </c>
      <c r="BH298">
        <v>0</v>
      </c>
      <c r="BI298" s="18">
        <v>0</v>
      </c>
      <c r="BJ298">
        <v>15635</v>
      </c>
      <c r="BK298">
        <v>810</v>
      </c>
      <c r="BL298" s="25">
        <v>44.16</v>
      </c>
      <c r="BM298">
        <v>0</v>
      </c>
      <c r="BN298">
        <v>0</v>
      </c>
      <c r="BO298">
        <v>0</v>
      </c>
      <c r="BP298">
        <v>0</v>
      </c>
      <c r="BQ298">
        <v>1</v>
      </c>
      <c r="BR298">
        <v>0</v>
      </c>
      <c r="BS298">
        <v>0</v>
      </c>
      <c r="BT298" s="18">
        <v>0</v>
      </c>
      <c r="BU298">
        <v>0</v>
      </c>
      <c r="BV298">
        <v>0</v>
      </c>
      <c r="BW298">
        <v>0</v>
      </c>
      <c r="BX298" s="18">
        <v>1</v>
      </c>
      <c r="BY298">
        <v>0</v>
      </c>
      <c r="BZ298">
        <v>0</v>
      </c>
      <c r="CA298">
        <v>0</v>
      </c>
      <c r="CB298">
        <v>0</v>
      </c>
      <c r="CC298" s="18">
        <v>0</v>
      </c>
      <c r="CD298">
        <v>1</v>
      </c>
      <c r="CE298">
        <v>0</v>
      </c>
      <c r="CF298">
        <v>0</v>
      </c>
      <c r="CG298">
        <v>0</v>
      </c>
      <c r="CH298">
        <v>0</v>
      </c>
      <c r="CI298">
        <v>0</v>
      </c>
      <c r="CJ298">
        <v>0</v>
      </c>
      <c r="CK298">
        <v>0</v>
      </c>
      <c r="CL298">
        <v>0</v>
      </c>
      <c r="CM298">
        <v>0</v>
      </c>
      <c r="CN298" s="18">
        <v>1</v>
      </c>
      <c r="CO298">
        <v>0</v>
      </c>
      <c r="CP298">
        <v>591</v>
      </c>
      <c r="CQ298">
        <v>0</v>
      </c>
      <c r="CR298">
        <v>1</v>
      </c>
      <c r="CS298">
        <v>3</v>
      </c>
      <c r="CY298" s="34"/>
    </row>
    <row r="299" spans="1:103" x14ac:dyDescent="0.25">
      <c r="A299">
        <v>298</v>
      </c>
      <c r="B299">
        <v>20</v>
      </c>
      <c r="C299" s="25" t="s">
        <v>232</v>
      </c>
      <c r="D299" s="12">
        <v>6.9</v>
      </c>
      <c r="E299" s="14">
        <v>0.1</v>
      </c>
      <c r="F299" s="7">
        <f t="shared" si="72"/>
        <v>69</v>
      </c>
      <c r="G299" s="7">
        <f t="shared" si="62"/>
        <v>6.8000000000000007</v>
      </c>
      <c r="H299" s="16">
        <f t="shared" si="63"/>
        <v>7</v>
      </c>
      <c r="I299" s="11">
        <f t="shared" si="66"/>
        <v>0.248495818581531</v>
      </c>
      <c r="J299" s="33">
        <f t="shared" si="67"/>
        <v>3.6013886750946517E-3</v>
      </c>
      <c r="K299" s="33">
        <f t="shared" si="68"/>
        <v>277.67066823847279</v>
      </c>
      <c r="L299" s="8">
        <v>0</v>
      </c>
      <c r="M299" s="9">
        <v>1</v>
      </c>
      <c r="N299" s="8">
        <v>0</v>
      </c>
      <c r="O299" s="9">
        <v>0</v>
      </c>
      <c r="P299" s="9">
        <v>0</v>
      </c>
      <c r="Q299" s="9">
        <v>1</v>
      </c>
      <c r="R299" s="9">
        <v>0</v>
      </c>
      <c r="S299" s="8">
        <v>72344</v>
      </c>
      <c r="T299" s="9">
        <v>3</v>
      </c>
      <c r="U299" s="9">
        <f t="shared" si="64"/>
        <v>72340</v>
      </c>
      <c r="V299" s="9">
        <f t="shared" si="65"/>
        <v>16</v>
      </c>
      <c r="W299" s="7">
        <v>10.52</v>
      </c>
      <c r="X299" s="7">
        <f t="shared" si="73"/>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v>0</v>
      </c>
      <c r="BF299" s="18">
        <v>0</v>
      </c>
      <c r="BG299">
        <v>1</v>
      </c>
      <c r="BH299">
        <v>0</v>
      </c>
      <c r="BI299" s="18">
        <v>0</v>
      </c>
      <c r="BJ299">
        <v>16156</v>
      </c>
      <c r="BK299">
        <v>19057</v>
      </c>
      <c r="BL299" s="25">
        <v>44.55</v>
      </c>
      <c r="BM299">
        <v>0</v>
      </c>
      <c r="BN299">
        <v>0</v>
      </c>
      <c r="BO299">
        <v>0</v>
      </c>
      <c r="BP299">
        <v>0</v>
      </c>
      <c r="BQ299">
        <v>1</v>
      </c>
      <c r="BR299">
        <v>0</v>
      </c>
      <c r="BS299">
        <v>0</v>
      </c>
      <c r="BT299" s="18">
        <v>0</v>
      </c>
      <c r="BU299">
        <v>0</v>
      </c>
      <c r="BV299">
        <v>0</v>
      </c>
      <c r="BW299">
        <v>0</v>
      </c>
      <c r="BX299" s="18">
        <v>1</v>
      </c>
      <c r="BY299">
        <v>0</v>
      </c>
      <c r="BZ299">
        <v>0</v>
      </c>
      <c r="CA299">
        <v>0</v>
      </c>
      <c r="CB299">
        <v>0</v>
      </c>
      <c r="CC299" s="18">
        <v>0</v>
      </c>
      <c r="CD299">
        <v>1</v>
      </c>
      <c r="CE299">
        <v>0</v>
      </c>
      <c r="CF299">
        <v>0</v>
      </c>
      <c r="CG299">
        <v>0</v>
      </c>
      <c r="CH299">
        <v>0</v>
      </c>
      <c r="CI299">
        <v>0</v>
      </c>
      <c r="CJ299">
        <v>0</v>
      </c>
      <c r="CK299">
        <v>0</v>
      </c>
      <c r="CL299">
        <v>0</v>
      </c>
      <c r="CM299">
        <v>0</v>
      </c>
      <c r="CN299" s="18">
        <v>1</v>
      </c>
      <c r="CO299">
        <v>0</v>
      </c>
      <c r="CP299">
        <v>591</v>
      </c>
      <c r="CQ299">
        <v>0</v>
      </c>
      <c r="CR299">
        <v>1</v>
      </c>
      <c r="CS299">
        <v>3</v>
      </c>
      <c r="CY299" s="34"/>
    </row>
    <row r="300" spans="1:103" x14ac:dyDescent="0.25">
      <c r="A300">
        <v>299</v>
      </c>
      <c r="B300">
        <v>20</v>
      </c>
      <c r="C300" s="25" t="s">
        <v>232</v>
      </c>
      <c r="D300" s="12">
        <v>7.6</v>
      </c>
      <c r="E300" s="14">
        <v>0.1</v>
      </c>
      <c r="F300" s="7">
        <f t="shared" si="72"/>
        <v>75.999999999999986</v>
      </c>
      <c r="G300" s="7">
        <f t="shared" si="62"/>
        <v>7.5</v>
      </c>
      <c r="H300" s="16">
        <f t="shared" si="63"/>
        <v>7.6999999999999993</v>
      </c>
      <c r="I300" s="11">
        <f t="shared" si="66"/>
        <v>0.18608624280062647</v>
      </c>
      <c r="J300" s="33">
        <f t="shared" si="67"/>
        <v>2.4485031947450858E-3</v>
      </c>
      <c r="K300" s="33">
        <f t="shared" si="68"/>
        <v>408.41278138667496</v>
      </c>
      <c r="L300" s="8">
        <v>0</v>
      </c>
      <c r="M300" s="9">
        <v>1</v>
      </c>
      <c r="N300" s="8">
        <v>0</v>
      </c>
      <c r="O300" s="9">
        <v>0</v>
      </c>
      <c r="P300" s="9">
        <v>0</v>
      </c>
      <c r="Q300" s="9">
        <v>1</v>
      </c>
      <c r="R300" s="9">
        <v>0</v>
      </c>
      <c r="S300" s="8">
        <v>161029</v>
      </c>
      <c r="T300" s="9">
        <v>3</v>
      </c>
      <c r="U300" s="9">
        <f t="shared" si="64"/>
        <v>161025</v>
      </c>
      <c r="V300" s="9">
        <f t="shared" si="65"/>
        <v>16</v>
      </c>
      <c r="W300" s="7">
        <v>11.59</v>
      </c>
      <c r="X300" s="7">
        <f t="shared" si="73"/>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v>0</v>
      </c>
      <c r="BF300" s="18">
        <v>0</v>
      </c>
      <c r="BG300">
        <v>1</v>
      </c>
      <c r="BH300">
        <v>0</v>
      </c>
      <c r="BI300" s="18">
        <v>0</v>
      </c>
      <c r="BJ300">
        <v>15553</v>
      </c>
      <c r="BK300">
        <v>23227</v>
      </c>
      <c r="BL300" s="25">
        <v>44.74</v>
      </c>
      <c r="BM300">
        <v>0</v>
      </c>
      <c r="BN300">
        <v>0</v>
      </c>
      <c r="BO300">
        <v>0</v>
      </c>
      <c r="BP300">
        <v>0</v>
      </c>
      <c r="BQ300">
        <v>1</v>
      </c>
      <c r="BR300">
        <v>0</v>
      </c>
      <c r="BS300">
        <v>0</v>
      </c>
      <c r="BT300" s="18">
        <v>0</v>
      </c>
      <c r="BU300">
        <v>0</v>
      </c>
      <c r="BV300">
        <v>0</v>
      </c>
      <c r="BW300">
        <v>0</v>
      </c>
      <c r="BX300" s="18">
        <v>1</v>
      </c>
      <c r="BY300">
        <v>0</v>
      </c>
      <c r="BZ300">
        <v>0</v>
      </c>
      <c r="CA300">
        <v>0</v>
      </c>
      <c r="CB300">
        <v>0</v>
      </c>
      <c r="CC300" s="18">
        <v>0</v>
      </c>
      <c r="CD300">
        <v>1</v>
      </c>
      <c r="CE300">
        <v>0</v>
      </c>
      <c r="CF300">
        <v>0</v>
      </c>
      <c r="CG300">
        <v>0</v>
      </c>
      <c r="CH300">
        <v>0</v>
      </c>
      <c r="CI300">
        <v>0</v>
      </c>
      <c r="CJ300">
        <v>0</v>
      </c>
      <c r="CK300">
        <v>0</v>
      </c>
      <c r="CL300">
        <v>0</v>
      </c>
      <c r="CM300">
        <v>0</v>
      </c>
      <c r="CN300" s="18">
        <v>1</v>
      </c>
      <c r="CO300">
        <v>0</v>
      </c>
      <c r="CP300">
        <v>591</v>
      </c>
      <c r="CQ300">
        <v>0</v>
      </c>
      <c r="CR300">
        <v>1</v>
      </c>
      <c r="CS300">
        <v>3</v>
      </c>
      <c r="CY300" s="34"/>
    </row>
    <row r="301" spans="1:103" x14ac:dyDescent="0.25">
      <c r="A301">
        <v>300</v>
      </c>
      <c r="B301">
        <v>20</v>
      </c>
      <c r="C301" s="25" t="s">
        <v>232</v>
      </c>
      <c r="D301" s="12">
        <v>7.5</v>
      </c>
      <c r="E301" s="14">
        <v>0.1</v>
      </c>
      <c r="F301" s="7">
        <f t="shared" si="72"/>
        <v>75</v>
      </c>
      <c r="G301" s="7">
        <f t="shared" si="62"/>
        <v>7.4</v>
      </c>
      <c r="H301" s="16">
        <f t="shared" si="63"/>
        <v>7.6</v>
      </c>
      <c r="I301" s="11">
        <f t="shared" si="66"/>
        <v>0.1213312702998607</v>
      </c>
      <c r="J301" s="33">
        <f t="shared" si="67"/>
        <v>1.6177502706648094E-3</v>
      </c>
      <c r="K301" s="33">
        <f t="shared" si="68"/>
        <v>618.14237842102364</v>
      </c>
      <c r="L301" s="8">
        <v>0</v>
      </c>
      <c r="M301" s="9">
        <v>1</v>
      </c>
      <c r="N301" s="8">
        <v>0</v>
      </c>
      <c r="O301" s="9">
        <v>0</v>
      </c>
      <c r="P301" s="9">
        <v>0</v>
      </c>
      <c r="Q301" s="9">
        <v>1</v>
      </c>
      <c r="R301" s="9">
        <v>0</v>
      </c>
      <c r="S301" s="8">
        <v>376479</v>
      </c>
      <c r="T301" s="9">
        <v>3</v>
      </c>
      <c r="U301" s="9">
        <f t="shared" si="64"/>
        <v>376475</v>
      </c>
      <c r="V301" s="9">
        <f t="shared" si="65"/>
        <v>16</v>
      </c>
      <c r="W301" s="7">
        <v>12.62</v>
      </c>
      <c r="X301" s="7">
        <f t="shared" si="73"/>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v>0</v>
      </c>
      <c r="BF301" s="18">
        <v>0</v>
      </c>
      <c r="BG301">
        <v>1</v>
      </c>
      <c r="BH301">
        <v>0</v>
      </c>
      <c r="BI301" s="18">
        <v>0</v>
      </c>
      <c r="BJ301">
        <v>19291</v>
      </c>
      <c r="BK301">
        <v>21201</v>
      </c>
      <c r="BL301" s="25">
        <v>44.66</v>
      </c>
      <c r="BM301">
        <v>0</v>
      </c>
      <c r="BN301">
        <v>0</v>
      </c>
      <c r="BO301">
        <v>0</v>
      </c>
      <c r="BP301">
        <v>0</v>
      </c>
      <c r="BQ301">
        <v>1</v>
      </c>
      <c r="BR301">
        <v>0</v>
      </c>
      <c r="BS301">
        <v>0</v>
      </c>
      <c r="BT301" s="18">
        <v>0</v>
      </c>
      <c r="BU301">
        <v>0</v>
      </c>
      <c r="BV301">
        <v>0</v>
      </c>
      <c r="BW301">
        <v>0</v>
      </c>
      <c r="BX301" s="18">
        <v>1</v>
      </c>
      <c r="BY301">
        <v>0</v>
      </c>
      <c r="BZ301">
        <v>0</v>
      </c>
      <c r="CA301">
        <v>0</v>
      </c>
      <c r="CB301">
        <v>0</v>
      </c>
      <c r="CC301" s="18">
        <v>0</v>
      </c>
      <c r="CD301">
        <v>1</v>
      </c>
      <c r="CE301">
        <v>0</v>
      </c>
      <c r="CF301">
        <v>0</v>
      </c>
      <c r="CG301">
        <v>0</v>
      </c>
      <c r="CH301">
        <v>0</v>
      </c>
      <c r="CI301">
        <v>0</v>
      </c>
      <c r="CJ301">
        <v>0</v>
      </c>
      <c r="CK301">
        <v>0</v>
      </c>
      <c r="CL301">
        <v>0</v>
      </c>
      <c r="CM301">
        <v>0</v>
      </c>
      <c r="CN301" s="18">
        <v>1</v>
      </c>
      <c r="CO301">
        <v>0</v>
      </c>
      <c r="CP301">
        <v>591</v>
      </c>
      <c r="CQ301">
        <v>0</v>
      </c>
      <c r="CR301">
        <v>1</v>
      </c>
      <c r="CS301">
        <v>3</v>
      </c>
      <c r="CY301" s="34"/>
    </row>
    <row r="302" spans="1:103" x14ac:dyDescent="0.25">
      <c r="A302">
        <v>301</v>
      </c>
      <c r="B302">
        <v>20</v>
      </c>
      <c r="C302" s="25" t="s">
        <v>232</v>
      </c>
      <c r="D302" s="12">
        <v>10.199999999999999</v>
      </c>
      <c r="E302" s="14">
        <v>0.1</v>
      </c>
      <c r="F302" s="7">
        <f t="shared" si="72"/>
        <v>101.99999999999999</v>
      </c>
      <c r="G302" s="7">
        <f t="shared" si="62"/>
        <v>10.1</v>
      </c>
      <c r="H302" s="16">
        <f t="shared" si="63"/>
        <v>10.299999999999999</v>
      </c>
      <c r="I302" s="11">
        <f t="shared" si="66"/>
        <v>0.30265063701510003</v>
      </c>
      <c r="J302" s="33">
        <f t="shared" si="67"/>
        <v>2.9671631079911773E-3</v>
      </c>
      <c r="K302" s="33">
        <f t="shared" si="68"/>
        <v>337.02225445806988</v>
      </c>
      <c r="L302" s="8">
        <v>0</v>
      </c>
      <c r="M302" s="9">
        <v>1</v>
      </c>
      <c r="N302" s="8">
        <v>0</v>
      </c>
      <c r="O302" s="9">
        <v>0</v>
      </c>
      <c r="P302" s="9">
        <v>0</v>
      </c>
      <c r="Q302" s="9">
        <v>1</v>
      </c>
      <c r="R302" s="9">
        <v>0</v>
      </c>
      <c r="S302" s="8">
        <v>103184</v>
      </c>
      <c r="T302" s="9">
        <v>3</v>
      </c>
      <c r="U302" s="9">
        <f t="shared" si="64"/>
        <v>103180</v>
      </c>
      <c r="V302" s="9">
        <f t="shared" si="65"/>
        <v>16</v>
      </c>
      <c r="W302" s="7">
        <v>13.7</v>
      </c>
      <c r="X302" s="7">
        <f t="shared" si="73"/>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v>0</v>
      </c>
      <c r="BF302" s="18">
        <v>0</v>
      </c>
      <c r="BG302">
        <v>1</v>
      </c>
      <c r="BH302">
        <v>0</v>
      </c>
      <c r="BI302" s="18">
        <v>0</v>
      </c>
      <c r="BJ302">
        <v>24883</v>
      </c>
      <c r="BK302">
        <v>15906</v>
      </c>
      <c r="BL302" s="25">
        <v>44.1</v>
      </c>
      <c r="BM302">
        <v>0</v>
      </c>
      <c r="BN302">
        <v>0</v>
      </c>
      <c r="BO302">
        <v>0</v>
      </c>
      <c r="BP302">
        <v>0</v>
      </c>
      <c r="BQ302">
        <v>1</v>
      </c>
      <c r="BR302">
        <v>0</v>
      </c>
      <c r="BS302">
        <v>0</v>
      </c>
      <c r="BT302" s="18">
        <v>0</v>
      </c>
      <c r="BU302">
        <v>0</v>
      </c>
      <c r="BV302">
        <v>0</v>
      </c>
      <c r="BW302">
        <v>0</v>
      </c>
      <c r="BX302" s="18">
        <v>1</v>
      </c>
      <c r="BY302">
        <v>0</v>
      </c>
      <c r="BZ302">
        <v>0</v>
      </c>
      <c r="CA302">
        <v>0</v>
      </c>
      <c r="CB302">
        <v>0</v>
      </c>
      <c r="CC302" s="18">
        <v>0</v>
      </c>
      <c r="CD302">
        <v>1</v>
      </c>
      <c r="CE302">
        <v>0</v>
      </c>
      <c r="CF302">
        <v>0</v>
      </c>
      <c r="CG302">
        <v>0</v>
      </c>
      <c r="CH302">
        <v>0</v>
      </c>
      <c r="CI302">
        <v>0</v>
      </c>
      <c r="CJ302">
        <v>0</v>
      </c>
      <c r="CK302">
        <v>0</v>
      </c>
      <c r="CL302">
        <v>0</v>
      </c>
      <c r="CM302">
        <v>0</v>
      </c>
      <c r="CN302" s="18">
        <v>1</v>
      </c>
      <c r="CO302">
        <v>0</v>
      </c>
      <c r="CP302">
        <v>591</v>
      </c>
      <c r="CQ302">
        <v>0</v>
      </c>
      <c r="CR302">
        <v>1</v>
      </c>
      <c r="CS302">
        <v>3</v>
      </c>
      <c r="CY302" s="34"/>
    </row>
    <row r="303" spans="1:103" x14ac:dyDescent="0.25">
      <c r="A303">
        <v>302</v>
      </c>
      <c r="B303">
        <v>20</v>
      </c>
      <c r="C303" s="25" t="s">
        <v>232</v>
      </c>
      <c r="D303" s="12">
        <v>7.4</v>
      </c>
      <c r="E303" s="14">
        <v>1.2</v>
      </c>
      <c r="F303" s="7">
        <f t="shared" si="72"/>
        <v>6.166666666666667</v>
      </c>
      <c r="G303" s="7">
        <f t="shared" si="62"/>
        <v>6.2</v>
      </c>
      <c r="H303" s="16">
        <f t="shared" si="63"/>
        <v>8.6</v>
      </c>
      <c r="I303" s="11">
        <f t="shared" si="66"/>
        <v>7.8963906215058065E-3</v>
      </c>
      <c r="J303" s="33">
        <f t="shared" si="67"/>
        <v>1.280495776460401E-3</v>
      </c>
      <c r="K303" s="33">
        <f t="shared" si="68"/>
        <v>780.94751922121998</v>
      </c>
      <c r="L303" s="8">
        <v>0</v>
      </c>
      <c r="M303" s="9">
        <v>1</v>
      </c>
      <c r="N303" s="8">
        <v>0</v>
      </c>
      <c r="O303" s="9">
        <v>0</v>
      </c>
      <c r="P303" s="9">
        <v>0</v>
      </c>
      <c r="Q303" s="9">
        <v>1</v>
      </c>
      <c r="R303" s="9">
        <v>0</v>
      </c>
      <c r="S303" s="8">
        <v>609852</v>
      </c>
      <c r="T303" s="9">
        <v>10</v>
      </c>
      <c r="U303" s="9">
        <f t="shared" si="64"/>
        <v>609841</v>
      </c>
      <c r="V303" s="9">
        <f t="shared" si="65"/>
        <v>16</v>
      </c>
      <c r="W303" s="7">
        <v>11.59</v>
      </c>
      <c r="X303" s="7">
        <f t="shared" si="73"/>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v>0</v>
      </c>
      <c r="BF303" s="18">
        <v>0</v>
      </c>
      <c r="BG303">
        <v>1</v>
      </c>
      <c r="BH303">
        <v>0</v>
      </c>
      <c r="BI303" s="18">
        <v>0</v>
      </c>
      <c r="BJ303">
        <v>15553</v>
      </c>
      <c r="BK303">
        <v>23227</v>
      </c>
      <c r="BL303" s="25">
        <v>44.74</v>
      </c>
      <c r="BM303">
        <v>0</v>
      </c>
      <c r="BN303">
        <v>0</v>
      </c>
      <c r="BO303">
        <v>0</v>
      </c>
      <c r="BP303">
        <v>0</v>
      </c>
      <c r="BQ303">
        <v>1</v>
      </c>
      <c r="BR303">
        <v>0</v>
      </c>
      <c r="BS303">
        <v>0</v>
      </c>
      <c r="BT303" s="18">
        <v>0</v>
      </c>
      <c r="BU303">
        <v>0</v>
      </c>
      <c r="BV303">
        <v>0</v>
      </c>
      <c r="BW303">
        <v>0</v>
      </c>
      <c r="BX303" s="18">
        <v>1</v>
      </c>
      <c r="BY303">
        <v>0</v>
      </c>
      <c r="BZ303">
        <v>0</v>
      </c>
      <c r="CA303">
        <v>0</v>
      </c>
      <c r="CB303">
        <v>0</v>
      </c>
      <c r="CC303" s="18">
        <v>0</v>
      </c>
      <c r="CD303">
        <v>1</v>
      </c>
      <c r="CE303">
        <v>0</v>
      </c>
      <c r="CF303">
        <v>0</v>
      </c>
      <c r="CG303">
        <v>0</v>
      </c>
      <c r="CH303">
        <v>0</v>
      </c>
      <c r="CI303">
        <v>0</v>
      </c>
      <c r="CJ303">
        <v>0</v>
      </c>
      <c r="CK303">
        <v>0</v>
      </c>
      <c r="CL303">
        <v>0</v>
      </c>
      <c r="CM303">
        <v>0</v>
      </c>
      <c r="CN303" s="18">
        <v>1</v>
      </c>
      <c r="CO303">
        <v>0</v>
      </c>
      <c r="CP303">
        <v>591</v>
      </c>
      <c r="CQ303">
        <v>0</v>
      </c>
      <c r="CR303">
        <v>1</v>
      </c>
      <c r="CS303">
        <v>3</v>
      </c>
      <c r="CY303" s="34"/>
    </row>
    <row r="304" spans="1:103" x14ac:dyDescent="0.25">
      <c r="A304">
        <v>303</v>
      </c>
      <c r="B304">
        <v>20</v>
      </c>
      <c r="C304" s="25" t="s">
        <v>232</v>
      </c>
      <c r="D304" s="12">
        <v>7.4</v>
      </c>
      <c r="E304" s="14">
        <v>1.2</v>
      </c>
      <c r="F304" s="7">
        <f t="shared" si="72"/>
        <v>6.166666666666667</v>
      </c>
      <c r="G304" s="7">
        <f t="shared" si="62"/>
        <v>6.2</v>
      </c>
      <c r="H304" s="16">
        <f t="shared" si="63"/>
        <v>8.6</v>
      </c>
      <c r="I304" s="11">
        <f t="shared" si="66"/>
        <v>7.8963906215058065E-3</v>
      </c>
      <c r="J304" s="33">
        <f t="shared" si="67"/>
        <v>1.280495776460401E-3</v>
      </c>
      <c r="K304" s="33">
        <f t="shared" si="68"/>
        <v>780.94751922121998</v>
      </c>
      <c r="L304" s="8">
        <v>0</v>
      </c>
      <c r="M304" s="9">
        <v>1</v>
      </c>
      <c r="N304" s="8">
        <v>0</v>
      </c>
      <c r="O304" s="9">
        <v>0</v>
      </c>
      <c r="P304" s="9">
        <v>0</v>
      </c>
      <c r="Q304" s="9">
        <v>1</v>
      </c>
      <c r="R304" s="9">
        <v>0</v>
      </c>
      <c r="S304" s="8">
        <v>609852</v>
      </c>
      <c r="T304" s="9">
        <v>10</v>
      </c>
      <c r="U304" s="9">
        <f t="shared" si="64"/>
        <v>609841</v>
      </c>
      <c r="V304" s="9">
        <f t="shared" si="65"/>
        <v>16</v>
      </c>
      <c r="W304" s="7">
        <v>11.59</v>
      </c>
      <c r="X304" s="7">
        <f t="shared" si="73"/>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v>0</v>
      </c>
      <c r="BF304" s="18">
        <v>0</v>
      </c>
      <c r="BG304">
        <v>1</v>
      </c>
      <c r="BH304">
        <v>0</v>
      </c>
      <c r="BI304" s="18">
        <v>0</v>
      </c>
      <c r="BJ304">
        <v>15553</v>
      </c>
      <c r="BK304">
        <v>23227</v>
      </c>
      <c r="BL304" s="25">
        <v>44.74</v>
      </c>
      <c r="BM304">
        <v>0</v>
      </c>
      <c r="BN304">
        <v>0</v>
      </c>
      <c r="BO304">
        <v>0</v>
      </c>
      <c r="BP304">
        <v>0</v>
      </c>
      <c r="BQ304">
        <v>1</v>
      </c>
      <c r="BR304">
        <v>0</v>
      </c>
      <c r="BS304">
        <v>0</v>
      </c>
      <c r="BT304" s="18">
        <v>0</v>
      </c>
      <c r="BU304">
        <v>0</v>
      </c>
      <c r="BV304">
        <v>0</v>
      </c>
      <c r="BW304">
        <v>0</v>
      </c>
      <c r="BX304" s="18">
        <v>1</v>
      </c>
      <c r="BY304">
        <v>0</v>
      </c>
      <c r="BZ304">
        <v>0</v>
      </c>
      <c r="CA304">
        <v>0</v>
      </c>
      <c r="CB304">
        <v>0</v>
      </c>
      <c r="CC304" s="18">
        <v>0</v>
      </c>
      <c r="CD304">
        <v>1</v>
      </c>
      <c r="CE304">
        <v>0</v>
      </c>
      <c r="CF304">
        <v>0</v>
      </c>
      <c r="CG304">
        <v>0</v>
      </c>
      <c r="CH304">
        <v>0</v>
      </c>
      <c r="CI304">
        <v>0</v>
      </c>
      <c r="CJ304">
        <v>0</v>
      </c>
      <c r="CK304">
        <v>0</v>
      </c>
      <c r="CL304">
        <v>0</v>
      </c>
      <c r="CM304">
        <v>0</v>
      </c>
      <c r="CN304" s="18">
        <v>1</v>
      </c>
      <c r="CO304">
        <v>0</v>
      </c>
      <c r="CP304">
        <v>591</v>
      </c>
      <c r="CQ304">
        <v>0</v>
      </c>
      <c r="CR304">
        <v>1</v>
      </c>
      <c r="CS304">
        <v>3</v>
      </c>
      <c r="CY304" s="34"/>
    </row>
    <row r="305" spans="1:103" x14ac:dyDescent="0.25">
      <c r="A305">
        <v>304</v>
      </c>
      <c r="B305">
        <v>20</v>
      </c>
      <c r="C305" s="25" t="s">
        <v>232</v>
      </c>
      <c r="D305" s="12">
        <v>7.5</v>
      </c>
      <c r="E305" s="14">
        <v>1.2</v>
      </c>
      <c r="F305" s="7">
        <f t="shared" si="72"/>
        <v>6.25</v>
      </c>
      <c r="G305" s="7">
        <f t="shared" si="62"/>
        <v>6.3</v>
      </c>
      <c r="H305" s="16">
        <f t="shared" si="63"/>
        <v>8.6999999999999993</v>
      </c>
      <c r="I305" s="11">
        <f t="shared" si="66"/>
        <v>8.0030983750574436E-3</v>
      </c>
      <c r="J305" s="33">
        <f t="shared" si="67"/>
        <v>1.2804957400091911E-3</v>
      </c>
      <c r="K305" s="33">
        <f t="shared" si="68"/>
        <v>780.94754145204911</v>
      </c>
      <c r="L305" s="8">
        <v>0</v>
      </c>
      <c r="M305" s="9">
        <v>1</v>
      </c>
      <c r="N305" s="8">
        <v>0</v>
      </c>
      <c r="O305" s="9">
        <v>0</v>
      </c>
      <c r="P305" s="9">
        <v>0</v>
      </c>
      <c r="Q305" s="9">
        <v>1</v>
      </c>
      <c r="R305" s="9">
        <v>0</v>
      </c>
      <c r="S305" s="8">
        <v>609852</v>
      </c>
      <c r="T305" s="9">
        <v>11</v>
      </c>
      <c r="U305" s="9">
        <f t="shared" si="64"/>
        <v>609840</v>
      </c>
      <c r="V305" s="9">
        <f t="shared" si="65"/>
        <v>16</v>
      </c>
      <c r="W305" s="7">
        <v>11.59</v>
      </c>
      <c r="X305" s="7">
        <f t="shared" si="73"/>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v>0</v>
      </c>
      <c r="BF305" s="18">
        <v>0</v>
      </c>
      <c r="BG305">
        <v>1</v>
      </c>
      <c r="BH305">
        <v>0</v>
      </c>
      <c r="BI305" s="18">
        <v>0</v>
      </c>
      <c r="BJ305">
        <v>15553</v>
      </c>
      <c r="BK305">
        <v>23227</v>
      </c>
      <c r="BL305" s="25">
        <v>44.74</v>
      </c>
      <c r="BM305">
        <v>0</v>
      </c>
      <c r="BN305">
        <v>0</v>
      </c>
      <c r="BO305">
        <v>0</v>
      </c>
      <c r="BP305">
        <v>0</v>
      </c>
      <c r="BQ305">
        <v>1</v>
      </c>
      <c r="BR305">
        <v>0</v>
      </c>
      <c r="BS305">
        <v>0</v>
      </c>
      <c r="BT305" s="18">
        <v>0</v>
      </c>
      <c r="BU305">
        <v>0</v>
      </c>
      <c r="BV305">
        <v>0</v>
      </c>
      <c r="BW305">
        <v>0</v>
      </c>
      <c r="BX305" s="18">
        <v>1</v>
      </c>
      <c r="BY305">
        <v>0</v>
      </c>
      <c r="BZ305">
        <v>0</v>
      </c>
      <c r="CA305">
        <v>0</v>
      </c>
      <c r="CB305">
        <v>0</v>
      </c>
      <c r="CC305" s="18">
        <v>0</v>
      </c>
      <c r="CD305">
        <v>1</v>
      </c>
      <c r="CE305">
        <v>0</v>
      </c>
      <c r="CF305">
        <v>0</v>
      </c>
      <c r="CG305">
        <v>0</v>
      </c>
      <c r="CH305">
        <v>0</v>
      </c>
      <c r="CI305">
        <v>0</v>
      </c>
      <c r="CJ305">
        <v>0</v>
      </c>
      <c r="CK305">
        <v>0</v>
      </c>
      <c r="CL305">
        <v>0</v>
      </c>
      <c r="CM305">
        <v>0</v>
      </c>
      <c r="CN305" s="18">
        <v>1</v>
      </c>
      <c r="CO305">
        <v>0</v>
      </c>
      <c r="CP305">
        <v>591</v>
      </c>
      <c r="CQ305">
        <v>0</v>
      </c>
      <c r="CR305">
        <v>1</v>
      </c>
      <c r="CS305">
        <v>3</v>
      </c>
      <c r="CY305" s="34"/>
    </row>
    <row r="306" spans="1:103" x14ac:dyDescent="0.25">
      <c r="A306">
        <v>305</v>
      </c>
      <c r="B306">
        <v>20</v>
      </c>
      <c r="C306" s="25" t="s">
        <v>232</v>
      </c>
      <c r="D306" s="12">
        <v>6</v>
      </c>
      <c r="E306" s="14">
        <v>1.3</v>
      </c>
      <c r="F306" s="7">
        <f t="shared" si="72"/>
        <v>4.615384615384615</v>
      </c>
      <c r="G306" s="7">
        <f t="shared" si="62"/>
        <v>4.7</v>
      </c>
      <c r="H306" s="16">
        <f t="shared" si="63"/>
        <v>7.3</v>
      </c>
      <c r="I306" s="11">
        <f t="shared" si="66"/>
        <v>5.9100712401924313E-3</v>
      </c>
      <c r="J306" s="33">
        <f t="shared" si="67"/>
        <v>1.2805154353750267E-3</v>
      </c>
      <c r="K306" s="33">
        <f t="shared" si="68"/>
        <v>780.93552984554879</v>
      </c>
      <c r="L306" s="8">
        <v>0</v>
      </c>
      <c r="M306" s="9">
        <v>1</v>
      </c>
      <c r="N306" s="8">
        <v>0</v>
      </c>
      <c r="O306" s="9">
        <v>0</v>
      </c>
      <c r="P306" s="9">
        <v>0</v>
      </c>
      <c r="Q306" s="9">
        <v>1</v>
      </c>
      <c r="R306" s="9">
        <v>0</v>
      </c>
      <c r="S306" s="8">
        <v>609852</v>
      </c>
      <c r="T306" s="9">
        <v>12</v>
      </c>
      <c r="U306" s="9">
        <f t="shared" si="64"/>
        <v>609839</v>
      </c>
      <c r="V306" s="9">
        <f t="shared" si="65"/>
        <v>16</v>
      </c>
      <c r="W306" s="7">
        <v>11.59</v>
      </c>
      <c r="X306" s="7">
        <f t="shared" si="73"/>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v>0</v>
      </c>
      <c r="BF306" s="18">
        <v>0</v>
      </c>
      <c r="BG306">
        <v>1</v>
      </c>
      <c r="BH306">
        <v>0</v>
      </c>
      <c r="BI306" s="18">
        <v>0</v>
      </c>
      <c r="BJ306">
        <v>15553</v>
      </c>
      <c r="BK306">
        <v>23227</v>
      </c>
      <c r="BL306" s="25">
        <v>44.74</v>
      </c>
      <c r="BM306">
        <v>0</v>
      </c>
      <c r="BN306">
        <v>0</v>
      </c>
      <c r="BO306">
        <v>0</v>
      </c>
      <c r="BP306">
        <v>0</v>
      </c>
      <c r="BQ306">
        <v>1</v>
      </c>
      <c r="BR306">
        <v>0</v>
      </c>
      <c r="BS306">
        <v>0</v>
      </c>
      <c r="BT306" s="18">
        <v>0</v>
      </c>
      <c r="BU306">
        <v>0</v>
      </c>
      <c r="BV306">
        <v>0</v>
      </c>
      <c r="BW306">
        <v>0</v>
      </c>
      <c r="BX306" s="18">
        <v>1</v>
      </c>
      <c r="BY306">
        <v>0</v>
      </c>
      <c r="BZ306">
        <v>0</v>
      </c>
      <c r="CA306">
        <v>0</v>
      </c>
      <c r="CB306">
        <v>0</v>
      </c>
      <c r="CC306" s="18">
        <v>0</v>
      </c>
      <c r="CD306">
        <v>1</v>
      </c>
      <c r="CE306">
        <v>0</v>
      </c>
      <c r="CF306">
        <v>0</v>
      </c>
      <c r="CG306">
        <v>0</v>
      </c>
      <c r="CH306">
        <v>0</v>
      </c>
      <c r="CI306">
        <v>0</v>
      </c>
      <c r="CJ306">
        <v>0</v>
      </c>
      <c r="CK306">
        <v>0</v>
      </c>
      <c r="CL306">
        <v>0</v>
      </c>
      <c r="CM306">
        <v>0</v>
      </c>
      <c r="CN306" s="18">
        <v>1</v>
      </c>
      <c r="CO306">
        <v>0</v>
      </c>
      <c r="CP306">
        <v>591</v>
      </c>
      <c r="CQ306">
        <v>0</v>
      </c>
      <c r="CR306">
        <v>1</v>
      </c>
      <c r="CS306">
        <v>3</v>
      </c>
      <c r="CY306" s="34"/>
    </row>
    <row r="307" spans="1:103" x14ac:dyDescent="0.25">
      <c r="A307">
        <v>306</v>
      </c>
      <c r="B307">
        <v>20</v>
      </c>
      <c r="C307" s="25" t="s">
        <v>232</v>
      </c>
      <c r="D307" s="12">
        <v>7.3</v>
      </c>
      <c r="E307" s="14">
        <v>0.03</v>
      </c>
      <c r="F307" s="7">
        <f t="shared" si="72"/>
        <v>243.33333333333334</v>
      </c>
      <c r="G307" s="7">
        <f t="shared" si="62"/>
        <v>7.27</v>
      </c>
      <c r="H307" s="16">
        <f t="shared" si="63"/>
        <v>7.33</v>
      </c>
      <c r="I307" s="11">
        <f t="shared" si="66"/>
        <v>0.29748927147720233</v>
      </c>
      <c r="J307" s="33">
        <f t="shared" si="67"/>
        <v>1.2225586499063107E-3</v>
      </c>
      <c r="K307" s="33">
        <f t="shared" si="68"/>
        <v>817.95666823561692</v>
      </c>
      <c r="L307" s="8">
        <v>0</v>
      </c>
      <c r="M307" s="9">
        <v>1</v>
      </c>
      <c r="N307" s="8">
        <v>0</v>
      </c>
      <c r="O307" s="9">
        <v>0</v>
      </c>
      <c r="P307" s="9">
        <v>0</v>
      </c>
      <c r="Q307" s="9">
        <v>1</v>
      </c>
      <c r="R307" s="9">
        <v>0</v>
      </c>
      <c r="S307" s="8">
        <v>609852</v>
      </c>
      <c r="T307" s="9">
        <v>9</v>
      </c>
      <c r="U307" s="9">
        <f t="shared" si="64"/>
        <v>609842</v>
      </c>
      <c r="V307" s="9">
        <f t="shared" si="65"/>
        <v>16</v>
      </c>
      <c r="W307" s="7">
        <v>11.59</v>
      </c>
      <c r="X307" s="7">
        <f t="shared" si="73"/>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v>0</v>
      </c>
      <c r="BF307" s="18">
        <v>0</v>
      </c>
      <c r="BG307">
        <v>1</v>
      </c>
      <c r="BH307">
        <v>0</v>
      </c>
      <c r="BI307" s="18">
        <v>0</v>
      </c>
      <c r="BJ307">
        <v>15553</v>
      </c>
      <c r="BK307">
        <v>23227</v>
      </c>
      <c r="BL307" s="25">
        <v>44.74</v>
      </c>
      <c r="BM307">
        <v>0</v>
      </c>
      <c r="BN307">
        <v>0</v>
      </c>
      <c r="BO307">
        <v>0</v>
      </c>
      <c r="BP307">
        <v>0</v>
      </c>
      <c r="BQ307">
        <v>1</v>
      </c>
      <c r="BR307">
        <v>0</v>
      </c>
      <c r="BS307">
        <v>0</v>
      </c>
      <c r="BT307" s="18">
        <v>0</v>
      </c>
      <c r="BU307">
        <v>0</v>
      </c>
      <c r="BV307">
        <v>0</v>
      </c>
      <c r="BW307">
        <v>0</v>
      </c>
      <c r="BX307" s="18">
        <v>1</v>
      </c>
      <c r="BY307">
        <v>0</v>
      </c>
      <c r="BZ307">
        <v>0</v>
      </c>
      <c r="CA307">
        <v>0</v>
      </c>
      <c r="CB307">
        <v>0</v>
      </c>
      <c r="CC307" s="18">
        <v>0</v>
      </c>
      <c r="CD307">
        <v>1</v>
      </c>
      <c r="CE307">
        <v>0</v>
      </c>
      <c r="CF307">
        <v>0</v>
      </c>
      <c r="CG307">
        <v>0</v>
      </c>
      <c r="CH307">
        <v>0</v>
      </c>
      <c r="CI307">
        <v>0</v>
      </c>
      <c r="CJ307">
        <v>0</v>
      </c>
      <c r="CK307">
        <v>0</v>
      </c>
      <c r="CL307">
        <v>0</v>
      </c>
      <c r="CM307">
        <v>0</v>
      </c>
      <c r="CN307" s="18">
        <v>1</v>
      </c>
      <c r="CO307">
        <v>0</v>
      </c>
      <c r="CP307">
        <v>591</v>
      </c>
      <c r="CQ307">
        <v>0</v>
      </c>
      <c r="CR307">
        <v>1</v>
      </c>
      <c r="CS307">
        <v>3</v>
      </c>
      <c r="CY307" s="34"/>
    </row>
    <row r="308" spans="1:103" x14ac:dyDescent="0.25">
      <c r="A308">
        <v>307</v>
      </c>
      <c r="B308">
        <v>20</v>
      </c>
      <c r="C308" s="25" t="s">
        <v>232</v>
      </c>
      <c r="D308" s="12">
        <v>7.3</v>
      </c>
      <c r="E308" s="14">
        <v>0.03</v>
      </c>
      <c r="F308" s="7">
        <f t="shared" si="72"/>
        <v>243.33333333333334</v>
      </c>
      <c r="G308" s="7">
        <f t="shared" si="62"/>
        <v>7.27</v>
      </c>
      <c r="H308" s="16">
        <f t="shared" si="63"/>
        <v>7.33</v>
      </c>
      <c r="I308" s="11">
        <f t="shared" si="66"/>
        <v>0.29748927147720233</v>
      </c>
      <c r="J308" s="33">
        <f t="shared" si="67"/>
        <v>1.2225586499063107E-3</v>
      </c>
      <c r="K308" s="33">
        <f t="shared" si="68"/>
        <v>817.95666823561692</v>
      </c>
      <c r="L308" s="8">
        <v>0</v>
      </c>
      <c r="M308" s="9">
        <v>1</v>
      </c>
      <c r="N308" s="8">
        <v>0</v>
      </c>
      <c r="O308" s="9">
        <v>0</v>
      </c>
      <c r="P308" s="9">
        <v>0</v>
      </c>
      <c r="Q308" s="9">
        <v>1</v>
      </c>
      <c r="R308" s="9">
        <v>0</v>
      </c>
      <c r="S308" s="8">
        <v>609852</v>
      </c>
      <c r="T308" s="9">
        <v>9</v>
      </c>
      <c r="U308" s="9">
        <f t="shared" si="64"/>
        <v>609842</v>
      </c>
      <c r="V308" s="9">
        <f t="shared" si="65"/>
        <v>16</v>
      </c>
      <c r="W308" s="7">
        <v>11.59</v>
      </c>
      <c r="X308" s="7">
        <f t="shared" si="73"/>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v>0</v>
      </c>
      <c r="BF308" s="18">
        <v>0</v>
      </c>
      <c r="BG308">
        <v>1</v>
      </c>
      <c r="BH308">
        <v>0</v>
      </c>
      <c r="BI308" s="18">
        <v>0</v>
      </c>
      <c r="BJ308">
        <v>15553</v>
      </c>
      <c r="BK308">
        <v>23227</v>
      </c>
      <c r="BL308" s="25">
        <v>44.74</v>
      </c>
      <c r="BM308">
        <v>0</v>
      </c>
      <c r="BN308">
        <v>0</v>
      </c>
      <c r="BO308">
        <v>0</v>
      </c>
      <c r="BP308">
        <v>0</v>
      </c>
      <c r="BQ308">
        <v>1</v>
      </c>
      <c r="BR308">
        <v>0</v>
      </c>
      <c r="BS308">
        <v>0</v>
      </c>
      <c r="BT308" s="18">
        <v>0</v>
      </c>
      <c r="BU308">
        <v>0</v>
      </c>
      <c r="BV308">
        <v>0</v>
      </c>
      <c r="BW308">
        <v>0</v>
      </c>
      <c r="BX308" s="18">
        <v>1</v>
      </c>
      <c r="BY308">
        <v>0</v>
      </c>
      <c r="BZ308">
        <v>0</v>
      </c>
      <c r="CA308">
        <v>0</v>
      </c>
      <c r="CB308">
        <v>0</v>
      </c>
      <c r="CC308" s="18">
        <v>0</v>
      </c>
      <c r="CD308">
        <v>1</v>
      </c>
      <c r="CE308">
        <v>0</v>
      </c>
      <c r="CF308">
        <v>0</v>
      </c>
      <c r="CG308">
        <v>0</v>
      </c>
      <c r="CH308">
        <v>0</v>
      </c>
      <c r="CI308">
        <v>0</v>
      </c>
      <c r="CJ308">
        <v>0</v>
      </c>
      <c r="CK308">
        <v>0</v>
      </c>
      <c r="CL308">
        <v>0</v>
      </c>
      <c r="CM308">
        <v>0</v>
      </c>
      <c r="CN308" s="18">
        <v>1</v>
      </c>
      <c r="CO308">
        <v>0</v>
      </c>
      <c r="CP308">
        <v>591</v>
      </c>
      <c r="CQ308">
        <v>0</v>
      </c>
      <c r="CR308">
        <v>1</v>
      </c>
      <c r="CS308">
        <v>3</v>
      </c>
      <c r="CY308" s="34"/>
    </row>
    <row r="309" spans="1:103" x14ac:dyDescent="0.25">
      <c r="A309">
        <v>308</v>
      </c>
      <c r="B309">
        <v>20</v>
      </c>
      <c r="C309" s="25" t="s">
        <v>232</v>
      </c>
      <c r="D309" s="12">
        <v>7.3</v>
      </c>
      <c r="E309" s="14">
        <v>0.03</v>
      </c>
      <c r="F309" s="7">
        <f t="shared" si="72"/>
        <v>243.33333333333334</v>
      </c>
      <c r="G309" s="7">
        <f t="shared" si="62"/>
        <v>7.27</v>
      </c>
      <c r="H309" s="16">
        <f t="shared" si="63"/>
        <v>7.33</v>
      </c>
      <c r="I309" s="11">
        <f t="shared" si="66"/>
        <v>0.29748949379856965</v>
      </c>
      <c r="J309" s="33">
        <f t="shared" si="67"/>
        <v>1.2225595635557657E-3</v>
      </c>
      <c r="K309" s="33">
        <f t="shared" si="68"/>
        <v>817.95605695606355</v>
      </c>
      <c r="L309" s="8">
        <v>0</v>
      </c>
      <c r="M309" s="9">
        <v>1</v>
      </c>
      <c r="N309" s="8">
        <v>0</v>
      </c>
      <c r="O309" s="9">
        <v>0</v>
      </c>
      <c r="P309" s="9">
        <v>0</v>
      </c>
      <c r="Q309" s="9">
        <v>1</v>
      </c>
      <c r="R309" s="9">
        <v>0</v>
      </c>
      <c r="S309" s="8">
        <v>609852</v>
      </c>
      <c r="T309" s="9">
        <v>10</v>
      </c>
      <c r="U309" s="9">
        <f t="shared" si="64"/>
        <v>609841</v>
      </c>
      <c r="V309" s="9">
        <f t="shared" si="65"/>
        <v>16</v>
      </c>
      <c r="W309" s="7">
        <v>11.59</v>
      </c>
      <c r="X309" s="7">
        <f t="shared" si="73"/>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v>0</v>
      </c>
      <c r="BF309" s="18">
        <v>0</v>
      </c>
      <c r="BG309">
        <v>1</v>
      </c>
      <c r="BH309">
        <v>0</v>
      </c>
      <c r="BI309" s="18">
        <v>0</v>
      </c>
      <c r="BJ309">
        <v>15553</v>
      </c>
      <c r="BK309">
        <v>23227</v>
      </c>
      <c r="BL309" s="25">
        <v>44.74</v>
      </c>
      <c r="BM309">
        <v>0</v>
      </c>
      <c r="BN309">
        <v>0</v>
      </c>
      <c r="BO309">
        <v>0</v>
      </c>
      <c r="BP309">
        <v>0</v>
      </c>
      <c r="BQ309">
        <v>1</v>
      </c>
      <c r="BR309">
        <v>0</v>
      </c>
      <c r="BS309">
        <v>0</v>
      </c>
      <c r="BT309" s="18">
        <v>0</v>
      </c>
      <c r="BU309">
        <v>0</v>
      </c>
      <c r="BV309">
        <v>0</v>
      </c>
      <c r="BW309">
        <v>0</v>
      </c>
      <c r="BX309" s="18">
        <v>1</v>
      </c>
      <c r="BY309">
        <v>0</v>
      </c>
      <c r="BZ309">
        <v>0</v>
      </c>
      <c r="CA309">
        <v>0</v>
      </c>
      <c r="CB309">
        <v>0</v>
      </c>
      <c r="CC309" s="18">
        <v>0</v>
      </c>
      <c r="CD309">
        <v>1</v>
      </c>
      <c r="CE309">
        <v>0</v>
      </c>
      <c r="CF309">
        <v>0</v>
      </c>
      <c r="CG309">
        <v>0</v>
      </c>
      <c r="CH309">
        <v>0</v>
      </c>
      <c r="CI309">
        <v>0</v>
      </c>
      <c r="CJ309">
        <v>0</v>
      </c>
      <c r="CK309">
        <v>0</v>
      </c>
      <c r="CL309">
        <v>0</v>
      </c>
      <c r="CM309">
        <v>0</v>
      </c>
      <c r="CN309" s="18">
        <v>1</v>
      </c>
      <c r="CO309">
        <v>0</v>
      </c>
      <c r="CP309">
        <v>591</v>
      </c>
      <c r="CQ309">
        <v>0</v>
      </c>
      <c r="CR309">
        <v>1</v>
      </c>
      <c r="CS309">
        <v>3</v>
      </c>
      <c r="CY309" s="34"/>
    </row>
    <row r="310" spans="1:103" s="51" customFormat="1" x14ac:dyDescent="0.25">
      <c r="A310" s="51">
        <v>309</v>
      </c>
      <c r="B310" s="51">
        <v>20</v>
      </c>
      <c r="C310" s="52" t="s">
        <v>232</v>
      </c>
      <c r="D310" s="53">
        <v>7.3</v>
      </c>
      <c r="E310" s="54">
        <v>0.03</v>
      </c>
      <c r="F310" s="55">
        <f t="shared" si="72"/>
        <v>243.33333333333334</v>
      </c>
      <c r="G310" s="55">
        <f t="shared" si="62"/>
        <v>7.27</v>
      </c>
      <c r="H310" s="56">
        <f t="shared" si="63"/>
        <v>7.33</v>
      </c>
      <c r="I310" s="11">
        <f t="shared" si="66"/>
        <v>0.29748993844279964</v>
      </c>
      <c r="J310" s="33">
        <f t="shared" si="67"/>
        <v>1.2225613908608203E-3</v>
      </c>
      <c r="K310" s="33">
        <f t="shared" si="68"/>
        <v>817.95483439558632</v>
      </c>
      <c r="L310" s="59">
        <v>0</v>
      </c>
      <c r="M310" s="60">
        <v>1</v>
      </c>
      <c r="N310" s="59">
        <v>0</v>
      </c>
      <c r="O310" s="60">
        <v>0</v>
      </c>
      <c r="P310" s="60">
        <v>0</v>
      </c>
      <c r="Q310" s="60">
        <v>1</v>
      </c>
      <c r="R310" s="60">
        <v>0</v>
      </c>
      <c r="S310" s="59">
        <v>609852</v>
      </c>
      <c r="T310" s="60">
        <v>12</v>
      </c>
      <c r="U310" s="60">
        <f t="shared" si="64"/>
        <v>609839</v>
      </c>
      <c r="V310" s="60">
        <f t="shared" si="65"/>
        <v>16</v>
      </c>
      <c r="W310" s="55">
        <v>11.59</v>
      </c>
      <c r="X310" s="55">
        <f t="shared" si="73"/>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v>0</v>
      </c>
      <c r="BF310" s="65">
        <v>0</v>
      </c>
      <c r="BG310">
        <v>1</v>
      </c>
      <c r="BH310">
        <v>0</v>
      </c>
      <c r="BI310" s="65">
        <v>0</v>
      </c>
      <c r="BJ310">
        <v>15553</v>
      </c>
      <c r="BK310">
        <v>23227</v>
      </c>
      <c r="BL310" s="52">
        <v>44.74</v>
      </c>
      <c r="BM310" s="51">
        <v>0</v>
      </c>
      <c r="BN310" s="51">
        <v>0</v>
      </c>
      <c r="BO310" s="51">
        <v>0</v>
      </c>
      <c r="BP310" s="51">
        <v>0</v>
      </c>
      <c r="BQ310" s="51">
        <v>1</v>
      </c>
      <c r="BR310" s="51">
        <v>0</v>
      </c>
      <c r="BS310" s="51">
        <v>0</v>
      </c>
      <c r="BT310" s="65">
        <v>0</v>
      </c>
      <c r="BU310" s="51">
        <v>0</v>
      </c>
      <c r="BV310" s="51">
        <v>0</v>
      </c>
      <c r="BW310" s="51">
        <v>0</v>
      </c>
      <c r="BX310" s="65">
        <v>1</v>
      </c>
      <c r="BY310" s="51">
        <v>0</v>
      </c>
      <c r="BZ310" s="51">
        <v>0</v>
      </c>
      <c r="CA310" s="51">
        <v>0</v>
      </c>
      <c r="CB310" s="51">
        <v>0</v>
      </c>
      <c r="CC310" s="65">
        <v>0</v>
      </c>
      <c r="CD310" s="51">
        <v>1</v>
      </c>
      <c r="CE310" s="51">
        <v>0</v>
      </c>
      <c r="CF310" s="51">
        <v>0</v>
      </c>
      <c r="CG310" s="51">
        <v>0</v>
      </c>
      <c r="CH310" s="51">
        <v>0</v>
      </c>
      <c r="CI310" s="51">
        <v>0</v>
      </c>
      <c r="CJ310" s="51">
        <v>0</v>
      </c>
      <c r="CK310" s="51">
        <v>0</v>
      </c>
      <c r="CL310" s="51">
        <v>0</v>
      </c>
      <c r="CM310" s="51">
        <v>0</v>
      </c>
      <c r="CN310" s="65">
        <v>1</v>
      </c>
      <c r="CO310">
        <v>0</v>
      </c>
      <c r="CP310">
        <v>591</v>
      </c>
      <c r="CQ310">
        <v>0</v>
      </c>
      <c r="CR310">
        <v>1</v>
      </c>
      <c r="CS310">
        <v>3</v>
      </c>
      <c r="CT310" s="67"/>
      <c r="CY310" s="67"/>
    </row>
    <row r="311" spans="1:103" x14ac:dyDescent="0.25">
      <c r="A311">
        <v>310</v>
      </c>
      <c r="B311">
        <v>21</v>
      </c>
      <c r="C311" s="25" t="s">
        <v>234</v>
      </c>
      <c r="D311" s="12">
        <v>5</v>
      </c>
      <c r="E311" s="14">
        <v>0.1</v>
      </c>
      <c r="F311" s="7">
        <f t="shared" si="72"/>
        <v>50</v>
      </c>
      <c r="G311" s="7">
        <f t="shared" si="62"/>
        <v>4.9000000000000004</v>
      </c>
      <c r="H311" s="16">
        <f t="shared" si="63"/>
        <v>5.0999999999999996</v>
      </c>
      <c r="I311" s="11">
        <f t="shared" si="66"/>
        <v>0.21218275209520929</v>
      </c>
      <c r="J311" s="33">
        <f t="shared" si="67"/>
        <v>4.2436550419041857E-3</v>
      </c>
      <c r="K311" s="33">
        <f t="shared" si="68"/>
        <v>235.64592082189753</v>
      </c>
      <c r="L311" s="8">
        <v>0</v>
      </c>
      <c r="M311" s="9">
        <v>1</v>
      </c>
      <c r="N311" s="8">
        <v>0</v>
      </c>
      <c r="O311" s="9">
        <v>0</v>
      </c>
      <c r="P311" s="9">
        <v>1</v>
      </c>
      <c r="Q311" s="9">
        <v>0</v>
      </c>
      <c r="R311" s="9">
        <v>0</v>
      </c>
      <c r="S311" s="8">
        <v>53044</v>
      </c>
      <c r="T311" s="9">
        <v>14</v>
      </c>
      <c r="U311" s="9">
        <f t="shared" si="64"/>
        <v>53029</v>
      </c>
      <c r="V311" s="9">
        <f t="shared" si="65"/>
        <v>12</v>
      </c>
      <c r="W311" s="7">
        <v>7.8040000000000003</v>
      </c>
      <c r="X311" s="7">
        <f t="shared" si="73"/>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74">1-AR311</f>
        <v>0.505</v>
      </c>
      <c r="AR311" s="40">
        <v>0.495</v>
      </c>
      <c r="AS311">
        <v>1</v>
      </c>
      <c r="AT311" s="40">
        <v>0</v>
      </c>
      <c r="AU311">
        <v>0</v>
      </c>
      <c r="AV311" s="18">
        <v>1</v>
      </c>
      <c r="AW311">
        <f t="shared" ref="AW311:AW322" si="75">1-AX311</f>
        <v>0.375</v>
      </c>
      <c r="AX311" s="18">
        <v>0.625</v>
      </c>
      <c r="AY311" s="18" t="s">
        <v>28</v>
      </c>
      <c r="AZ311">
        <v>0</v>
      </c>
      <c r="BA311">
        <v>1</v>
      </c>
      <c r="BB311">
        <v>0</v>
      </c>
      <c r="BC311">
        <v>0</v>
      </c>
      <c r="BD311">
        <v>0</v>
      </c>
      <c r="BE311">
        <v>0</v>
      </c>
      <c r="BF311" s="18">
        <v>0</v>
      </c>
      <c r="BG311">
        <v>0</v>
      </c>
      <c r="BH311">
        <v>1</v>
      </c>
      <c r="BI311" s="18">
        <v>0</v>
      </c>
      <c r="BJ311">
        <v>2870</v>
      </c>
      <c r="BK311">
        <v>291</v>
      </c>
      <c r="BL311" s="25">
        <v>44.594000000000001</v>
      </c>
      <c r="BM311">
        <v>1</v>
      </c>
      <c r="BN311">
        <v>0</v>
      </c>
      <c r="BO311">
        <v>0</v>
      </c>
      <c r="BP311">
        <v>0</v>
      </c>
      <c r="BQ311">
        <v>0</v>
      </c>
      <c r="BR311">
        <v>0</v>
      </c>
      <c r="BS311">
        <v>0</v>
      </c>
      <c r="BT311" s="18">
        <v>0</v>
      </c>
      <c r="BU311">
        <v>0</v>
      </c>
      <c r="BV311">
        <v>0</v>
      </c>
      <c r="BW311">
        <v>1</v>
      </c>
      <c r="BX311" s="18">
        <v>0</v>
      </c>
      <c r="BY311">
        <v>0</v>
      </c>
      <c r="BZ311">
        <v>0</v>
      </c>
      <c r="CA311">
        <v>0</v>
      </c>
      <c r="CB311">
        <v>0</v>
      </c>
      <c r="CC311" s="18">
        <v>0</v>
      </c>
      <c r="CD311">
        <v>1</v>
      </c>
      <c r="CE311">
        <v>1</v>
      </c>
      <c r="CF311">
        <v>0</v>
      </c>
      <c r="CG311">
        <v>0</v>
      </c>
      <c r="CH311">
        <v>0</v>
      </c>
      <c r="CI311">
        <v>0</v>
      </c>
      <c r="CJ311">
        <v>1</v>
      </c>
      <c r="CK311">
        <v>0</v>
      </c>
      <c r="CL311">
        <v>0</v>
      </c>
      <c r="CM311">
        <v>1</v>
      </c>
      <c r="CN311" s="18">
        <v>1</v>
      </c>
      <c r="CO311">
        <v>1.2999999999999999E-2</v>
      </c>
      <c r="CP311">
        <v>3</v>
      </c>
      <c r="CQ311">
        <v>1</v>
      </c>
      <c r="CR311">
        <v>0</v>
      </c>
      <c r="CS311">
        <v>24</v>
      </c>
      <c r="CY311" s="34"/>
    </row>
    <row r="312" spans="1:103" x14ac:dyDescent="0.25">
      <c r="A312">
        <v>311</v>
      </c>
      <c r="B312">
        <v>21</v>
      </c>
      <c r="C312" s="25" t="s">
        <v>234</v>
      </c>
      <c r="D312" s="12">
        <v>7.1</v>
      </c>
      <c r="E312" s="14">
        <v>0.1</v>
      </c>
      <c r="F312" s="7">
        <f t="shared" si="72"/>
        <v>70.999999999999986</v>
      </c>
      <c r="G312" s="7">
        <f t="shared" si="62"/>
        <v>7</v>
      </c>
      <c r="H312" s="16">
        <f t="shared" si="63"/>
        <v>7.1999999999999993</v>
      </c>
      <c r="I312" s="11">
        <f t="shared" si="66"/>
        <v>0.51647633440499785</v>
      </c>
      <c r="J312" s="33">
        <f t="shared" si="67"/>
        <v>7.2743145690844797E-3</v>
      </c>
      <c r="K312" s="33">
        <f t="shared" si="68"/>
        <v>137.46999672655846</v>
      </c>
      <c r="L312" s="8">
        <v>0</v>
      </c>
      <c r="M312" s="9">
        <v>1</v>
      </c>
      <c r="N312" s="8">
        <v>0</v>
      </c>
      <c r="O312" s="9">
        <v>0</v>
      </c>
      <c r="P312" s="9">
        <v>1</v>
      </c>
      <c r="Q312" s="9">
        <v>0</v>
      </c>
      <c r="R312" s="9">
        <v>0</v>
      </c>
      <c r="S312" s="8">
        <v>13870</v>
      </c>
      <c r="T312" s="9">
        <v>12</v>
      </c>
      <c r="U312" s="9">
        <f t="shared" si="64"/>
        <v>13857</v>
      </c>
      <c r="V312" s="9">
        <f t="shared" si="65"/>
        <v>12</v>
      </c>
      <c r="W312" s="7">
        <v>10.032</v>
      </c>
      <c r="X312" s="7">
        <f t="shared" si="73"/>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74"/>
        <v>0.52</v>
      </c>
      <c r="AR312" s="40">
        <v>0.48</v>
      </c>
      <c r="AS312">
        <v>1</v>
      </c>
      <c r="AT312" s="40">
        <v>0</v>
      </c>
      <c r="AU312">
        <v>0</v>
      </c>
      <c r="AV312" s="18">
        <v>1</v>
      </c>
      <c r="AW312">
        <f t="shared" si="75"/>
        <v>0.378</v>
      </c>
      <c r="AX312" s="18">
        <v>0.622</v>
      </c>
      <c r="AY312" s="18" t="s">
        <v>28</v>
      </c>
      <c r="AZ312">
        <v>0</v>
      </c>
      <c r="BA312">
        <v>1</v>
      </c>
      <c r="BB312">
        <v>0</v>
      </c>
      <c r="BC312">
        <v>0</v>
      </c>
      <c r="BD312">
        <v>0</v>
      </c>
      <c r="BE312">
        <v>0</v>
      </c>
      <c r="BF312" s="18">
        <v>0</v>
      </c>
      <c r="BG312">
        <v>0</v>
      </c>
      <c r="BH312">
        <v>1</v>
      </c>
      <c r="BI312" s="18">
        <v>0</v>
      </c>
      <c r="BJ312">
        <v>2870</v>
      </c>
      <c r="BK312">
        <v>291</v>
      </c>
      <c r="BL312" s="25">
        <v>41.518000000000001</v>
      </c>
      <c r="BM312">
        <v>1</v>
      </c>
      <c r="BN312">
        <v>0</v>
      </c>
      <c r="BO312">
        <v>0</v>
      </c>
      <c r="BP312">
        <v>0</v>
      </c>
      <c r="BQ312">
        <v>0</v>
      </c>
      <c r="BR312">
        <v>0</v>
      </c>
      <c r="BS312">
        <v>0</v>
      </c>
      <c r="BT312" s="18">
        <v>0</v>
      </c>
      <c r="BU312">
        <v>0</v>
      </c>
      <c r="BV312">
        <v>0</v>
      </c>
      <c r="BW312">
        <v>1</v>
      </c>
      <c r="BX312" s="18">
        <v>0</v>
      </c>
      <c r="BY312">
        <v>0</v>
      </c>
      <c r="BZ312">
        <v>0</v>
      </c>
      <c r="CA312">
        <v>0</v>
      </c>
      <c r="CB312">
        <v>0</v>
      </c>
      <c r="CC312" s="18">
        <v>0</v>
      </c>
      <c r="CD312">
        <v>1</v>
      </c>
      <c r="CE312">
        <v>1</v>
      </c>
      <c r="CF312">
        <v>0</v>
      </c>
      <c r="CG312">
        <v>0</v>
      </c>
      <c r="CH312">
        <v>0</v>
      </c>
      <c r="CI312">
        <v>0</v>
      </c>
      <c r="CJ312">
        <v>1</v>
      </c>
      <c r="CK312">
        <v>0</v>
      </c>
      <c r="CL312">
        <v>0</v>
      </c>
      <c r="CM312">
        <v>1</v>
      </c>
      <c r="CN312" s="18">
        <v>1</v>
      </c>
      <c r="CO312">
        <v>1.2999999999999999E-2</v>
      </c>
      <c r="CP312">
        <v>3</v>
      </c>
      <c r="CQ312">
        <v>1</v>
      </c>
      <c r="CR312">
        <v>0</v>
      </c>
      <c r="CS312">
        <v>24</v>
      </c>
      <c r="CY312" s="34"/>
    </row>
    <row r="313" spans="1:103" x14ac:dyDescent="0.25">
      <c r="A313">
        <v>312</v>
      </c>
      <c r="B313">
        <v>21</v>
      </c>
      <c r="C313" s="25" t="s">
        <v>234</v>
      </c>
      <c r="D313" s="12">
        <v>4.9000000000000004</v>
      </c>
      <c r="E313" s="14">
        <v>0.1</v>
      </c>
      <c r="F313" s="7">
        <f t="shared" si="72"/>
        <v>49</v>
      </c>
      <c r="G313" s="7">
        <f t="shared" si="62"/>
        <v>4.8000000000000007</v>
      </c>
      <c r="H313" s="16">
        <f t="shared" si="63"/>
        <v>5</v>
      </c>
      <c r="I313" s="11">
        <f t="shared" si="66"/>
        <v>0.33699468069112615</v>
      </c>
      <c r="J313" s="33">
        <f t="shared" si="67"/>
        <v>6.8774424630842074E-3</v>
      </c>
      <c r="K313" s="33">
        <f t="shared" si="68"/>
        <v>145.40288855452633</v>
      </c>
      <c r="L313" s="8">
        <v>0</v>
      </c>
      <c r="M313" s="9">
        <v>1</v>
      </c>
      <c r="N313" s="8">
        <v>0</v>
      </c>
      <c r="O313" s="9">
        <v>0</v>
      </c>
      <c r="P313" s="9">
        <v>1</v>
      </c>
      <c r="Q313" s="9">
        <v>0</v>
      </c>
      <c r="R313" s="9">
        <v>0</v>
      </c>
      <c r="S313" s="8">
        <v>18754</v>
      </c>
      <c r="T313" s="9">
        <v>12</v>
      </c>
      <c r="U313" s="9">
        <f t="shared" si="64"/>
        <v>18741</v>
      </c>
      <c r="V313" s="9">
        <f t="shared" si="65"/>
        <v>12</v>
      </c>
      <c r="W313" s="7">
        <v>6.3079999999999998</v>
      </c>
      <c r="X313" s="7">
        <f t="shared" si="73"/>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74"/>
        <v>0.57200000000000006</v>
      </c>
      <c r="AR313" s="40">
        <v>0.42799999999999999</v>
      </c>
      <c r="AS313">
        <v>1</v>
      </c>
      <c r="AT313" s="40">
        <v>0</v>
      </c>
      <c r="AU313">
        <v>0</v>
      </c>
      <c r="AV313" s="18">
        <v>1</v>
      </c>
      <c r="AW313">
        <f t="shared" si="75"/>
        <v>0.45799999999999996</v>
      </c>
      <c r="AX313" s="18">
        <v>0.54200000000000004</v>
      </c>
      <c r="AY313" s="18" t="s">
        <v>28</v>
      </c>
      <c r="AZ313">
        <v>0</v>
      </c>
      <c r="BA313">
        <v>1</v>
      </c>
      <c r="BB313">
        <v>0</v>
      </c>
      <c r="BC313">
        <v>0</v>
      </c>
      <c r="BD313">
        <v>0</v>
      </c>
      <c r="BE313">
        <v>0</v>
      </c>
      <c r="BF313" s="18">
        <v>0</v>
      </c>
      <c r="BG313">
        <v>0</v>
      </c>
      <c r="BH313">
        <v>1</v>
      </c>
      <c r="BI313" s="18">
        <v>0</v>
      </c>
      <c r="BJ313">
        <v>2870</v>
      </c>
      <c r="BK313">
        <v>291</v>
      </c>
      <c r="BL313" s="25">
        <v>44.774000000000001</v>
      </c>
      <c r="BM313">
        <v>1</v>
      </c>
      <c r="BN313">
        <v>0</v>
      </c>
      <c r="BO313">
        <v>0</v>
      </c>
      <c r="BP313">
        <v>0</v>
      </c>
      <c r="BQ313">
        <v>0</v>
      </c>
      <c r="BR313">
        <v>0</v>
      </c>
      <c r="BS313">
        <v>0</v>
      </c>
      <c r="BT313" s="18">
        <v>0</v>
      </c>
      <c r="BU313">
        <v>0</v>
      </c>
      <c r="BV313">
        <v>0</v>
      </c>
      <c r="BW313">
        <v>1</v>
      </c>
      <c r="BX313" s="18">
        <v>0</v>
      </c>
      <c r="BY313">
        <v>0</v>
      </c>
      <c r="BZ313">
        <v>0</v>
      </c>
      <c r="CA313">
        <v>0</v>
      </c>
      <c r="CB313">
        <v>0</v>
      </c>
      <c r="CC313" s="18">
        <v>0</v>
      </c>
      <c r="CD313">
        <v>1</v>
      </c>
      <c r="CE313">
        <v>1</v>
      </c>
      <c r="CF313">
        <v>0</v>
      </c>
      <c r="CG313">
        <v>0</v>
      </c>
      <c r="CH313">
        <v>0</v>
      </c>
      <c r="CI313">
        <v>0</v>
      </c>
      <c r="CJ313">
        <v>1</v>
      </c>
      <c r="CK313">
        <v>0</v>
      </c>
      <c r="CL313">
        <v>0</v>
      </c>
      <c r="CM313">
        <v>1</v>
      </c>
      <c r="CN313" s="18">
        <v>1</v>
      </c>
      <c r="CO313">
        <v>1.2999999999999999E-2</v>
      </c>
      <c r="CP313">
        <v>3</v>
      </c>
      <c r="CQ313">
        <v>1</v>
      </c>
      <c r="CR313">
        <v>0</v>
      </c>
      <c r="CS313">
        <v>24</v>
      </c>
      <c r="CY313" s="34"/>
    </row>
    <row r="314" spans="1:103" x14ac:dyDescent="0.25">
      <c r="A314">
        <v>313</v>
      </c>
      <c r="B314">
        <v>21</v>
      </c>
      <c r="C314" s="25" t="s">
        <v>234</v>
      </c>
      <c r="D314" s="12">
        <v>3.5</v>
      </c>
      <c r="E314" s="14">
        <v>0.2</v>
      </c>
      <c r="F314" s="7">
        <f t="shared" si="72"/>
        <v>17.5</v>
      </c>
      <c r="G314" s="7">
        <f t="shared" si="62"/>
        <v>3.3</v>
      </c>
      <c r="H314" s="16">
        <f t="shared" si="63"/>
        <v>3.7</v>
      </c>
      <c r="I314" s="11">
        <f t="shared" si="66"/>
        <v>0.12159449831189598</v>
      </c>
      <c r="J314" s="33">
        <f t="shared" si="67"/>
        <v>6.9482570463940563E-3</v>
      </c>
      <c r="K314" s="33">
        <f t="shared" si="68"/>
        <v>143.92098526622169</v>
      </c>
      <c r="L314" s="8">
        <v>0</v>
      </c>
      <c r="M314" s="9">
        <v>1</v>
      </c>
      <c r="N314" s="8">
        <v>0</v>
      </c>
      <c r="O314" s="9">
        <v>0</v>
      </c>
      <c r="P314" s="9">
        <v>1</v>
      </c>
      <c r="Q314" s="9">
        <v>0</v>
      </c>
      <c r="R314" s="9">
        <v>0</v>
      </c>
      <c r="S314" s="8">
        <v>20420</v>
      </c>
      <c r="T314" s="9">
        <v>12</v>
      </c>
      <c r="U314" s="9">
        <f t="shared" si="64"/>
        <v>20407</v>
      </c>
      <c r="V314" s="9">
        <f t="shared" si="65"/>
        <v>12</v>
      </c>
      <c r="W314" s="7">
        <v>7.6660000000000004</v>
      </c>
      <c r="X314" s="7">
        <f t="shared" si="73"/>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74"/>
        <v>0.43300000000000005</v>
      </c>
      <c r="AR314" s="40">
        <v>0.56699999999999995</v>
      </c>
      <c r="AS314">
        <v>1</v>
      </c>
      <c r="AT314" s="40">
        <v>0</v>
      </c>
      <c r="AU314">
        <v>0</v>
      </c>
      <c r="AV314" s="18">
        <v>1</v>
      </c>
      <c r="AW314">
        <f t="shared" si="75"/>
        <v>0.29600000000000004</v>
      </c>
      <c r="AX314" s="18">
        <v>0.70399999999999996</v>
      </c>
      <c r="AY314" s="18" t="s">
        <v>28</v>
      </c>
      <c r="AZ314">
        <v>0</v>
      </c>
      <c r="BA314">
        <v>1</v>
      </c>
      <c r="BB314">
        <v>0</v>
      </c>
      <c r="BC314">
        <v>0</v>
      </c>
      <c r="BD314">
        <v>0</v>
      </c>
      <c r="BE314">
        <v>0</v>
      </c>
      <c r="BF314" s="18">
        <v>0</v>
      </c>
      <c r="BG314">
        <v>0</v>
      </c>
      <c r="BH314">
        <v>1</v>
      </c>
      <c r="BI314" s="18">
        <v>0</v>
      </c>
      <c r="BJ314">
        <v>2870</v>
      </c>
      <c r="BK314">
        <v>291</v>
      </c>
      <c r="BL314" s="25">
        <v>46.518999999999998</v>
      </c>
      <c r="BM314">
        <v>1</v>
      </c>
      <c r="BN314">
        <v>0</v>
      </c>
      <c r="BO314">
        <v>0</v>
      </c>
      <c r="BP314">
        <v>0</v>
      </c>
      <c r="BQ314">
        <v>0</v>
      </c>
      <c r="BR314">
        <v>0</v>
      </c>
      <c r="BS314">
        <v>0</v>
      </c>
      <c r="BT314" s="18">
        <v>0</v>
      </c>
      <c r="BU314">
        <v>0</v>
      </c>
      <c r="BV314">
        <v>0</v>
      </c>
      <c r="BW314">
        <v>1</v>
      </c>
      <c r="BX314" s="18">
        <v>0</v>
      </c>
      <c r="BY314">
        <v>0</v>
      </c>
      <c r="BZ314">
        <v>0</v>
      </c>
      <c r="CA314">
        <v>0</v>
      </c>
      <c r="CB314">
        <v>0</v>
      </c>
      <c r="CC314" s="18">
        <v>0</v>
      </c>
      <c r="CD314">
        <v>1</v>
      </c>
      <c r="CE314">
        <v>1</v>
      </c>
      <c r="CF314">
        <v>0</v>
      </c>
      <c r="CG314">
        <v>0</v>
      </c>
      <c r="CH314">
        <v>0</v>
      </c>
      <c r="CI314">
        <v>0</v>
      </c>
      <c r="CJ314">
        <v>1</v>
      </c>
      <c r="CK314">
        <v>0</v>
      </c>
      <c r="CL314">
        <v>0</v>
      </c>
      <c r="CM314">
        <v>1</v>
      </c>
      <c r="CN314" s="18">
        <v>1</v>
      </c>
      <c r="CO314">
        <v>1.2999999999999999E-2</v>
      </c>
      <c r="CP314">
        <v>3</v>
      </c>
      <c r="CQ314">
        <v>1</v>
      </c>
      <c r="CR314">
        <v>0</v>
      </c>
      <c r="CS314">
        <v>24</v>
      </c>
      <c r="CY314" s="34"/>
    </row>
    <row r="315" spans="1:103" x14ac:dyDescent="0.25">
      <c r="A315">
        <v>314</v>
      </c>
      <c r="B315">
        <v>21</v>
      </c>
      <c r="C315" s="25" t="s">
        <v>234</v>
      </c>
      <c r="D315" s="12">
        <v>13.6</v>
      </c>
      <c r="E315" s="14">
        <v>1.5</v>
      </c>
      <c r="F315" s="7">
        <f t="shared" si="72"/>
        <v>9.0666666666666664</v>
      </c>
      <c r="G315" s="7">
        <f t="shared" si="62"/>
        <v>12.1</v>
      </c>
      <c r="H315" s="16">
        <f t="shared" si="63"/>
        <v>15.1</v>
      </c>
      <c r="I315" s="11">
        <f t="shared" si="66"/>
        <v>3.9341831513423985E-2</v>
      </c>
      <c r="J315" s="33">
        <f t="shared" si="67"/>
        <v>4.3391725933923514E-3</v>
      </c>
      <c r="K315" s="33">
        <f t="shared" si="68"/>
        <v>230.45868272739139</v>
      </c>
      <c r="L315" s="8">
        <v>0</v>
      </c>
      <c r="M315" s="9">
        <v>1</v>
      </c>
      <c r="N315" s="8">
        <v>0</v>
      </c>
      <c r="O315" s="9">
        <v>0</v>
      </c>
      <c r="P315" s="9">
        <v>1</v>
      </c>
      <c r="Q315" s="9">
        <v>0</v>
      </c>
      <c r="R315" s="9">
        <v>0</v>
      </c>
      <c r="S315" s="8">
        <v>53044</v>
      </c>
      <c r="T315" s="9">
        <v>14</v>
      </c>
      <c r="U315" s="9">
        <f t="shared" si="64"/>
        <v>53029</v>
      </c>
      <c r="V315" s="9">
        <f t="shared" si="65"/>
        <v>12</v>
      </c>
      <c r="W315" s="7">
        <v>7.8040000000000003</v>
      </c>
      <c r="X315" s="7">
        <f t="shared" si="73"/>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74"/>
        <v>0.505</v>
      </c>
      <c r="AR315" s="40">
        <v>0.495</v>
      </c>
      <c r="AS315">
        <v>1</v>
      </c>
      <c r="AT315" s="40">
        <v>0</v>
      </c>
      <c r="AU315">
        <v>0</v>
      </c>
      <c r="AV315" s="18">
        <v>1</v>
      </c>
      <c r="AW315">
        <f t="shared" si="75"/>
        <v>0.375</v>
      </c>
      <c r="AX315" s="18">
        <v>0.625</v>
      </c>
      <c r="AY315" s="18" t="s">
        <v>28</v>
      </c>
      <c r="AZ315">
        <v>0</v>
      </c>
      <c r="BA315">
        <v>1</v>
      </c>
      <c r="BB315">
        <v>0</v>
      </c>
      <c r="BC315">
        <v>0</v>
      </c>
      <c r="BD315">
        <v>0</v>
      </c>
      <c r="BE315">
        <v>0</v>
      </c>
      <c r="BF315" s="18">
        <v>0</v>
      </c>
      <c r="BG315">
        <v>0</v>
      </c>
      <c r="BH315">
        <v>1</v>
      </c>
      <c r="BI315" s="18">
        <v>0</v>
      </c>
      <c r="BJ315">
        <v>2870</v>
      </c>
      <c r="BK315">
        <v>291</v>
      </c>
      <c r="BL315" s="25">
        <v>44.594000000000001</v>
      </c>
      <c r="BM315">
        <v>0</v>
      </c>
      <c r="BN315">
        <v>0</v>
      </c>
      <c r="BO315">
        <v>0</v>
      </c>
      <c r="BP315">
        <v>0</v>
      </c>
      <c r="BQ315">
        <v>0</v>
      </c>
      <c r="BR315">
        <v>0</v>
      </c>
      <c r="BS315">
        <v>0</v>
      </c>
      <c r="BT315" s="18">
        <v>1</v>
      </c>
      <c r="BU315">
        <v>0</v>
      </c>
      <c r="BV315">
        <v>1</v>
      </c>
      <c r="BW315">
        <v>0</v>
      </c>
      <c r="BX315" s="18">
        <v>0</v>
      </c>
      <c r="BY315">
        <v>0</v>
      </c>
      <c r="BZ315">
        <v>1</v>
      </c>
      <c r="CA315">
        <v>0</v>
      </c>
      <c r="CB315">
        <v>0</v>
      </c>
      <c r="CC315" s="18">
        <v>0</v>
      </c>
      <c r="CD315">
        <v>1</v>
      </c>
      <c r="CE315">
        <v>1</v>
      </c>
      <c r="CF315">
        <v>0</v>
      </c>
      <c r="CG315">
        <v>0</v>
      </c>
      <c r="CH315">
        <v>0</v>
      </c>
      <c r="CI315">
        <v>0</v>
      </c>
      <c r="CJ315">
        <v>1</v>
      </c>
      <c r="CK315">
        <v>0</v>
      </c>
      <c r="CL315">
        <v>0</v>
      </c>
      <c r="CM315">
        <v>1</v>
      </c>
      <c r="CN315" s="18">
        <v>1</v>
      </c>
      <c r="CO315">
        <v>1.2999999999999999E-2</v>
      </c>
      <c r="CP315">
        <v>3</v>
      </c>
      <c r="CQ315">
        <v>1</v>
      </c>
      <c r="CR315">
        <v>0</v>
      </c>
      <c r="CS315">
        <v>24</v>
      </c>
      <c r="CY315" s="34"/>
    </row>
    <row r="316" spans="1:103" x14ac:dyDescent="0.25">
      <c r="A316">
        <v>315</v>
      </c>
      <c r="B316">
        <v>21</v>
      </c>
      <c r="C316" s="25" t="s">
        <v>234</v>
      </c>
      <c r="D316" s="12">
        <v>14.6</v>
      </c>
      <c r="E316" s="14">
        <v>1.5</v>
      </c>
      <c r="F316" s="7">
        <f t="shared" si="72"/>
        <v>9.7333333333333325</v>
      </c>
      <c r="G316" s="7">
        <f t="shared" si="62"/>
        <v>13.1</v>
      </c>
      <c r="H316" s="16">
        <f t="shared" si="63"/>
        <v>16.100000000000001</v>
      </c>
      <c r="I316" s="11">
        <f t="shared" si="66"/>
        <v>8.2403838857020115E-2</v>
      </c>
      <c r="J316" s="33">
        <f t="shared" si="67"/>
        <v>8.4661478277760407E-3</v>
      </c>
      <c r="K316" s="33">
        <f t="shared" si="68"/>
        <v>118.11747448103425</v>
      </c>
      <c r="L316" s="8">
        <v>0</v>
      </c>
      <c r="M316" s="9">
        <v>1</v>
      </c>
      <c r="N316" s="8">
        <v>0</v>
      </c>
      <c r="O316" s="9">
        <v>0</v>
      </c>
      <c r="P316" s="9">
        <v>1</v>
      </c>
      <c r="Q316" s="9">
        <v>0</v>
      </c>
      <c r="R316" s="9">
        <v>0</v>
      </c>
      <c r="S316" s="8">
        <v>13870</v>
      </c>
      <c r="T316" s="9">
        <v>12</v>
      </c>
      <c r="U316" s="9">
        <f t="shared" si="64"/>
        <v>13857</v>
      </c>
      <c r="V316" s="9">
        <f t="shared" si="65"/>
        <v>12</v>
      </c>
      <c r="W316" s="7">
        <v>10.032</v>
      </c>
      <c r="X316" s="7">
        <f t="shared" si="73"/>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74"/>
        <v>0.52</v>
      </c>
      <c r="AR316" s="40">
        <v>0.48</v>
      </c>
      <c r="AS316">
        <v>1</v>
      </c>
      <c r="AT316" s="40">
        <v>0</v>
      </c>
      <c r="AU316">
        <v>0</v>
      </c>
      <c r="AV316" s="18">
        <v>1</v>
      </c>
      <c r="AW316">
        <f t="shared" si="75"/>
        <v>0.378</v>
      </c>
      <c r="AX316" s="18">
        <v>0.622</v>
      </c>
      <c r="AY316" s="18" t="s">
        <v>28</v>
      </c>
      <c r="AZ316">
        <v>0</v>
      </c>
      <c r="BA316">
        <v>1</v>
      </c>
      <c r="BB316">
        <v>0</v>
      </c>
      <c r="BC316">
        <v>0</v>
      </c>
      <c r="BD316">
        <v>0</v>
      </c>
      <c r="BE316">
        <v>0</v>
      </c>
      <c r="BF316" s="18">
        <v>0</v>
      </c>
      <c r="BG316">
        <v>0</v>
      </c>
      <c r="BH316">
        <v>1</v>
      </c>
      <c r="BI316" s="18">
        <v>0</v>
      </c>
      <c r="BJ316">
        <v>2870</v>
      </c>
      <c r="BK316">
        <v>291</v>
      </c>
      <c r="BL316" s="25">
        <v>41.518000000000001</v>
      </c>
      <c r="BM316">
        <v>0</v>
      </c>
      <c r="BN316">
        <v>0</v>
      </c>
      <c r="BO316">
        <v>0</v>
      </c>
      <c r="BP316">
        <v>0</v>
      </c>
      <c r="BQ316">
        <v>0</v>
      </c>
      <c r="BR316">
        <v>0</v>
      </c>
      <c r="BS316">
        <v>0</v>
      </c>
      <c r="BT316" s="18">
        <v>1</v>
      </c>
      <c r="BU316">
        <v>0</v>
      </c>
      <c r="BV316">
        <v>1</v>
      </c>
      <c r="BW316">
        <v>0</v>
      </c>
      <c r="BX316" s="18">
        <v>0</v>
      </c>
      <c r="BY316">
        <v>0</v>
      </c>
      <c r="BZ316">
        <v>1</v>
      </c>
      <c r="CA316">
        <v>0</v>
      </c>
      <c r="CB316">
        <v>0</v>
      </c>
      <c r="CC316" s="18">
        <v>0</v>
      </c>
      <c r="CD316">
        <v>1</v>
      </c>
      <c r="CE316">
        <v>1</v>
      </c>
      <c r="CF316">
        <v>0</v>
      </c>
      <c r="CG316">
        <v>0</v>
      </c>
      <c r="CH316">
        <v>0</v>
      </c>
      <c r="CI316">
        <v>0</v>
      </c>
      <c r="CJ316">
        <v>1</v>
      </c>
      <c r="CK316">
        <v>0</v>
      </c>
      <c r="CL316">
        <v>0</v>
      </c>
      <c r="CM316">
        <v>1</v>
      </c>
      <c r="CN316" s="18">
        <v>1</v>
      </c>
      <c r="CO316">
        <v>1.2999999999999999E-2</v>
      </c>
      <c r="CP316">
        <v>3</v>
      </c>
      <c r="CQ316">
        <v>1</v>
      </c>
      <c r="CR316">
        <v>0</v>
      </c>
      <c r="CS316">
        <v>24</v>
      </c>
      <c r="CY316" s="34"/>
    </row>
    <row r="317" spans="1:103" x14ac:dyDescent="0.25">
      <c r="A317">
        <v>316</v>
      </c>
      <c r="B317">
        <v>21</v>
      </c>
      <c r="C317" s="25" t="s">
        <v>234</v>
      </c>
      <c r="D317" s="12">
        <v>11.2</v>
      </c>
      <c r="E317" s="14">
        <v>3</v>
      </c>
      <c r="F317" s="7">
        <f t="shared" si="72"/>
        <v>3.7333333333333329</v>
      </c>
      <c r="G317" s="7">
        <f t="shared" si="62"/>
        <v>8.1999999999999993</v>
      </c>
      <c r="H317" s="16">
        <f t="shared" si="63"/>
        <v>14.2</v>
      </c>
      <c r="I317" s="11">
        <f t="shared" si="66"/>
        <v>2.7260822444108244E-2</v>
      </c>
      <c r="J317" s="33">
        <f t="shared" si="67"/>
        <v>7.3020060118147078E-3</v>
      </c>
      <c r="K317" s="33">
        <f t="shared" si="68"/>
        <v>136.94866840454409</v>
      </c>
      <c r="L317" s="8">
        <v>0</v>
      </c>
      <c r="M317" s="9">
        <v>1</v>
      </c>
      <c r="N317" s="8">
        <v>0</v>
      </c>
      <c r="O317" s="9">
        <v>0</v>
      </c>
      <c r="P317" s="9">
        <v>1</v>
      </c>
      <c r="Q317" s="9">
        <v>0</v>
      </c>
      <c r="R317" s="9">
        <v>0</v>
      </c>
      <c r="S317" s="8">
        <v>18754</v>
      </c>
      <c r="T317" s="9">
        <v>12</v>
      </c>
      <c r="U317" s="9">
        <f t="shared" si="64"/>
        <v>18741</v>
      </c>
      <c r="V317" s="9">
        <f t="shared" si="65"/>
        <v>12</v>
      </c>
      <c r="W317" s="7">
        <v>6.3079999999999998</v>
      </c>
      <c r="X317" s="7">
        <f t="shared" si="73"/>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74"/>
        <v>0.57200000000000006</v>
      </c>
      <c r="AR317" s="40">
        <v>0.42799999999999999</v>
      </c>
      <c r="AS317">
        <v>1</v>
      </c>
      <c r="AT317" s="40">
        <v>0</v>
      </c>
      <c r="AU317">
        <v>0</v>
      </c>
      <c r="AV317" s="18">
        <v>1</v>
      </c>
      <c r="AW317">
        <f t="shared" si="75"/>
        <v>0.45799999999999996</v>
      </c>
      <c r="AX317" s="18">
        <v>0.54200000000000004</v>
      </c>
      <c r="AY317" s="18" t="s">
        <v>28</v>
      </c>
      <c r="AZ317">
        <v>0</v>
      </c>
      <c r="BA317">
        <v>1</v>
      </c>
      <c r="BB317">
        <v>0</v>
      </c>
      <c r="BC317">
        <v>0</v>
      </c>
      <c r="BD317">
        <v>0</v>
      </c>
      <c r="BE317">
        <v>0</v>
      </c>
      <c r="BF317" s="18">
        <v>0</v>
      </c>
      <c r="BG317">
        <v>0</v>
      </c>
      <c r="BH317">
        <v>1</v>
      </c>
      <c r="BI317" s="18">
        <v>0</v>
      </c>
      <c r="BJ317">
        <v>2870</v>
      </c>
      <c r="BK317">
        <v>291</v>
      </c>
      <c r="BL317" s="25">
        <v>44.774000000000001</v>
      </c>
      <c r="BM317">
        <v>0</v>
      </c>
      <c r="BN317">
        <v>0</v>
      </c>
      <c r="BO317">
        <v>0</v>
      </c>
      <c r="BP317">
        <v>0</v>
      </c>
      <c r="BQ317">
        <v>0</v>
      </c>
      <c r="BR317">
        <v>0</v>
      </c>
      <c r="BS317">
        <v>0</v>
      </c>
      <c r="BT317" s="18">
        <v>1</v>
      </c>
      <c r="BU317">
        <v>0</v>
      </c>
      <c r="BV317">
        <v>1</v>
      </c>
      <c r="BW317">
        <v>0</v>
      </c>
      <c r="BX317" s="18">
        <v>0</v>
      </c>
      <c r="BY317">
        <v>0</v>
      </c>
      <c r="BZ317">
        <v>1</v>
      </c>
      <c r="CA317">
        <v>0</v>
      </c>
      <c r="CB317">
        <v>0</v>
      </c>
      <c r="CC317" s="18">
        <v>0</v>
      </c>
      <c r="CD317">
        <v>1</v>
      </c>
      <c r="CE317">
        <v>1</v>
      </c>
      <c r="CF317">
        <v>0</v>
      </c>
      <c r="CG317">
        <v>0</v>
      </c>
      <c r="CH317">
        <v>0</v>
      </c>
      <c r="CI317">
        <v>0</v>
      </c>
      <c r="CJ317">
        <v>1</v>
      </c>
      <c r="CK317">
        <v>0</v>
      </c>
      <c r="CL317">
        <v>0</v>
      </c>
      <c r="CM317">
        <v>1</v>
      </c>
      <c r="CN317" s="18">
        <v>1</v>
      </c>
      <c r="CO317">
        <v>1.2999999999999999E-2</v>
      </c>
      <c r="CP317">
        <v>3</v>
      </c>
      <c r="CQ317">
        <v>1</v>
      </c>
      <c r="CR317">
        <v>0</v>
      </c>
      <c r="CS317">
        <v>24</v>
      </c>
      <c r="CY317" s="34"/>
    </row>
    <row r="318" spans="1:103" x14ac:dyDescent="0.25">
      <c r="A318">
        <v>317</v>
      </c>
      <c r="B318">
        <v>21</v>
      </c>
      <c r="C318" s="25" t="s">
        <v>234</v>
      </c>
      <c r="D318" s="12">
        <v>11.9</v>
      </c>
      <c r="E318" s="14">
        <v>3.6</v>
      </c>
      <c r="F318" s="7">
        <f t="shared" si="72"/>
        <v>3.3055555555555554</v>
      </c>
      <c r="G318" s="7">
        <f t="shared" si="62"/>
        <v>8.3000000000000007</v>
      </c>
      <c r="H318" s="16">
        <f t="shared" si="63"/>
        <v>15.5</v>
      </c>
      <c r="I318" s="11">
        <f t="shared" si="66"/>
        <v>2.3133355957210736E-2</v>
      </c>
      <c r="J318" s="33">
        <f t="shared" si="67"/>
        <v>6.9983261719292981E-3</v>
      </c>
      <c r="K318" s="33">
        <f t="shared" si="68"/>
        <v>142.89131078386421</v>
      </c>
      <c r="L318" s="8">
        <v>0</v>
      </c>
      <c r="M318" s="9">
        <v>1</v>
      </c>
      <c r="N318" s="8">
        <v>0</v>
      </c>
      <c r="O318" s="9">
        <v>0</v>
      </c>
      <c r="P318" s="9">
        <v>1</v>
      </c>
      <c r="Q318" s="9">
        <v>0</v>
      </c>
      <c r="R318" s="9">
        <v>0</v>
      </c>
      <c r="S318" s="8">
        <v>20420</v>
      </c>
      <c r="T318" s="9">
        <v>12</v>
      </c>
      <c r="U318" s="9">
        <f t="shared" si="64"/>
        <v>20407</v>
      </c>
      <c r="V318" s="9">
        <f t="shared" si="65"/>
        <v>12</v>
      </c>
      <c r="W318" s="7">
        <v>7.6660000000000004</v>
      </c>
      <c r="X318" s="7">
        <f t="shared" si="73"/>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74"/>
        <v>0.43300000000000005</v>
      </c>
      <c r="AR318" s="40">
        <v>0.56699999999999995</v>
      </c>
      <c r="AS318">
        <v>1</v>
      </c>
      <c r="AT318" s="40">
        <v>0</v>
      </c>
      <c r="AU318">
        <v>0</v>
      </c>
      <c r="AV318" s="18">
        <v>1</v>
      </c>
      <c r="AW318">
        <f t="shared" si="75"/>
        <v>0.29600000000000004</v>
      </c>
      <c r="AX318" s="18">
        <v>0.70399999999999996</v>
      </c>
      <c r="AY318" s="18" t="s">
        <v>28</v>
      </c>
      <c r="AZ318">
        <v>0</v>
      </c>
      <c r="BA318">
        <v>1</v>
      </c>
      <c r="BB318">
        <v>0</v>
      </c>
      <c r="BC318">
        <v>0</v>
      </c>
      <c r="BD318">
        <v>0</v>
      </c>
      <c r="BE318">
        <v>0</v>
      </c>
      <c r="BF318" s="18">
        <v>0</v>
      </c>
      <c r="BG318">
        <v>0</v>
      </c>
      <c r="BH318">
        <v>1</v>
      </c>
      <c r="BI318" s="18">
        <v>0</v>
      </c>
      <c r="BJ318">
        <v>2870</v>
      </c>
      <c r="BK318">
        <v>291</v>
      </c>
      <c r="BL318" s="25">
        <v>46.518999999999998</v>
      </c>
      <c r="BM318">
        <v>0</v>
      </c>
      <c r="BN318">
        <v>0</v>
      </c>
      <c r="BO318">
        <v>0</v>
      </c>
      <c r="BP318">
        <v>0</v>
      </c>
      <c r="BQ318">
        <v>0</v>
      </c>
      <c r="BR318">
        <v>0</v>
      </c>
      <c r="BS318">
        <v>0</v>
      </c>
      <c r="BT318" s="18">
        <v>1</v>
      </c>
      <c r="BU318">
        <v>0</v>
      </c>
      <c r="BV318">
        <v>1</v>
      </c>
      <c r="BW318">
        <v>0</v>
      </c>
      <c r="BX318" s="18">
        <v>0</v>
      </c>
      <c r="BY318">
        <v>0</v>
      </c>
      <c r="BZ318">
        <v>1</v>
      </c>
      <c r="CA318">
        <v>0</v>
      </c>
      <c r="CB318">
        <v>0</v>
      </c>
      <c r="CC318" s="18">
        <v>0</v>
      </c>
      <c r="CD318">
        <v>1</v>
      </c>
      <c r="CE318">
        <v>1</v>
      </c>
      <c r="CF318">
        <v>0</v>
      </c>
      <c r="CG318">
        <v>0</v>
      </c>
      <c r="CH318">
        <v>0</v>
      </c>
      <c r="CI318">
        <v>0</v>
      </c>
      <c r="CJ318">
        <v>1</v>
      </c>
      <c r="CK318">
        <v>0</v>
      </c>
      <c r="CL318">
        <v>0</v>
      </c>
      <c r="CM318">
        <v>1</v>
      </c>
      <c r="CN318" s="18">
        <v>1</v>
      </c>
      <c r="CO318">
        <v>1.2999999999999999E-2</v>
      </c>
      <c r="CP318">
        <v>3</v>
      </c>
      <c r="CQ318">
        <v>1</v>
      </c>
      <c r="CR318">
        <v>0</v>
      </c>
      <c r="CS318">
        <v>24</v>
      </c>
      <c r="CY318" s="34"/>
    </row>
    <row r="319" spans="1:103" x14ac:dyDescent="0.25">
      <c r="A319">
        <v>318</v>
      </c>
      <c r="B319">
        <v>21</v>
      </c>
      <c r="C319" s="25" t="s">
        <v>234</v>
      </c>
      <c r="D319" s="12">
        <v>5.0999999999999996</v>
      </c>
      <c r="E319" s="14">
        <v>0.1</v>
      </c>
      <c r="F319" s="7">
        <f t="shared" si="72"/>
        <v>50.999999999999993</v>
      </c>
      <c r="G319" s="7">
        <f t="shared" si="62"/>
        <v>5</v>
      </c>
      <c r="H319" s="16">
        <f t="shared" si="63"/>
        <v>5.1999999999999993</v>
      </c>
      <c r="I319" s="11">
        <f t="shared" si="66"/>
        <v>0.2975544533148119</v>
      </c>
      <c r="J319" s="33">
        <f t="shared" si="67"/>
        <v>5.8344010453884694E-3</v>
      </c>
      <c r="K319" s="33">
        <f t="shared" si="68"/>
        <v>171.39719951037708</v>
      </c>
      <c r="L319" s="8">
        <v>0</v>
      </c>
      <c r="M319" s="9">
        <v>1</v>
      </c>
      <c r="N319" s="8">
        <v>0</v>
      </c>
      <c r="O319" s="9">
        <v>0</v>
      </c>
      <c r="P319" s="9">
        <v>1</v>
      </c>
      <c r="Q319" s="9">
        <v>0</v>
      </c>
      <c r="R319" s="9">
        <v>0</v>
      </c>
      <c r="S319" s="8">
        <v>26789</v>
      </c>
      <c r="T319" s="9">
        <v>12</v>
      </c>
      <c r="U319" s="9">
        <f t="shared" si="64"/>
        <v>26776</v>
      </c>
      <c r="V319" s="9">
        <f t="shared" si="65"/>
        <v>12</v>
      </c>
      <c r="W319" s="7">
        <v>7.8040000000000003</v>
      </c>
      <c r="X319" s="7">
        <f t="shared" si="73"/>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75"/>
        <v>0.375</v>
      </c>
      <c r="AX319" s="18">
        <v>0.625</v>
      </c>
      <c r="AY319" s="18" t="s">
        <v>28</v>
      </c>
      <c r="AZ319">
        <v>0</v>
      </c>
      <c r="BA319">
        <v>1</v>
      </c>
      <c r="BB319">
        <v>0</v>
      </c>
      <c r="BC319">
        <v>0</v>
      </c>
      <c r="BD319">
        <v>0</v>
      </c>
      <c r="BE319">
        <v>0</v>
      </c>
      <c r="BF319" s="18">
        <v>0</v>
      </c>
      <c r="BG319">
        <v>0</v>
      </c>
      <c r="BH319">
        <v>1</v>
      </c>
      <c r="BI319" s="18">
        <v>0</v>
      </c>
      <c r="BJ319">
        <v>2870</v>
      </c>
      <c r="BK319">
        <v>291</v>
      </c>
      <c r="BL319" s="25">
        <v>44.594000000000001</v>
      </c>
      <c r="BM319">
        <v>1</v>
      </c>
      <c r="BN319">
        <v>0</v>
      </c>
      <c r="BO319">
        <v>0</v>
      </c>
      <c r="BP319">
        <v>0</v>
      </c>
      <c r="BQ319">
        <v>0</v>
      </c>
      <c r="BR319">
        <v>0</v>
      </c>
      <c r="BS319">
        <v>0</v>
      </c>
      <c r="BT319" s="18">
        <v>0</v>
      </c>
      <c r="BU319">
        <v>0</v>
      </c>
      <c r="BV319">
        <v>0</v>
      </c>
      <c r="BW319">
        <v>1</v>
      </c>
      <c r="BX319" s="18">
        <v>0</v>
      </c>
      <c r="BY319">
        <v>0</v>
      </c>
      <c r="BZ319">
        <v>0</v>
      </c>
      <c r="CA319">
        <v>0</v>
      </c>
      <c r="CB319">
        <v>0</v>
      </c>
      <c r="CC319" s="18">
        <v>0</v>
      </c>
      <c r="CD319">
        <v>1</v>
      </c>
      <c r="CE319">
        <v>1</v>
      </c>
      <c r="CF319">
        <v>0</v>
      </c>
      <c r="CG319">
        <v>0</v>
      </c>
      <c r="CH319">
        <v>0</v>
      </c>
      <c r="CI319">
        <v>0</v>
      </c>
      <c r="CJ319">
        <v>1</v>
      </c>
      <c r="CK319">
        <v>0</v>
      </c>
      <c r="CL319">
        <v>0</v>
      </c>
      <c r="CM319">
        <v>1</v>
      </c>
      <c r="CN319" s="18">
        <v>1</v>
      </c>
      <c r="CO319">
        <v>1.2999999999999999E-2</v>
      </c>
      <c r="CP319">
        <v>3</v>
      </c>
      <c r="CQ319">
        <v>1</v>
      </c>
      <c r="CR319">
        <v>0</v>
      </c>
      <c r="CS319">
        <v>24</v>
      </c>
      <c r="CY319" s="34"/>
    </row>
    <row r="320" spans="1:103" x14ac:dyDescent="0.25">
      <c r="A320">
        <v>319</v>
      </c>
      <c r="B320">
        <v>21</v>
      </c>
      <c r="C320" s="25" t="s">
        <v>234</v>
      </c>
      <c r="D320" s="12">
        <v>4.9000000000000004</v>
      </c>
      <c r="E320" s="14">
        <v>0.1</v>
      </c>
      <c r="F320" s="7">
        <f t="shared" si="72"/>
        <v>49</v>
      </c>
      <c r="G320" s="7">
        <f t="shared" si="62"/>
        <v>4.8000000000000007</v>
      </c>
      <c r="H320" s="16">
        <f t="shared" si="63"/>
        <v>5</v>
      </c>
      <c r="I320" s="11">
        <f t="shared" si="66"/>
        <v>0.28952550548973338</v>
      </c>
      <c r="J320" s="33">
        <f t="shared" si="67"/>
        <v>5.9086837855047633E-3</v>
      </c>
      <c r="K320" s="33">
        <f t="shared" si="68"/>
        <v>169.24242966821294</v>
      </c>
      <c r="L320" s="8">
        <v>0</v>
      </c>
      <c r="M320" s="9">
        <v>1</v>
      </c>
      <c r="N320" s="8">
        <v>0</v>
      </c>
      <c r="O320" s="9">
        <v>0</v>
      </c>
      <c r="P320" s="9">
        <v>1</v>
      </c>
      <c r="Q320" s="9">
        <v>0</v>
      </c>
      <c r="R320" s="9">
        <v>0</v>
      </c>
      <c r="S320" s="8">
        <v>26255</v>
      </c>
      <c r="T320" s="9">
        <v>12</v>
      </c>
      <c r="U320" s="9">
        <f t="shared" si="64"/>
        <v>26242</v>
      </c>
      <c r="V320" s="9">
        <f t="shared" si="65"/>
        <v>12</v>
      </c>
      <c r="W320" s="7">
        <v>7.8040000000000003</v>
      </c>
      <c r="X320" s="7">
        <f t="shared" si="73"/>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75"/>
        <v>0.375</v>
      </c>
      <c r="AX320" s="18">
        <v>0.625</v>
      </c>
      <c r="AY320" s="18" t="s">
        <v>28</v>
      </c>
      <c r="AZ320">
        <v>0</v>
      </c>
      <c r="BA320">
        <v>1</v>
      </c>
      <c r="BB320">
        <v>0</v>
      </c>
      <c r="BC320">
        <v>0</v>
      </c>
      <c r="BD320">
        <v>0</v>
      </c>
      <c r="BE320">
        <v>0</v>
      </c>
      <c r="BF320" s="18">
        <v>0</v>
      </c>
      <c r="BG320">
        <v>0</v>
      </c>
      <c r="BH320">
        <v>1</v>
      </c>
      <c r="BI320" s="18">
        <v>0</v>
      </c>
      <c r="BJ320">
        <v>2870</v>
      </c>
      <c r="BK320">
        <v>291</v>
      </c>
      <c r="BL320" s="25">
        <v>44.594000000000001</v>
      </c>
      <c r="BM320">
        <v>1</v>
      </c>
      <c r="BN320">
        <v>0</v>
      </c>
      <c r="BO320">
        <v>0</v>
      </c>
      <c r="BP320">
        <v>0</v>
      </c>
      <c r="BQ320">
        <v>0</v>
      </c>
      <c r="BR320">
        <v>0</v>
      </c>
      <c r="BS320">
        <v>0</v>
      </c>
      <c r="BT320" s="18">
        <v>0</v>
      </c>
      <c r="BU320">
        <v>0</v>
      </c>
      <c r="BV320">
        <v>0</v>
      </c>
      <c r="BW320">
        <v>1</v>
      </c>
      <c r="BX320" s="18">
        <v>0</v>
      </c>
      <c r="BY320">
        <v>0</v>
      </c>
      <c r="BZ320">
        <v>0</v>
      </c>
      <c r="CA320">
        <v>0</v>
      </c>
      <c r="CB320">
        <v>0</v>
      </c>
      <c r="CC320" s="18">
        <v>0</v>
      </c>
      <c r="CD320">
        <v>1</v>
      </c>
      <c r="CE320">
        <v>1</v>
      </c>
      <c r="CF320">
        <v>0</v>
      </c>
      <c r="CG320">
        <v>0</v>
      </c>
      <c r="CH320">
        <v>0</v>
      </c>
      <c r="CI320">
        <v>0</v>
      </c>
      <c r="CJ320">
        <v>1</v>
      </c>
      <c r="CK320">
        <v>0</v>
      </c>
      <c r="CL320">
        <v>0</v>
      </c>
      <c r="CM320">
        <v>1</v>
      </c>
      <c r="CN320" s="18">
        <v>1</v>
      </c>
      <c r="CO320">
        <v>1.2999999999999999E-2</v>
      </c>
      <c r="CP320">
        <v>3</v>
      </c>
      <c r="CQ320">
        <v>1</v>
      </c>
      <c r="CR320">
        <v>0</v>
      </c>
      <c r="CS320">
        <v>24</v>
      </c>
      <c r="CY320" s="34"/>
    </row>
    <row r="321" spans="1:103" x14ac:dyDescent="0.25">
      <c r="A321">
        <v>320</v>
      </c>
      <c r="B321">
        <v>21</v>
      </c>
      <c r="C321" s="25" t="s">
        <v>234</v>
      </c>
      <c r="D321" s="12">
        <v>12.2</v>
      </c>
      <c r="E321" s="14">
        <v>1.7</v>
      </c>
      <c r="F321" s="7">
        <f t="shared" si="72"/>
        <v>7.1764705882352935</v>
      </c>
      <c r="G321" s="7">
        <f t="shared" si="62"/>
        <v>10.5</v>
      </c>
      <c r="H321" s="16">
        <f t="shared" si="63"/>
        <v>13.899999999999999</v>
      </c>
      <c r="I321" s="11">
        <f t="shared" si="66"/>
        <v>4.3814795954272248E-2</v>
      </c>
      <c r="J321" s="33">
        <f t="shared" si="67"/>
        <v>6.1053404198576086E-3</v>
      </c>
      <c r="K321" s="33">
        <f t="shared" si="68"/>
        <v>163.7910306766027</v>
      </c>
      <c r="L321" s="8">
        <v>0</v>
      </c>
      <c r="M321" s="9">
        <v>1</v>
      </c>
      <c r="N321" s="8">
        <v>0</v>
      </c>
      <c r="O321" s="9">
        <v>0</v>
      </c>
      <c r="P321" s="9">
        <v>1</v>
      </c>
      <c r="Q321" s="9">
        <v>0</v>
      </c>
      <c r="R321" s="9">
        <v>0</v>
      </c>
      <c r="S321" s="8">
        <v>26789</v>
      </c>
      <c r="T321" s="9">
        <v>12</v>
      </c>
      <c r="U321" s="9">
        <f t="shared" si="64"/>
        <v>26776</v>
      </c>
      <c r="V321" s="9">
        <f t="shared" si="65"/>
        <v>12</v>
      </c>
      <c r="W321" s="7">
        <v>7.8040000000000003</v>
      </c>
      <c r="X321" s="7">
        <f t="shared" si="73"/>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75"/>
        <v>0.375</v>
      </c>
      <c r="AX321" s="18">
        <v>0.625</v>
      </c>
      <c r="AY321" s="18" t="s">
        <v>28</v>
      </c>
      <c r="AZ321">
        <v>0</v>
      </c>
      <c r="BA321">
        <v>1</v>
      </c>
      <c r="BB321">
        <v>0</v>
      </c>
      <c r="BC321">
        <v>0</v>
      </c>
      <c r="BD321">
        <v>0</v>
      </c>
      <c r="BE321">
        <v>0</v>
      </c>
      <c r="BF321" s="18">
        <v>0</v>
      </c>
      <c r="BG321">
        <v>0</v>
      </c>
      <c r="BH321">
        <v>1</v>
      </c>
      <c r="BI321" s="18">
        <v>0</v>
      </c>
      <c r="BJ321">
        <v>2870</v>
      </c>
      <c r="BK321">
        <v>291</v>
      </c>
      <c r="BL321" s="25">
        <v>44.594000000000001</v>
      </c>
      <c r="BM321">
        <v>0</v>
      </c>
      <c r="BN321">
        <v>0</v>
      </c>
      <c r="BO321">
        <v>0</v>
      </c>
      <c r="BP321">
        <v>0</v>
      </c>
      <c r="BQ321">
        <v>0</v>
      </c>
      <c r="BR321">
        <v>0</v>
      </c>
      <c r="BS321">
        <v>0</v>
      </c>
      <c r="BT321" s="18">
        <v>1</v>
      </c>
      <c r="BU321">
        <v>0</v>
      </c>
      <c r="BV321">
        <v>1</v>
      </c>
      <c r="BW321">
        <v>0</v>
      </c>
      <c r="BX321" s="18">
        <v>0</v>
      </c>
      <c r="BY321">
        <v>0</v>
      </c>
      <c r="BZ321">
        <v>1</v>
      </c>
      <c r="CA321">
        <v>0</v>
      </c>
      <c r="CB321">
        <v>0</v>
      </c>
      <c r="CC321" s="18">
        <v>0</v>
      </c>
      <c r="CD321">
        <v>1</v>
      </c>
      <c r="CE321">
        <v>1</v>
      </c>
      <c r="CF321">
        <v>0</v>
      </c>
      <c r="CG321">
        <v>0</v>
      </c>
      <c r="CH321">
        <v>0</v>
      </c>
      <c r="CI321">
        <v>0</v>
      </c>
      <c r="CJ321">
        <v>1</v>
      </c>
      <c r="CK321">
        <v>0</v>
      </c>
      <c r="CL321">
        <v>0</v>
      </c>
      <c r="CM321">
        <v>1</v>
      </c>
      <c r="CN321" s="18">
        <v>1</v>
      </c>
      <c r="CO321">
        <v>1.2999999999999999E-2</v>
      </c>
      <c r="CP321">
        <v>3</v>
      </c>
      <c r="CQ321">
        <v>1</v>
      </c>
      <c r="CR321">
        <v>0</v>
      </c>
      <c r="CS321">
        <v>24</v>
      </c>
      <c r="CY321" s="34"/>
    </row>
    <row r="322" spans="1:103" s="51" customFormat="1" x14ac:dyDescent="0.25">
      <c r="A322" s="51">
        <v>321</v>
      </c>
      <c r="B322" s="51">
        <v>21</v>
      </c>
      <c r="C322" s="52" t="s">
        <v>234</v>
      </c>
      <c r="D322" s="53">
        <v>15.8</v>
      </c>
      <c r="E322" s="54">
        <v>2.2000000000000002</v>
      </c>
      <c r="F322" s="55">
        <f t="shared" si="72"/>
        <v>7.1818181818181817</v>
      </c>
      <c r="G322" s="55">
        <f t="shared" ref="G322:G385" si="76">D322-E322</f>
        <v>13.600000000000001</v>
      </c>
      <c r="H322" s="56">
        <f t="shared" ref="H322:H385" si="77">D322+E322</f>
        <v>18</v>
      </c>
      <c r="I322" s="11">
        <f t="shared" si="66"/>
        <v>4.4290395425208039E-2</v>
      </c>
      <c r="J322" s="33">
        <f t="shared" si="67"/>
        <v>6.1670170845226384E-3</v>
      </c>
      <c r="K322" s="33">
        <f t="shared" si="68"/>
        <v>162.15294789918772</v>
      </c>
      <c r="L322" s="59">
        <v>0</v>
      </c>
      <c r="M322" s="60">
        <v>1</v>
      </c>
      <c r="N322" s="59">
        <v>0</v>
      </c>
      <c r="O322" s="60">
        <v>0</v>
      </c>
      <c r="P322" s="60">
        <v>1</v>
      </c>
      <c r="Q322" s="60">
        <v>0</v>
      </c>
      <c r="R322" s="60">
        <v>0</v>
      </c>
      <c r="S322" s="59">
        <v>26255</v>
      </c>
      <c r="T322" s="60">
        <v>12</v>
      </c>
      <c r="U322" s="60">
        <f t="shared" ref="U322:U385" si="78">S322-T322-1</f>
        <v>26242</v>
      </c>
      <c r="V322" s="60">
        <f t="shared" ref="V322:V385" si="79">COUNTIF(B:B,B322)</f>
        <v>12</v>
      </c>
      <c r="W322" s="55">
        <v>7.8040000000000003</v>
      </c>
      <c r="X322" s="55">
        <f t="shared" si="73"/>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75"/>
        <v>0.375</v>
      </c>
      <c r="AX322" s="65">
        <v>0.625</v>
      </c>
      <c r="AY322" s="65" t="s">
        <v>28</v>
      </c>
      <c r="AZ322">
        <v>0</v>
      </c>
      <c r="BA322">
        <v>1</v>
      </c>
      <c r="BB322">
        <v>0</v>
      </c>
      <c r="BC322">
        <v>0</v>
      </c>
      <c r="BD322">
        <v>0</v>
      </c>
      <c r="BE322">
        <v>0</v>
      </c>
      <c r="BF322" s="65">
        <v>0</v>
      </c>
      <c r="BG322">
        <v>0</v>
      </c>
      <c r="BH322">
        <v>1</v>
      </c>
      <c r="BI322" s="65">
        <v>0</v>
      </c>
      <c r="BJ322">
        <v>2870</v>
      </c>
      <c r="BK322">
        <v>291</v>
      </c>
      <c r="BL322" s="52">
        <v>44.594000000000001</v>
      </c>
      <c r="BM322" s="51">
        <v>0</v>
      </c>
      <c r="BN322" s="51">
        <v>0</v>
      </c>
      <c r="BO322" s="51">
        <v>0</v>
      </c>
      <c r="BP322" s="51">
        <v>0</v>
      </c>
      <c r="BQ322" s="51">
        <v>0</v>
      </c>
      <c r="BR322" s="51">
        <v>0</v>
      </c>
      <c r="BS322" s="51">
        <v>0</v>
      </c>
      <c r="BT322" s="65">
        <v>1</v>
      </c>
      <c r="BU322" s="51">
        <v>0</v>
      </c>
      <c r="BV322" s="51">
        <v>1</v>
      </c>
      <c r="BW322" s="51">
        <v>0</v>
      </c>
      <c r="BX322" s="65">
        <v>0</v>
      </c>
      <c r="BY322" s="51">
        <v>0</v>
      </c>
      <c r="BZ322" s="51">
        <v>1</v>
      </c>
      <c r="CA322" s="51">
        <v>0</v>
      </c>
      <c r="CB322" s="51">
        <v>0</v>
      </c>
      <c r="CC322" s="65">
        <v>0</v>
      </c>
      <c r="CD322" s="51">
        <v>1</v>
      </c>
      <c r="CE322" s="51">
        <v>1</v>
      </c>
      <c r="CF322" s="51">
        <v>0</v>
      </c>
      <c r="CG322" s="51">
        <v>0</v>
      </c>
      <c r="CH322" s="51">
        <v>0</v>
      </c>
      <c r="CI322" s="51">
        <v>0</v>
      </c>
      <c r="CJ322" s="51">
        <v>1</v>
      </c>
      <c r="CK322" s="51">
        <v>0</v>
      </c>
      <c r="CL322" s="51">
        <v>0</v>
      </c>
      <c r="CM322" s="51">
        <v>1</v>
      </c>
      <c r="CN322" s="65">
        <v>1</v>
      </c>
      <c r="CO322">
        <v>1.2999999999999999E-2</v>
      </c>
      <c r="CP322">
        <v>3</v>
      </c>
      <c r="CQ322">
        <v>1</v>
      </c>
      <c r="CR322">
        <v>0</v>
      </c>
      <c r="CS322">
        <v>24</v>
      </c>
      <c r="CT322" s="67"/>
      <c r="CY322" s="67"/>
    </row>
    <row r="323" spans="1:103" x14ac:dyDescent="0.25">
      <c r="A323">
        <v>322</v>
      </c>
      <c r="B323">
        <v>22</v>
      </c>
      <c r="C323" s="25" t="s">
        <v>235</v>
      </c>
      <c r="D323" s="12">
        <v>4.2</v>
      </c>
      <c r="E323" s="14">
        <f t="shared" ref="E323:E346" si="80">D323/F323</f>
        <v>0.86242299794661192</v>
      </c>
      <c r="F323" s="7">
        <v>4.87</v>
      </c>
      <c r="G323" s="7">
        <f t="shared" si="76"/>
        <v>3.3375770020533881</v>
      </c>
      <c r="H323" s="16">
        <f t="shared" si="77"/>
        <v>5.0624229979466122</v>
      </c>
      <c r="I323" s="11">
        <f t="shared" si="66"/>
        <v>0.11280776361417817</v>
      </c>
      <c r="J323" s="33">
        <f t="shared" si="67"/>
        <v>2.3163811830426727E-2</v>
      </c>
      <c r="K323" s="33">
        <f t="shared" si="68"/>
        <v>43.170787576786225</v>
      </c>
      <c r="L323" s="8">
        <v>0</v>
      </c>
      <c r="M323" s="9">
        <v>1</v>
      </c>
      <c r="N323" s="8">
        <v>0</v>
      </c>
      <c r="O323" s="9">
        <v>0</v>
      </c>
      <c r="P323" s="9">
        <v>1</v>
      </c>
      <c r="Q323" s="9">
        <v>0</v>
      </c>
      <c r="R323" s="9">
        <v>0</v>
      </c>
      <c r="S323" s="8">
        <v>1852</v>
      </c>
      <c r="T323" s="9">
        <v>11</v>
      </c>
      <c r="U323" s="9">
        <f t="shared" si="78"/>
        <v>1840</v>
      </c>
      <c r="V323" s="9">
        <f t="shared" si="79"/>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81">$AQ$323*AK335+$AR$323*AK327</f>
        <v>0.21501220000000001</v>
      </c>
      <c r="AL323" s="33">
        <f t="shared" si="81"/>
        <v>0.34625300000000003</v>
      </c>
      <c r="AM323" s="33">
        <f t="shared" si="81"/>
        <v>0.30737340000000002</v>
      </c>
      <c r="AN323" s="43">
        <f t="shared" si="81"/>
        <v>0.13136140000000002</v>
      </c>
      <c r="AO323" s="42">
        <v>1</v>
      </c>
      <c r="AP323" s="18">
        <v>0</v>
      </c>
      <c r="AQ323" s="39">
        <f>1-AR323</f>
        <v>0.55020000000000002</v>
      </c>
      <c r="AR323" s="40">
        <v>0.44979999999999998</v>
      </c>
      <c r="AS323">
        <v>8.5300000000000001E-2</v>
      </c>
      <c r="AT323" s="40">
        <f t="shared" ref="AT323:AT346" si="82">1-AS323</f>
        <v>0.91469999999999996</v>
      </c>
      <c r="AU323">
        <v>0</v>
      </c>
      <c r="AV323" s="18">
        <v>1</v>
      </c>
      <c r="AW323">
        <v>0</v>
      </c>
      <c r="AX323" s="18">
        <v>1</v>
      </c>
      <c r="AY323" s="18" t="s">
        <v>5</v>
      </c>
      <c r="AZ323">
        <v>0</v>
      </c>
      <c r="BA323">
        <v>1</v>
      </c>
      <c r="BB323">
        <v>0</v>
      </c>
      <c r="BC323">
        <v>0</v>
      </c>
      <c r="BD323">
        <v>0</v>
      </c>
      <c r="BE323">
        <v>0</v>
      </c>
      <c r="BF323" s="18">
        <v>0</v>
      </c>
      <c r="BG323">
        <v>0</v>
      </c>
      <c r="BH323">
        <v>1</v>
      </c>
      <c r="BI323" s="18">
        <v>0</v>
      </c>
      <c r="BJ323">
        <v>489</v>
      </c>
      <c r="BK323">
        <v>12</v>
      </c>
      <c r="BL323" s="25">
        <v>37.79</v>
      </c>
      <c r="BM323">
        <v>1</v>
      </c>
      <c r="BN323">
        <v>0</v>
      </c>
      <c r="BO323">
        <v>0</v>
      </c>
      <c r="BP323">
        <v>0</v>
      </c>
      <c r="BQ323">
        <v>0</v>
      </c>
      <c r="BR323">
        <v>0</v>
      </c>
      <c r="BS323">
        <v>0</v>
      </c>
      <c r="BT323" s="18">
        <v>0</v>
      </c>
      <c r="BU323">
        <v>0</v>
      </c>
      <c r="BV323">
        <v>1</v>
      </c>
      <c r="BW323">
        <v>0</v>
      </c>
      <c r="BX323" s="18">
        <v>0</v>
      </c>
      <c r="BY323">
        <v>0</v>
      </c>
      <c r="BZ323">
        <v>0</v>
      </c>
      <c r="CA323">
        <v>0</v>
      </c>
      <c r="CB323">
        <v>0</v>
      </c>
      <c r="CC323" s="18">
        <v>0</v>
      </c>
      <c r="CD323">
        <v>0</v>
      </c>
      <c r="CE323">
        <v>0</v>
      </c>
      <c r="CF323">
        <v>1</v>
      </c>
      <c r="CG323">
        <v>1</v>
      </c>
      <c r="CH323">
        <v>0</v>
      </c>
      <c r="CI323">
        <v>0</v>
      </c>
      <c r="CJ323">
        <v>1</v>
      </c>
      <c r="CK323">
        <v>0</v>
      </c>
      <c r="CL323">
        <v>0</v>
      </c>
      <c r="CM323">
        <v>0</v>
      </c>
      <c r="CN323" s="18">
        <v>1</v>
      </c>
      <c r="CO323">
        <v>0</v>
      </c>
      <c r="CP323">
        <v>3</v>
      </c>
      <c r="CQ323">
        <v>0</v>
      </c>
      <c r="CR323">
        <v>1</v>
      </c>
      <c r="CS323">
        <v>11</v>
      </c>
      <c r="CY323" s="34"/>
    </row>
    <row r="324" spans="1:103" x14ac:dyDescent="0.25">
      <c r="A324">
        <v>323</v>
      </c>
      <c r="B324">
        <v>22</v>
      </c>
      <c r="C324" s="25" t="s">
        <v>235</v>
      </c>
      <c r="D324" s="12">
        <v>2</v>
      </c>
      <c r="E324" s="14">
        <f t="shared" si="80"/>
        <v>0.77821011673151752</v>
      </c>
      <c r="F324" s="7">
        <v>2.57</v>
      </c>
      <c r="G324" s="7">
        <f t="shared" si="76"/>
        <v>1.2217898832684826</v>
      </c>
      <c r="H324" s="16">
        <f t="shared" si="77"/>
        <v>2.7782101167315174</v>
      </c>
      <c r="I324" s="11">
        <f t="shared" si="66"/>
        <v>6.6565906564949873E-2</v>
      </c>
      <c r="J324" s="33">
        <f t="shared" si="67"/>
        <v>2.5901130959124465E-2</v>
      </c>
      <c r="K324" s="33">
        <f t="shared" si="68"/>
        <v>38.608352723212633</v>
      </c>
      <c r="L324" s="8">
        <v>0</v>
      </c>
      <c r="M324" s="9">
        <v>1</v>
      </c>
      <c r="N324" s="8">
        <v>0</v>
      </c>
      <c r="O324" s="9">
        <v>0</v>
      </c>
      <c r="P324" s="9">
        <v>1</v>
      </c>
      <c r="Q324" s="9">
        <v>0</v>
      </c>
      <c r="R324" s="9">
        <v>0</v>
      </c>
      <c r="S324" s="8">
        <v>1496</v>
      </c>
      <c r="T324" s="9">
        <v>11</v>
      </c>
      <c r="U324" s="9">
        <f t="shared" si="78"/>
        <v>1484</v>
      </c>
      <c r="V324" s="9">
        <f t="shared" si="79"/>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81"/>
        <v>0.21501220000000001</v>
      </c>
      <c r="AL324" s="33">
        <f t="shared" si="81"/>
        <v>0.34625300000000003</v>
      </c>
      <c r="AM324" s="33">
        <f t="shared" si="81"/>
        <v>0.30737340000000002</v>
      </c>
      <c r="AN324" s="43">
        <f t="shared" si="81"/>
        <v>0.13136140000000002</v>
      </c>
      <c r="AO324" s="42">
        <v>1</v>
      </c>
      <c r="AP324" s="18">
        <v>0</v>
      </c>
      <c r="AQ324" s="39">
        <f>1-AR324</f>
        <v>0.54679999999999995</v>
      </c>
      <c r="AR324" s="40">
        <v>0.45319999999999999</v>
      </c>
      <c r="AS324">
        <v>8.5300000000000001E-2</v>
      </c>
      <c r="AT324" s="40">
        <f t="shared" si="82"/>
        <v>0.91469999999999996</v>
      </c>
      <c r="AU324">
        <v>0</v>
      </c>
      <c r="AV324" s="18">
        <v>1</v>
      </c>
      <c r="AW324">
        <v>0</v>
      </c>
      <c r="AX324" s="18">
        <v>1</v>
      </c>
      <c r="AY324" s="18" t="s">
        <v>5</v>
      </c>
      <c r="AZ324">
        <v>0</v>
      </c>
      <c r="BA324">
        <v>1</v>
      </c>
      <c r="BB324">
        <v>0</v>
      </c>
      <c r="BC324">
        <v>0</v>
      </c>
      <c r="BD324">
        <v>0</v>
      </c>
      <c r="BE324">
        <v>0</v>
      </c>
      <c r="BF324" s="18">
        <v>0</v>
      </c>
      <c r="BG324">
        <v>0</v>
      </c>
      <c r="BH324">
        <v>1</v>
      </c>
      <c r="BI324" s="18">
        <v>0</v>
      </c>
      <c r="BJ324">
        <v>501</v>
      </c>
      <c r="BK324">
        <v>30</v>
      </c>
      <c r="BL324" s="25">
        <v>39</v>
      </c>
      <c r="BM324">
        <v>1</v>
      </c>
      <c r="BN324">
        <v>0</v>
      </c>
      <c r="BO324">
        <v>0</v>
      </c>
      <c r="BP324">
        <v>0</v>
      </c>
      <c r="BQ324">
        <v>0</v>
      </c>
      <c r="BR324">
        <v>0</v>
      </c>
      <c r="BS324">
        <v>0</v>
      </c>
      <c r="BT324" s="18">
        <v>0</v>
      </c>
      <c r="BU324">
        <v>0</v>
      </c>
      <c r="BV324">
        <v>1</v>
      </c>
      <c r="BW324">
        <v>0</v>
      </c>
      <c r="BX324" s="18">
        <v>0</v>
      </c>
      <c r="BY324">
        <v>0</v>
      </c>
      <c r="BZ324">
        <v>0</v>
      </c>
      <c r="CA324">
        <v>0</v>
      </c>
      <c r="CB324">
        <v>0</v>
      </c>
      <c r="CC324" s="18">
        <v>0</v>
      </c>
      <c r="CD324">
        <v>0</v>
      </c>
      <c r="CE324">
        <v>0</v>
      </c>
      <c r="CF324">
        <v>1</v>
      </c>
      <c r="CG324">
        <v>1</v>
      </c>
      <c r="CH324">
        <v>0</v>
      </c>
      <c r="CI324">
        <v>0</v>
      </c>
      <c r="CJ324">
        <v>1</v>
      </c>
      <c r="CK324">
        <v>0</v>
      </c>
      <c r="CL324">
        <v>0</v>
      </c>
      <c r="CM324">
        <v>0</v>
      </c>
      <c r="CN324" s="18">
        <v>1</v>
      </c>
      <c r="CO324">
        <v>0</v>
      </c>
      <c r="CP324">
        <v>3</v>
      </c>
      <c r="CQ324">
        <v>0</v>
      </c>
      <c r="CR324">
        <v>1</v>
      </c>
      <c r="CS324">
        <v>11</v>
      </c>
      <c r="CY324" s="34"/>
    </row>
    <row r="325" spans="1:103" x14ac:dyDescent="0.25">
      <c r="A325">
        <v>324</v>
      </c>
      <c r="B325">
        <v>22</v>
      </c>
      <c r="C325" s="25" t="s">
        <v>235</v>
      </c>
      <c r="D325" s="12">
        <v>4.2</v>
      </c>
      <c r="E325" s="14">
        <f t="shared" si="80"/>
        <v>0.65015479876160998</v>
      </c>
      <c r="F325" s="7">
        <v>6.46</v>
      </c>
      <c r="G325" s="7">
        <f t="shared" si="76"/>
        <v>3.5498452012383903</v>
      </c>
      <c r="H325" s="16">
        <f t="shared" si="77"/>
        <v>4.8501547987616105</v>
      </c>
      <c r="I325" s="11">
        <f t="shared" si="66"/>
        <v>0.1858862658176324</v>
      </c>
      <c r="J325" s="33">
        <f t="shared" si="67"/>
        <v>2.8774963748859506E-2</v>
      </c>
      <c r="K325" s="33">
        <f t="shared" si="68"/>
        <v>34.752433008352092</v>
      </c>
      <c r="L325" s="8">
        <v>0</v>
      </c>
      <c r="M325" s="9">
        <v>1</v>
      </c>
      <c r="N325" s="8">
        <v>0</v>
      </c>
      <c r="O325" s="9">
        <v>0</v>
      </c>
      <c r="P325" s="9">
        <v>1</v>
      </c>
      <c r="Q325" s="9">
        <v>0</v>
      </c>
      <c r="R325" s="9">
        <v>0</v>
      </c>
      <c r="S325" s="8">
        <v>1178</v>
      </c>
      <c r="T325" s="9">
        <v>11</v>
      </c>
      <c r="U325" s="9">
        <f t="shared" si="78"/>
        <v>1166</v>
      </c>
      <c r="V325" s="9">
        <f t="shared" si="79"/>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81"/>
        <v>8.9482000000000006E-2</v>
      </c>
      <c r="AL325" s="33">
        <f t="shared" si="81"/>
        <v>0.30738960000000004</v>
      </c>
      <c r="AM325" s="33">
        <f t="shared" si="81"/>
        <v>0.40731719999999999</v>
      </c>
      <c r="AN325" s="43">
        <f t="shared" si="81"/>
        <v>0.19581120000000007</v>
      </c>
      <c r="AO325" s="42">
        <v>1</v>
      </c>
      <c r="AP325" s="18">
        <v>0</v>
      </c>
      <c r="AQ325" s="39">
        <f>1-AR325</f>
        <v>0.56369999999999998</v>
      </c>
      <c r="AR325" s="40">
        <v>0.43630000000000002</v>
      </c>
      <c r="AS325">
        <v>8.5300000000000001E-2</v>
      </c>
      <c r="AT325" s="40">
        <f t="shared" si="82"/>
        <v>0.91469999999999996</v>
      </c>
      <c r="AU325">
        <v>0</v>
      </c>
      <c r="AV325" s="18">
        <v>1</v>
      </c>
      <c r="AW325">
        <v>0</v>
      </c>
      <c r="AX325" s="18">
        <v>1</v>
      </c>
      <c r="AY325" s="18" t="s">
        <v>5</v>
      </c>
      <c r="AZ325">
        <v>0</v>
      </c>
      <c r="BA325">
        <v>1</v>
      </c>
      <c r="BB325">
        <v>0</v>
      </c>
      <c r="BC325">
        <v>0</v>
      </c>
      <c r="BD325">
        <v>0</v>
      </c>
      <c r="BE325">
        <v>0</v>
      </c>
      <c r="BF325" s="18">
        <v>0</v>
      </c>
      <c r="BG325">
        <v>0</v>
      </c>
      <c r="BH325">
        <v>1</v>
      </c>
      <c r="BI325" s="18">
        <v>0</v>
      </c>
      <c r="BJ325">
        <v>644</v>
      </c>
      <c r="BK325">
        <v>57</v>
      </c>
      <c r="BL325" s="25">
        <v>37.630000000000003</v>
      </c>
      <c r="BM325">
        <v>1</v>
      </c>
      <c r="BN325">
        <v>0</v>
      </c>
      <c r="BO325">
        <v>0</v>
      </c>
      <c r="BP325">
        <v>0</v>
      </c>
      <c r="BQ325">
        <v>0</v>
      </c>
      <c r="BR325">
        <v>0</v>
      </c>
      <c r="BS325">
        <v>0</v>
      </c>
      <c r="BT325" s="18">
        <v>0</v>
      </c>
      <c r="BU325">
        <v>0</v>
      </c>
      <c r="BV325">
        <v>1</v>
      </c>
      <c r="BW325">
        <v>0</v>
      </c>
      <c r="BX325" s="18">
        <v>0</v>
      </c>
      <c r="BY325">
        <v>0</v>
      </c>
      <c r="BZ325">
        <v>0</v>
      </c>
      <c r="CA325">
        <v>0</v>
      </c>
      <c r="CB325">
        <v>0</v>
      </c>
      <c r="CC325" s="18">
        <v>0</v>
      </c>
      <c r="CD325">
        <v>0</v>
      </c>
      <c r="CE325">
        <v>0</v>
      </c>
      <c r="CF325">
        <v>1</v>
      </c>
      <c r="CG325">
        <v>1</v>
      </c>
      <c r="CH325">
        <v>0</v>
      </c>
      <c r="CI325">
        <v>0</v>
      </c>
      <c r="CJ325">
        <v>1</v>
      </c>
      <c r="CK325">
        <v>0</v>
      </c>
      <c r="CL325">
        <v>0</v>
      </c>
      <c r="CM325">
        <v>0</v>
      </c>
      <c r="CN325" s="18">
        <v>1</v>
      </c>
      <c r="CO325">
        <v>0</v>
      </c>
      <c r="CP325">
        <v>3</v>
      </c>
      <c r="CQ325">
        <v>0</v>
      </c>
      <c r="CR325">
        <v>1</v>
      </c>
      <c r="CS325">
        <v>11</v>
      </c>
      <c r="CY325" s="34"/>
    </row>
    <row r="326" spans="1:103" x14ac:dyDescent="0.25">
      <c r="A326">
        <v>325</v>
      </c>
      <c r="B326">
        <v>22</v>
      </c>
      <c r="C326" s="25" t="s">
        <v>235</v>
      </c>
      <c r="D326" s="12">
        <v>6.4</v>
      </c>
      <c r="E326" s="14">
        <f t="shared" si="80"/>
        <v>0.71991001124859388</v>
      </c>
      <c r="F326" s="7">
        <v>8.89</v>
      </c>
      <c r="G326" s="7">
        <f t="shared" si="76"/>
        <v>5.6800899887514067</v>
      </c>
      <c r="H326" s="16">
        <f t="shared" si="77"/>
        <v>7.119910011248594</v>
      </c>
      <c r="I326" s="11">
        <f t="shared" si="66"/>
        <v>0.26457488505143828</v>
      </c>
      <c r="J326" s="33">
        <f t="shared" si="67"/>
        <v>2.9760954448980682E-2</v>
      </c>
      <c r="K326" s="33">
        <f t="shared" si="68"/>
        <v>33.601072899537002</v>
      </c>
      <c r="L326" s="8">
        <v>0</v>
      </c>
      <c r="M326" s="9">
        <v>1</v>
      </c>
      <c r="N326" s="8">
        <v>0</v>
      </c>
      <c r="O326" s="9">
        <v>0</v>
      </c>
      <c r="P326" s="9">
        <v>1</v>
      </c>
      <c r="Q326" s="9">
        <v>0</v>
      </c>
      <c r="R326" s="9">
        <v>0</v>
      </c>
      <c r="S326" s="8">
        <v>1063</v>
      </c>
      <c r="T326" s="9">
        <v>12</v>
      </c>
      <c r="U326" s="9">
        <f t="shared" si="78"/>
        <v>1050</v>
      </c>
      <c r="V326" s="9">
        <f t="shared" si="79"/>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81"/>
        <v>8.9482000000000006E-2</v>
      </c>
      <c r="AL326" s="33">
        <f t="shared" si="81"/>
        <v>0.30738960000000004</v>
      </c>
      <c r="AM326" s="33">
        <f t="shared" si="81"/>
        <v>0.40731719999999999</v>
      </c>
      <c r="AN326" s="43">
        <f t="shared" si="81"/>
        <v>0.19581120000000007</v>
      </c>
      <c r="AO326" s="42">
        <v>1</v>
      </c>
      <c r="AP326" s="18">
        <v>0</v>
      </c>
      <c r="AQ326" s="39">
        <f>1-AR326</f>
        <v>0.57479999999999998</v>
      </c>
      <c r="AR326" s="40">
        <v>0.42520000000000002</v>
      </c>
      <c r="AS326">
        <v>8.5300000000000001E-2</v>
      </c>
      <c r="AT326" s="40">
        <f t="shared" si="82"/>
        <v>0.91469999999999996</v>
      </c>
      <c r="AU326">
        <v>0</v>
      </c>
      <c r="AV326" s="18">
        <v>1</v>
      </c>
      <c r="AW326">
        <v>0</v>
      </c>
      <c r="AX326" s="18">
        <v>1</v>
      </c>
      <c r="AY326" s="18" t="s">
        <v>5</v>
      </c>
      <c r="AZ326">
        <v>0</v>
      </c>
      <c r="BA326">
        <v>1</v>
      </c>
      <c r="BB326">
        <v>0</v>
      </c>
      <c r="BC326">
        <v>0</v>
      </c>
      <c r="BD326">
        <v>0</v>
      </c>
      <c r="BE326">
        <v>0</v>
      </c>
      <c r="BF326" s="18">
        <v>0</v>
      </c>
      <c r="BG326">
        <v>0</v>
      </c>
      <c r="BH326">
        <v>1</v>
      </c>
      <c r="BI326" s="18">
        <v>0</v>
      </c>
      <c r="BJ326">
        <v>818</v>
      </c>
      <c r="BK326">
        <v>95</v>
      </c>
      <c r="BL326" s="25">
        <v>39.049999999999997</v>
      </c>
      <c r="BM326">
        <v>1</v>
      </c>
      <c r="BN326">
        <v>0</v>
      </c>
      <c r="BO326">
        <v>0</v>
      </c>
      <c r="BP326">
        <v>0</v>
      </c>
      <c r="BQ326">
        <v>0</v>
      </c>
      <c r="BR326">
        <v>0</v>
      </c>
      <c r="BS326">
        <v>0</v>
      </c>
      <c r="BT326" s="18">
        <v>0</v>
      </c>
      <c r="BU326">
        <v>0</v>
      </c>
      <c r="BV326">
        <v>1</v>
      </c>
      <c r="BW326">
        <v>0</v>
      </c>
      <c r="BX326" s="18">
        <v>0</v>
      </c>
      <c r="BY326">
        <v>0</v>
      </c>
      <c r="BZ326">
        <v>0</v>
      </c>
      <c r="CA326">
        <v>0</v>
      </c>
      <c r="CB326">
        <v>0</v>
      </c>
      <c r="CC326" s="18">
        <v>0</v>
      </c>
      <c r="CD326">
        <v>0</v>
      </c>
      <c r="CE326">
        <v>0</v>
      </c>
      <c r="CF326">
        <v>1</v>
      </c>
      <c r="CG326">
        <v>1</v>
      </c>
      <c r="CH326">
        <v>0</v>
      </c>
      <c r="CI326">
        <v>0</v>
      </c>
      <c r="CJ326">
        <v>1</v>
      </c>
      <c r="CK326">
        <v>0</v>
      </c>
      <c r="CL326">
        <v>0</v>
      </c>
      <c r="CM326">
        <v>0</v>
      </c>
      <c r="CN326" s="18">
        <v>1</v>
      </c>
      <c r="CO326">
        <v>0</v>
      </c>
      <c r="CP326">
        <v>3</v>
      </c>
      <c r="CQ326">
        <v>0</v>
      </c>
      <c r="CR326">
        <v>1</v>
      </c>
      <c r="CS326">
        <v>11</v>
      </c>
      <c r="CY326" s="34"/>
    </row>
    <row r="327" spans="1:103" x14ac:dyDescent="0.25">
      <c r="A327">
        <v>326</v>
      </c>
      <c r="B327">
        <v>22</v>
      </c>
      <c r="C327" s="25" t="s">
        <v>235</v>
      </c>
      <c r="D327" s="12">
        <v>3</v>
      </c>
      <c r="E327" s="14">
        <f t="shared" si="80"/>
        <v>1.2987012987012987</v>
      </c>
      <c r="F327" s="7">
        <v>2.31</v>
      </c>
      <c r="G327" s="7">
        <f t="shared" si="76"/>
        <v>1.7012987012987013</v>
      </c>
      <c r="H327" s="16">
        <f t="shared" si="77"/>
        <v>4.2987012987012987</v>
      </c>
      <c r="I327" s="11">
        <f t="shared" si="66"/>
        <v>8.1198409743599181E-2</v>
      </c>
      <c r="J327" s="33">
        <f t="shared" si="67"/>
        <v>3.5150826728830811E-2</v>
      </c>
      <c r="K327" s="33">
        <f t="shared" si="68"/>
        <v>28.44883301648769</v>
      </c>
      <c r="L327" s="8">
        <v>0</v>
      </c>
      <c r="M327" s="9">
        <v>1</v>
      </c>
      <c r="N327" s="8">
        <v>0</v>
      </c>
      <c r="O327" s="9">
        <v>0</v>
      </c>
      <c r="P327" s="9">
        <v>1</v>
      </c>
      <c r="Q327" s="9">
        <v>0</v>
      </c>
      <c r="R327" s="9">
        <v>0</v>
      </c>
      <c r="S327" s="8">
        <v>810</v>
      </c>
      <c r="T327" s="9">
        <v>5</v>
      </c>
      <c r="U327" s="9">
        <f t="shared" si="78"/>
        <v>804</v>
      </c>
      <c r="V327" s="9">
        <f t="shared" si="79"/>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83">1-SUM(AK327:AM327)</f>
        <v>9.9999999999999978E-2</v>
      </c>
      <c r="AO327" s="42">
        <v>1</v>
      </c>
      <c r="AP327" s="18">
        <v>0</v>
      </c>
      <c r="AQ327">
        <v>0</v>
      </c>
      <c r="AR327" s="40">
        <v>1</v>
      </c>
      <c r="AS327">
        <v>8.5300000000000001E-2</v>
      </c>
      <c r="AT327" s="40">
        <f t="shared" si="82"/>
        <v>0.91469999999999996</v>
      </c>
      <c r="AU327">
        <v>0</v>
      </c>
      <c r="AV327" s="18">
        <v>1</v>
      </c>
      <c r="AW327">
        <v>0</v>
      </c>
      <c r="AX327" s="18">
        <v>1</v>
      </c>
      <c r="AY327" s="18" t="s">
        <v>5</v>
      </c>
      <c r="AZ327">
        <v>0</v>
      </c>
      <c r="BA327">
        <v>1</v>
      </c>
      <c r="BB327">
        <v>0</v>
      </c>
      <c r="BC327">
        <v>0</v>
      </c>
      <c r="BD327">
        <v>0</v>
      </c>
      <c r="BE327">
        <v>0</v>
      </c>
      <c r="BF327" s="18">
        <v>0</v>
      </c>
      <c r="BG327">
        <v>0</v>
      </c>
      <c r="BH327">
        <v>1</v>
      </c>
      <c r="BI327" s="18">
        <v>0</v>
      </c>
      <c r="BJ327">
        <v>489</v>
      </c>
      <c r="BK327">
        <v>12</v>
      </c>
      <c r="BL327" s="25">
        <v>37.79</v>
      </c>
      <c r="BM327">
        <v>1</v>
      </c>
      <c r="BN327">
        <v>0</v>
      </c>
      <c r="BO327">
        <v>0</v>
      </c>
      <c r="BP327">
        <v>0</v>
      </c>
      <c r="BQ327">
        <v>0</v>
      </c>
      <c r="BR327">
        <v>0</v>
      </c>
      <c r="BS327">
        <v>0</v>
      </c>
      <c r="BT327" s="18">
        <v>0</v>
      </c>
      <c r="BU327">
        <v>0</v>
      </c>
      <c r="BV327">
        <v>1</v>
      </c>
      <c r="BW327">
        <v>0</v>
      </c>
      <c r="BX327" s="18">
        <v>0</v>
      </c>
      <c r="BY327">
        <v>0</v>
      </c>
      <c r="BZ327">
        <v>0</v>
      </c>
      <c r="CA327">
        <v>0</v>
      </c>
      <c r="CB327">
        <v>0</v>
      </c>
      <c r="CC327" s="18">
        <v>0</v>
      </c>
      <c r="CD327">
        <v>0</v>
      </c>
      <c r="CE327">
        <v>0</v>
      </c>
      <c r="CF327">
        <v>1</v>
      </c>
      <c r="CG327">
        <v>1</v>
      </c>
      <c r="CH327">
        <v>0</v>
      </c>
      <c r="CI327">
        <v>0</v>
      </c>
      <c r="CJ327">
        <v>1</v>
      </c>
      <c r="CK327">
        <v>0</v>
      </c>
      <c r="CL327">
        <v>1</v>
      </c>
      <c r="CM327">
        <v>0</v>
      </c>
      <c r="CN327" s="18">
        <v>1</v>
      </c>
      <c r="CO327">
        <v>0</v>
      </c>
      <c r="CP327">
        <v>3</v>
      </c>
      <c r="CQ327">
        <v>0</v>
      </c>
      <c r="CR327">
        <v>1</v>
      </c>
      <c r="CS327">
        <v>11</v>
      </c>
      <c r="CY327" s="34"/>
    </row>
    <row r="328" spans="1:103" x14ac:dyDescent="0.25">
      <c r="A328">
        <v>327</v>
      </c>
      <c r="B328">
        <v>22</v>
      </c>
      <c r="C328" s="25" t="s">
        <v>235</v>
      </c>
      <c r="D328" s="12">
        <v>2.8</v>
      </c>
      <c r="E328" s="14">
        <f t="shared" si="80"/>
        <v>3.2558139534883721</v>
      </c>
      <c r="F328" s="7">
        <v>0.86</v>
      </c>
      <c r="G328" s="7">
        <f t="shared" si="76"/>
        <v>-0.45581395348837228</v>
      </c>
      <c r="H328" s="16">
        <f t="shared" si="77"/>
        <v>6.0558139534883715</v>
      </c>
      <c r="I328" s="11">
        <f t="shared" ref="I328:I391" si="84">IFERROR(F328/SQRT(F328^2+U328), "X")</f>
        <v>2.3486928885310506E-2</v>
      </c>
      <c r="J328" s="33">
        <f t="shared" ref="J328:J391" si="85">IFERROR(SQRT((1-I328^2)/U328), "X")</f>
        <v>2.7310382424779657E-2</v>
      </c>
      <c r="K328" s="33">
        <f t="shared" ref="K328:K391" si="86">IFERROR(1/J328, "X")</f>
        <v>36.616111208046114</v>
      </c>
      <c r="L328" s="8">
        <v>0</v>
      </c>
      <c r="M328" s="9">
        <v>1</v>
      </c>
      <c r="N328" s="8">
        <v>0</v>
      </c>
      <c r="O328" s="9">
        <v>0</v>
      </c>
      <c r="P328" s="9">
        <v>1</v>
      </c>
      <c r="Q328" s="9">
        <v>0</v>
      </c>
      <c r="R328" s="9">
        <v>0</v>
      </c>
      <c r="S328" s="8">
        <v>1351</v>
      </c>
      <c r="T328" s="9">
        <v>10</v>
      </c>
      <c r="U328" s="9">
        <f t="shared" si="78"/>
        <v>1340</v>
      </c>
      <c r="V328" s="9">
        <f t="shared" si="79"/>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83"/>
        <v>9.9999999999999978E-2</v>
      </c>
      <c r="AO328" s="42">
        <v>1</v>
      </c>
      <c r="AP328" s="18">
        <v>0</v>
      </c>
      <c r="AQ328">
        <v>0</v>
      </c>
      <c r="AR328" s="40">
        <v>1</v>
      </c>
      <c r="AS328">
        <v>8.5300000000000001E-2</v>
      </c>
      <c r="AT328" s="40">
        <f t="shared" si="82"/>
        <v>0.91469999999999996</v>
      </c>
      <c r="AU328">
        <v>0</v>
      </c>
      <c r="AV328" s="18">
        <v>1</v>
      </c>
      <c r="AW328">
        <v>0</v>
      </c>
      <c r="AX328" s="18">
        <v>1</v>
      </c>
      <c r="AY328" s="18" t="s">
        <v>5</v>
      </c>
      <c r="AZ328">
        <v>0</v>
      </c>
      <c r="BA328">
        <v>1</v>
      </c>
      <c r="BB328">
        <v>0</v>
      </c>
      <c r="BC328">
        <v>0</v>
      </c>
      <c r="BD328">
        <v>0</v>
      </c>
      <c r="BE328">
        <v>0</v>
      </c>
      <c r="BF328" s="18">
        <v>0</v>
      </c>
      <c r="BG328">
        <v>0</v>
      </c>
      <c r="BH328">
        <v>1</v>
      </c>
      <c r="BI328" s="18">
        <v>0</v>
      </c>
      <c r="BJ328">
        <v>501</v>
      </c>
      <c r="BK328">
        <v>30</v>
      </c>
      <c r="BL328" s="25">
        <v>39</v>
      </c>
      <c r="BM328">
        <v>1</v>
      </c>
      <c r="BN328">
        <v>0</v>
      </c>
      <c r="BO328">
        <v>0</v>
      </c>
      <c r="BP328">
        <v>0</v>
      </c>
      <c r="BQ328">
        <v>0</v>
      </c>
      <c r="BR328">
        <v>1</v>
      </c>
      <c r="BS328">
        <v>0</v>
      </c>
      <c r="BT328" s="18">
        <v>0</v>
      </c>
      <c r="BU328">
        <v>0</v>
      </c>
      <c r="BV328">
        <v>1</v>
      </c>
      <c r="BW328">
        <v>0</v>
      </c>
      <c r="BX328" s="18">
        <v>0</v>
      </c>
      <c r="BY328">
        <v>0</v>
      </c>
      <c r="BZ328">
        <v>0</v>
      </c>
      <c r="CA328">
        <v>0</v>
      </c>
      <c r="CB328">
        <v>0</v>
      </c>
      <c r="CC328" s="18">
        <v>0</v>
      </c>
      <c r="CD328">
        <v>0</v>
      </c>
      <c r="CE328">
        <v>0</v>
      </c>
      <c r="CF328">
        <v>1</v>
      </c>
      <c r="CG328">
        <v>1</v>
      </c>
      <c r="CH328">
        <v>0</v>
      </c>
      <c r="CI328">
        <v>0</v>
      </c>
      <c r="CJ328">
        <v>1</v>
      </c>
      <c r="CK328">
        <v>0</v>
      </c>
      <c r="CL328">
        <v>1</v>
      </c>
      <c r="CM328">
        <v>0</v>
      </c>
      <c r="CN328" s="18">
        <v>1</v>
      </c>
      <c r="CO328">
        <v>0</v>
      </c>
      <c r="CP328">
        <v>3</v>
      </c>
      <c r="CQ328">
        <v>0</v>
      </c>
      <c r="CR328">
        <v>1</v>
      </c>
      <c r="CS328">
        <v>11</v>
      </c>
      <c r="CY328" s="34"/>
    </row>
    <row r="329" spans="1:103" x14ac:dyDescent="0.25">
      <c r="A329">
        <v>328</v>
      </c>
      <c r="B329">
        <v>22</v>
      </c>
      <c r="C329" s="25" t="s">
        <v>235</v>
      </c>
      <c r="D329" s="12">
        <v>1.8</v>
      </c>
      <c r="E329" s="14">
        <f t="shared" si="80"/>
        <v>0.89552238805970164</v>
      </c>
      <c r="F329" s="7">
        <v>2.0099999999999998</v>
      </c>
      <c r="G329" s="7">
        <f t="shared" si="76"/>
        <v>0.90447761194029841</v>
      </c>
      <c r="H329" s="16">
        <f t="shared" si="77"/>
        <v>2.6955223880597017</v>
      </c>
      <c r="I329" s="11">
        <f t="shared" si="84"/>
        <v>7.9079937896204405E-2</v>
      </c>
      <c r="J329" s="33">
        <f t="shared" si="85"/>
        <v>3.9343252684678816E-2</v>
      </c>
      <c r="K329" s="33">
        <f t="shared" si="86"/>
        <v>25.417318898735168</v>
      </c>
      <c r="L329" s="8">
        <v>0</v>
      </c>
      <c r="M329" s="9">
        <v>1</v>
      </c>
      <c r="N329" s="8">
        <v>0</v>
      </c>
      <c r="O329" s="9">
        <v>0</v>
      </c>
      <c r="P329" s="9">
        <v>1</v>
      </c>
      <c r="Q329" s="9">
        <v>0</v>
      </c>
      <c r="R329" s="9">
        <v>0</v>
      </c>
      <c r="S329" s="8">
        <v>648</v>
      </c>
      <c r="T329" s="9">
        <v>5</v>
      </c>
      <c r="U329" s="9">
        <f t="shared" si="78"/>
        <v>642</v>
      </c>
      <c r="V329" s="9">
        <f t="shared" si="79"/>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83"/>
        <v>0.16500000000000004</v>
      </c>
      <c r="AO329" s="42">
        <v>1</v>
      </c>
      <c r="AP329" s="18">
        <v>0</v>
      </c>
      <c r="AQ329">
        <v>0</v>
      </c>
      <c r="AR329" s="40">
        <v>1</v>
      </c>
      <c r="AS329">
        <v>8.5300000000000001E-2</v>
      </c>
      <c r="AT329" s="40">
        <f t="shared" si="82"/>
        <v>0.91469999999999996</v>
      </c>
      <c r="AU329">
        <v>0</v>
      </c>
      <c r="AV329" s="18">
        <v>1</v>
      </c>
      <c r="AW329">
        <v>0</v>
      </c>
      <c r="AX329" s="18">
        <v>1</v>
      </c>
      <c r="AY329" s="18" t="s">
        <v>5</v>
      </c>
      <c r="AZ329">
        <v>0</v>
      </c>
      <c r="BA329">
        <v>1</v>
      </c>
      <c r="BB329">
        <v>0</v>
      </c>
      <c r="BC329">
        <v>0</v>
      </c>
      <c r="BD329">
        <v>0</v>
      </c>
      <c r="BE329">
        <v>0</v>
      </c>
      <c r="BF329" s="18">
        <v>0</v>
      </c>
      <c r="BG329">
        <v>0</v>
      </c>
      <c r="BH329">
        <v>1</v>
      </c>
      <c r="BI329" s="18">
        <v>0</v>
      </c>
      <c r="BJ329">
        <v>644</v>
      </c>
      <c r="BK329">
        <v>57</v>
      </c>
      <c r="BL329" s="25">
        <v>37.630000000000003</v>
      </c>
      <c r="BM329">
        <v>1</v>
      </c>
      <c r="BN329">
        <v>0</v>
      </c>
      <c r="BO329">
        <v>0</v>
      </c>
      <c r="BP329">
        <v>0</v>
      </c>
      <c r="BQ329">
        <v>0</v>
      </c>
      <c r="BR329">
        <v>0</v>
      </c>
      <c r="BS329">
        <v>0</v>
      </c>
      <c r="BT329" s="18">
        <v>0</v>
      </c>
      <c r="BU329">
        <v>0</v>
      </c>
      <c r="BV329">
        <v>1</v>
      </c>
      <c r="BW329">
        <v>0</v>
      </c>
      <c r="BX329" s="18">
        <v>0</v>
      </c>
      <c r="BY329">
        <v>0</v>
      </c>
      <c r="BZ329">
        <v>0</v>
      </c>
      <c r="CA329">
        <v>0</v>
      </c>
      <c r="CB329">
        <v>0</v>
      </c>
      <c r="CC329" s="18">
        <v>0</v>
      </c>
      <c r="CD329">
        <v>0</v>
      </c>
      <c r="CE329">
        <v>0</v>
      </c>
      <c r="CF329">
        <v>1</v>
      </c>
      <c r="CG329">
        <v>1</v>
      </c>
      <c r="CH329">
        <v>0</v>
      </c>
      <c r="CI329">
        <v>0</v>
      </c>
      <c r="CJ329">
        <v>1</v>
      </c>
      <c r="CK329">
        <v>0</v>
      </c>
      <c r="CL329">
        <v>1</v>
      </c>
      <c r="CM329">
        <v>0</v>
      </c>
      <c r="CN329" s="18">
        <v>1</v>
      </c>
      <c r="CO329">
        <v>0</v>
      </c>
      <c r="CP329">
        <v>3</v>
      </c>
      <c r="CQ329">
        <v>0</v>
      </c>
      <c r="CR329">
        <v>1</v>
      </c>
      <c r="CS329">
        <v>11</v>
      </c>
      <c r="CY329" s="34"/>
    </row>
    <row r="330" spans="1:103" x14ac:dyDescent="0.25">
      <c r="A330">
        <v>329</v>
      </c>
      <c r="B330">
        <v>22</v>
      </c>
      <c r="C330" s="25" t="s">
        <v>235</v>
      </c>
      <c r="D330" s="12">
        <v>-0.3</v>
      </c>
      <c r="E330" s="14">
        <f t="shared" si="80"/>
        <v>2.9999999999999996</v>
      </c>
      <c r="F330" s="7">
        <v>-0.1</v>
      </c>
      <c r="G330" s="7">
        <f t="shared" si="76"/>
        <v>-3.2999999999999994</v>
      </c>
      <c r="H330" s="16">
        <f t="shared" si="77"/>
        <v>2.6999999999999997</v>
      </c>
      <c r="I330" s="11">
        <f t="shared" si="84"/>
        <v>-3.2124462549688771E-3</v>
      </c>
      <c r="J330" s="33">
        <f t="shared" si="85"/>
        <v>3.2124462549688766E-2</v>
      </c>
      <c r="K330" s="33">
        <f t="shared" si="86"/>
        <v>31.128925455273908</v>
      </c>
      <c r="L330" s="8">
        <v>0</v>
      </c>
      <c r="M330" s="9">
        <v>1</v>
      </c>
      <c r="N330" s="8">
        <v>0</v>
      </c>
      <c r="O330" s="9">
        <v>0</v>
      </c>
      <c r="P330" s="9">
        <v>1</v>
      </c>
      <c r="Q330" s="9">
        <v>0</v>
      </c>
      <c r="R330" s="9">
        <v>0</v>
      </c>
      <c r="S330" s="8">
        <v>980</v>
      </c>
      <c r="T330" s="9">
        <v>10</v>
      </c>
      <c r="U330" s="9">
        <f t="shared" si="78"/>
        <v>969</v>
      </c>
      <c r="V330" s="9">
        <f t="shared" si="79"/>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83"/>
        <v>0.16500000000000004</v>
      </c>
      <c r="AO330" s="42">
        <v>1</v>
      </c>
      <c r="AP330" s="18">
        <v>0</v>
      </c>
      <c r="AQ330">
        <v>0</v>
      </c>
      <c r="AR330" s="40">
        <v>1</v>
      </c>
      <c r="AS330">
        <v>8.5300000000000001E-2</v>
      </c>
      <c r="AT330" s="40">
        <f t="shared" si="82"/>
        <v>0.91469999999999996</v>
      </c>
      <c r="AU330">
        <v>0</v>
      </c>
      <c r="AV330" s="18">
        <v>1</v>
      </c>
      <c r="AW330">
        <v>0</v>
      </c>
      <c r="AX330" s="18">
        <v>1</v>
      </c>
      <c r="AY330" s="18" t="s">
        <v>5</v>
      </c>
      <c r="AZ330">
        <v>0</v>
      </c>
      <c r="BA330">
        <v>1</v>
      </c>
      <c r="BB330">
        <v>0</v>
      </c>
      <c r="BC330">
        <v>0</v>
      </c>
      <c r="BD330">
        <v>0</v>
      </c>
      <c r="BE330">
        <v>0</v>
      </c>
      <c r="BF330" s="18">
        <v>0</v>
      </c>
      <c r="BG330">
        <v>0</v>
      </c>
      <c r="BH330">
        <v>1</v>
      </c>
      <c r="BI330" s="18">
        <v>0</v>
      </c>
      <c r="BJ330">
        <v>818</v>
      </c>
      <c r="BK330">
        <v>95</v>
      </c>
      <c r="BL330" s="25">
        <v>39.049999999999997</v>
      </c>
      <c r="BM330">
        <v>1</v>
      </c>
      <c r="BN330">
        <v>0</v>
      </c>
      <c r="BO330">
        <v>0</v>
      </c>
      <c r="BP330">
        <v>0</v>
      </c>
      <c r="BQ330">
        <v>0</v>
      </c>
      <c r="BR330">
        <v>1</v>
      </c>
      <c r="BS330">
        <v>0</v>
      </c>
      <c r="BT330" s="18">
        <v>0</v>
      </c>
      <c r="BU330">
        <v>0</v>
      </c>
      <c r="BV330">
        <v>1</v>
      </c>
      <c r="BW330">
        <v>0</v>
      </c>
      <c r="BX330" s="18">
        <v>0</v>
      </c>
      <c r="BY330">
        <v>0</v>
      </c>
      <c r="BZ330">
        <v>0</v>
      </c>
      <c r="CA330">
        <v>0</v>
      </c>
      <c r="CB330">
        <v>0</v>
      </c>
      <c r="CC330" s="18">
        <v>0</v>
      </c>
      <c r="CD330">
        <v>0</v>
      </c>
      <c r="CE330">
        <v>0</v>
      </c>
      <c r="CF330">
        <v>1</v>
      </c>
      <c r="CG330">
        <v>1</v>
      </c>
      <c r="CH330">
        <v>0</v>
      </c>
      <c r="CI330">
        <v>0</v>
      </c>
      <c r="CJ330">
        <v>1</v>
      </c>
      <c r="CK330">
        <v>0</v>
      </c>
      <c r="CL330">
        <v>1</v>
      </c>
      <c r="CM330">
        <v>0</v>
      </c>
      <c r="CN330" s="18">
        <v>1</v>
      </c>
      <c r="CO330">
        <v>0</v>
      </c>
      <c r="CP330">
        <v>3</v>
      </c>
      <c r="CQ330">
        <v>0</v>
      </c>
      <c r="CR330">
        <v>1</v>
      </c>
      <c r="CS330">
        <v>11</v>
      </c>
      <c r="CY330" s="34"/>
    </row>
    <row r="331" spans="1:103" x14ac:dyDescent="0.25">
      <c r="A331">
        <v>330</v>
      </c>
      <c r="B331">
        <v>22</v>
      </c>
      <c r="C331" s="25" t="s">
        <v>235</v>
      </c>
      <c r="D331" s="12">
        <v>4.5999999999999996</v>
      </c>
      <c r="E331" s="14">
        <f t="shared" si="80"/>
        <v>1.0772833723653397</v>
      </c>
      <c r="F331" s="7">
        <v>4.2699999999999996</v>
      </c>
      <c r="G331" s="7">
        <f t="shared" si="76"/>
        <v>3.5227166276346598</v>
      </c>
      <c r="H331" s="16">
        <f t="shared" si="77"/>
        <v>5.6772833723653395</v>
      </c>
      <c r="I331" s="11">
        <f t="shared" si="84"/>
        <v>0.18613964303252781</v>
      </c>
      <c r="J331" s="33">
        <f t="shared" si="85"/>
        <v>4.3592422255861317E-2</v>
      </c>
      <c r="K331" s="33">
        <f t="shared" si="86"/>
        <v>22.939766781726444</v>
      </c>
      <c r="L331" s="8">
        <v>0</v>
      </c>
      <c r="M331" s="9">
        <v>1</v>
      </c>
      <c r="N331" s="8">
        <v>0</v>
      </c>
      <c r="O331" s="9">
        <v>0</v>
      </c>
      <c r="P331" s="9">
        <v>1</v>
      </c>
      <c r="Q331" s="9">
        <v>0</v>
      </c>
      <c r="R331" s="9">
        <v>0</v>
      </c>
      <c r="S331" s="8">
        <v>514</v>
      </c>
      <c r="T331" s="9">
        <v>5</v>
      </c>
      <c r="U331" s="9">
        <f t="shared" si="78"/>
        <v>508</v>
      </c>
      <c r="V331" s="9">
        <f t="shared" si="79"/>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83"/>
        <v>9.9999999999999978E-2</v>
      </c>
      <c r="AO331" s="42">
        <v>1</v>
      </c>
      <c r="AP331" s="18">
        <v>0</v>
      </c>
      <c r="AQ331">
        <v>0</v>
      </c>
      <c r="AR331" s="40">
        <v>1</v>
      </c>
      <c r="AS331">
        <v>8.5300000000000001E-2</v>
      </c>
      <c r="AT331" s="40">
        <f t="shared" si="82"/>
        <v>0.91469999999999996</v>
      </c>
      <c r="AU331">
        <v>0</v>
      </c>
      <c r="AV331" s="18">
        <v>1</v>
      </c>
      <c r="AW331">
        <v>0</v>
      </c>
      <c r="AX331" s="18">
        <v>1</v>
      </c>
      <c r="AY331" s="18" t="s">
        <v>5</v>
      </c>
      <c r="AZ331">
        <v>0</v>
      </c>
      <c r="BA331">
        <v>1</v>
      </c>
      <c r="BB331">
        <v>0</v>
      </c>
      <c r="BC331">
        <v>0</v>
      </c>
      <c r="BD331">
        <v>0</v>
      </c>
      <c r="BE331">
        <v>0</v>
      </c>
      <c r="BF331" s="18">
        <v>0</v>
      </c>
      <c r="BG331">
        <v>0</v>
      </c>
      <c r="BH331">
        <v>1</v>
      </c>
      <c r="BI331" s="18">
        <v>0</v>
      </c>
      <c r="BJ331">
        <v>489</v>
      </c>
      <c r="BK331">
        <v>12</v>
      </c>
      <c r="BL331" s="25">
        <v>37.79</v>
      </c>
      <c r="BM331">
        <v>1</v>
      </c>
      <c r="BN331">
        <v>0</v>
      </c>
      <c r="BO331">
        <v>0</v>
      </c>
      <c r="BP331">
        <v>0</v>
      </c>
      <c r="BQ331">
        <v>0</v>
      </c>
      <c r="BR331">
        <v>0</v>
      </c>
      <c r="BS331">
        <v>0</v>
      </c>
      <c r="BT331" s="18">
        <v>0</v>
      </c>
      <c r="BU331">
        <v>0</v>
      </c>
      <c r="BV331">
        <v>1</v>
      </c>
      <c r="BW331">
        <v>0</v>
      </c>
      <c r="BX331" s="18">
        <v>0</v>
      </c>
      <c r="BY331">
        <v>0</v>
      </c>
      <c r="BZ331">
        <v>0</v>
      </c>
      <c r="CA331">
        <v>0</v>
      </c>
      <c r="CB331">
        <v>0</v>
      </c>
      <c r="CC331" s="18">
        <v>0</v>
      </c>
      <c r="CD331">
        <v>0</v>
      </c>
      <c r="CE331">
        <v>0</v>
      </c>
      <c r="CF331">
        <v>1</v>
      </c>
      <c r="CG331">
        <v>1</v>
      </c>
      <c r="CH331">
        <v>0</v>
      </c>
      <c r="CI331">
        <v>0</v>
      </c>
      <c r="CJ331">
        <v>1</v>
      </c>
      <c r="CK331">
        <v>0</v>
      </c>
      <c r="CL331">
        <v>1</v>
      </c>
      <c r="CM331">
        <v>0</v>
      </c>
      <c r="CN331" s="18">
        <v>1</v>
      </c>
      <c r="CO331">
        <v>0</v>
      </c>
      <c r="CP331">
        <v>3</v>
      </c>
      <c r="CQ331">
        <v>0</v>
      </c>
      <c r="CR331">
        <v>1</v>
      </c>
      <c r="CS331">
        <v>11</v>
      </c>
      <c r="CY331" s="34"/>
    </row>
    <row r="332" spans="1:103" x14ac:dyDescent="0.25">
      <c r="A332">
        <v>331</v>
      </c>
      <c r="B332">
        <v>22</v>
      </c>
      <c r="C332" s="25" t="s">
        <v>235</v>
      </c>
      <c r="D332" s="12">
        <v>3.9</v>
      </c>
      <c r="E332" s="14">
        <f t="shared" si="80"/>
        <v>1.7647058823529411</v>
      </c>
      <c r="F332" s="7">
        <v>2.21</v>
      </c>
      <c r="G332" s="7">
        <f t="shared" si="76"/>
        <v>2.1352941176470588</v>
      </c>
      <c r="H332" s="16">
        <f t="shared" si="77"/>
        <v>5.6647058823529406</v>
      </c>
      <c r="I332" s="11">
        <f t="shared" si="84"/>
        <v>7.2434333358581224E-2</v>
      </c>
      <c r="J332" s="33">
        <f t="shared" si="85"/>
        <v>3.2775716451846716E-2</v>
      </c>
      <c r="K332" s="33">
        <f t="shared" si="86"/>
        <v>30.510393311132514</v>
      </c>
      <c r="L332" s="8">
        <v>0</v>
      </c>
      <c r="M332" s="9">
        <v>1</v>
      </c>
      <c r="N332" s="8">
        <v>0</v>
      </c>
      <c r="O332" s="9">
        <v>0</v>
      </c>
      <c r="P332" s="9">
        <v>1</v>
      </c>
      <c r="Q332" s="9">
        <v>0</v>
      </c>
      <c r="R332" s="9">
        <v>0</v>
      </c>
      <c r="S332" s="8">
        <v>937</v>
      </c>
      <c r="T332" s="9">
        <v>10</v>
      </c>
      <c r="U332" s="9">
        <f t="shared" si="78"/>
        <v>926</v>
      </c>
      <c r="V332" s="9">
        <f t="shared" si="79"/>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83"/>
        <v>9.9999999999999978E-2</v>
      </c>
      <c r="AO332" s="42">
        <v>1</v>
      </c>
      <c r="AP332" s="18">
        <v>0</v>
      </c>
      <c r="AQ332">
        <v>0</v>
      </c>
      <c r="AR332" s="40">
        <v>1</v>
      </c>
      <c r="AS332">
        <v>8.5300000000000001E-2</v>
      </c>
      <c r="AT332" s="40">
        <f t="shared" si="82"/>
        <v>0.91469999999999996</v>
      </c>
      <c r="AU332">
        <v>0</v>
      </c>
      <c r="AV332" s="18">
        <v>1</v>
      </c>
      <c r="AW332">
        <v>0</v>
      </c>
      <c r="AX332" s="18">
        <v>1</v>
      </c>
      <c r="AY332" s="18" t="s">
        <v>5</v>
      </c>
      <c r="AZ332">
        <v>0</v>
      </c>
      <c r="BA332">
        <v>1</v>
      </c>
      <c r="BB332">
        <v>0</v>
      </c>
      <c r="BC332">
        <v>0</v>
      </c>
      <c r="BD332">
        <v>0</v>
      </c>
      <c r="BE332">
        <v>0</v>
      </c>
      <c r="BF332" s="18">
        <v>0</v>
      </c>
      <c r="BG332">
        <v>0</v>
      </c>
      <c r="BH332">
        <v>1</v>
      </c>
      <c r="BI332" s="18">
        <v>0</v>
      </c>
      <c r="BJ332">
        <v>501</v>
      </c>
      <c r="BK332">
        <v>30</v>
      </c>
      <c r="BL332" s="25">
        <v>39</v>
      </c>
      <c r="BM332">
        <v>1</v>
      </c>
      <c r="BN332">
        <v>0</v>
      </c>
      <c r="BO332">
        <v>0</v>
      </c>
      <c r="BP332">
        <v>0</v>
      </c>
      <c r="BQ332">
        <v>0</v>
      </c>
      <c r="BR332">
        <v>1</v>
      </c>
      <c r="BS332">
        <v>0</v>
      </c>
      <c r="BT332" s="18">
        <v>0</v>
      </c>
      <c r="BU332">
        <v>0</v>
      </c>
      <c r="BV332">
        <v>1</v>
      </c>
      <c r="BW332">
        <v>0</v>
      </c>
      <c r="BX332" s="18">
        <v>0</v>
      </c>
      <c r="BY332">
        <v>0</v>
      </c>
      <c r="BZ332">
        <v>0</v>
      </c>
      <c r="CA332">
        <v>0</v>
      </c>
      <c r="CB332">
        <v>0</v>
      </c>
      <c r="CC332" s="18">
        <v>0</v>
      </c>
      <c r="CD332">
        <v>0</v>
      </c>
      <c r="CE332">
        <v>0</v>
      </c>
      <c r="CF332">
        <v>1</v>
      </c>
      <c r="CG332">
        <v>1</v>
      </c>
      <c r="CH332">
        <v>0</v>
      </c>
      <c r="CI332">
        <v>0</v>
      </c>
      <c r="CJ332">
        <v>1</v>
      </c>
      <c r="CK332">
        <v>0</v>
      </c>
      <c r="CL332">
        <v>1</v>
      </c>
      <c r="CM332">
        <v>0</v>
      </c>
      <c r="CN332" s="18">
        <v>1</v>
      </c>
      <c r="CO332">
        <v>0</v>
      </c>
      <c r="CP332">
        <v>3</v>
      </c>
      <c r="CQ332">
        <v>0</v>
      </c>
      <c r="CR332">
        <v>1</v>
      </c>
      <c r="CS332">
        <v>11</v>
      </c>
      <c r="CY332" s="34"/>
    </row>
    <row r="333" spans="1:103" x14ac:dyDescent="0.25">
      <c r="A333">
        <v>332</v>
      </c>
      <c r="B333">
        <v>22</v>
      </c>
      <c r="C333" s="25" t="s">
        <v>235</v>
      </c>
      <c r="D333" s="12">
        <v>5.0999999999999996</v>
      </c>
      <c r="E333" s="14">
        <f t="shared" si="80"/>
        <v>1.2718204488778055</v>
      </c>
      <c r="F333" s="7">
        <v>4.01</v>
      </c>
      <c r="G333" s="7">
        <f t="shared" si="76"/>
        <v>3.8281795511221941</v>
      </c>
      <c r="H333" s="16">
        <f t="shared" si="77"/>
        <v>6.3718204488778056</v>
      </c>
      <c r="I333" s="11">
        <f t="shared" si="84"/>
        <v>0.1865459135354694</v>
      </c>
      <c r="J333" s="33">
        <f t="shared" si="85"/>
        <v>4.6520177939019809E-2</v>
      </c>
      <c r="K333" s="33">
        <f t="shared" si="86"/>
        <v>21.496048474080069</v>
      </c>
      <c r="L333" s="8">
        <v>0</v>
      </c>
      <c r="M333" s="9">
        <v>1</v>
      </c>
      <c r="N333" s="8">
        <v>0</v>
      </c>
      <c r="O333" s="9">
        <v>0</v>
      </c>
      <c r="P333" s="9">
        <v>1</v>
      </c>
      <c r="Q333" s="9">
        <v>0</v>
      </c>
      <c r="R333" s="9">
        <v>0</v>
      </c>
      <c r="S333" s="8">
        <v>452</v>
      </c>
      <c r="T333" s="9">
        <v>5</v>
      </c>
      <c r="U333" s="9">
        <f t="shared" si="78"/>
        <v>446</v>
      </c>
      <c r="V333" s="9">
        <f t="shared" si="79"/>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83"/>
        <v>0.16500000000000004</v>
      </c>
      <c r="AO333" s="42">
        <v>1</v>
      </c>
      <c r="AP333" s="18">
        <v>0</v>
      </c>
      <c r="AQ333">
        <v>0</v>
      </c>
      <c r="AR333" s="40">
        <v>1</v>
      </c>
      <c r="AS333">
        <v>8.5300000000000001E-2</v>
      </c>
      <c r="AT333" s="40">
        <f t="shared" si="82"/>
        <v>0.91469999999999996</v>
      </c>
      <c r="AU333">
        <v>0</v>
      </c>
      <c r="AV333" s="18">
        <v>1</v>
      </c>
      <c r="AW333">
        <v>0</v>
      </c>
      <c r="AX333" s="18">
        <v>1</v>
      </c>
      <c r="AY333" s="18" t="s">
        <v>5</v>
      </c>
      <c r="AZ333">
        <v>0</v>
      </c>
      <c r="BA333">
        <v>1</v>
      </c>
      <c r="BB333">
        <v>0</v>
      </c>
      <c r="BC333">
        <v>0</v>
      </c>
      <c r="BD333">
        <v>0</v>
      </c>
      <c r="BE333">
        <v>0</v>
      </c>
      <c r="BF333" s="18">
        <v>0</v>
      </c>
      <c r="BG333">
        <v>0</v>
      </c>
      <c r="BH333">
        <v>1</v>
      </c>
      <c r="BI333" s="18">
        <v>0</v>
      </c>
      <c r="BJ333">
        <v>644</v>
      </c>
      <c r="BK333">
        <v>57</v>
      </c>
      <c r="BL333" s="25">
        <v>37.630000000000003</v>
      </c>
      <c r="BM333">
        <v>1</v>
      </c>
      <c r="BN333">
        <v>0</v>
      </c>
      <c r="BO333">
        <v>0</v>
      </c>
      <c r="BP333">
        <v>0</v>
      </c>
      <c r="BQ333">
        <v>0</v>
      </c>
      <c r="BR333">
        <v>0</v>
      </c>
      <c r="BS333">
        <v>0</v>
      </c>
      <c r="BT333" s="18">
        <v>0</v>
      </c>
      <c r="BU333">
        <v>0</v>
      </c>
      <c r="BV333">
        <v>1</v>
      </c>
      <c r="BW333">
        <v>0</v>
      </c>
      <c r="BX333" s="18">
        <v>0</v>
      </c>
      <c r="BY333">
        <v>0</v>
      </c>
      <c r="BZ333">
        <v>0</v>
      </c>
      <c r="CA333">
        <v>0</v>
      </c>
      <c r="CB333">
        <v>0</v>
      </c>
      <c r="CC333" s="18">
        <v>0</v>
      </c>
      <c r="CD333">
        <v>0</v>
      </c>
      <c r="CE333">
        <v>0</v>
      </c>
      <c r="CF333">
        <v>1</v>
      </c>
      <c r="CG333">
        <v>1</v>
      </c>
      <c r="CH333">
        <v>0</v>
      </c>
      <c r="CI333">
        <v>0</v>
      </c>
      <c r="CJ333">
        <v>1</v>
      </c>
      <c r="CK333">
        <v>0</v>
      </c>
      <c r="CL333">
        <v>1</v>
      </c>
      <c r="CM333">
        <v>0</v>
      </c>
      <c r="CN333" s="18">
        <v>1</v>
      </c>
      <c r="CO333">
        <v>0</v>
      </c>
      <c r="CP333">
        <v>3</v>
      </c>
      <c r="CQ333">
        <v>0</v>
      </c>
      <c r="CR333">
        <v>1</v>
      </c>
      <c r="CS333">
        <v>11</v>
      </c>
      <c r="CY333" s="34"/>
    </row>
    <row r="334" spans="1:103" x14ac:dyDescent="0.25">
      <c r="A334">
        <v>333</v>
      </c>
      <c r="B334">
        <v>22</v>
      </c>
      <c r="C334" s="25" t="s">
        <v>235</v>
      </c>
      <c r="D334" s="12">
        <v>5.5</v>
      </c>
      <c r="E334" s="14">
        <f t="shared" si="80"/>
        <v>2.4336283185840708</v>
      </c>
      <c r="F334" s="7">
        <v>2.2599999999999998</v>
      </c>
      <c r="G334" s="7">
        <f t="shared" si="76"/>
        <v>3.0663716814159292</v>
      </c>
      <c r="H334" s="16">
        <f t="shared" si="77"/>
        <v>7.9336283185840708</v>
      </c>
      <c r="I334" s="11">
        <f t="shared" si="84"/>
        <v>8.1704726615308823E-2</v>
      </c>
      <c r="J334" s="33">
        <f t="shared" si="85"/>
        <v>3.6152533900579126E-2</v>
      </c>
      <c r="K334" s="33">
        <f t="shared" si="86"/>
        <v>27.66057844659074</v>
      </c>
      <c r="L334" s="8">
        <v>0</v>
      </c>
      <c r="M334" s="9">
        <v>1</v>
      </c>
      <c r="N334" s="8">
        <v>0</v>
      </c>
      <c r="O334" s="9">
        <v>0</v>
      </c>
      <c r="P334" s="9">
        <v>1</v>
      </c>
      <c r="Q334" s="9">
        <v>0</v>
      </c>
      <c r="R334" s="9">
        <v>0</v>
      </c>
      <c r="S334" s="8">
        <v>771</v>
      </c>
      <c r="T334" s="9">
        <v>10</v>
      </c>
      <c r="U334" s="9">
        <f t="shared" si="78"/>
        <v>760</v>
      </c>
      <c r="V334" s="9">
        <f t="shared" si="79"/>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83"/>
        <v>0.16500000000000004</v>
      </c>
      <c r="AO334" s="42">
        <v>1</v>
      </c>
      <c r="AP334" s="18">
        <v>0</v>
      </c>
      <c r="AQ334">
        <v>0</v>
      </c>
      <c r="AR334" s="40">
        <v>1</v>
      </c>
      <c r="AS334">
        <v>8.5300000000000001E-2</v>
      </c>
      <c r="AT334" s="40">
        <f t="shared" si="82"/>
        <v>0.91469999999999996</v>
      </c>
      <c r="AU334">
        <v>0</v>
      </c>
      <c r="AV334" s="18">
        <v>1</v>
      </c>
      <c r="AW334">
        <v>0</v>
      </c>
      <c r="AX334" s="18">
        <v>1</v>
      </c>
      <c r="AY334" s="18" t="s">
        <v>5</v>
      </c>
      <c r="AZ334">
        <v>0</v>
      </c>
      <c r="BA334">
        <v>1</v>
      </c>
      <c r="BB334">
        <v>0</v>
      </c>
      <c r="BC334">
        <v>0</v>
      </c>
      <c r="BD334">
        <v>0</v>
      </c>
      <c r="BE334">
        <v>0</v>
      </c>
      <c r="BF334" s="18">
        <v>0</v>
      </c>
      <c r="BG334">
        <v>0</v>
      </c>
      <c r="BH334">
        <v>1</v>
      </c>
      <c r="BI334" s="18">
        <v>0</v>
      </c>
      <c r="BJ334">
        <v>818</v>
      </c>
      <c r="BK334">
        <v>95</v>
      </c>
      <c r="BL334" s="25">
        <v>39.049999999999997</v>
      </c>
      <c r="BM334">
        <v>1</v>
      </c>
      <c r="BN334">
        <v>0</v>
      </c>
      <c r="BO334">
        <v>0</v>
      </c>
      <c r="BP334">
        <v>0</v>
      </c>
      <c r="BQ334">
        <v>0</v>
      </c>
      <c r="BR334">
        <v>1</v>
      </c>
      <c r="BS334">
        <v>0</v>
      </c>
      <c r="BT334" s="18">
        <v>0</v>
      </c>
      <c r="BU334">
        <v>0</v>
      </c>
      <c r="BV334">
        <v>1</v>
      </c>
      <c r="BW334">
        <v>0</v>
      </c>
      <c r="BX334" s="18">
        <v>0</v>
      </c>
      <c r="BY334">
        <v>0</v>
      </c>
      <c r="BZ334">
        <v>0</v>
      </c>
      <c r="CA334">
        <v>0</v>
      </c>
      <c r="CB334">
        <v>0</v>
      </c>
      <c r="CC334" s="18">
        <v>0</v>
      </c>
      <c r="CD334">
        <v>0</v>
      </c>
      <c r="CE334">
        <v>0</v>
      </c>
      <c r="CF334">
        <v>1</v>
      </c>
      <c r="CG334">
        <v>1</v>
      </c>
      <c r="CH334">
        <v>0</v>
      </c>
      <c r="CI334">
        <v>0</v>
      </c>
      <c r="CJ334">
        <v>1</v>
      </c>
      <c r="CK334">
        <v>0</v>
      </c>
      <c r="CL334">
        <v>1</v>
      </c>
      <c r="CM334">
        <v>0</v>
      </c>
      <c r="CN334" s="18">
        <v>1</v>
      </c>
      <c r="CO334">
        <v>0</v>
      </c>
      <c r="CP334">
        <v>3</v>
      </c>
      <c r="CQ334">
        <v>0</v>
      </c>
      <c r="CR334">
        <v>1</v>
      </c>
      <c r="CS334">
        <v>11</v>
      </c>
      <c r="CY334" s="34"/>
    </row>
    <row r="335" spans="1:103" x14ac:dyDescent="0.25">
      <c r="A335">
        <v>334</v>
      </c>
      <c r="B335">
        <v>22</v>
      </c>
      <c r="C335" s="25" t="s">
        <v>235</v>
      </c>
      <c r="D335" s="12">
        <v>2.4</v>
      </c>
      <c r="E335" s="14">
        <f t="shared" si="80"/>
        <v>1.1162790697674418</v>
      </c>
      <c r="F335" s="7">
        <v>2.15</v>
      </c>
      <c r="G335" s="7">
        <f t="shared" si="76"/>
        <v>1.2837209302325581</v>
      </c>
      <c r="H335" s="16">
        <f t="shared" si="77"/>
        <v>3.5162790697674415</v>
      </c>
      <c r="I335" s="11">
        <f t="shared" si="84"/>
        <v>6.7397705177461117E-2</v>
      </c>
      <c r="J335" s="33">
        <f t="shared" si="85"/>
        <v>3.1347769849981923E-2</v>
      </c>
      <c r="K335" s="33">
        <f t="shared" si="86"/>
        <v>31.900195924163221</v>
      </c>
      <c r="L335" s="8">
        <v>0</v>
      </c>
      <c r="M335" s="9">
        <v>1</v>
      </c>
      <c r="N335" s="8">
        <v>0</v>
      </c>
      <c r="O335" s="9">
        <v>0</v>
      </c>
      <c r="P335" s="9">
        <v>1</v>
      </c>
      <c r="Q335" s="9">
        <v>0</v>
      </c>
      <c r="R335" s="9">
        <v>0</v>
      </c>
      <c r="S335" s="8">
        <v>1019</v>
      </c>
      <c r="T335" s="9">
        <v>5</v>
      </c>
      <c r="U335" s="9">
        <f t="shared" si="78"/>
        <v>1013</v>
      </c>
      <c r="V335" s="9">
        <f t="shared" si="79"/>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83"/>
        <v>0.15700000000000003</v>
      </c>
      <c r="AO335" s="42">
        <v>1</v>
      </c>
      <c r="AP335" s="18">
        <v>0</v>
      </c>
      <c r="AQ335">
        <v>1</v>
      </c>
      <c r="AR335" s="40">
        <v>0</v>
      </c>
      <c r="AS335">
        <v>8.5300000000000001E-2</v>
      </c>
      <c r="AT335" s="40">
        <f t="shared" si="82"/>
        <v>0.91469999999999996</v>
      </c>
      <c r="AU335">
        <v>0</v>
      </c>
      <c r="AV335" s="18">
        <v>1</v>
      </c>
      <c r="AW335">
        <v>0</v>
      </c>
      <c r="AX335" s="18">
        <v>1</v>
      </c>
      <c r="AY335" s="18" t="s">
        <v>5</v>
      </c>
      <c r="AZ335">
        <v>0</v>
      </c>
      <c r="BA335">
        <v>1</v>
      </c>
      <c r="BB335">
        <v>0</v>
      </c>
      <c r="BC335">
        <v>0</v>
      </c>
      <c r="BD335">
        <v>0</v>
      </c>
      <c r="BE335">
        <v>0</v>
      </c>
      <c r="BF335" s="18">
        <v>0</v>
      </c>
      <c r="BG335">
        <v>0</v>
      </c>
      <c r="BH335">
        <v>1</v>
      </c>
      <c r="BI335" s="18">
        <v>0</v>
      </c>
      <c r="BJ335">
        <v>489</v>
      </c>
      <c r="BK335">
        <v>12</v>
      </c>
      <c r="BL335" s="25">
        <v>37.79</v>
      </c>
      <c r="BM335">
        <v>1</v>
      </c>
      <c r="BN335">
        <v>0</v>
      </c>
      <c r="BO335">
        <v>0</v>
      </c>
      <c r="BP335">
        <v>0</v>
      </c>
      <c r="BQ335">
        <v>0</v>
      </c>
      <c r="BR335">
        <v>0</v>
      </c>
      <c r="BS335">
        <v>0</v>
      </c>
      <c r="BT335" s="18">
        <v>0</v>
      </c>
      <c r="BU335">
        <v>0</v>
      </c>
      <c r="BV335">
        <v>1</v>
      </c>
      <c r="BW335">
        <v>0</v>
      </c>
      <c r="BX335" s="18">
        <v>0</v>
      </c>
      <c r="BY335">
        <v>0</v>
      </c>
      <c r="BZ335">
        <v>0</v>
      </c>
      <c r="CA335">
        <v>0</v>
      </c>
      <c r="CB335">
        <v>0</v>
      </c>
      <c r="CC335" s="18">
        <v>0</v>
      </c>
      <c r="CD335">
        <v>0</v>
      </c>
      <c r="CE335">
        <v>0</v>
      </c>
      <c r="CF335">
        <v>1</v>
      </c>
      <c r="CG335">
        <v>1</v>
      </c>
      <c r="CH335">
        <v>0</v>
      </c>
      <c r="CI335">
        <v>0</v>
      </c>
      <c r="CJ335">
        <v>1</v>
      </c>
      <c r="CK335">
        <v>0</v>
      </c>
      <c r="CL335">
        <v>1</v>
      </c>
      <c r="CM335">
        <v>0</v>
      </c>
      <c r="CN335" s="18">
        <v>1</v>
      </c>
      <c r="CO335">
        <v>0</v>
      </c>
      <c r="CP335">
        <v>3</v>
      </c>
      <c r="CQ335">
        <v>0</v>
      </c>
      <c r="CR335">
        <v>1</v>
      </c>
      <c r="CS335">
        <v>11</v>
      </c>
      <c r="CY335" s="34"/>
    </row>
    <row r="336" spans="1:103" x14ac:dyDescent="0.25">
      <c r="A336">
        <v>335</v>
      </c>
      <c r="B336">
        <v>22</v>
      </c>
      <c r="C336" s="25" t="s">
        <v>235</v>
      </c>
      <c r="D336" s="12">
        <v>-1.6</v>
      </c>
      <c r="E336" s="14">
        <f t="shared" si="80"/>
        <v>1.8181818181818183</v>
      </c>
      <c r="F336" s="7">
        <v>-0.88</v>
      </c>
      <c r="G336" s="7">
        <f t="shared" si="76"/>
        <v>-3.4181818181818184</v>
      </c>
      <c r="H336" s="16">
        <f t="shared" si="77"/>
        <v>0.21818181818181825</v>
      </c>
      <c r="I336" s="11">
        <f t="shared" si="84"/>
        <v>-2.3846798901517526E-2</v>
      </c>
      <c r="J336" s="33">
        <f t="shared" si="85"/>
        <v>2.7098635115360828E-2</v>
      </c>
      <c r="K336" s="33">
        <f t="shared" si="86"/>
        <v>36.902227575039426</v>
      </c>
      <c r="L336" s="8">
        <v>0</v>
      </c>
      <c r="M336" s="9">
        <v>1</v>
      </c>
      <c r="N336" s="8">
        <v>0</v>
      </c>
      <c r="O336" s="9">
        <v>0</v>
      </c>
      <c r="P336" s="9">
        <v>1</v>
      </c>
      <c r="Q336" s="9">
        <v>0</v>
      </c>
      <c r="R336" s="9">
        <v>0</v>
      </c>
      <c r="S336" s="8">
        <v>1372</v>
      </c>
      <c r="T336" s="9">
        <v>10</v>
      </c>
      <c r="U336" s="9">
        <f t="shared" si="78"/>
        <v>1361</v>
      </c>
      <c r="V336" s="9">
        <f t="shared" si="79"/>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83"/>
        <v>0.15700000000000003</v>
      </c>
      <c r="AO336" s="42">
        <v>1</v>
      </c>
      <c r="AP336" s="18">
        <v>0</v>
      </c>
      <c r="AQ336">
        <v>1</v>
      </c>
      <c r="AR336" s="40">
        <v>0</v>
      </c>
      <c r="AS336">
        <v>8.5300000000000001E-2</v>
      </c>
      <c r="AT336" s="40">
        <f t="shared" si="82"/>
        <v>0.91469999999999996</v>
      </c>
      <c r="AU336">
        <v>0</v>
      </c>
      <c r="AV336" s="18">
        <v>1</v>
      </c>
      <c r="AW336">
        <v>0</v>
      </c>
      <c r="AX336" s="18">
        <v>1</v>
      </c>
      <c r="AY336" s="18" t="s">
        <v>5</v>
      </c>
      <c r="AZ336">
        <v>0</v>
      </c>
      <c r="BA336">
        <v>1</v>
      </c>
      <c r="BB336">
        <v>0</v>
      </c>
      <c r="BC336">
        <v>0</v>
      </c>
      <c r="BD336">
        <v>0</v>
      </c>
      <c r="BE336">
        <v>0</v>
      </c>
      <c r="BF336" s="18">
        <v>0</v>
      </c>
      <c r="BG336">
        <v>0</v>
      </c>
      <c r="BH336">
        <v>1</v>
      </c>
      <c r="BI336" s="18">
        <v>0</v>
      </c>
      <c r="BJ336">
        <v>501</v>
      </c>
      <c r="BK336">
        <v>30</v>
      </c>
      <c r="BL336" s="25">
        <v>39</v>
      </c>
      <c r="BM336">
        <v>1</v>
      </c>
      <c r="BN336">
        <v>0</v>
      </c>
      <c r="BO336">
        <v>0</v>
      </c>
      <c r="BP336">
        <v>0</v>
      </c>
      <c r="BQ336">
        <v>0</v>
      </c>
      <c r="BR336">
        <v>1</v>
      </c>
      <c r="BS336">
        <v>0</v>
      </c>
      <c r="BT336" s="18">
        <v>0</v>
      </c>
      <c r="BU336">
        <v>0</v>
      </c>
      <c r="BV336">
        <v>1</v>
      </c>
      <c r="BW336">
        <v>0</v>
      </c>
      <c r="BX336" s="18">
        <v>0</v>
      </c>
      <c r="BY336">
        <v>0</v>
      </c>
      <c r="BZ336">
        <v>0</v>
      </c>
      <c r="CA336">
        <v>0</v>
      </c>
      <c r="CB336">
        <v>0</v>
      </c>
      <c r="CC336" s="18">
        <v>0</v>
      </c>
      <c r="CD336">
        <v>0</v>
      </c>
      <c r="CE336">
        <v>0</v>
      </c>
      <c r="CF336">
        <v>1</v>
      </c>
      <c r="CG336">
        <v>1</v>
      </c>
      <c r="CH336">
        <v>0</v>
      </c>
      <c r="CI336">
        <v>0</v>
      </c>
      <c r="CJ336">
        <v>1</v>
      </c>
      <c r="CK336">
        <v>0</v>
      </c>
      <c r="CL336">
        <v>1</v>
      </c>
      <c r="CM336">
        <v>0</v>
      </c>
      <c r="CN336" s="18">
        <v>1</v>
      </c>
      <c r="CO336">
        <v>0</v>
      </c>
      <c r="CP336">
        <v>3</v>
      </c>
      <c r="CQ336">
        <v>0</v>
      </c>
      <c r="CR336">
        <v>1</v>
      </c>
      <c r="CS336">
        <v>11</v>
      </c>
      <c r="CY336" s="34"/>
    </row>
    <row r="337" spans="1:103" x14ac:dyDescent="0.25">
      <c r="A337">
        <v>336</v>
      </c>
      <c r="B337">
        <v>22</v>
      </c>
      <c r="C337" s="25" t="s">
        <v>235</v>
      </c>
      <c r="D337" s="12">
        <v>0.7</v>
      </c>
      <c r="E337" s="14">
        <f t="shared" si="80"/>
        <v>1.044776119402985</v>
      </c>
      <c r="F337" s="7">
        <v>0.67</v>
      </c>
      <c r="G337" s="7">
        <f t="shared" si="76"/>
        <v>-0.34477611940298503</v>
      </c>
      <c r="H337" s="16">
        <f t="shared" si="77"/>
        <v>1.7447761194029849</v>
      </c>
      <c r="I337" s="11">
        <f t="shared" si="84"/>
        <v>2.3505894099012905E-2</v>
      </c>
      <c r="J337" s="33">
        <f t="shared" si="85"/>
        <v>3.5083424028377469E-2</v>
      </c>
      <c r="K337" s="33">
        <f t="shared" si="86"/>
        <v>28.503489260088841</v>
      </c>
      <c r="L337" s="8">
        <v>0</v>
      </c>
      <c r="M337" s="9">
        <v>1</v>
      </c>
      <c r="N337" s="8">
        <v>0</v>
      </c>
      <c r="O337" s="9">
        <v>0</v>
      </c>
      <c r="P337" s="9">
        <v>1</v>
      </c>
      <c r="Q337" s="9">
        <v>0</v>
      </c>
      <c r="R337" s="9">
        <v>0</v>
      </c>
      <c r="S337" s="8">
        <v>818</v>
      </c>
      <c r="T337" s="9">
        <v>5</v>
      </c>
      <c r="U337" s="9">
        <f t="shared" si="78"/>
        <v>812</v>
      </c>
      <c r="V337" s="9">
        <f t="shared" si="79"/>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83"/>
        <v>0.22100000000000009</v>
      </c>
      <c r="AO337" s="42">
        <v>1</v>
      </c>
      <c r="AP337" s="18">
        <v>0</v>
      </c>
      <c r="AQ337">
        <v>1</v>
      </c>
      <c r="AR337" s="40">
        <v>0</v>
      </c>
      <c r="AS337">
        <v>8.5300000000000001E-2</v>
      </c>
      <c r="AT337" s="40">
        <f t="shared" si="82"/>
        <v>0.91469999999999996</v>
      </c>
      <c r="AU337">
        <v>0</v>
      </c>
      <c r="AV337" s="18">
        <v>1</v>
      </c>
      <c r="AW337">
        <v>0</v>
      </c>
      <c r="AX337" s="18">
        <v>1</v>
      </c>
      <c r="AY337" s="18" t="s">
        <v>5</v>
      </c>
      <c r="AZ337">
        <v>0</v>
      </c>
      <c r="BA337">
        <v>1</v>
      </c>
      <c r="BB337">
        <v>0</v>
      </c>
      <c r="BC337">
        <v>0</v>
      </c>
      <c r="BD337">
        <v>0</v>
      </c>
      <c r="BE337">
        <v>0</v>
      </c>
      <c r="BF337" s="18">
        <v>0</v>
      </c>
      <c r="BG337">
        <v>0</v>
      </c>
      <c r="BH337">
        <v>1</v>
      </c>
      <c r="BI337" s="18">
        <v>0</v>
      </c>
      <c r="BJ337">
        <v>644</v>
      </c>
      <c r="BK337">
        <v>57</v>
      </c>
      <c r="BL337" s="25">
        <v>37.630000000000003</v>
      </c>
      <c r="BM337">
        <v>1</v>
      </c>
      <c r="BN337">
        <v>0</v>
      </c>
      <c r="BO337">
        <v>0</v>
      </c>
      <c r="BP337">
        <v>0</v>
      </c>
      <c r="BQ337">
        <v>0</v>
      </c>
      <c r="BR337">
        <v>0</v>
      </c>
      <c r="BS337">
        <v>0</v>
      </c>
      <c r="BT337" s="18">
        <v>0</v>
      </c>
      <c r="BU337">
        <v>0</v>
      </c>
      <c r="BV337">
        <v>1</v>
      </c>
      <c r="BW337">
        <v>0</v>
      </c>
      <c r="BX337" s="18">
        <v>0</v>
      </c>
      <c r="BY337">
        <v>0</v>
      </c>
      <c r="BZ337">
        <v>0</v>
      </c>
      <c r="CA337">
        <v>0</v>
      </c>
      <c r="CB337">
        <v>0</v>
      </c>
      <c r="CC337" s="18">
        <v>0</v>
      </c>
      <c r="CD337">
        <v>0</v>
      </c>
      <c r="CE337">
        <v>0</v>
      </c>
      <c r="CF337">
        <v>1</v>
      </c>
      <c r="CG337">
        <v>1</v>
      </c>
      <c r="CH337">
        <v>0</v>
      </c>
      <c r="CI337">
        <v>0</v>
      </c>
      <c r="CJ337">
        <v>1</v>
      </c>
      <c r="CK337">
        <v>0</v>
      </c>
      <c r="CL337">
        <v>1</v>
      </c>
      <c r="CM337">
        <v>0</v>
      </c>
      <c r="CN337" s="18">
        <v>1</v>
      </c>
      <c r="CO337">
        <v>0</v>
      </c>
      <c r="CP337">
        <v>3</v>
      </c>
      <c r="CQ337">
        <v>0</v>
      </c>
      <c r="CR337">
        <v>1</v>
      </c>
      <c r="CS337">
        <v>11</v>
      </c>
      <c r="CY337" s="34"/>
    </row>
    <row r="338" spans="1:103" x14ac:dyDescent="0.25">
      <c r="A338">
        <v>337</v>
      </c>
      <c r="B338">
        <v>22</v>
      </c>
      <c r="C338" s="25" t="s">
        <v>235</v>
      </c>
      <c r="D338" s="12">
        <v>0.6</v>
      </c>
      <c r="E338" s="14">
        <f t="shared" si="80"/>
        <v>2.1428571428571428</v>
      </c>
      <c r="F338" s="7">
        <v>0.28000000000000003</v>
      </c>
      <c r="G338" s="7">
        <f t="shared" si="76"/>
        <v>-1.5428571428571427</v>
      </c>
      <c r="H338" s="16">
        <f t="shared" si="77"/>
        <v>2.7428571428571429</v>
      </c>
      <c r="I338" s="11">
        <f t="shared" si="84"/>
        <v>9.0984008236424802E-3</v>
      </c>
      <c r="J338" s="33">
        <f t="shared" si="85"/>
        <v>3.2494288655865997E-2</v>
      </c>
      <c r="K338" s="33">
        <f t="shared" si="86"/>
        <v>30.774638909335721</v>
      </c>
      <c r="L338" s="8">
        <v>0</v>
      </c>
      <c r="M338" s="9">
        <v>1</v>
      </c>
      <c r="N338" s="8">
        <v>0</v>
      </c>
      <c r="O338" s="9">
        <v>0</v>
      </c>
      <c r="P338" s="9">
        <v>1</v>
      </c>
      <c r="Q338" s="9">
        <v>0</v>
      </c>
      <c r="R338" s="9">
        <v>0</v>
      </c>
      <c r="S338" s="8">
        <v>958</v>
      </c>
      <c r="T338" s="9">
        <v>10</v>
      </c>
      <c r="U338" s="9">
        <f t="shared" si="78"/>
        <v>947</v>
      </c>
      <c r="V338" s="9">
        <f t="shared" si="79"/>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83"/>
        <v>0.22100000000000009</v>
      </c>
      <c r="AO338" s="42">
        <v>1</v>
      </c>
      <c r="AP338" s="18">
        <v>0</v>
      </c>
      <c r="AQ338">
        <v>1</v>
      </c>
      <c r="AR338" s="40">
        <v>0</v>
      </c>
      <c r="AS338">
        <v>8.5300000000000001E-2</v>
      </c>
      <c r="AT338" s="40">
        <f t="shared" si="82"/>
        <v>0.91469999999999996</v>
      </c>
      <c r="AU338">
        <v>0</v>
      </c>
      <c r="AV338" s="18">
        <v>1</v>
      </c>
      <c r="AW338">
        <v>0</v>
      </c>
      <c r="AX338" s="18">
        <v>1</v>
      </c>
      <c r="AY338" s="18" t="s">
        <v>5</v>
      </c>
      <c r="AZ338">
        <v>0</v>
      </c>
      <c r="BA338">
        <v>1</v>
      </c>
      <c r="BB338">
        <v>0</v>
      </c>
      <c r="BC338">
        <v>0</v>
      </c>
      <c r="BD338">
        <v>0</v>
      </c>
      <c r="BE338">
        <v>0</v>
      </c>
      <c r="BF338" s="18">
        <v>0</v>
      </c>
      <c r="BG338">
        <v>0</v>
      </c>
      <c r="BH338">
        <v>1</v>
      </c>
      <c r="BI338" s="18">
        <v>0</v>
      </c>
      <c r="BJ338">
        <v>818</v>
      </c>
      <c r="BK338">
        <v>95</v>
      </c>
      <c r="BL338" s="25">
        <v>39.049999999999997</v>
      </c>
      <c r="BM338">
        <v>1</v>
      </c>
      <c r="BN338">
        <v>0</v>
      </c>
      <c r="BO338">
        <v>0</v>
      </c>
      <c r="BP338">
        <v>0</v>
      </c>
      <c r="BQ338">
        <v>0</v>
      </c>
      <c r="BR338">
        <v>1</v>
      </c>
      <c r="BS338">
        <v>0</v>
      </c>
      <c r="BT338" s="18">
        <v>0</v>
      </c>
      <c r="BU338">
        <v>0</v>
      </c>
      <c r="BV338">
        <v>1</v>
      </c>
      <c r="BW338">
        <v>0</v>
      </c>
      <c r="BX338" s="18">
        <v>0</v>
      </c>
      <c r="BY338">
        <v>0</v>
      </c>
      <c r="BZ338">
        <v>0</v>
      </c>
      <c r="CA338">
        <v>0</v>
      </c>
      <c r="CB338">
        <v>0</v>
      </c>
      <c r="CC338" s="18">
        <v>0</v>
      </c>
      <c r="CD338">
        <v>0</v>
      </c>
      <c r="CE338">
        <v>0</v>
      </c>
      <c r="CF338">
        <v>1</v>
      </c>
      <c r="CG338">
        <v>1</v>
      </c>
      <c r="CH338">
        <v>0</v>
      </c>
      <c r="CI338">
        <v>0</v>
      </c>
      <c r="CJ338">
        <v>1</v>
      </c>
      <c r="CK338">
        <v>0</v>
      </c>
      <c r="CL338">
        <v>1</v>
      </c>
      <c r="CM338">
        <v>0</v>
      </c>
      <c r="CN338" s="18">
        <v>1</v>
      </c>
      <c r="CO338">
        <v>0</v>
      </c>
      <c r="CP338">
        <v>3</v>
      </c>
      <c r="CQ338">
        <v>0</v>
      </c>
      <c r="CR338">
        <v>1</v>
      </c>
      <c r="CS338">
        <v>11</v>
      </c>
      <c r="CY338" s="34"/>
    </row>
    <row r="339" spans="1:103" x14ac:dyDescent="0.25">
      <c r="A339">
        <v>338</v>
      </c>
      <c r="B339">
        <v>22</v>
      </c>
      <c r="C339" s="25" t="s">
        <v>235</v>
      </c>
      <c r="D339" s="12">
        <v>2.9</v>
      </c>
      <c r="E339" s="14">
        <f t="shared" si="80"/>
        <v>0.85545722713864303</v>
      </c>
      <c r="F339" s="7">
        <v>3.39</v>
      </c>
      <c r="G339" s="7">
        <f t="shared" si="76"/>
        <v>2.044542772861357</v>
      </c>
      <c r="H339" s="16">
        <f t="shared" si="77"/>
        <v>3.7554572271386428</v>
      </c>
      <c r="I339" s="11">
        <f t="shared" si="84"/>
        <v>0.13101679456485232</v>
      </c>
      <c r="J339" s="33">
        <f t="shared" si="85"/>
        <v>3.8648021995531662E-2</v>
      </c>
      <c r="K339" s="33">
        <f t="shared" si="86"/>
        <v>25.874545406634684</v>
      </c>
      <c r="L339" s="8">
        <v>0</v>
      </c>
      <c r="M339" s="9">
        <v>1</v>
      </c>
      <c r="N339" s="8">
        <v>0</v>
      </c>
      <c r="O339" s="9">
        <v>0</v>
      </c>
      <c r="P339" s="9">
        <v>1</v>
      </c>
      <c r="Q339" s="9">
        <v>0</v>
      </c>
      <c r="R339" s="9">
        <v>0</v>
      </c>
      <c r="S339" s="8">
        <v>664</v>
      </c>
      <c r="T339" s="9">
        <v>5</v>
      </c>
      <c r="U339" s="9">
        <f t="shared" si="78"/>
        <v>658</v>
      </c>
      <c r="V339" s="9">
        <f t="shared" si="79"/>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83"/>
        <v>0.15700000000000003</v>
      </c>
      <c r="AO339" s="42">
        <v>1</v>
      </c>
      <c r="AP339" s="18">
        <v>0</v>
      </c>
      <c r="AQ339">
        <v>1</v>
      </c>
      <c r="AR339" s="40">
        <v>0</v>
      </c>
      <c r="AS339">
        <v>8.5300000000000001E-2</v>
      </c>
      <c r="AT339" s="40">
        <f t="shared" si="82"/>
        <v>0.91469999999999996</v>
      </c>
      <c r="AU339">
        <v>0</v>
      </c>
      <c r="AV339" s="18">
        <v>1</v>
      </c>
      <c r="AW339">
        <v>0</v>
      </c>
      <c r="AX339" s="18">
        <v>1</v>
      </c>
      <c r="AY339" s="18" t="s">
        <v>5</v>
      </c>
      <c r="AZ339">
        <v>0</v>
      </c>
      <c r="BA339">
        <v>1</v>
      </c>
      <c r="BB339">
        <v>0</v>
      </c>
      <c r="BC339">
        <v>0</v>
      </c>
      <c r="BD339">
        <v>0</v>
      </c>
      <c r="BE339">
        <v>0</v>
      </c>
      <c r="BF339" s="18">
        <v>0</v>
      </c>
      <c r="BG339">
        <v>0</v>
      </c>
      <c r="BH339">
        <v>1</v>
      </c>
      <c r="BI339" s="18">
        <v>0</v>
      </c>
      <c r="BJ339">
        <v>489</v>
      </c>
      <c r="BK339">
        <v>12</v>
      </c>
      <c r="BL339" s="25">
        <v>37.79</v>
      </c>
      <c r="BM339">
        <v>1</v>
      </c>
      <c r="BN339">
        <v>0</v>
      </c>
      <c r="BO339">
        <v>0</v>
      </c>
      <c r="BP339">
        <v>0</v>
      </c>
      <c r="BQ339">
        <v>0</v>
      </c>
      <c r="BR339">
        <v>0</v>
      </c>
      <c r="BS339">
        <v>0</v>
      </c>
      <c r="BT339" s="18">
        <v>0</v>
      </c>
      <c r="BU339">
        <v>0</v>
      </c>
      <c r="BV339">
        <v>1</v>
      </c>
      <c r="BW339">
        <v>0</v>
      </c>
      <c r="BX339" s="18">
        <v>0</v>
      </c>
      <c r="BY339">
        <v>0</v>
      </c>
      <c r="BZ339">
        <v>0</v>
      </c>
      <c r="CA339">
        <v>0</v>
      </c>
      <c r="CB339">
        <v>0</v>
      </c>
      <c r="CC339" s="18">
        <v>0</v>
      </c>
      <c r="CD339">
        <v>0</v>
      </c>
      <c r="CE339">
        <v>0</v>
      </c>
      <c r="CF339">
        <v>1</v>
      </c>
      <c r="CG339">
        <v>1</v>
      </c>
      <c r="CH339">
        <v>0</v>
      </c>
      <c r="CI339">
        <v>0</v>
      </c>
      <c r="CJ339">
        <v>1</v>
      </c>
      <c r="CK339">
        <v>0</v>
      </c>
      <c r="CL339">
        <v>1</v>
      </c>
      <c r="CM339">
        <v>0</v>
      </c>
      <c r="CN339" s="18">
        <v>1</v>
      </c>
      <c r="CO339">
        <v>0</v>
      </c>
      <c r="CP339">
        <v>3</v>
      </c>
      <c r="CQ339">
        <v>0</v>
      </c>
      <c r="CR339">
        <v>1</v>
      </c>
      <c r="CS339">
        <v>11</v>
      </c>
      <c r="CY339" s="34"/>
    </row>
    <row r="340" spans="1:103" x14ac:dyDescent="0.25">
      <c r="A340">
        <v>339</v>
      </c>
      <c r="B340">
        <v>22</v>
      </c>
      <c r="C340" s="25" t="s">
        <v>235</v>
      </c>
      <c r="D340" s="12">
        <v>3.9</v>
      </c>
      <c r="E340" s="14">
        <f t="shared" si="80"/>
        <v>1.4285714285714286</v>
      </c>
      <c r="F340" s="7">
        <v>2.73</v>
      </c>
      <c r="G340" s="7">
        <f t="shared" si="76"/>
        <v>2.4714285714285715</v>
      </c>
      <c r="H340" s="16">
        <f t="shared" si="77"/>
        <v>5.3285714285714283</v>
      </c>
      <c r="I340" s="11">
        <f t="shared" si="84"/>
        <v>8.5169027029795424E-2</v>
      </c>
      <c r="J340" s="33">
        <f t="shared" si="85"/>
        <v>3.1197445798459868E-2</v>
      </c>
      <c r="K340" s="33">
        <f t="shared" si="86"/>
        <v>32.0539061582204</v>
      </c>
      <c r="L340" s="8">
        <v>0</v>
      </c>
      <c r="M340" s="9">
        <v>1</v>
      </c>
      <c r="N340" s="8">
        <v>0</v>
      </c>
      <c r="O340" s="9">
        <v>0</v>
      </c>
      <c r="P340" s="9">
        <v>1</v>
      </c>
      <c r="Q340" s="9">
        <v>0</v>
      </c>
      <c r="R340" s="9">
        <v>0</v>
      </c>
      <c r="S340" s="8">
        <v>1031</v>
      </c>
      <c r="T340" s="9">
        <v>10</v>
      </c>
      <c r="U340" s="9">
        <f t="shared" si="78"/>
        <v>1020</v>
      </c>
      <c r="V340" s="9">
        <f t="shared" si="79"/>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83"/>
        <v>0.15700000000000003</v>
      </c>
      <c r="AO340" s="42">
        <v>1</v>
      </c>
      <c r="AP340" s="18">
        <v>0</v>
      </c>
      <c r="AQ340">
        <v>1</v>
      </c>
      <c r="AR340" s="40">
        <v>0</v>
      </c>
      <c r="AS340">
        <v>8.5300000000000001E-2</v>
      </c>
      <c r="AT340" s="40">
        <f t="shared" si="82"/>
        <v>0.91469999999999996</v>
      </c>
      <c r="AU340">
        <v>0</v>
      </c>
      <c r="AV340" s="18">
        <v>1</v>
      </c>
      <c r="AW340">
        <v>0</v>
      </c>
      <c r="AX340" s="18">
        <v>1</v>
      </c>
      <c r="AY340" s="18" t="s">
        <v>5</v>
      </c>
      <c r="AZ340">
        <v>0</v>
      </c>
      <c r="BA340">
        <v>1</v>
      </c>
      <c r="BB340">
        <v>0</v>
      </c>
      <c r="BC340">
        <v>0</v>
      </c>
      <c r="BD340">
        <v>0</v>
      </c>
      <c r="BE340">
        <v>0</v>
      </c>
      <c r="BF340" s="18">
        <v>0</v>
      </c>
      <c r="BG340">
        <v>0</v>
      </c>
      <c r="BH340">
        <v>1</v>
      </c>
      <c r="BI340" s="18">
        <v>0</v>
      </c>
      <c r="BJ340">
        <v>501</v>
      </c>
      <c r="BK340">
        <v>30</v>
      </c>
      <c r="BL340" s="25">
        <v>39</v>
      </c>
      <c r="BM340">
        <v>1</v>
      </c>
      <c r="BN340">
        <v>0</v>
      </c>
      <c r="BO340">
        <v>0</v>
      </c>
      <c r="BP340">
        <v>0</v>
      </c>
      <c r="BQ340">
        <v>0</v>
      </c>
      <c r="BR340">
        <v>1</v>
      </c>
      <c r="BS340">
        <v>0</v>
      </c>
      <c r="BT340" s="18">
        <v>0</v>
      </c>
      <c r="BU340">
        <v>0</v>
      </c>
      <c r="BV340">
        <v>1</v>
      </c>
      <c r="BW340">
        <v>0</v>
      </c>
      <c r="BX340" s="18">
        <v>0</v>
      </c>
      <c r="BY340">
        <v>0</v>
      </c>
      <c r="BZ340">
        <v>0</v>
      </c>
      <c r="CA340">
        <v>0</v>
      </c>
      <c r="CB340">
        <v>0</v>
      </c>
      <c r="CC340" s="18">
        <v>0</v>
      </c>
      <c r="CD340">
        <v>0</v>
      </c>
      <c r="CE340">
        <v>0</v>
      </c>
      <c r="CF340">
        <v>1</v>
      </c>
      <c r="CG340">
        <v>1</v>
      </c>
      <c r="CH340">
        <v>0</v>
      </c>
      <c r="CI340">
        <v>0</v>
      </c>
      <c r="CJ340">
        <v>1</v>
      </c>
      <c r="CK340">
        <v>0</v>
      </c>
      <c r="CL340">
        <v>1</v>
      </c>
      <c r="CM340">
        <v>0</v>
      </c>
      <c r="CN340" s="18">
        <v>1</v>
      </c>
      <c r="CO340">
        <v>0</v>
      </c>
      <c r="CP340">
        <v>3</v>
      </c>
      <c r="CQ340">
        <v>0</v>
      </c>
      <c r="CR340">
        <v>1</v>
      </c>
      <c r="CS340">
        <v>11</v>
      </c>
      <c r="CY340" s="34"/>
    </row>
    <row r="341" spans="1:103" x14ac:dyDescent="0.25">
      <c r="A341">
        <v>340</v>
      </c>
      <c r="B341">
        <v>22</v>
      </c>
      <c r="C341" s="25" t="s">
        <v>235</v>
      </c>
      <c r="D341" s="12">
        <v>5.2</v>
      </c>
      <c r="E341" s="14">
        <f t="shared" si="80"/>
        <v>1.0526315789473684</v>
      </c>
      <c r="F341" s="7">
        <v>4.9400000000000004</v>
      </c>
      <c r="G341" s="7">
        <f t="shared" si="76"/>
        <v>4.147368421052632</v>
      </c>
      <c r="H341" s="16">
        <f t="shared" si="77"/>
        <v>6.2526315789473683</v>
      </c>
      <c r="I341" s="11">
        <f t="shared" si="84"/>
        <v>0.19690753597255725</v>
      </c>
      <c r="J341" s="33">
        <f t="shared" si="85"/>
        <v>3.9859825095659357E-2</v>
      </c>
      <c r="K341" s="33">
        <f t="shared" si="86"/>
        <v>25.087917410578346</v>
      </c>
      <c r="L341" s="8">
        <v>0</v>
      </c>
      <c r="M341" s="9">
        <v>1</v>
      </c>
      <c r="N341" s="8">
        <v>0</v>
      </c>
      <c r="O341" s="9">
        <v>0</v>
      </c>
      <c r="P341" s="9">
        <v>1</v>
      </c>
      <c r="Q341" s="9">
        <v>0</v>
      </c>
      <c r="R341" s="9">
        <v>0</v>
      </c>
      <c r="S341" s="8">
        <v>611</v>
      </c>
      <c r="T341" s="9">
        <v>5</v>
      </c>
      <c r="U341" s="9">
        <f t="shared" si="78"/>
        <v>605</v>
      </c>
      <c r="V341" s="9">
        <f t="shared" si="79"/>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83"/>
        <v>0.22100000000000009</v>
      </c>
      <c r="AO341" s="42">
        <v>1</v>
      </c>
      <c r="AP341" s="18">
        <v>0</v>
      </c>
      <c r="AQ341">
        <v>1</v>
      </c>
      <c r="AR341" s="40">
        <v>0</v>
      </c>
      <c r="AS341">
        <v>8.5300000000000001E-2</v>
      </c>
      <c r="AT341" s="40">
        <f t="shared" si="82"/>
        <v>0.91469999999999996</v>
      </c>
      <c r="AU341">
        <v>0</v>
      </c>
      <c r="AV341" s="18">
        <v>1</v>
      </c>
      <c r="AW341">
        <v>0</v>
      </c>
      <c r="AX341" s="18">
        <v>1</v>
      </c>
      <c r="AY341" s="18" t="s">
        <v>5</v>
      </c>
      <c r="AZ341">
        <v>0</v>
      </c>
      <c r="BA341">
        <v>1</v>
      </c>
      <c r="BB341">
        <v>0</v>
      </c>
      <c r="BC341">
        <v>0</v>
      </c>
      <c r="BD341">
        <v>0</v>
      </c>
      <c r="BE341">
        <v>0</v>
      </c>
      <c r="BF341" s="18">
        <v>0</v>
      </c>
      <c r="BG341">
        <v>0</v>
      </c>
      <c r="BH341">
        <v>1</v>
      </c>
      <c r="BI341" s="18">
        <v>0</v>
      </c>
      <c r="BJ341">
        <v>644</v>
      </c>
      <c r="BK341">
        <v>57</v>
      </c>
      <c r="BL341" s="25">
        <v>37.630000000000003</v>
      </c>
      <c r="BM341">
        <v>1</v>
      </c>
      <c r="BN341">
        <v>0</v>
      </c>
      <c r="BO341">
        <v>0</v>
      </c>
      <c r="BP341">
        <v>0</v>
      </c>
      <c r="BQ341">
        <v>0</v>
      </c>
      <c r="BR341">
        <v>0</v>
      </c>
      <c r="BS341">
        <v>0</v>
      </c>
      <c r="BT341" s="18">
        <v>0</v>
      </c>
      <c r="BU341">
        <v>0</v>
      </c>
      <c r="BV341">
        <v>1</v>
      </c>
      <c r="BW341">
        <v>0</v>
      </c>
      <c r="BX341" s="18">
        <v>0</v>
      </c>
      <c r="BY341">
        <v>0</v>
      </c>
      <c r="BZ341">
        <v>0</v>
      </c>
      <c r="CA341">
        <v>0</v>
      </c>
      <c r="CB341">
        <v>0</v>
      </c>
      <c r="CC341" s="18">
        <v>0</v>
      </c>
      <c r="CD341">
        <v>0</v>
      </c>
      <c r="CE341">
        <v>0</v>
      </c>
      <c r="CF341">
        <v>1</v>
      </c>
      <c r="CG341">
        <v>1</v>
      </c>
      <c r="CH341">
        <v>0</v>
      </c>
      <c r="CI341">
        <v>0</v>
      </c>
      <c r="CJ341">
        <v>1</v>
      </c>
      <c r="CK341">
        <v>0</v>
      </c>
      <c r="CL341">
        <v>1</v>
      </c>
      <c r="CM341">
        <v>0</v>
      </c>
      <c r="CN341" s="18">
        <v>1</v>
      </c>
      <c r="CO341">
        <v>0</v>
      </c>
      <c r="CP341">
        <v>3</v>
      </c>
      <c r="CQ341">
        <v>0</v>
      </c>
      <c r="CR341">
        <v>1</v>
      </c>
      <c r="CS341">
        <v>11</v>
      </c>
      <c r="CY341" s="34"/>
    </row>
    <row r="342" spans="1:103" x14ac:dyDescent="0.25">
      <c r="A342">
        <v>341</v>
      </c>
      <c r="B342">
        <v>22</v>
      </c>
      <c r="C342" s="25" t="s">
        <v>235</v>
      </c>
      <c r="D342" s="12">
        <v>5.5</v>
      </c>
      <c r="E342" s="14">
        <f t="shared" si="80"/>
        <v>2.477477477477477</v>
      </c>
      <c r="F342" s="7">
        <v>2.2200000000000002</v>
      </c>
      <c r="G342" s="7">
        <f t="shared" si="76"/>
        <v>3.022522522522523</v>
      </c>
      <c r="H342" s="16">
        <f t="shared" si="77"/>
        <v>7.9774774774774766</v>
      </c>
      <c r="I342" s="11">
        <f t="shared" si="84"/>
        <v>7.7481912916654835E-2</v>
      </c>
      <c r="J342" s="33">
        <f t="shared" si="85"/>
        <v>3.4901762575069745E-2</v>
      </c>
      <c r="K342" s="33">
        <f t="shared" si="86"/>
        <v>28.651848107931887</v>
      </c>
      <c r="L342" s="8">
        <v>0</v>
      </c>
      <c r="M342" s="9">
        <v>1</v>
      </c>
      <c r="N342" s="8">
        <v>0</v>
      </c>
      <c r="O342" s="9">
        <v>0</v>
      </c>
      <c r="P342" s="9">
        <v>1</v>
      </c>
      <c r="Q342" s="9">
        <v>0</v>
      </c>
      <c r="R342" s="9">
        <v>0</v>
      </c>
      <c r="S342" s="8">
        <v>827</v>
      </c>
      <c r="T342" s="9">
        <v>10</v>
      </c>
      <c r="U342" s="9">
        <f t="shared" si="78"/>
        <v>816</v>
      </c>
      <c r="V342" s="9">
        <f t="shared" si="79"/>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83"/>
        <v>0.22100000000000009</v>
      </c>
      <c r="AO342" s="42">
        <v>1</v>
      </c>
      <c r="AP342" s="18">
        <v>0</v>
      </c>
      <c r="AQ342">
        <v>1</v>
      </c>
      <c r="AR342" s="40">
        <v>0</v>
      </c>
      <c r="AS342">
        <v>8.5300000000000001E-2</v>
      </c>
      <c r="AT342" s="40">
        <f t="shared" si="82"/>
        <v>0.91469999999999996</v>
      </c>
      <c r="AU342">
        <v>0</v>
      </c>
      <c r="AV342" s="18">
        <v>1</v>
      </c>
      <c r="AW342">
        <v>0</v>
      </c>
      <c r="AX342" s="18">
        <v>1</v>
      </c>
      <c r="AY342" s="18" t="s">
        <v>5</v>
      </c>
      <c r="AZ342">
        <v>0</v>
      </c>
      <c r="BA342">
        <v>1</v>
      </c>
      <c r="BB342">
        <v>0</v>
      </c>
      <c r="BC342">
        <v>0</v>
      </c>
      <c r="BD342">
        <v>0</v>
      </c>
      <c r="BE342">
        <v>0</v>
      </c>
      <c r="BF342" s="18">
        <v>0</v>
      </c>
      <c r="BG342">
        <v>0</v>
      </c>
      <c r="BH342">
        <v>1</v>
      </c>
      <c r="BI342" s="18">
        <v>0</v>
      </c>
      <c r="BJ342">
        <v>818</v>
      </c>
      <c r="BK342">
        <v>95</v>
      </c>
      <c r="BL342" s="25">
        <v>39.049999999999997</v>
      </c>
      <c r="BM342">
        <v>1</v>
      </c>
      <c r="BN342">
        <v>0</v>
      </c>
      <c r="BO342">
        <v>0</v>
      </c>
      <c r="BP342">
        <v>0</v>
      </c>
      <c r="BQ342">
        <v>0</v>
      </c>
      <c r="BR342">
        <v>1</v>
      </c>
      <c r="BS342">
        <v>0</v>
      </c>
      <c r="BT342" s="18">
        <v>0</v>
      </c>
      <c r="BU342">
        <v>0</v>
      </c>
      <c r="BV342">
        <v>1</v>
      </c>
      <c r="BW342">
        <v>0</v>
      </c>
      <c r="BX342" s="18">
        <v>0</v>
      </c>
      <c r="BY342">
        <v>0</v>
      </c>
      <c r="BZ342">
        <v>0</v>
      </c>
      <c r="CA342">
        <v>0</v>
      </c>
      <c r="CB342">
        <v>0</v>
      </c>
      <c r="CC342" s="18">
        <v>0</v>
      </c>
      <c r="CD342">
        <v>0</v>
      </c>
      <c r="CE342">
        <v>0</v>
      </c>
      <c r="CF342">
        <v>1</v>
      </c>
      <c r="CG342">
        <v>1</v>
      </c>
      <c r="CH342">
        <v>0</v>
      </c>
      <c r="CI342">
        <v>0</v>
      </c>
      <c r="CJ342">
        <v>1</v>
      </c>
      <c r="CK342">
        <v>0</v>
      </c>
      <c r="CL342">
        <v>1</v>
      </c>
      <c r="CM342">
        <v>0</v>
      </c>
      <c r="CN342" s="18">
        <v>1</v>
      </c>
      <c r="CO342">
        <v>0</v>
      </c>
      <c r="CP342">
        <v>3</v>
      </c>
      <c r="CQ342">
        <v>0</v>
      </c>
      <c r="CR342">
        <v>1</v>
      </c>
      <c r="CS342">
        <v>11</v>
      </c>
      <c r="CY342" s="34"/>
    </row>
    <row r="343" spans="1:103" x14ac:dyDescent="0.25">
      <c r="A343">
        <v>342</v>
      </c>
      <c r="B343">
        <v>22</v>
      </c>
      <c r="C343" s="25" t="s">
        <v>235</v>
      </c>
      <c r="D343" s="12">
        <v>2.2000000000000002</v>
      </c>
      <c r="E343" s="14">
        <f t="shared" si="80"/>
        <v>0.54590570719602982</v>
      </c>
      <c r="F343" s="7">
        <v>4.03</v>
      </c>
      <c r="G343" s="7">
        <f t="shared" si="76"/>
        <v>1.6540942928039704</v>
      </c>
      <c r="H343" s="16">
        <f t="shared" si="77"/>
        <v>2.7459057071960302</v>
      </c>
      <c r="I343" s="11">
        <f t="shared" si="84"/>
        <v>5.3914595065672373E-2</v>
      </c>
      <c r="J343" s="33">
        <f t="shared" si="85"/>
        <v>1.3378311430687934E-2</v>
      </c>
      <c r="K343" s="33">
        <f t="shared" si="86"/>
        <v>74.747848798477136</v>
      </c>
      <c r="L343" s="8">
        <v>0</v>
      </c>
      <c r="M343" s="9">
        <v>1</v>
      </c>
      <c r="N343" s="8">
        <v>0</v>
      </c>
      <c r="O343" s="9">
        <v>0</v>
      </c>
      <c r="P343" s="9">
        <v>1</v>
      </c>
      <c r="Q343" s="9">
        <v>0</v>
      </c>
      <c r="R343" s="9">
        <v>0</v>
      </c>
      <c r="S343" s="8">
        <v>5589</v>
      </c>
      <c r="T343" s="9">
        <v>17</v>
      </c>
      <c r="U343" s="9">
        <f t="shared" si="78"/>
        <v>5571</v>
      </c>
      <c r="V343" s="9">
        <f t="shared" si="79"/>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82"/>
        <v>0.91469999999999996</v>
      </c>
      <c r="AU343">
        <v>0</v>
      </c>
      <c r="AV343" s="18">
        <v>1</v>
      </c>
      <c r="AW343">
        <v>0</v>
      </c>
      <c r="AX343" s="18">
        <v>1</v>
      </c>
      <c r="AY343" s="18" t="s">
        <v>5</v>
      </c>
      <c r="AZ343">
        <v>0</v>
      </c>
      <c r="BA343">
        <v>1</v>
      </c>
      <c r="BB343">
        <v>0</v>
      </c>
      <c r="BC343">
        <v>0</v>
      </c>
      <c r="BD343">
        <v>0</v>
      </c>
      <c r="BE343">
        <v>0</v>
      </c>
      <c r="BF343" s="18">
        <v>0</v>
      </c>
      <c r="BG343">
        <v>0</v>
      </c>
      <c r="BH343">
        <v>1</v>
      </c>
      <c r="BI343" s="18">
        <v>0</v>
      </c>
      <c r="BJ343">
        <v>557</v>
      </c>
      <c r="BK343">
        <v>41</v>
      </c>
      <c r="BL343" s="25">
        <v>38.32</v>
      </c>
      <c r="BM343">
        <v>0</v>
      </c>
      <c r="BN343">
        <v>0</v>
      </c>
      <c r="BO343">
        <v>0</v>
      </c>
      <c r="BP343">
        <v>1</v>
      </c>
      <c r="BQ343">
        <v>0</v>
      </c>
      <c r="BR343">
        <v>0</v>
      </c>
      <c r="BS343">
        <v>0</v>
      </c>
      <c r="BT343" s="18">
        <v>0</v>
      </c>
      <c r="BU343">
        <v>0</v>
      </c>
      <c r="BV343">
        <v>1</v>
      </c>
      <c r="BW343">
        <v>0</v>
      </c>
      <c r="BX343" s="18">
        <v>0</v>
      </c>
      <c r="BY343">
        <v>0</v>
      </c>
      <c r="BZ343">
        <v>0</v>
      </c>
      <c r="CA343">
        <v>0</v>
      </c>
      <c r="CB343">
        <v>0</v>
      </c>
      <c r="CC343" s="18">
        <v>0</v>
      </c>
      <c r="CD343">
        <v>0</v>
      </c>
      <c r="CE343">
        <v>0</v>
      </c>
      <c r="CF343">
        <v>1</v>
      </c>
      <c r="CG343">
        <v>1</v>
      </c>
      <c r="CH343">
        <v>0</v>
      </c>
      <c r="CI343">
        <v>0</v>
      </c>
      <c r="CJ343">
        <v>1</v>
      </c>
      <c r="CK343">
        <v>0</v>
      </c>
      <c r="CL343">
        <v>1</v>
      </c>
      <c r="CM343">
        <v>0</v>
      </c>
      <c r="CN343" s="18">
        <v>1</v>
      </c>
      <c r="CO343">
        <v>0</v>
      </c>
      <c r="CP343">
        <v>3</v>
      </c>
      <c r="CQ343">
        <v>0</v>
      </c>
      <c r="CR343">
        <v>1</v>
      </c>
      <c r="CS343">
        <v>11</v>
      </c>
      <c r="CY343" s="34"/>
    </row>
    <row r="344" spans="1:103" x14ac:dyDescent="0.25">
      <c r="A344">
        <v>343</v>
      </c>
      <c r="B344">
        <v>22</v>
      </c>
      <c r="C344" s="25" t="s">
        <v>235</v>
      </c>
      <c r="D344" s="12">
        <v>2.7</v>
      </c>
      <c r="E344" s="14">
        <f t="shared" si="80"/>
        <v>0.54655870445344124</v>
      </c>
      <c r="F344" s="7">
        <v>4.9400000000000004</v>
      </c>
      <c r="G344" s="7">
        <f t="shared" si="76"/>
        <v>2.1534412955465587</v>
      </c>
      <c r="H344" s="16">
        <f t="shared" si="77"/>
        <v>3.2465587044534416</v>
      </c>
      <c r="I344" s="11">
        <f t="shared" si="84"/>
        <v>6.6005255397725685E-2</v>
      </c>
      <c r="J344" s="33">
        <f t="shared" si="85"/>
        <v>1.3361387732333132E-2</v>
      </c>
      <c r="K344" s="33">
        <f t="shared" si="86"/>
        <v>74.842525344886653</v>
      </c>
      <c r="L344" s="8">
        <v>0</v>
      </c>
      <c r="M344" s="9">
        <v>1</v>
      </c>
      <c r="N344" s="8">
        <v>0</v>
      </c>
      <c r="O344" s="9">
        <v>0</v>
      </c>
      <c r="P344" s="9">
        <v>1</v>
      </c>
      <c r="Q344" s="9">
        <v>0</v>
      </c>
      <c r="R344" s="9">
        <v>0</v>
      </c>
      <c r="S344" s="8">
        <v>5589</v>
      </c>
      <c r="T344" s="9">
        <v>11</v>
      </c>
      <c r="U344" s="9">
        <f t="shared" si="78"/>
        <v>5577</v>
      </c>
      <c r="V344" s="9">
        <f t="shared" si="79"/>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82"/>
        <v>0.91469999999999996</v>
      </c>
      <c r="AU344">
        <v>0</v>
      </c>
      <c r="AV344" s="18">
        <v>1</v>
      </c>
      <c r="AW344">
        <v>0</v>
      </c>
      <c r="AX344" s="18">
        <v>1</v>
      </c>
      <c r="AY344" s="18" t="s">
        <v>5</v>
      </c>
      <c r="AZ344">
        <v>0</v>
      </c>
      <c r="BA344">
        <v>1</v>
      </c>
      <c r="BB344">
        <v>0</v>
      </c>
      <c r="BC344">
        <v>0</v>
      </c>
      <c r="BD344">
        <v>0</v>
      </c>
      <c r="BE344">
        <v>0</v>
      </c>
      <c r="BF344" s="18">
        <v>0</v>
      </c>
      <c r="BG344">
        <v>0</v>
      </c>
      <c r="BH344">
        <v>1</v>
      </c>
      <c r="BI344" s="18">
        <v>0</v>
      </c>
      <c r="BJ344">
        <v>557</v>
      </c>
      <c r="BK344">
        <v>41</v>
      </c>
      <c r="BL344" s="25">
        <v>38.32</v>
      </c>
      <c r="BM344">
        <v>0</v>
      </c>
      <c r="BN344">
        <v>0</v>
      </c>
      <c r="BO344">
        <v>0</v>
      </c>
      <c r="BP344">
        <v>1</v>
      </c>
      <c r="BQ344">
        <v>0</v>
      </c>
      <c r="BR344">
        <v>0</v>
      </c>
      <c r="BS344">
        <v>0</v>
      </c>
      <c r="BT344" s="18">
        <v>0</v>
      </c>
      <c r="BU344">
        <v>0</v>
      </c>
      <c r="BV344">
        <v>1</v>
      </c>
      <c r="BW344">
        <v>0</v>
      </c>
      <c r="BX344" s="18">
        <v>0</v>
      </c>
      <c r="BY344">
        <v>0</v>
      </c>
      <c r="BZ344">
        <v>0</v>
      </c>
      <c r="CA344">
        <v>0</v>
      </c>
      <c r="CB344">
        <v>0</v>
      </c>
      <c r="CC344" s="18">
        <v>0</v>
      </c>
      <c r="CD344">
        <v>0</v>
      </c>
      <c r="CE344">
        <v>0</v>
      </c>
      <c r="CF344">
        <v>1</v>
      </c>
      <c r="CG344">
        <v>1</v>
      </c>
      <c r="CH344">
        <v>0</v>
      </c>
      <c r="CI344">
        <v>0</v>
      </c>
      <c r="CJ344">
        <v>1</v>
      </c>
      <c r="CK344">
        <v>0</v>
      </c>
      <c r="CL344">
        <v>1</v>
      </c>
      <c r="CM344">
        <v>0</v>
      </c>
      <c r="CN344" s="18">
        <v>1</v>
      </c>
      <c r="CO344">
        <v>0</v>
      </c>
      <c r="CP344">
        <v>3</v>
      </c>
      <c r="CQ344">
        <v>0</v>
      </c>
      <c r="CR344">
        <v>1</v>
      </c>
      <c r="CS344">
        <v>11</v>
      </c>
      <c r="CY344" s="34"/>
    </row>
    <row r="345" spans="1:103" x14ac:dyDescent="0.25">
      <c r="A345">
        <v>344</v>
      </c>
      <c r="B345">
        <v>22</v>
      </c>
      <c r="C345" s="25" t="s">
        <v>235</v>
      </c>
      <c r="D345" s="12">
        <v>4.5999999999999996</v>
      </c>
      <c r="E345" s="14">
        <f t="shared" si="80"/>
        <v>1.1084337349397588</v>
      </c>
      <c r="F345" s="7">
        <v>4.1500000000000004</v>
      </c>
      <c r="G345" s="7">
        <f t="shared" si="76"/>
        <v>3.491566265060241</v>
      </c>
      <c r="H345" s="16">
        <f t="shared" si="77"/>
        <v>5.7084337349397583</v>
      </c>
      <c r="I345" s="11">
        <f t="shared" si="84"/>
        <v>5.549029692427087E-2</v>
      </c>
      <c r="J345" s="33">
        <f t="shared" si="85"/>
        <v>1.3371155885366474E-2</v>
      </c>
      <c r="K345" s="33">
        <f t="shared" si="86"/>
        <v>74.787849949039185</v>
      </c>
      <c r="L345" s="8">
        <v>0</v>
      </c>
      <c r="M345" s="9">
        <v>1</v>
      </c>
      <c r="N345" s="8">
        <v>0</v>
      </c>
      <c r="O345" s="9">
        <v>0</v>
      </c>
      <c r="P345" s="9">
        <v>1</v>
      </c>
      <c r="Q345" s="9">
        <v>0</v>
      </c>
      <c r="R345" s="9">
        <v>0</v>
      </c>
      <c r="S345" s="8">
        <v>5589</v>
      </c>
      <c r="T345" s="9">
        <v>12</v>
      </c>
      <c r="U345" s="9">
        <f t="shared" si="78"/>
        <v>5576</v>
      </c>
      <c r="V345" s="9">
        <f t="shared" si="79"/>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82"/>
        <v>0.91469999999999996</v>
      </c>
      <c r="AU345">
        <v>0</v>
      </c>
      <c r="AV345" s="18">
        <v>1</v>
      </c>
      <c r="AW345">
        <v>0</v>
      </c>
      <c r="AX345" s="18">
        <v>1</v>
      </c>
      <c r="AY345" s="18" t="s">
        <v>5</v>
      </c>
      <c r="AZ345">
        <v>0</v>
      </c>
      <c r="BA345">
        <v>1</v>
      </c>
      <c r="BB345">
        <v>0</v>
      </c>
      <c r="BC345">
        <v>0</v>
      </c>
      <c r="BD345">
        <v>0</v>
      </c>
      <c r="BE345">
        <v>0</v>
      </c>
      <c r="BF345" s="18">
        <v>0</v>
      </c>
      <c r="BG345">
        <v>0</v>
      </c>
      <c r="BH345">
        <v>1</v>
      </c>
      <c r="BI345" s="18">
        <v>0</v>
      </c>
      <c r="BJ345">
        <v>557</v>
      </c>
      <c r="BK345">
        <v>41</v>
      </c>
      <c r="BL345" s="25">
        <v>38.32</v>
      </c>
      <c r="BM345">
        <v>0</v>
      </c>
      <c r="BN345">
        <v>0</v>
      </c>
      <c r="BO345">
        <v>0</v>
      </c>
      <c r="BP345">
        <v>1</v>
      </c>
      <c r="BQ345">
        <v>0</v>
      </c>
      <c r="BR345">
        <v>0</v>
      </c>
      <c r="BS345">
        <v>0</v>
      </c>
      <c r="BT345" s="18">
        <v>0</v>
      </c>
      <c r="BU345">
        <v>0</v>
      </c>
      <c r="BV345">
        <v>1</v>
      </c>
      <c r="BW345">
        <v>0</v>
      </c>
      <c r="BX345" s="18">
        <v>0</v>
      </c>
      <c r="BY345">
        <v>0</v>
      </c>
      <c r="BZ345">
        <v>0</v>
      </c>
      <c r="CA345">
        <v>0</v>
      </c>
      <c r="CB345">
        <v>0</v>
      </c>
      <c r="CC345" s="18">
        <v>1</v>
      </c>
      <c r="CD345">
        <v>0</v>
      </c>
      <c r="CE345">
        <v>0</v>
      </c>
      <c r="CF345">
        <v>1</v>
      </c>
      <c r="CG345">
        <v>1</v>
      </c>
      <c r="CH345">
        <v>0</v>
      </c>
      <c r="CI345">
        <v>0</v>
      </c>
      <c r="CJ345">
        <v>1</v>
      </c>
      <c r="CK345">
        <v>0</v>
      </c>
      <c r="CL345">
        <v>1</v>
      </c>
      <c r="CM345">
        <v>0</v>
      </c>
      <c r="CN345" s="18">
        <v>1</v>
      </c>
      <c r="CO345">
        <v>0</v>
      </c>
      <c r="CP345">
        <v>3</v>
      </c>
      <c r="CQ345">
        <v>0</v>
      </c>
      <c r="CR345">
        <v>1</v>
      </c>
      <c r="CS345">
        <v>11</v>
      </c>
      <c r="CY345" s="34"/>
    </row>
    <row r="346" spans="1:103" s="51" customFormat="1" x14ac:dyDescent="0.25">
      <c r="A346" s="51">
        <v>345</v>
      </c>
      <c r="B346" s="51">
        <v>22</v>
      </c>
      <c r="C346" s="52" t="s">
        <v>235</v>
      </c>
      <c r="D346" s="53">
        <v>1.2</v>
      </c>
      <c r="E346" s="54">
        <f t="shared" si="80"/>
        <v>1.5789473684210527</v>
      </c>
      <c r="F346" s="55">
        <v>0.76</v>
      </c>
      <c r="G346" s="55">
        <f t="shared" si="76"/>
        <v>-0.3789473684210527</v>
      </c>
      <c r="H346" s="56">
        <f t="shared" si="77"/>
        <v>2.7789473684210524</v>
      </c>
      <c r="I346" s="11">
        <f t="shared" si="84"/>
        <v>1.0181798557149379E-2</v>
      </c>
      <c r="J346" s="33">
        <f t="shared" si="85"/>
        <v>1.3397103364670235E-2</v>
      </c>
      <c r="K346" s="33">
        <f t="shared" si="86"/>
        <v>74.643001011481303</v>
      </c>
      <c r="L346" s="59">
        <v>0</v>
      </c>
      <c r="M346" s="60">
        <v>1</v>
      </c>
      <c r="N346" s="59">
        <v>0</v>
      </c>
      <c r="O346" s="60">
        <v>0</v>
      </c>
      <c r="P346" s="60">
        <v>1</v>
      </c>
      <c r="Q346" s="60">
        <v>0</v>
      </c>
      <c r="R346" s="60">
        <v>0</v>
      </c>
      <c r="S346" s="59">
        <v>5589</v>
      </c>
      <c r="T346" s="60">
        <v>17</v>
      </c>
      <c r="U346" s="60">
        <f t="shared" si="78"/>
        <v>5571</v>
      </c>
      <c r="V346" s="60">
        <f t="shared" si="79"/>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82"/>
        <v>0.91469999999999996</v>
      </c>
      <c r="AU346">
        <v>0</v>
      </c>
      <c r="AV346" s="65">
        <v>1</v>
      </c>
      <c r="AW346" s="51">
        <v>0</v>
      </c>
      <c r="AX346" s="65">
        <v>1</v>
      </c>
      <c r="AY346" s="65" t="s">
        <v>5</v>
      </c>
      <c r="AZ346">
        <v>0</v>
      </c>
      <c r="BA346">
        <v>1</v>
      </c>
      <c r="BB346">
        <v>0</v>
      </c>
      <c r="BC346">
        <v>0</v>
      </c>
      <c r="BD346">
        <v>0</v>
      </c>
      <c r="BE346">
        <v>0</v>
      </c>
      <c r="BF346" s="65">
        <v>0</v>
      </c>
      <c r="BG346">
        <v>0</v>
      </c>
      <c r="BH346">
        <v>1</v>
      </c>
      <c r="BI346" s="65">
        <v>0</v>
      </c>
      <c r="BJ346">
        <v>557</v>
      </c>
      <c r="BK346">
        <v>41</v>
      </c>
      <c r="BL346" s="52">
        <v>38.32</v>
      </c>
      <c r="BM346" s="51">
        <v>0</v>
      </c>
      <c r="BN346" s="51">
        <v>0</v>
      </c>
      <c r="BO346" s="51">
        <v>0</v>
      </c>
      <c r="BP346" s="51">
        <v>1</v>
      </c>
      <c r="BQ346" s="51">
        <v>0</v>
      </c>
      <c r="BR346" s="51">
        <v>0</v>
      </c>
      <c r="BS346" s="51">
        <v>0</v>
      </c>
      <c r="BT346" s="65">
        <v>0</v>
      </c>
      <c r="BU346" s="51">
        <v>0</v>
      </c>
      <c r="BV346" s="51">
        <v>1</v>
      </c>
      <c r="BW346" s="51">
        <v>0</v>
      </c>
      <c r="BX346" s="65">
        <v>0</v>
      </c>
      <c r="BY346" s="51">
        <v>0</v>
      </c>
      <c r="BZ346" s="51">
        <v>0</v>
      </c>
      <c r="CA346" s="51">
        <v>0</v>
      </c>
      <c r="CB346" s="51">
        <v>0</v>
      </c>
      <c r="CC346" s="65">
        <v>1</v>
      </c>
      <c r="CD346" s="51">
        <v>0</v>
      </c>
      <c r="CE346" s="51">
        <v>0</v>
      </c>
      <c r="CF346" s="51">
        <v>1</v>
      </c>
      <c r="CG346" s="51">
        <v>1</v>
      </c>
      <c r="CH346" s="51">
        <v>0</v>
      </c>
      <c r="CI346" s="51">
        <v>0</v>
      </c>
      <c r="CJ346" s="51">
        <v>1</v>
      </c>
      <c r="CK346" s="51">
        <v>0</v>
      </c>
      <c r="CL346" s="51">
        <v>1</v>
      </c>
      <c r="CM346" s="51">
        <v>0</v>
      </c>
      <c r="CN346" s="65">
        <v>1</v>
      </c>
      <c r="CO346">
        <v>0</v>
      </c>
      <c r="CP346">
        <v>3</v>
      </c>
      <c r="CQ346">
        <v>0</v>
      </c>
      <c r="CR346">
        <v>1</v>
      </c>
      <c r="CS346">
        <v>11</v>
      </c>
      <c r="CT346" s="67"/>
      <c r="CY346" s="67"/>
    </row>
    <row r="347" spans="1:103" x14ac:dyDescent="0.25">
      <c r="A347">
        <v>346</v>
      </c>
      <c r="B347">
        <v>23</v>
      </c>
      <c r="C347" s="25" t="s">
        <v>236</v>
      </c>
      <c r="D347" s="12">
        <v>17.8</v>
      </c>
      <c r="E347" s="14">
        <v>0.70399999999999996</v>
      </c>
      <c r="F347" s="7">
        <f t="shared" ref="F347:F362" si="87">D347/E347</f>
        <v>25.28409090909091</v>
      </c>
      <c r="G347" s="7">
        <f t="shared" si="76"/>
        <v>17.096</v>
      </c>
      <c r="H347" s="16">
        <f t="shared" si="77"/>
        <v>18.504000000000001</v>
      </c>
      <c r="I347" s="11">
        <f t="shared" si="84"/>
        <v>0.33366062720699335</v>
      </c>
      <c r="J347" s="33">
        <f t="shared" si="85"/>
        <v>1.319646525582715E-2</v>
      </c>
      <c r="K347" s="33">
        <f t="shared" si="86"/>
        <v>75.777867831571868</v>
      </c>
      <c r="L347" s="8">
        <v>0</v>
      </c>
      <c r="M347" s="9">
        <v>1</v>
      </c>
      <c r="N347" s="8">
        <v>0</v>
      </c>
      <c r="O347" s="9">
        <v>0</v>
      </c>
      <c r="P347" s="9">
        <v>0</v>
      </c>
      <c r="Q347" s="9">
        <v>1</v>
      </c>
      <c r="R347" s="9">
        <v>0</v>
      </c>
      <c r="S347" s="8">
        <v>5109</v>
      </c>
      <c r="T347" s="9">
        <v>5</v>
      </c>
      <c r="U347" s="9">
        <f t="shared" si="78"/>
        <v>5103</v>
      </c>
      <c r="V347" s="9">
        <f t="shared" si="79"/>
        <v>15</v>
      </c>
      <c r="W347" s="7">
        <v>7.0203000000000007</v>
      </c>
      <c r="X347" s="7">
        <f t="shared" ref="X347:X361" si="88">BL347-W347-6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v>0</v>
      </c>
      <c r="BF347" s="18">
        <v>1</v>
      </c>
      <c r="BG347">
        <v>0</v>
      </c>
      <c r="BH347">
        <v>1</v>
      </c>
      <c r="BI347" s="18">
        <v>0</v>
      </c>
      <c r="BJ347" t="s">
        <v>98</v>
      </c>
      <c r="BK347">
        <v>67</v>
      </c>
      <c r="BL347" s="25">
        <v>32.5</v>
      </c>
      <c r="BM347">
        <v>1</v>
      </c>
      <c r="BN347">
        <v>0</v>
      </c>
      <c r="BO347">
        <v>0</v>
      </c>
      <c r="BP347">
        <v>0</v>
      </c>
      <c r="BQ347">
        <v>0</v>
      </c>
      <c r="BR347">
        <v>0</v>
      </c>
      <c r="BS347">
        <v>0</v>
      </c>
      <c r="BT347" s="18">
        <v>0</v>
      </c>
      <c r="BU347">
        <v>0</v>
      </c>
      <c r="BV347">
        <v>0</v>
      </c>
      <c r="BW347">
        <v>1</v>
      </c>
      <c r="BX347" s="18">
        <v>0</v>
      </c>
      <c r="BY347">
        <v>0</v>
      </c>
      <c r="BZ347">
        <v>0</v>
      </c>
      <c r="CA347">
        <v>0</v>
      </c>
      <c r="CB347">
        <v>0</v>
      </c>
      <c r="CC347" s="18">
        <v>0</v>
      </c>
      <c r="CD347">
        <v>1</v>
      </c>
      <c r="CE347">
        <v>1</v>
      </c>
      <c r="CF347">
        <v>0</v>
      </c>
      <c r="CG347">
        <v>0</v>
      </c>
      <c r="CH347">
        <v>0</v>
      </c>
      <c r="CI347">
        <v>0</v>
      </c>
      <c r="CJ347">
        <v>1</v>
      </c>
      <c r="CK347">
        <v>1</v>
      </c>
      <c r="CL347">
        <v>0</v>
      </c>
      <c r="CM347">
        <v>1</v>
      </c>
      <c r="CN347" s="18">
        <v>0</v>
      </c>
      <c r="CO347">
        <v>0</v>
      </c>
      <c r="CP347">
        <v>2</v>
      </c>
      <c r="CQ347">
        <v>0</v>
      </c>
      <c r="CR347">
        <v>1</v>
      </c>
      <c r="CS347">
        <v>16</v>
      </c>
      <c r="CY347" s="34"/>
    </row>
    <row r="348" spans="1:103" x14ac:dyDescent="0.25">
      <c r="A348">
        <v>347</v>
      </c>
      <c r="B348">
        <v>23</v>
      </c>
      <c r="C348" s="25" t="s">
        <v>236</v>
      </c>
      <c r="D348" s="12">
        <v>14.7</v>
      </c>
      <c r="E348" s="14">
        <v>4.71</v>
      </c>
      <c r="F348" s="7">
        <f t="shared" si="87"/>
        <v>3.1210191082802545</v>
      </c>
      <c r="G348" s="7">
        <f t="shared" si="76"/>
        <v>9.9899999999999984</v>
      </c>
      <c r="H348" s="16">
        <f t="shared" si="77"/>
        <v>19.41</v>
      </c>
      <c r="I348" s="11">
        <f t="shared" si="84"/>
        <v>4.3648521887384835E-2</v>
      </c>
      <c r="J348" s="33">
        <f t="shared" si="85"/>
        <v>1.3985342727182487E-2</v>
      </c>
      <c r="K348" s="33">
        <f t="shared" si="86"/>
        <v>71.503431807670964</v>
      </c>
      <c r="L348" s="8">
        <v>0</v>
      </c>
      <c r="M348" s="9">
        <v>1</v>
      </c>
      <c r="N348" s="8">
        <v>0</v>
      </c>
      <c r="O348" s="9">
        <v>0</v>
      </c>
      <c r="P348" s="9">
        <v>0</v>
      </c>
      <c r="Q348" s="9">
        <v>1</v>
      </c>
      <c r="R348" s="9">
        <v>0</v>
      </c>
      <c r="S348" s="8">
        <v>5109</v>
      </c>
      <c r="T348" s="9">
        <v>5</v>
      </c>
      <c r="U348" s="9">
        <f t="shared" si="78"/>
        <v>5103</v>
      </c>
      <c r="V348" s="9">
        <f t="shared" si="79"/>
        <v>15</v>
      </c>
      <c r="W348" s="7">
        <v>7.0203000000000007</v>
      </c>
      <c r="X348" s="7">
        <f t="shared" si="88"/>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v>0</v>
      </c>
      <c r="BF348" s="18">
        <v>1</v>
      </c>
      <c r="BG348">
        <v>0</v>
      </c>
      <c r="BH348">
        <v>1</v>
      </c>
      <c r="BI348" s="18">
        <v>0</v>
      </c>
      <c r="BJ348" t="s">
        <v>98</v>
      </c>
      <c r="BK348">
        <v>67</v>
      </c>
      <c r="BL348" s="25">
        <v>32.5</v>
      </c>
      <c r="BM348">
        <v>0</v>
      </c>
      <c r="BN348">
        <v>0</v>
      </c>
      <c r="BO348">
        <v>0</v>
      </c>
      <c r="BP348">
        <v>0</v>
      </c>
      <c r="BQ348">
        <v>1</v>
      </c>
      <c r="BR348">
        <v>0</v>
      </c>
      <c r="BS348">
        <v>0</v>
      </c>
      <c r="BT348" s="18">
        <v>0</v>
      </c>
      <c r="BU348">
        <v>0</v>
      </c>
      <c r="BV348">
        <v>0</v>
      </c>
      <c r="BW348">
        <v>1</v>
      </c>
      <c r="BX348" s="18">
        <v>0</v>
      </c>
      <c r="BY348">
        <v>0</v>
      </c>
      <c r="BZ348">
        <v>0</v>
      </c>
      <c r="CA348">
        <v>0</v>
      </c>
      <c r="CB348">
        <v>0</v>
      </c>
      <c r="CC348" s="18">
        <v>0</v>
      </c>
      <c r="CD348">
        <v>1</v>
      </c>
      <c r="CE348">
        <v>1</v>
      </c>
      <c r="CF348">
        <v>0</v>
      </c>
      <c r="CG348">
        <v>0</v>
      </c>
      <c r="CH348">
        <v>0</v>
      </c>
      <c r="CI348">
        <v>0</v>
      </c>
      <c r="CJ348">
        <v>1</v>
      </c>
      <c r="CK348">
        <v>1</v>
      </c>
      <c r="CL348">
        <v>0</v>
      </c>
      <c r="CM348">
        <v>1</v>
      </c>
      <c r="CN348" s="18">
        <v>0</v>
      </c>
      <c r="CO348">
        <v>0</v>
      </c>
      <c r="CP348">
        <v>2</v>
      </c>
      <c r="CQ348">
        <v>0</v>
      </c>
      <c r="CR348">
        <v>1</v>
      </c>
      <c r="CS348">
        <v>16</v>
      </c>
      <c r="CY348" s="34"/>
    </row>
    <row r="349" spans="1:103" x14ac:dyDescent="0.25">
      <c r="A349">
        <v>348</v>
      </c>
      <c r="B349">
        <v>23</v>
      </c>
      <c r="C349" s="25" t="s">
        <v>236</v>
      </c>
      <c r="D349" s="12">
        <v>15.1</v>
      </c>
      <c r="E349" s="14">
        <v>4.12</v>
      </c>
      <c r="F349" s="7">
        <f t="shared" si="87"/>
        <v>3.6650485436893203</v>
      </c>
      <c r="G349" s="7">
        <f t="shared" si="76"/>
        <v>10.98</v>
      </c>
      <c r="H349" s="16">
        <f t="shared" si="77"/>
        <v>19.22</v>
      </c>
      <c r="I349" s="11">
        <f t="shared" si="84"/>
        <v>5.1238464134782849E-2</v>
      </c>
      <c r="J349" s="33">
        <f t="shared" si="85"/>
        <v>1.3980296174523532E-2</v>
      </c>
      <c r="K349" s="33">
        <f t="shared" si="86"/>
        <v>71.529242836951653</v>
      </c>
      <c r="L349" s="8">
        <v>0</v>
      </c>
      <c r="M349" s="9">
        <v>1</v>
      </c>
      <c r="N349" s="8">
        <v>0</v>
      </c>
      <c r="O349" s="9">
        <v>0</v>
      </c>
      <c r="P349" s="9">
        <v>0</v>
      </c>
      <c r="Q349" s="9">
        <v>1</v>
      </c>
      <c r="R349" s="9">
        <v>0</v>
      </c>
      <c r="S349" s="8">
        <v>5109</v>
      </c>
      <c r="T349" s="9">
        <v>5</v>
      </c>
      <c r="U349" s="9">
        <f t="shared" si="78"/>
        <v>5103</v>
      </c>
      <c r="V349" s="9">
        <f t="shared" si="79"/>
        <v>15</v>
      </c>
      <c r="W349" s="7">
        <v>7.0203000000000007</v>
      </c>
      <c r="X349" s="7">
        <f t="shared" si="88"/>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v>0</v>
      </c>
      <c r="BF349" s="18">
        <v>1</v>
      </c>
      <c r="BG349">
        <v>0</v>
      </c>
      <c r="BH349">
        <v>1</v>
      </c>
      <c r="BI349" s="18">
        <v>0</v>
      </c>
      <c r="BJ349" t="s">
        <v>98</v>
      </c>
      <c r="BK349">
        <v>67</v>
      </c>
      <c r="BL349" s="25">
        <v>32.5</v>
      </c>
      <c r="BM349">
        <v>0</v>
      </c>
      <c r="BN349">
        <v>0</v>
      </c>
      <c r="BO349">
        <v>0</v>
      </c>
      <c r="BP349">
        <v>0</v>
      </c>
      <c r="BQ349">
        <v>0</v>
      </c>
      <c r="BR349">
        <v>0</v>
      </c>
      <c r="BS349">
        <v>0</v>
      </c>
      <c r="BT349" s="18">
        <v>1</v>
      </c>
      <c r="BU349">
        <v>0</v>
      </c>
      <c r="BV349">
        <v>0</v>
      </c>
      <c r="BW349">
        <v>1</v>
      </c>
      <c r="BX349" s="18">
        <v>0</v>
      </c>
      <c r="BY349">
        <v>0</v>
      </c>
      <c r="BZ349">
        <v>0</v>
      </c>
      <c r="CA349">
        <v>0</v>
      </c>
      <c r="CB349">
        <v>0</v>
      </c>
      <c r="CC349" s="18">
        <v>1</v>
      </c>
      <c r="CD349">
        <v>1</v>
      </c>
      <c r="CE349">
        <v>1</v>
      </c>
      <c r="CF349">
        <v>0</v>
      </c>
      <c r="CG349">
        <v>0</v>
      </c>
      <c r="CH349">
        <v>0</v>
      </c>
      <c r="CI349">
        <v>0</v>
      </c>
      <c r="CJ349">
        <v>1</v>
      </c>
      <c r="CK349">
        <v>1</v>
      </c>
      <c r="CL349">
        <v>0</v>
      </c>
      <c r="CM349">
        <v>1</v>
      </c>
      <c r="CN349" s="18">
        <v>0</v>
      </c>
      <c r="CO349">
        <v>0</v>
      </c>
      <c r="CP349">
        <v>2</v>
      </c>
      <c r="CQ349">
        <v>0</v>
      </c>
      <c r="CR349">
        <v>1</v>
      </c>
      <c r="CS349">
        <v>16</v>
      </c>
      <c r="CY349" s="34"/>
    </row>
    <row r="350" spans="1:103" x14ac:dyDescent="0.25">
      <c r="A350">
        <v>349</v>
      </c>
      <c r="B350">
        <v>23</v>
      </c>
      <c r="C350" s="25" t="s">
        <v>236</v>
      </c>
      <c r="D350" s="12">
        <v>17.899999999999999</v>
      </c>
      <c r="E350" s="14">
        <v>0.83599999999999997</v>
      </c>
      <c r="F350" s="7">
        <f t="shared" si="87"/>
        <v>21.411483253588514</v>
      </c>
      <c r="G350" s="7">
        <f t="shared" si="76"/>
        <v>17.064</v>
      </c>
      <c r="H350" s="16">
        <f t="shared" si="77"/>
        <v>18.735999999999997</v>
      </c>
      <c r="I350" s="11">
        <f t="shared" si="84"/>
        <v>0.34010261654193102</v>
      </c>
      <c r="J350" s="33">
        <f t="shared" si="85"/>
        <v>1.5884122202740467E-2</v>
      </c>
      <c r="K350" s="33">
        <f t="shared" si="86"/>
        <v>62.955949799194521</v>
      </c>
      <c r="L350" s="8">
        <v>0</v>
      </c>
      <c r="M350" s="9">
        <v>1</v>
      </c>
      <c r="N350" s="8">
        <v>0</v>
      </c>
      <c r="O350" s="9">
        <v>0</v>
      </c>
      <c r="P350" s="9">
        <v>0</v>
      </c>
      <c r="Q350" s="9">
        <v>1</v>
      </c>
      <c r="R350" s="9">
        <v>0</v>
      </c>
      <c r="S350" s="8">
        <v>3510</v>
      </c>
      <c r="T350" s="9">
        <v>4</v>
      </c>
      <c r="U350" s="9">
        <f t="shared" si="78"/>
        <v>3505</v>
      </c>
      <c r="V350" s="9">
        <f t="shared" si="79"/>
        <v>15</v>
      </c>
      <c r="W350" s="7">
        <v>7.0203000000000007</v>
      </c>
      <c r="X350" s="7">
        <f t="shared" si="88"/>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v>0</v>
      </c>
      <c r="BF350" s="18">
        <v>1</v>
      </c>
      <c r="BG350">
        <v>0</v>
      </c>
      <c r="BH350">
        <v>1</v>
      </c>
      <c r="BI350" s="18">
        <v>0</v>
      </c>
      <c r="BJ350" t="s">
        <v>98</v>
      </c>
      <c r="BK350">
        <v>67</v>
      </c>
      <c r="BL350" s="25">
        <v>32.5</v>
      </c>
      <c r="BM350">
        <v>0</v>
      </c>
      <c r="BN350">
        <v>0</v>
      </c>
      <c r="BO350">
        <v>0</v>
      </c>
      <c r="BP350">
        <v>0</v>
      </c>
      <c r="BQ350">
        <v>0</v>
      </c>
      <c r="BR350">
        <v>0</v>
      </c>
      <c r="BS350">
        <v>0</v>
      </c>
      <c r="BT350" s="18">
        <v>0</v>
      </c>
      <c r="BU350">
        <v>0</v>
      </c>
      <c r="BV350">
        <v>0</v>
      </c>
      <c r="BW350">
        <v>1</v>
      </c>
      <c r="BX350" s="18">
        <v>0</v>
      </c>
      <c r="BY350">
        <v>0</v>
      </c>
      <c r="BZ350">
        <v>0</v>
      </c>
      <c r="CA350">
        <v>0</v>
      </c>
      <c r="CB350">
        <v>0</v>
      </c>
      <c r="CC350" s="18">
        <v>0</v>
      </c>
      <c r="CD350">
        <v>1</v>
      </c>
      <c r="CE350">
        <v>1</v>
      </c>
      <c r="CF350">
        <v>0</v>
      </c>
      <c r="CG350">
        <v>0</v>
      </c>
      <c r="CH350">
        <v>0</v>
      </c>
      <c r="CI350">
        <v>0</v>
      </c>
      <c r="CJ350">
        <v>0</v>
      </c>
      <c r="CK350">
        <v>1</v>
      </c>
      <c r="CL350">
        <v>0</v>
      </c>
      <c r="CM350">
        <v>1</v>
      </c>
      <c r="CN350" s="18">
        <v>0</v>
      </c>
      <c r="CO350">
        <v>0</v>
      </c>
      <c r="CP350">
        <v>2</v>
      </c>
      <c r="CQ350">
        <v>0</v>
      </c>
      <c r="CR350">
        <v>1</v>
      </c>
      <c r="CS350">
        <v>16</v>
      </c>
      <c r="CY350" s="34"/>
    </row>
    <row r="351" spans="1:103" x14ac:dyDescent="0.25">
      <c r="A351">
        <v>350</v>
      </c>
      <c r="B351">
        <v>23</v>
      </c>
      <c r="C351" s="25" t="s">
        <v>236</v>
      </c>
      <c r="D351" s="12">
        <v>13</v>
      </c>
      <c r="E351" s="14">
        <v>4.0199999999999996</v>
      </c>
      <c r="F351" s="7">
        <f t="shared" si="87"/>
        <v>3.2338308457711444</v>
      </c>
      <c r="G351" s="7">
        <f t="shared" si="76"/>
        <v>8.98</v>
      </c>
      <c r="H351" s="16">
        <f t="shared" si="77"/>
        <v>17.02</v>
      </c>
      <c r="I351" s="11">
        <f t="shared" si="84"/>
        <v>5.4541410272056987E-2</v>
      </c>
      <c r="J351" s="33">
        <f t="shared" si="85"/>
        <v>1.6865882253359162E-2</v>
      </c>
      <c r="K351" s="33">
        <f t="shared" si="86"/>
        <v>59.291294992933494</v>
      </c>
      <c r="L351" s="8">
        <v>0</v>
      </c>
      <c r="M351" s="9">
        <v>1</v>
      </c>
      <c r="N351" s="8">
        <v>0</v>
      </c>
      <c r="O351" s="9">
        <v>0</v>
      </c>
      <c r="P351" s="9">
        <v>0</v>
      </c>
      <c r="Q351" s="9">
        <v>1</v>
      </c>
      <c r="R351" s="9">
        <v>0</v>
      </c>
      <c r="S351" s="8">
        <v>3510</v>
      </c>
      <c r="T351" s="9">
        <v>4</v>
      </c>
      <c r="U351" s="9">
        <f t="shared" si="78"/>
        <v>3505</v>
      </c>
      <c r="V351" s="9">
        <f t="shared" si="79"/>
        <v>15</v>
      </c>
      <c r="W351" s="7">
        <v>7.0203000000000007</v>
      </c>
      <c r="X351" s="7">
        <f t="shared" si="88"/>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v>0</v>
      </c>
      <c r="BF351" s="18">
        <v>1</v>
      </c>
      <c r="BG351">
        <v>0</v>
      </c>
      <c r="BH351">
        <v>1</v>
      </c>
      <c r="BI351" s="18">
        <v>0</v>
      </c>
      <c r="BJ351" t="s">
        <v>98</v>
      </c>
      <c r="BK351">
        <v>67</v>
      </c>
      <c r="BL351" s="25">
        <v>32.5</v>
      </c>
      <c r="BM351">
        <v>0</v>
      </c>
      <c r="BN351">
        <v>0</v>
      </c>
      <c r="BO351">
        <v>0</v>
      </c>
      <c r="BP351">
        <v>0</v>
      </c>
      <c r="BQ351">
        <v>1</v>
      </c>
      <c r="BR351">
        <v>0</v>
      </c>
      <c r="BS351">
        <v>0</v>
      </c>
      <c r="BT351" s="18">
        <v>0</v>
      </c>
      <c r="BU351">
        <v>0</v>
      </c>
      <c r="BV351">
        <v>0</v>
      </c>
      <c r="BW351">
        <v>1</v>
      </c>
      <c r="BX351" s="18">
        <v>0</v>
      </c>
      <c r="BY351">
        <v>0</v>
      </c>
      <c r="BZ351">
        <v>0</v>
      </c>
      <c r="CA351">
        <v>0</v>
      </c>
      <c r="CB351">
        <v>0</v>
      </c>
      <c r="CC351" s="18">
        <v>0</v>
      </c>
      <c r="CD351">
        <v>1</v>
      </c>
      <c r="CE351">
        <v>1</v>
      </c>
      <c r="CF351">
        <v>0</v>
      </c>
      <c r="CG351">
        <v>0</v>
      </c>
      <c r="CH351">
        <v>0</v>
      </c>
      <c r="CI351">
        <v>0</v>
      </c>
      <c r="CJ351">
        <v>0</v>
      </c>
      <c r="CK351">
        <v>1</v>
      </c>
      <c r="CL351">
        <v>0</v>
      </c>
      <c r="CM351">
        <v>1</v>
      </c>
      <c r="CN351" s="18">
        <v>0</v>
      </c>
      <c r="CO351">
        <v>0</v>
      </c>
      <c r="CP351">
        <v>2</v>
      </c>
      <c r="CQ351">
        <v>0</v>
      </c>
      <c r="CR351">
        <v>1</v>
      </c>
      <c r="CS351">
        <v>16</v>
      </c>
      <c r="CY351" s="34"/>
    </row>
    <row r="352" spans="1:103" x14ac:dyDescent="0.25">
      <c r="A352">
        <v>351</v>
      </c>
      <c r="B352">
        <v>23</v>
      </c>
      <c r="C352" s="25" t="s">
        <v>236</v>
      </c>
      <c r="D352" s="12">
        <v>17.899999999999999</v>
      </c>
      <c r="E352" s="14">
        <v>0.83599999999999997</v>
      </c>
      <c r="F352" s="7">
        <f t="shared" si="87"/>
        <v>21.411483253588514</v>
      </c>
      <c r="G352" s="7">
        <f t="shared" si="76"/>
        <v>17.064</v>
      </c>
      <c r="H352" s="16">
        <f t="shared" si="77"/>
        <v>18.735999999999997</v>
      </c>
      <c r="I352" s="11">
        <f t="shared" si="84"/>
        <v>0.34010261654193102</v>
      </c>
      <c r="J352" s="33">
        <f t="shared" si="85"/>
        <v>1.5884122202740467E-2</v>
      </c>
      <c r="K352" s="33">
        <f t="shared" si="86"/>
        <v>62.955949799194521</v>
      </c>
      <c r="L352" s="8">
        <v>0</v>
      </c>
      <c r="M352" s="9">
        <v>1</v>
      </c>
      <c r="N352" s="8">
        <v>0</v>
      </c>
      <c r="O352" s="9">
        <v>0</v>
      </c>
      <c r="P352" s="9">
        <v>0</v>
      </c>
      <c r="Q352" s="9">
        <v>1</v>
      </c>
      <c r="R352" s="9">
        <v>0</v>
      </c>
      <c r="S352" s="8">
        <v>3510</v>
      </c>
      <c r="T352" s="9">
        <v>4</v>
      </c>
      <c r="U352" s="9">
        <f t="shared" si="78"/>
        <v>3505</v>
      </c>
      <c r="V352" s="9">
        <f t="shared" si="79"/>
        <v>15</v>
      </c>
      <c r="W352" s="7">
        <v>7.0203000000000007</v>
      </c>
      <c r="X352" s="7">
        <f t="shared" si="88"/>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v>0</v>
      </c>
      <c r="BF352" s="18">
        <v>1</v>
      </c>
      <c r="BG352">
        <v>0</v>
      </c>
      <c r="BH352">
        <v>1</v>
      </c>
      <c r="BI352" s="18">
        <v>0</v>
      </c>
      <c r="BJ352" t="s">
        <v>98</v>
      </c>
      <c r="BK352">
        <v>67</v>
      </c>
      <c r="BL352" s="25">
        <v>32.5</v>
      </c>
      <c r="BM352">
        <v>0</v>
      </c>
      <c r="BN352">
        <v>0</v>
      </c>
      <c r="BO352">
        <v>0</v>
      </c>
      <c r="BP352">
        <v>0</v>
      </c>
      <c r="BQ352">
        <v>0</v>
      </c>
      <c r="BR352">
        <v>0</v>
      </c>
      <c r="BS352">
        <v>0</v>
      </c>
      <c r="BT352" s="18">
        <v>0</v>
      </c>
      <c r="BU352">
        <v>0</v>
      </c>
      <c r="BV352">
        <v>0</v>
      </c>
      <c r="BW352">
        <v>1</v>
      </c>
      <c r="BX352" s="18">
        <v>0</v>
      </c>
      <c r="BY352">
        <v>0</v>
      </c>
      <c r="BZ352">
        <v>0</v>
      </c>
      <c r="CA352">
        <v>0</v>
      </c>
      <c r="CB352">
        <v>0</v>
      </c>
      <c r="CC352" s="18">
        <v>0</v>
      </c>
      <c r="CD352">
        <v>1</v>
      </c>
      <c r="CE352">
        <v>1</v>
      </c>
      <c r="CF352">
        <v>0</v>
      </c>
      <c r="CG352">
        <v>0</v>
      </c>
      <c r="CH352">
        <v>0</v>
      </c>
      <c r="CI352">
        <v>0</v>
      </c>
      <c r="CJ352">
        <v>0</v>
      </c>
      <c r="CK352">
        <v>1</v>
      </c>
      <c r="CL352">
        <v>0</v>
      </c>
      <c r="CM352">
        <v>1</v>
      </c>
      <c r="CN352" s="18">
        <v>0</v>
      </c>
      <c r="CO352">
        <v>0</v>
      </c>
      <c r="CP352">
        <v>2</v>
      </c>
      <c r="CQ352">
        <v>0</v>
      </c>
      <c r="CR352">
        <v>1</v>
      </c>
      <c r="CS352">
        <v>16</v>
      </c>
      <c r="CY352" s="34"/>
    </row>
    <row r="353" spans="1:103" x14ac:dyDescent="0.25">
      <c r="A353">
        <v>352</v>
      </c>
      <c r="B353">
        <v>23</v>
      </c>
      <c r="C353" s="25" t="s">
        <v>236</v>
      </c>
      <c r="D353" s="12">
        <v>16.7</v>
      </c>
      <c r="E353" s="14">
        <v>6.41</v>
      </c>
      <c r="F353" s="7">
        <f t="shared" si="87"/>
        <v>2.6053042121684866</v>
      </c>
      <c r="G353" s="7">
        <f t="shared" si="76"/>
        <v>10.29</v>
      </c>
      <c r="H353" s="16">
        <f t="shared" si="77"/>
        <v>23.11</v>
      </c>
      <c r="I353" s="11">
        <f t="shared" si="84"/>
        <v>6.5116580253501172E-2</v>
      </c>
      <c r="J353" s="33">
        <f t="shared" si="85"/>
        <v>2.4993849067361823E-2</v>
      </c>
      <c r="K353" s="33">
        <f t="shared" si="86"/>
        <v>40.009843914191208</v>
      </c>
      <c r="L353" s="8">
        <v>0</v>
      </c>
      <c r="M353" s="9">
        <v>1</v>
      </c>
      <c r="N353" s="8">
        <v>0</v>
      </c>
      <c r="O353" s="9">
        <v>0</v>
      </c>
      <c r="P353" s="9">
        <v>0</v>
      </c>
      <c r="Q353" s="9">
        <v>1</v>
      </c>
      <c r="R353" s="9">
        <v>0</v>
      </c>
      <c r="S353" s="8">
        <v>1599</v>
      </c>
      <c r="T353" s="9">
        <v>4</v>
      </c>
      <c r="U353" s="9">
        <f t="shared" si="78"/>
        <v>1594</v>
      </c>
      <c r="V353" s="9">
        <f t="shared" si="79"/>
        <v>15</v>
      </c>
      <c r="W353" s="7">
        <v>7.0203000000000007</v>
      </c>
      <c r="X353" s="7">
        <f t="shared" si="88"/>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v>0</v>
      </c>
      <c r="BF353" s="18">
        <v>1</v>
      </c>
      <c r="BG353">
        <v>0</v>
      </c>
      <c r="BH353">
        <v>1</v>
      </c>
      <c r="BI353" s="18">
        <v>0</v>
      </c>
      <c r="BJ353" t="s">
        <v>98</v>
      </c>
      <c r="BK353">
        <v>67</v>
      </c>
      <c r="BL353" s="25">
        <v>32.5</v>
      </c>
      <c r="BM353">
        <v>0</v>
      </c>
      <c r="BN353">
        <v>0</v>
      </c>
      <c r="BO353">
        <v>0</v>
      </c>
      <c r="BP353">
        <v>0</v>
      </c>
      <c r="BQ353">
        <v>1</v>
      </c>
      <c r="BR353">
        <v>0</v>
      </c>
      <c r="BS353">
        <v>0</v>
      </c>
      <c r="BT353" s="18">
        <v>0</v>
      </c>
      <c r="BU353">
        <v>0</v>
      </c>
      <c r="BV353">
        <v>0</v>
      </c>
      <c r="BW353">
        <v>1</v>
      </c>
      <c r="BX353" s="18">
        <v>0</v>
      </c>
      <c r="BY353">
        <v>0</v>
      </c>
      <c r="BZ353">
        <v>0</v>
      </c>
      <c r="CA353">
        <v>0</v>
      </c>
      <c r="CB353">
        <v>0</v>
      </c>
      <c r="CC353" s="18">
        <v>0</v>
      </c>
      <c r="CD353">
        <v>1</v>
      </c>
      <c r="CE353">
        <v>1</v>
      </c>
      <c r="CF353">
        <v>0</v>
      </c>
      <c r="CG353">
        <v>0</v>
      </c>
      <c r="CH353">
        <v>0</v>
      </c>
      <c r="CI353">
        <v>0</v>
      </c>
      <c r="CJ353">
        <v>0</v>
      </c>
      <c r="CK353">
        <v>1</v>
      </c>
      <c r="CL353">
        <v>0</v>
      </c>
      <c r="CM353">
        <v>1</v>
      </c>
      <c r="CN353" s="18">
        <v>0</v>
      </c>
      <c r="CO353">
        <v>0</v>
      </c>
      <c r="CP353">
        <v>2</v>
      </c>
      <c r="CQ353">
        <v>0</v>
      </c>
      <c r="CR353">
        <v>1</v>
      </c>
      <c r="CS353">
        <v>16</v>
      </c>
      <c r="CY353" s="34"/>
    </row>
    <row r="354" spans="1:103" x14ac:dyDescent="0.25">
      <c r="A354">
        <v>353</v>
      </c>
      <c r="B354">
        <v>23</v>
      </c>
      <c r="C354" s="25" t="s">
        <v>236</v>
      </c>
      <c r="D354" s="12">
        <v>14.4</v>
      </c>
      <c r="E354" s="14">
        <v>1.4</v>
      </c>
      <c r="F354" s="7">
        <f t="shared" si="87"/>
        <v>10.285714285714286</v>
      </c>
      <c r="G354" s="7">
        <f t="shared" si="76"/>
        <v>13</v>
      </c>
      <c r="H354" s="16">
        <f t="shared" si="77"/>
        <v>15.8</v>
      </c>
      <c r="I354" s="11">
        <f t="shared" si="84"/>
        <v>0.32677013083849349</v>
      </c>
      <c r="J354" s="33">
        <f t="shared" si="85"/>
        <v>3.1769318275964645E-2</v>
      </c>
      <c r="K354" s="33">
        <f t="shared" si="86"/>
        <v>31.476910877138927</v>
      </c>
      <c r="L354" s="8">
        <v>0</v>
      </c>
      <c r="M354" s="9">
        <v>1</v>
      </c>
      <c r="N354" s="8">
        <v>0</v>
      </c>
      <c r="O354" s="9">
        <v>0</v>
      </c>
      <c r="P354" s="9">
        <v>0</v>
      </c>
      <c r="Q354" s="9">
        <v>1</v>
      </c>
      <c r="R354" s="9">
        <v>0</v>
      </c>
      <c r="S354" s="8">
        <v>890</v>
      </c>
      <c r="T354" s="9">
        <v>4</v>
      </c>
      <c r="U354" s="9">
        <f t="shared" si="78"/>
        <v>885</v>
      </c>
      <c r="V354" s="9">
        <f t="shared" si="79"/>
        <v>15</v>
      </c>
      <c r="W354" s="7">
        <v>7.0203000000000007</v>
      </c>
      <c r="X354" s="7">
        <f t="shared" si="88"/>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v>0</v>
      </c>
      <c r="BF354" s="18">
        <v>1</v>
      </c>
      <c r="BG354">
        <v>0</v>
      </c>
      <c r="BH354">
        <v>1</v>
      </c>
      <c r="BI354" s="18">
        <v>0</v>
      </c>
      <c r="BJ354" t="s">
        <v>98</v>
      </c>
      <c r="BK354">
        <v>67</v>
      </c>
      <c r="BL354" s="25">
        <v>32.5</v>
      </c>
      <c r="BM354">
        <v>0</v>
      </c>
      <c r="BN354">
        <v>0</v>
      </c>
      <c r="BO354">
        <v>0</v>
      </c>
      <c r="BP354">
        <v>0</v>
      </c>
      <c r="BQ354">
        <v>0</v>
      </c>
      <c r="BR354">
        <v>0</v>
      </c>
      <c r="BS354">
        <v>0</v>
      </c>
      <c r="BT354" s="18">
        <v>0</v>
      </c>
      <c r="BU354">
        <v>0</v>
      </c>
      <c r="BV354">
        <v>0</v>
      </c>
      <c r="BW354">
        <v>1</v>
      </c>
      <c r="BX354" s="18">
        <v>0</v>
      </c>
      <c r="BY354">
        <v>0</v>
      </c>
      <c r="BZ354">
        <v>0</v>
      </c>
      <c r="CA354">
        <v>0</v>
      </c>
      <c r="CB354">
        <v>0</v>
      </c>
      <c r="CC354" s="18">
        <v>0</v>
      </c>
      <c r="CD354">
        <v>1</v>
      </c>
      <c r="CE354">
        <v>1</v>
      </c>
      <c r="CF354">
        <v>0</v>
      </c>
      <c r="CG354">
        <v>0</v>
      </c>
      <c r="CH354">
        <v>0</v>
      </c>
      <c r="CI354">
        <v>0</v>
      </c>
      <c r="CJ354">
        <v>1</v>
      </c>
      <c r="CK354">
        <v>1</v>
      </c>
      <c r="CL354">
        <v>0</v>
      </c>
      <c r="CM354">
        <v>0</v>
      </c>
      <c r="CN354" s="18">
        <v>0</v>
      </c>
      <c r="CO354">
        <v>0</v>
      </c>
      <c r="CP354">
        <v>2</v>
      </c>
      <c r="CQ354">
        <v>0</v>
      </c>
      <c r="CR354">
        <v>1</v>
      </c>
      <c r="CS354">
        <v>16</v>
      </c>
      <c r="CY354" s="34"/>
    </row>
    <row r="355" spans="1:103" x14ac:dyDescent="0.25">
      <c r="A355">
        <v>354</v>
      </c>
      <c r="B355">
        <v>23</v>
      </c>
      <c r="C355" s="25" t="s">
        <v>236</v>
      </c>
      <c r="D355" s="12">
        <v>21.4</v>
      </c>
      <c r="E355" s="14">
        <v>4.41</v>
      </c>
      <c r="F355" s="7">
        <f t="shared" si="87"/>
        <v>4.8526077097505667</v>
      </c>
      <c r="G355" s="7">
        <f t="shared" si="76"/>
        <v>16.989999999999998</v>
      </c>
      <c r="H355" s="16">
        <f t="shared" si="77"/>
        <v>25.81</v>
      </c>
      <c r="I355" s="11">
        <f t="shared" si="84"/>
        <v>0.16090236206446146</v>
      </c>
      <c r="J355" s="33">
        <f t="shared" si="85"/>
        <v>3.3157916668424069E-2</v>
      </c>
      <c r="K355" s="33">
        <f t="shared" si="86"/>
        <v>30.158710210894803</v>
      </c>
      <c r="L355" s="8">
        <v>0</v>
      </c>
      <c r="M355" s="9">
        <v>1</v>
      </c>
      <c r="N355" s="8">
        <v>0</v>
      </c>
      <c r="O355" s="9">
        <v>0</v>
      </c>
      <c r="P355" s="9">
        <v>0</v>
      </c>
      <c r="Q355" s="9">
        <v>1</v>
      </c>
      <c r="R355" s="9">
        <v>0</v>
      </c>
      <c r="S355" s="8">
        <v>890</v>
      </c>
      <c r="T355" s="9">
        <v>3</v>
      </c>
      <c r="U355" s="9">
        <f t="shared" si="78"/>
        <v>886</v>
      </c>
      <c r="V355" s="9">
        <f t="shared" si="79"/>
        <v>15</v>
      </c>
      <c r="W355" s="7">
        <v>7.0203000000000007</v>
      </c>
      <c r="X355" s="7">
        <f t="shared" si="88"/>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v>0</v>
      </c>
      <c r="BF355" s="18">
        <v>1</v>
      </c>
      <c r="BG355">
        <v>0</v>
      </c>
      <c r="BH355">
        <v>1</v>
      </c>
      <c r="BI355" s="18">
        <v>0</v>
      </c>
      <c r="BJ355" t="s">
        <v>98</v>
      </c>
      <c r="BK355">
        <v>67</v>
      </c>
      <c r="BL355" s="25">
        <v>32.5</v>
      </c>
      <c r="BM355">
        <v>0</v>
      </c>
      <c r="BN355">
        <v>0</v>
      </c>
      <c r="BO355">
        <v>0</v>
      </c>
      <c r="BP355">
        <v>0</v>
      </c>
      <c r="BQ355">
        <v>1</v>
      </c>
      <c r="BR355">
        <v>0</v>
      </c>
      <c r="BS355">
        <v>0</v>
      </c>
      <c r="BT355" s="18">
        <v>0</v>
      </c>
      <c r="BU355">
        <v>0</v>
      </c>
      <c r="BV355">
        <v>0</v>
      </c>
      <c r="BW355">
        <v>1</v>
      </c>
      <c r="BX355" s="18">
        <v>0</v>
      </c>
      <c r="BY355">
        <v>0</v>
      </c>
      <c r="BZ355">
        <v>0</v>
      </c>
      <c r="CA355">
        <v>0</v>
      </c>
      <c r="CB355">
        <v>0</v>
      </c>
      <c r="CC355" s="18">
        <v>0</v>
      </c>
      <c r="CD355">
        <v>1</v>
      </c>
      <c r="CE355">
        <v>1</v>
      </c>
      <c r="CF355">
        <v>0</v>
      </c>
      <c r="CG355">
        <v>0</v>
      </c>
      <c r="CH355">
        <v>0</v>
      </c>
      <c r="CI355">
        <v>0</v>
      </c>
      <c r="CJ355">
        <v>1</v>
      </c>
      <c r="CK355">
        <v>1</v>
      </c>
      <c r="CL355">
        <v>0</v>
      </c>
      <c r="CM355">
        <v>0</v>
      </c>
      <c r="CN355" s="18">
        <v>0</v>
      </c>
      <c r="CO355">
        <v>0</v>
      </c>
      <c r="CP355">
        <v>2</v>
      </c>
      <c r="CQ355">
        <v>0</v>
      </c>
      <c r="CR355">
        <v>1</v>
      </c>
      <c r="CS355">
        <v>16</v>
      </c>
      <c r="CY355" s="34"/>
    </row>
    <row r="356" spans="1:103" x14ac:dyDescent="0.25">
      <c r="A356">
        <v>355</v>
      </c>
      <c r="B356">
        <v>23</v>
      </c>
      <c r="C356" s="25" t="s">
        <v>236</v>
      </c>
      <c r="D356" s="12">
        <v>14.4</v>
      </c>
      <c r="E356" s="14">
        <v>1.4</v>
      </c>
      <c r="F356" s="7">
        <f t="shared" si="87"/>
        <v>10.285714285714286</v>
      </c>
      <c r="G356" s="7">
        <f t="shared" si="76"/>
        <v>13</v>
      </c>
      <c r="H356" s="16">
        <f t="shared" si="77"/>
        <v>15.8</v>
      </c>
      <c r="I356" s="11">
        <f t="shared" si="84"/>
        <v>0.32677013083849349</v>
      </c>
      <c r="J356" s="33">
        <f t="shared" si="85"/>
        <v>3.1769318275964645E-2</v>
      </c>
      <c r="K356" s="33">
        <f t="shared" si="86"/>
        <v>31.476910877138927</v>
      </c>
      <c r="L356" s="8">
        <v>0</v>
      </c>
      <c r="M356" s="9">
        <v>1</v>
      </c>
      <c r="N356" s="8">
        <v>0</v>
      </c>
      <c r="O356" s="9">
        <v>0</v>
      </c>
      <c r="P356" s="9">
        <v>0</v>
      </c>
      <c r="Q356" s="9">
        <v>1</v>
      </c>
      <c r="R356" s="9">
        <v>0</v>
      </c>
      <c r="S356" s="8">
        <v>890</v>
      </c>
      <c r="T356" s="9">
        <v>4</v>
      </c>
      <c r="U356" s="9">
        <f t="shared" si="78"/>
        <v>885</v>
      </c>
      <c r="V356" s="9">
        <f t="shared" si="79"/>
        <v>15</v>
      </c>
      <c r="W356" s="7">
        <v>7.0203000000000007</v>
      </c>
      <c r="X356" s="7">
        <f t="shared" si="88"/>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v>0</v>
      </c>
      <c r="BF356" s="18">
        <v>1</v>
      </c>
      <c r="BG356">
        <v>0</v>
      </c>
      <c r="BH356">
        <v>1</v>
      </c>
      <c r="BI356" s="18">
        <v>0</v>
      </c>
      <c r="BJ356" t="s">
        <v>98</v>
      </c>
      <c r="BK356">
        <v>67</v>
      </c>
      <c r="BL356" s="25">
        <v>32.5</v>
      </c>
      <c r="BM356">
        <v>0</v>
      </c>
      <c r="BN356">
        <v>0</v>
      </c>
      <c r="BO356">
        <v>0</v>
      </c>
      <c r="BP356">
        <v>0</v>
      </c>
      <c r="BQ356">
        <v>0</v>
      </c>
      <c r="BR356">
        <v>0</v>
      </c>
      <c r="BS356">
        <v>0</v>
      </c>
      <c r="BT356" s="18">
        <v>0</v>
      </c>
      <c r="BU356">
        <v>0</v>
      </c>
      <c r="BV356">
        <v>0</v>
      </c>
      <c r="BW356">
        <v>1</v>
      </c>
      <c r="BX356" s="18">
        <v>0</v>
      </c>
      <c r="BY356">
        <v>0</v>
      </c>
      <c r="BZ356">
        <v>0</v>
      </c>
      <c r="CA356">
        <v>0</v>
      </c>
      <c r="CB356">
        <v>0</v>
      </c>
      <c r="CC356" s="18">
        <v>0</v>
      </c>
      <c r="CD356">
        <v>1</v>
      </c>
      <c r="CE356">
        <v>1</v>
      </c>
      <c r="CF356">
        <v>0</v>
      </c>
      <c r="CG356">
        <v>0</v>
      </c>
      <c r="CH356">
        <v>0</v>
      </c>
      <c r="CI356">
        <v>0</v>
      </c>
      <c r="CJ356">
        <v>1</v>
      </c>
      <c r="CK356">
        <v>1</v>
      </c>
      <c r="CL356">
        <v>0</v>
      </c>
      <c r="CM356">
        <v>0</v>
      </c>
      <c r="CN356" s="18">
        <v>0</v>
      </c>
      <c r="CO356">
        <v>0</v>
      </c>
      <c r="CP356">
        <v>2</v>
      </c>
      <c r="CQ356">
        <v>0</v>
      </c>
      <c r="CR356">
        <v>1</v>
      </c>
      <c r="CS356">
        <v>16</v>
      </c>
      <c r="CY356" s="34"/>
    </row>
    <row r="357" spans="1:103" x14ac:dyDescent="0.25">
      <c r="A357">
        <v>356</v>
      </c>
      <c r="B357">
        <v>23</v>
      </c>
      <c r="C357" s="25" t="s">
        <v>236</v>
      </c>
      <c r="D357" s="12">
        <v>34.5</v>
      </c>
      <c r="E357" s="14">
        <v>5.26</v>
      </c>
      <c r="F357" s="7">
        <f t="shared" si="87"/>
        <v>6.5589353612167303</v>
      </c>
      <c r="G357" s="7">
        <f t="shared" si="76"/>
        <v>29.240000000000002</v>
      </c>
      <c r="H357" s="16">
        <f t="shared" si="77"/>
        <v>39.76</v>
      </c>
      <c r="I357" s="11">
        <f t="shared" si="84"/>
        <v>0.10051468619482916</v>
      </c>
      <c r="J357" s="33">
        <f t="shared" si="85"/>
        <v>1.5324847808255111E-2</v>
      </c>
      <c r="K357" s="33">
        <f t="shared" si="86"/>
        <v>65.253502841400163</v>
      </c>
      <c r="L357" s="8">
        <v>0</v>
      </c>
      <c r="M357" s="9">
        <v>1</v>
      </c>
      <c r="N357" s="8">
        <v>0</v>
      </c>
      <c r="O357" s="9">
        <v>0</v>
      </c>
      <c r="P357" s="9">
        <v>0</v>
      </c>
      <c r="Q357" s="9">
        <v>1</v>
      </c>
      <c r="R357" s="9">
        <v>0</v>
      </c>
      <c r="S357" s="8">
        <v>4219</v>
      </c>
      <c r="T357" s="9">
        <v>3</v>
      </c>
      <c r="U357" s="9">
        <f t="shared" si="78"/>
        <v>4215</v>
      </c>
      <c r="V357" s="9">
        <f t="shared" si="79"/>
        <v>15</v>
      </c>
      <c r="W357" s="7">
        <v>7.0203000000000007</v>
      </c>
      <c r="X357" s="7">
        <f t="shared" si="88"/>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v>0</v>
      </c>
      <c r="BF357" s="18">
        <v>1</v>
      </c>
      <c r="BG357">
        <v>0</v>
      </c>
      <c r="BH357">
        <v>1</v>
      </c>
      <c r="BI357" s="18">
        <v>0</v>
      </c>
      <c r="BJ357" t="s">
        <v>98</v>
      </c>
      <c r="BK357">
        <v>67</v>
      </c>
      <c r="BL357" s="25">
        <v>32.5</v>
      </c>
      <c r="BM357">
        <v>0</v>
      </c>
      <c r="BN357">
        <v>0</v>
      </c>
      <c r="BO357">
        <v>0</v>
      </c>
      <c r="BP357">
        <v>0</v>
      </c>
      <c r="BQ357">
        <v>1</v>
      </c>
      <c r="BR357">
        <v>0</v>
      </c>
      <c r="BS357">
        <v>0</v>
      </c>
      <c r="BT357" s="18">
        <v>0</v>
      </c>
      <c r="BU357">
        <v>0</v>
      </c>
      <c r="BV357">
        <v>0</v>
      </c>
      <c r="BW357">
        <v>1</v>
      </c>
      <c r="BX357" s="18">
        <v>0</v>
      </c>
      <c r="BY357">
        <v>0</v>
      </c>
      <c r="BZ357">
        <v>0</v>
      </c>
      <c r="CA357">
        <v>0</v>
      </c>
      <c r="CB357">
        <v>0</v>
      </c>
      <c r="CC357" s="18">
        <v>0</v>
      </c>
      <c r="CD357">
        <v>1</v>
      </c>
      <c r="CE357">
        <v>1</v>
      </c>
      <c r="CF357">
        <v>0</v>
      </c>
      <c r="CG357">
        <v>0</v>
      </c>
      <c r="CH357">
        <v>0</v>
      </c>
      <c r="CI357">
        <v>0</v>
      </c>
      <c r="CJ357">
        <v>1</v>
      </c>
      <c r="CK357">
        <v>1</v>
      </c>
      <c r="CL357">
        <v>0</v>
      </c>
      <c r="CM357">
        <v>0</v>
      </c>
      <c r="CN357" s="18">
        <v>0</v>
      </c>
      <c r="CO357">
        <v>0</v>
      </c>
      <c r="CP357">
        <v>2</v>
      </c>
      <c r="CQ357">
        <v>0</v>
      </c>
      <c r="CR357">
        <v>1</v>
      </c>
      <c r="CS357">
        <v>16</v>
      </c>
      <c r="CY357" s="34"/>
    </row>
    <row r="358" spans="1:103" x14ac:dyDescent="0.25">
      <c r="A358">
        <v>357</v>
      </c>
      <c r="B358">
        <v>23</v>
      </c>
      <c r="C358" s="25" t="s">
        <v>236</v>
      </c>
      <c r="D358" s="12">
        <v>5.62</v>
      </c>
      <c r="E358" s="14">
        <v>2.2999999999999998</v>
      </c>
      <c r="F358" s="7">
        <f t="shared" si="87"/>
        <v>2.4434782608695653</v>
      </c>
      <c r="G358" s="7">
        <f t="shared" si="76"/>
        <v>3.3200000000000003</v>
      </c>
      <c r="H358" s="16">
        <f t="shared" si="77"/>
        <v>7.92</v>
      </c>
      <c r="I358" s="11">
        <f t="shared" si="84"/>
        <v>0.10025960981878747</v>
      </c>
      <c r="J358" s="33">
        <f t="shared" si="85"/>
        <v>4.1031512915162126E-2</v>
      </c>
      <c r="K358" s="33">
        <f t="shared" si="86"/>
        <v>24.371511771150804</v>
      </c>
      <c r="L358" s="8">
        <v>0</v>
      </c>
      <c r="M358" s="9">
        <v>1</v>
      </c>
      <c r="N358" s="8">
        <v>0</v>
      </c>
      <c r="O358" s="9">
        <v>0</v>
      </c>
      <c r="P358" s="9">
        <v>0</v>
      </c>
      <c r="Q358" s="9">
        <v>1</v>
      </c>
      <c r="R358" s="9">
        <v>0</v>
      </c>
      <c r="S358" s="8">
        <v>592</v>
      </c>
      <c r="T358" s="9">
        <v>3</v>
      </c>
      <c r="U358" s="9">
        <f t="shared" si="78"/>
        <v>588</v>
      </c>
      <c r="V358" s="9">
        <f t="shared" si="79"/>
        <v>15</v>
      </c>
      <c r="W358" s="7">
        <v>7.0203000000000007</v>
      </c>
      <c r="X358" s="7">
        <f t="shared" si="88"/>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v>0</v>
      </c>
      <c r="BF358" s="18">
        <v>1</v>
      </c>
      <c r="BG358">
        <v>0</v>
      </c>
      <c r="BH358">
        <v>1</v>
      </c>
      <c r="BI358" s="18">
        <v>0</v>
      </c>
      <c r="BJ358" t="s">
        <v>98</v>
      </c>
      <c r="BK358">
        <v>67</v>
      </c>
      <c r="BL358" s="25">
        <v>32.5</v>
      </c>
      <c r="BM358">
        <v>1</v>
      </c>
      <c r="BN358">
        <v>0</v>
      </c>
      <c r="BO358">
        <v>0</v>
      </c>
      <c r="BP358">
        <v>0</v>
      </c>
      <c r="BQ358">
        <v>0</v>
      </c>
      <c r="BR358">
        <v>0</v>
      </c>
      <c r="BS358">
        <v>0</v>
      </c>
      <c r="BT358" s="18">
        <v>0</v>
      </c>
      <c r="BU358">
        <v>0</v>
      </c>
      <c r="BV358">
        <v>0</v>
      </c>
      <c r="BW358">
        <v>1</v>
      </c>
      <c r="BX358" s="18">
        <v>0</v>
      </c>
      <c r="BY358">
        <v>0</v>
      </c>
      <c r="BZ358">
        <v>0</v>
      </c>
      <c r="CA358">
        <v>0</v>
      </c>
      <c r="CB358">
        <v>0</v>
      </c>
      <c r="CC358" s="18">
        <v>0</v>
      </c>
      <c r="CD358">
        <v>1</v>
      </c>
      <c r="CE358">
        <v>1</v>
      </c>
      <c r="CF358">
        <v>0</v>
      </c>
      <c r="CG358">
        <v>0</v>
      </c>
      <c r="CH358">
        <v>0</v>
      </c>
      <c r="CI358">
        <v>0</v>
      </c>
      <c r="CJ358">
        <v>0</v>
      </c>
      <c r="CK358">
        <v>1</v>
      </c>
      <c r="CL358">
        <v>0</v>
      </c>
      <c r="CM358">
        <v>0</v>
      </c>
      <c r="CN358" s="18">
        <v>0</v>
      </c>
      <c r="CO358">
        <v>0</v>
      </c>
      <c r="CP358">
        <v>2</v>
      </c>
      <c r="CQ358">
        <v>0</v>
      </c>
      <c r="CR358">
        <v>1</v>
      </c>
      <c r="CS358">
        <v>16</v>
      </c>
      <c r="CY358" s="34"/>
    </row>
    <row r="359" spans="1:103" x14ac:dyDescent="0.25">
      <c r="A359">
        <v>358</v>
      </c>
      <c r="B359">
        <v>23</v>
      </c>
      <c r="C359" s="25" t="s">
        <v>236</v>
      </c>
      <c r="D359" s="12">
        <v>4.5999999999999996</v>
      </c>
      <c r="E359" s="14">
        <v>8.3699999999999992</v>
      </c>
      <c r="F359" s="7">
        <f t="shared" si="87"/>
        <v>0.54958183990442055</v>
      </c>
      <c r="G359" s="7">
        <f t="shared" si="76"/>
        <v>-3.7699999999999996</v>
      </c>
      <c r="H359" s="16">
        <f t="shared" si="77"/>
        <v>12.969999999999999</v>
      </c>
      <c r="I359" s="11">
        <f t="shared" si="84"/>
        <v>1.9500221059366833E-2</v>
      </c>
      <c r="J359" s="33">
        <f t="shared" si="85"/>
        <v>3.5481923971065296E-2</v>
      </c>
      <c r="K359" s="33">
        <f t="shared" si="86"/>
        <v>28.183364600394199</v>
      </c>
      <c r="L359" s="8">
        <v>0</v>
      </c>
      <c r="M359" s="9">
        <v>1</v>
      </c>
      <c r="N359" s="8">
        <v>0</v>
      </c>
      <c r="O359" s="9">
        <v>0</v>
      </c>
      <c r="P359" s="9">
        <v>0</v>
      </c>
      <c r="Q359" s="9">
        <v>1</v>
      </c>
      <c r="R359" s="9">
        <v>0</v>
      </c>
      <c r="S359" s="8">
        <v>798</v>
      </c>
      <c r="T359" s="9">
        <v>3</v>
      </c>
      <c r="U359" s="9">
        <f t="shared" si="78"/>
        <v>794</v>
      </c>
      <c r="V359" s="9">
        <f t="shared" si="79"/>
        <v>15</v>
      </c>
      <c r="W359" s="7">
        <v>7.0203000000000007</v>
      </c>
      <c r="X359" s="7">
        <f t="shared" si="88"/>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v>0</v>
      </c>
      <c r="BF359" s="18">
        <v>1</v>
      </c>
      <c r="BG359">
        <v>0</v>
      </c>
      <c r="BH359">
        <v>1</v>
      </c>
      <c r="BI359" s="18">
        <v>0</v>
      </c>
      <c r="BJ359" t="s">
        <v>98</v>
      </c>
      <c r="BK359">
        <v>67</v>
      </c>
      <c r="BL359" s="25">
        <v>32.5</v>
      </c>
      <c r="BM359">
        <v>1</v>
      </c>
      <c r="BN359">
        <v>0</v>
      </c>
      <c r="BO359">
        <v>0</v>
      </c>
      <c r="BP359">
        <v>0</v>
      </c>
      <c r="BQ359">
        <v>0</v>
      </c>
      <c r="BR359">
        <v>0</v>
      </c>
      <c r="BS359">
        <v>0</v>
      </c>
      <c r="BT359" s="18">
        <v>0</v>
      </c>
      <c r="BU359">
        <v>0</v>
      </c>
      <c r="BV359">
        <v>0</v>
      </c>
      <c r="BW359">
        <v>1</v>
      </c>
      <c r="BX359" s="18">
        <v>0</v>
      </c>
      <c r="BY359">
        <v>0</v>
      </c>
      <c r="BZ359">
        <v>0</v>
      </c>
      <c r="CA359">
        <v>0</v>
      </c>
      <c r="CB359">
        <v>0</v>
      </c>
      <c r="CC359" s="18">
        <v>0</v>
      </c>
      <c r="CD359">
        <v>1</v>
      </c>
      <c r="CE359">
        <v>1</v>
      </c>
      <c r="CF359">
        <v>0</v>
      </c>
      <c r="CG359">
        <v>0</v>
      </c>
      <c r="CH359">
        <v>0</v>
      </c>
      <c r="CI359">
        <v>0</v>
      </c>
      <c r="CJ359">
        <v>0</v>
      </c>
      <c r="CK359">
        <v>1</v>
      </c>
      <c r="CL359">
        <v>0</v>
      </c>
      <c r="CM359">
        <v>0</v>
      </c>
      <c r="CN359" s="18">
        <v>0</v>
      </c>
      <c r="CO359">
        <v>0</v>
      </c>
      <c r="CP359">
        <v>2</v>
      </c>
      <c r="CQ359">
        <v>0</v>
      </c>
      <c r="CR359">
        <v>1</v>
      </c>
      <c r="CS359">
        <v>16</v>
      </c>
      <c r="CY359" s="34"/>
    </row>
    <row r="360" spans="1:103" x14ac:dyDescent="0.25">
      <c r="A360">
        <v>359</v>
      </c>
      <c r="B360">
        <v>23</v>
      </c>
      <c r="C360" s="25" t="s">
        <v>236</v>
      </c>
      <c r="D360" s="12">
        <v>15.5</v>
      </c>
      <c r="E360" s="14">
        <v>4.87</v>
      </c>
      <c r="F360" s="7">
        <f t="shared" si="87"/>
        <v>3.1827515400410675</v>
      </c>
      <c r="G360" s="7">
        <f t="shared" si="76"/>
        <v>10.629999999999999</v>
      </c>
      <c r="H360" s="16">
        <f t="shared" si="77"/>
        <v>20.37</v>
      </c>
      <c r="I360" s="11">
        <f t="shared" si="84"/>
        <v>7.9865593759938999E-2</v>
      </c>
      <c r="J360" s="33">
        <f t="shared" si="85"/>
        <v>2.5093254297477611E-2</v>
      </c>
      <c r="K360" s="33">
        <f t="shared" si="86"/>
        <v>39.851347622955409</v>
      </c>
      <c r="L360" s="8">
        <v>0</v>
      </c>
      <c r="M360" s="9">
        <v>1</v>
      </c>
      <c r="N360" s="8">
        <v>0</v>
      </c>
      <c r="O360" s="9">
        <v>0</v>
      </c>
      <c r="P360" s="9">
        <v>0</v>
      </c>
      <c r="Q360" s="9">
        <v>1</v>
      </c>
      <c r="R360" s="9">
        <v>0</v>
      </c>
      <c r="S360" s="8">
        <v>1582</v>
      </c>
      <c r="T360" s="9">
        <v>3</v>
      </c>
      <c r="U360" s="9">
        <f t="shared" si="78"/>
        <v>1578</v>
      </c>
      <c r="V360" s="9">
        <f t="shared" si="79"/>
        <v>15</v>
      </c>
      <c r="W360" s="7">
        <v>7.0203000000000007</v>
      </c>
      <c r="X360" s="7">
        <f t="shared" si="88"/>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v>0</v>
      </c>
      <c r="BF360" s="18">
        <v>1</v>
      </c>
      <c r="BG360">
        <v>0</v>
      </c>
      <c r="BH360">
        <v>1</v>
      </c>
      <c r="BI360" s="18">
        <v>0</v>
      </c>
      <c r="BJ360" t="s">
        <v>98</v>
      </c>
      <c r="BK360">
        <v>67</v>
      </c>
      <c r="BL360" s="25">
        <v>32.5</v>
      </c>
      <c r="BM360">
        <v>1</v>
      </c>
      <c r="BN360">
        <v>0</v>
      </c>
      <c r="BO360">
        <v>0</v>
      </c>
      <c r="BP360">
        <v>0</v>
      </c>
      <c r="BQ360">
        <v>0</v>
      </c>
      <c r="BR360">
        <v>0</v>
      </c>
      <c r="BS360">
        <v>0</v>
      </c>
      <c r="BT360" s="18">
        <v>0</v>
      </c>
      <c r="BU360">
        <v>0</v>
      </c>
      <c r="BV360">
        <v>0</v>
      </c>
      <c r="BW360">
        <v>1</v>
      </c>
      <c r="BX360" s="18">
        <v>0</v>
      </c>
      <c r="BY360">
        <v>0</v>
      </c>
      <c r="BZ360">
        <v>0</v>
      </c>
      <c r="CA360">
        <v>0</v>
      </c>
      <c r="CB360">
        <v>0</v>
      </c>
      <c r="CC360" s="18">
        <v>0</v>
      </c>
      <c r="CD360">
        <v>1</v>
      </c>
      <c r="CE360">
        <v>1</v>
      </c>
      <c r="CF360">
        <v>0</v>
      </c>
      <c r="CG360">
        <v>0</v>
      </c>
      <c r="CH360">
        <v>0</v>
      </c>
      <c r="CI360">
        <v>0</v>
      </c>
      <c r="CJ360">
        <v>0</v>
      </c>
      <c r="CK360">
        <v>1</v>
      </c>
      <c r="CL360">
        <v>0</v>
      </c>
      <c r="CM360">
        <v>0</v>
      </c>
      <c r="CN360" s="18">
        <v>0</v>
      </c>
      <c r="CO360">
        <v>0</v>
      </c>
      <c r="CP360">
        <v>2</v>
      </c>
      <c r="CQ360">
        <v>0</v>
      </c>
      <c r="CR360">
        <v>1</v>
      </c>
      <c r="CS360">
        <v>16</v>
      </c>
      <c r="CY360" s="34"/>
    </row>
    <row r="361" spans="1:103" s="51" customFormat="1" x14ac:dyDescent="0.25">
      <c r="A361" s="51">
        <v>360</v>
      </c>
      <c r="B361" s="51">
        <v>23</v>
      </c>
      <c r="C361" s="52" t="s">
        <v>236</v>
      </c>
      <c r="D361" s="53">
        <v>37.700000000000003</v>
      </c>
      <c r="E361" s="54">
        <v>5.13</v>
      </c>
      <c r="F361" s="55">
        <f t="shared" si="87"/>
        <v>7.3489278752436658</v>
      </c>
      <c r="G361" s="55">
        <f t="shared" si="76"/>
        <v>32.57</v>
      </c>
      <c r="H361" s="56">
        <f t="shared" si="77"/>
        <v>42.830000000000005</v>
      </c>
      <c r="I361" s="11">
        <f t="shared" si="84"/>
        <v>0.15714440548743447</v>
      </c>
      <c r="J361" s="33">
        <f t="shared" si="85"/>
        <v>2.1383310348820659E-2</v>
      </c>
      <c r="K361" s="33">
        <f t="shared" si="86"/>
        <v>46.765443875959662</v>
      </c>
      <c r="L361" s="59">
        <v>0</v>
      </c>
      <c r="M361" s="60">
        <v>1</v>
      </c>
      <c r="N361" s="59">
        <v>0</v>
      </c>
      <c r="O361" s="60">
        <v>0</v>
      </c>
      <c r="P361" s="60">
        <v>0</v>
      </c>
      <c r="Q361" s="60">
        <v>1</v>
      </c>
      <c r="R361" s="60">
        <v>0</v>
      </c>
      <c r="S361" s="59">
        <v>2137</v>
      </c>
      <c r="T361" s="60">
        <v>3</v>
      </c>
      <c r="U361" s="60">
        <f t="shared" si="78"/>
        <v>2133</v>
      </c>
      <c r="V361" s="60">
        <f t="shared" si="79"/>
        <v>15</v>
      </c>
      <c r="W361" s="55">
        <v>7.0203000000000007</v>
      </c>
      <c r="X361" s="55">
        <f t="shared" si="88"/>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v>0</v>
      </c>
      <c r="BF361" s="65">
        <v>1</v>
      </c>
      <c r="BG361">
        <v>0</v>
      </c>
      <c r="BH361">
        <v>1</v>
      </c>
      <c r="BI361" s="65">
        <v>0</v>
      </c>
      <c r="BJ361" t="s">
        <v>98</v>
      </c>
      <c r="BK361">
        <v>67</v>
      </c>
      <c r="BL361" s="52">
        <v>32.5</v>
      </c>
      <c r="BM361" s="51">
        <v>1</v>
      </c>
      <c r="BN361" s="51">
        <v>0</v>
      </c>
      <c r="BO361" s="51">
        <v>0</v>
      </c>
      <c r="BP361" s="51">
        <v>0</v>
      </c>
      <c r="BQ361" s="51">
        <v>0</v>
      </c>
      <c r="BR361" s="51">
        <v>0</v>
      </c>
      <c r="BS361" s="51">
        <v>0</v>
      </c>
      <c r="BT361" s="65">
        <v>0</v>
      </c>
      <c r="BU361" s="51">
        <v>0</v>
      </c>
      <c r="BV361" s="51">
        <v>0</v>
      </c>
      <c r="BW361" s="51">
        <v>1</v>
      </c>
      <c r="BX361" s="65">
        <v>0</v>
      </c>
      <c r="BY361" s="51">
        <v>0</v>
      </c>
      <c r="BZ361" s="51">
        <v>0</v>
      </c>
      <c r="CA361" s="51">
        <v>0</v>
      </c>
      <c r="CB361" s="51">
        <v>0</v>
      </c>
      <c r="CC361" s="65">
        <v>0</v>
      </c>
      <c r="CD361" s="51">
        <v>1</v>
      </c>
      <c r="CE361" s="51">
        <v>1</v>
      </c>
      <c r="CF361" s="51">
        <v>0</v>
      </c>
      <c r="CG361" s="51">
        <v>0</v>
      </c>
      <c r="CH361" s="51">
        <v>0</v>
      </c>
      <c r="CI361" s="51">
        <v>0</v>
      </c>
      <c r="CJ361" s="51">
        <v>0</v>
      </c>
      <c r="CK361" s="51">
        <v>1</v>
      </c>
      <c r="CL361" s="51">
        <v>0</v>
      </c>
      <c r="CM361" s="51">
        <v>0</v>
      </c>
      <c r="CN361" s="65">
        <v>0</v>
      </c>
      <c r="CO361">
        <v>0</v>
      </c>
      <c r="CP361">
        <v>2</v>
      </c>
      <c r="CQ361">
        <v>0</v>
      </c>
      <c r="CR361">
        <v>1</v>
      </c>
      <c r="CS361">
        <v>16</v>
      </c>
      <c r="CT361" s="67"/>
      <c r="CY361" s="67"/>
    </row>
    <row r="362" spans="1:103" x14ac:dyDescent="0.25">
      <c r="A362">
        <v>361</v>
      </c>
      <c r="B362">
        <v>24</v>
      </c>
      <c r="C362" s="25" t="s">
        <v>247</v>
      </c>
      <c r="D362" s="12">
        <v>7.2</v>
      </c>
      <c r="E362" s="14">
        <v>0.5</v>
      </c>
      <c r="F362" s="7">
        <f t="shared" si="87"/>
        <v>14.4</v>
      </c>
      <c r="G362" s="7">
        <f t="shared" si="76"/>
        <v>6.7</v>
      </c>
      <c r="H362" s="16">
        <f t="shared" si="77"/>
        <v>7.7</v>
      </c>
      <c r="I362" s="11">
        <f t="shared" si="84"/>
        <v>0.13314306921085112</v>
      </c>
      <c r="J362" s="33">
        <f t="shared" si="85"/>
        <v>9.2460464729757722E-3</v>
      </c>
      <c r="K362" s="33">
        <f t="shared" si="86"/>
        <v>108.15433417112789</v>
      </c>
      <c r="L362" s="8">
        <v>1</v>
      </c>
      <c r="M362" s="9">
        <v>0</v>
      </c>
      <c r="N362" s="8">
        <v>0</v>
      </c>
      <c r="O362" s="9">
        <v>0</v>
      </c>
      <c r="P362" s="9">
        <v>1</v>
      </c>
      <c r="Q362" s="9">
        <v>0</v>
      </c>
      <c r="R362" s="9">
        <v>0</v>
      </c>
      <c r="S362" s="8">
        <v>11501</v>
      </c>
      <c r="T362" s="9">
        <v>10</v>
      </c>
      <c r="U362" s="9">
        <f t="shared" si="78"/>
        <v>11490</v>
      </c>
      <c r="V362" s="9">
        <f t="shared" si="79"/>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9">1-(SUM(AK362:AM362))</f>
        <v>0.10799999999999998</v>
      </c>
      <c r="AO362" s="42">
        <v>0.57999999999999996</v>
      </c>
      <c r="AP362" s="18">
        <v>0.42</v>
      </c>
      <c r="AQ362">
        <v>1</v>
      </c>
      <c r="AR362" s="40">
        <v>0</v>
      </c>
      <c r="AS362" t="s">
        <v>98</v>
      </c>
      <c r="AT362" s="40" t="s">
        <v>98</v>
      </c>
      <c r="AU362">
        <v>0</v>
      </c>
      <c r="AV362" s="18">
        <v>1</v>
      </c>
      <c r="AW362">
        <f t="shared" ref="AW362:AW397" si="90">1-AX362</f>
        <v>0.52700000000000002</v>
      </c>
      <c r="AX362" s="18">
        <v>0.47299999999999998</v>
      </c>
      <c r="AY362" s="18" t="s">
        <v>20</v>
      </c>
      <c r="AZ362">
        <v>0</v>
      </c>
      <c r="BA362">
        <v>0</v>
      </c>
      <c r="BB362">
        <v>0</v>
      </c>
      <c r="BC362">
        <v>0</v>
      </c>
      <c r="BD362">
        <v>0</v>
      </c>
      <c r="BE362">
        <v>1</v>
      </c>
      <c r="BF362" s="18">
        <v>0</v>
      </c>
      <c r="BG362">
        <v>0</v>
      </c>
      <c r="BH362">
        <v>1</v>
      </c>
      <c r="BI362" s="18">
        <v>0</v>
      </c>
      <c r="BJ362">
        <v>787</v>
      </c>
      <c r="BK362">
        <v>29</v>
      </c>
      <c r="BL362" s="25">
        <v>33.378</v>
      </c>
      <c r="BM362">
        <v>1</v>
      </c>
      <c r="BN362">
        <v>0</v>
      </c>
      <c r="BO362">
        <v>0</v>
      </c>
      <c r="BP362">
        <v>0</v>
      </c>
      <c r="BQ362">
        <v>0</v>
      </c>
      <c r="BR362">
        <v>0</v>
      </c>
      <c r="BS362">
        <v>0</v>
      </c>
      <c r="BT362" s="18">
        <v>0</v>
      </c>
      <c r="BU362">
        <v>0</v>
      </c>
      <c r="BV362">
        <v>0</v>
      </c>
      <c r="BW362">
        <v>1</v>
      </c>
      <c r="BX362" s="18">
        <v>0</v>
      </c>
      <c r="BY362">
        <v>0</v>
      </c>
      <c r="BZ362">
        <v>0</v>
      </c>
      <c r="CA362">
        <v>0</v>
      </c>
      <c r="CB362">
        <v>0</v>
      </c>
      <c r="CC362" s="18">
        <v>0</v>
      </c>
      <c r="CD362">
        <v>0</v>
      </c>
      <c r="CE362">
        <v>0</v>
      </c>
      <c r="CF362">
        <v>1</v>
      </c>
      <c r="CG362">
        <v>1</v>
      </c>
      <c r="CH362">
        <v>0</v>
      </c>
      <c r="CI362">
        <v>0</v>
      </c>
      <c r="CJ362">
        <v>0</v>
      </c>
      <c r="CK362">
        <v>0</v>
      </c>
      <c r="CL362">
        <v>0</v>
      </c>
      <c r="CM362">
        <v>1</v>
      </c>
      <c r="CN362" s="18">
        <v>1</v>
      </c>
      <c r="CO362">
        <v>0</v>
      </c>
      <c r="CP362">
        <v>83</v>
      </c>
      <c r="CQ362">
        <v>0</v>
      </c>
      <c r="CR362">
        <v>1</v>
      </c>
      <c r="CS362">
        <v>11</v>
      </c>
      <c r="CY362" s="34"/>
    </row>
    <row r="363" spans="1:103" x14ac:dyDescent="0.25">
      <c r="A363">
        <v>362</v>
      </c>
      <c r="B363">
        <v>24</v>
      </c>
      <c r="C363" s="25" t="s">
        <v>247</v>
      </c>
      <c r="D363" s="12">
        <v>2.7769996967160542</v>
      </c>
      <c r="E363" s="14">
        <v>0.40838230834059608</v>
      </c>
      <c r="F363" s="7">
        <v>6.8000000000000007</v>
      </c>
      <c r="G363" s="7">
        <f t="shared" si="76"/>
        <v>2.368617388375458</v>
      </c>
      <c r="H363" s="16">
        <f t="shared" si="77"/>
        <v>3.1853820050566504</v>
      </c>
      <c r="I363" s="11">
        <f t="shared" si="84"/>
        <v>6.3329866538037571E-2</v>
      </c>
      <c r="J363" s="33">
        <f t="shared" si="85"/>
        <v>9.3132156673584668E-3</v>
      </c>
      <c r="K363" s="33">
        <f t="shared" si="86"/>
        <v>107.37429860073591</v>
      </c>
      <c r="L363" s="8">
        <v>1</v>
      </c>
      <c r="M363" s="9">
        <v>0</v>
      </c>
      <c r="N363" s="8">
        <v>0</v>
      </c>
      <c r="O363" s="9">
        <v>0</v>
      </c>
      <c r="P363" s="9">
        <v>1</v>
      </c>
      <c r="Q363" s="9">
        <v>0</v>
      </c>
      <c r="R363" s="9">
        <v>0</v>
      </c>
      <c r="S363" s="8">
        <v>11501</v>
      </c>
      <c r="T363" s="9">
        <v>17</v>
      </c>
      <c r="U363" s="9">
        <f t="shared" si="78"/>
        <v>11483</v>
      </c>
      <c r="V363" s="9">
        <f t="shared" si="79"/>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9"/>
        <v>0.10799999999999998</v>
      </c>
      <c r="AO363" s="42">
        <v>0.57999999999999996</v>
      </c>
      <c r="AP363" s="18">
        <v>0.42</v>
      </c>
      <c r="AQ363">
        <v>1</v>
      </c>
      <c r="AR363" s="40">
        <v>0</v>
      </c>
      <c r="AS363" t="s">
        <v>98</v>
      </c>
      <c r="AT363" s="40" t="s">
        <v>98</v>
      </c>
      <c r="AU363">
        <v>0</v>
      </c>
      <c r="AV363" s="18">
        <v>1</v>
      </c>
      <c r="AW363">
        <f t="shared" si="90"/>
        <v>0.52700000000000002</v>
      </c>
      <c r="AX363" s="18">
        <v>0.47299999999999998</v>
      </c>
      <c r="AY363" s="18" t="s">
        <v>20</v>
      </c>
      <c r="AZ363">
        <v>0</v>
      </c>
      <c r="BA363">
        <v>0</v>
      </c>
      <c r="BB363">
        <v>0</v>
      </c>
      <c r="BC363">
        <v>0</v>
      </c>
      <c r="BD363">
        <v>0</v>
      </c>
      <c r="BE363">
        <v>1</v>
      </c>
      <c r="BF363" s="18">
        <v>0</v>
      </c>
      <c r="BG363">
        <v>0</v>
      </c>
      <c r="BH363">
        <v>1</v>
      </c>
      <c r="BI363" s="18">
        <v>0</v>
      </c>
      <c r="BJ363">
        <v>787</v>
      </c>
      <c r="BK363">
        <v>29</v>
      </c>
      <c r="BL363" s="25">
        <v>33.378</v>
      </c>
      <c r="BM363">
        <v>1</v>
      </c>
      <c r="BN363">
        <v>0</v>
      </c>
      <c r="BO363">
        <v>0</v>
      </c>
      <c r="BP363">
        <v>0</v>
      </c>
      <c r="BQ363">
        <v>0</v>
      </c>
      <c r="BR363">
        <v>0</v>
      </c>
      <c r="BS363">
        <v>0</v>
      </c>
      <c r="BT363" s="18">
        <v>0</v>
      </c>
      <c r="BU363">
        <v>0</v>
      </c>
      <c r="BV363">
        <v>0</v>
      </c>
      <c r="BW363">
        <v>1</v>
      </c>
      <c r="BX363" s="18">
        <v>0</v>
      </c>
      <c r="BY363">
        <v>0</v>
      </c>
      <c r="BZ363">
        <v>0</v>
      </c>
      <c r="CA363">
        <v>0</v>
      </c>
      <c r="CB363">
        <v>0</v>
      </c>
      <c r="CC363" s="18">
        <v>0</v>
      </c>
      <c r="CD363">
        <v>0</v>
      </c>
      <c r="CE363">
        <v>0</v>
      </c>
      <c r="CF363">
        <v>1</v>
      </c>
      <c r="CG363">
        <v>1</v>
      </c>
      <c r="CH363">
        <v>0</v>
      </c>
      <c r="CI363">
        <v>0</v>
      </c>
      <c r="CJ363">
        <v>0</v>
      </c>
      <c r="CK363">
        <v>0</v>
      </c>
      <c r="CL363">
        <v>0</v>
      </c>
      <c r="CM363">
        <v>1</v>
      </c>
      <c r="CN363" s="18">
        <v>1</v>
      </c>
      <c r="CO363">
        <v>0</v>
      </c>
      <c r="CP363">
        <v>83</v>
      </c>
      <c r="CQ363">
        <v>0</v>
      </c>
      <c r="CR363">
        <v>1</v>
      </c>
      <c r="CS363">
        <v>11</v>
      </c>
      <c r="CY363" s="34"/>
    </row>
    <row r="364" spans="1:103" x14ac:dyDescent="0.25">
      <c r="A364">
        <v>363</v>
      </c>
      <c r="B364">
        <v>24</v>
      </c>
      <c r="C364" s="25" t="s">
        <v>247</v>
      </c>
      <c r="D364" s="12">
        <v>4.4633839671773368</v>
      </c>
      <c r="E364" s="14">
        <v>0.32940103078799532</v>
      </c>
      <c r="F364" s="7">
        <v>13.55</v>
      </c>
      <c r="G364" s="7">
        <f t="shared" si="76"/>
        <v>4.1339829363893417</v>
      </c>
      <c r="H364" s="16">
        <f t="shared" si="77"/>
        <v>4.7927849979653319</v>
      </c>
      <c r="I364" s="11">
        <f t="shared" si="84"/>
        <v>0.12544896850431847</v>
      </c>
      <c r="J364" s="33">
        <f t="shared" si="85"/>
        <v>9.2582264578832812E-3</v>
      </c>
      <c r="K364" s="33">
        <f t="shared" si="86"/>
        <v>108.01204793910725</v>
      </c>
      <c r="L364" s="8">
        <v>1</v>
      </c>
      <c r="M364" s="9">
        <v>0</v>
      </c>
      <c r="N364" s="8">
        <v>0</v>
      </c>
      <c r="O364" s="9">
        <v>0</v>
      </c>
      <c r="P364" s="9">
        <v>1</v>
      </c>
      <c r="Q364" s="9">
        <v>0</v>
      </c>
      <c r="R364" s="9">
        <v>0</v>
      </c>
      <c r="S364" s="8">
        <v>11501</v>
      </c>
      <c r="T364" s="9">
        <v>17</v>
      </c>
      <c r="U364" s="9">
        <f t="shared" si="78"/>
        <v>11483</v>
      </c>
      <c r="V364" s="9">
        <f t="shared" si="79"/>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9"/>
        <v>0.10799999999999998</v>
      </c>
      <c r="AO364" s="42">
        <v>0.57999999999999996</v>
      </c>
      <c r="AP364" s="18">
        <v>0.42</v>
      </c>
      <c r="AQ364">
        <v>1</v>
      </c>
      <c r="AR364" s="40">
        <v>0</v>
      </c>
      <c r="AS364" t="s">
        <v>98</v>
      </c>
      <c r="AT364" s="40" t="s">
        <v>98</v>
      </c>
      <c r="AU364">
        <v>0</v>
      </c>
      <c r="AV364" s="18">
        <v>1</v>
      </c>
      <c r="AW364">
        <f t="shared" si="90"/>
        <v>0.52700000000000002</v>
      </c>
      <c r="AX364" s="18">
        <v>0.47299999999999998</v>
      </c>
      <c r="AY364" s="18" t="s">
        <v>20</v>
      </c>
      <c r="AZ364">
        <v>0</v>
      </c>
      <c r="BA364">
        <v>0</v>
      </c>
      <c r="BB364">
        <v>0</v>
      </c>
      <c r="BC364">
        <v>0</v>
      </c>
      <c r="BD364">
        <v>0</v>
      </c>
      <c r="BE364">
        <v>1</v>
      </c>
      <c r="BF364" s="18">
        <v>0</v>
      </c>
      <c r="BG364">
        <v>0</v>
      </c>
      <c r="BH364">
        <v>1</v>
      </c>
      <c r="BI364" s="18">
        <v>0</v>
      </c>
      <c r="BJ364">
        <v>787</v>
      </c>
      <c r="BK364">
        <v>29</v>
      </c>
      <c r="BL364" s="25">
        <v>33.378</v>
      </c>
      <c r="BM364">
        <v>1</v>
      </c>
      <c r="BN364">
        <v>0</v>
      </c>
      <c r="BO364">
        <v>0</v>
      </c>
      <c r="BP364">
        <v>0</v>
      </c>
      <c r="BQ364">
        <v>0</v>
      </c>
      <c r="BR364">
        <v>0</v>
      </c>
      <c r="BS364">
        <v>0</v>
      </c>
      <c r="BT364" s="18">
        <v>0</v>
      </c>
      <c r="BU364">
        <v>0</v>
      </c>
      <c r="BV364">
        <v>0</v>
      </c>
      <c r="BW364">
        <v>1</v>
      </c>
      <c r="BX364" s="18">
        <v>0</v>
      </c>
      <c r="BY364">
        <v>0</v>
      </c>
      <c r="BZ364">
        <v>0</v>
      </c>
      <c r="CA364">
        <v>0</v>
      </c>
      <c r="CB364">
        <v>0</v>
      </c>
      <c r="CC364" s="18">
        <v>0</v>
      </c>
      <c r="CD364">
        <v>0</v>
      </c>
      <c r="CE364">
        <v>0</v>
      </c>
      <c r="CF364">
        <v>1</v>
      </c>
      <c r="CG364">
        <v>1</v>
      </c>
      <c r="CH364">
        <v>0</v>
      </c>
      <c r="CI364">
        <v>0</v>
      </c>
      <c r="CJ364">
        <v>0</v>
      </c>
      <c r="CK364">
        <v>0</v>
      </c>
      <c r="CL364">
        <v>0</v>
      </c>
      <c r="CM364">
        <v>1</v>
      </c>
      <c r="CN364" s="18">
        <v>1</v>
      </c>
      <c r="CO364">
        <v>0</v>
      </c>
      <c r="CP364">
        <v>83</v>
      </c>
      <c r="CQ364">
        <v>0</v>
      </c>
      <c r="CR364">
        <v>1</v>
      </c>
      <c r="CS364">
        <v>11</v>
      </c>
      <c r="CY364" s="34"/>
    </row>
    <row r="365" spans="1:103" x14ac:dyDescent="0.25">
      <c r="A365">
        <v>364</v>
      </c>
      <c r="B365">
        <v>24</v>
      </c>
      <c r="C365" s="25" t="s">
        <v>247</v>
      </c>
      <c r="D365" s="12">
        <v>13.075934214887059</v>
      </c>
      <c r="E365" s="14">
        <v>0.48973536385344812</v>
      </c>
      <c r="F365" s="7">
        <v>26.7</v>
      </c>
      <c r="G365" s="7">
        <f t="shared" si="76"/>
        <v>12.586198851033611</v>
      </c>
      <c r="H365" s="16">
        <f t="shared" si="77"/>
        <v>13.565669578740508</v>
      </c>
      <c r="I365" s="11">
        <f t="shared" si="84"/>
        <v>0.24177116993399661</v>
      </c>
      <c r="J365" s="33">
        <f t="shared" si="85"/>
        <v>9.0550999975279618E-3</v>
      </c>
      <c r="K365" s="33">
        <f t="shared" si="86"/>
        <v>110.43500350885131</v>
      </c>
      <c r="L365" s="8">
        <v>1</v>
      </c>
      <c r="M365" s="9">
        <v>0</v>
      </c>
      <c r="N365" s="8">
        <v>0</v>
      </c>
      <c r="O365" s="9">
        <v>0</v>
      </c>
      <c r="P365" s="9">
        <v>1</v>
      </c>
      <c r="Q365" s="9">
        <v>0</v>
      </c>
      <c r="R365" s="9">
        <v>0</v>
      </c>
      <c r="S365" s="8">
        <v>11501</v>
      </c>
      <c r="T365" s="9">
        <v>17</v>
      </c>
      <c r="U365" s="9">
        <f t="shared" si="78"/>
        <v>11483</v>
      </c>
      <c r="V365" s="9">
        <f t="shared" si="79"/>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9"/>
        <v>0.10799999999999998</v>
      </c>
      <c r="AO365" s="42">
        <v>0.57999999999999996</v>
      </c>
      <c r="AP365" s="18">
        <v>0.42</v>
      </c>
      <c r="AQ365">
        <v>1</v>
      </c>
      <c r="AR365" s="40">
        <v>0</v>
      </c>
      <c r="AS365" t="s">
        <v>98</v>
      </c>
      <c r="AT365" s="40" t="s">
        <v>98</v>
      </c>
      <c r="AU365">
        <v>0</v>
      </c>
      <c r="AV365" s="18">
        <v>1</v>
      </c>
      <c r="AW365">
        <f t="shared" si="90"/>
        <v>0.52700000000000002</v>
      </c>
      <c r="AX365" s="18">
        <v>0.47299999999999998</v>
      </c>
      <c r="AY365" s="18" t="s">
        <v>20</v>
      </c>
      <c r="AZ365">
        <v>0</v>
      </c>
      <c r="BA365">
        <v>0</v>
      </c>
      <c r="BB365">
        <v>0</v>
      </c>
      <c r="BC365">
        <v>0</v>
      </c>
      <c r="BD365">
        <v>0</v>
      </c>
      <c r="BE365">
        <v>1</v>
      </c>
      <c r="BF365" s="18">
        <v>0</v>
      </c>
      <c r="BG365">
        <v>0</v>
      </c>
      <c r="BH365">
        <v>1</v>
      </c>
      <c r="BI365" s="18">
        <v>0</v>
      </c>
      <c r="BJ365">
        <v>787</v>
      </c>
      <c r="BK365">
        <v>29</v>
      </c>
      <c r="BL365" s="25">
        <v>33.378</v>
      </c>
      <c r="BM365">
        <v>1</v>
      </c>
      <c r="BN365">
        <v>0</v>
      </c>
      <c r="BO365">
        <v>0</v>
      </c>
      <c r="BP365">
        <v>0</v>
      </c>
      <c r="BQ365">
        <v>0</v>
      </c>
      <c r="BR365">
        <v>0</v>
      </c>
      <c r="BS365">
        <v>0</v>
      </c>
      <c r="BT365" s="18">
        <v>0</v>
      </c>
      <c r="BU365">
        <v>0</v>
      </c>
      <c r="BV365">
        <v>0</v>
      </c>
      <c r="BW365">
        <v>1</v>
      </c>
      <c r="BX365" s="18">
        <v>0</v>
      </c>
      <c r="BY365">
        <v>0</v>
      </c>
      <c r="BZ365">
        <v>0</v>
      </c>
      <c r="CA365">
        <v>0</v>
      </c>
      <c r="CB365">
        <v>0</v>
      </c>
      <c r="CC365" s="18">
        <v>0</v>
      </c>
      <c r="CD365">
        <v>0</v>
      </c>
      <c r="CE365">
        <v>0</v>
      </c>
      <c r="CF365">
        <v>1</v>
      </c>
      <c r="CG365">
        <v>1</v>
      </c>
      <c r="CH365">
        <v>0</v>
      </c>
      <c r="CI365">
        <v>0</v>
      </c>
      <c r="CJ365">
        <v>0</v>
      </c>
      <c r="CK365">
        <v>0</v>
      </c>
      <c r="CL365">
        <v>0</v>
      </c>
      <c r="CM365">
        <v>1</v>
      </c>
      <c r="CN365" s="18">
        <v>1</v>
      </c>
      <c r="CO365">
        <v>0</v>
      </c>
      <c r="CP365">
        <v>83</v>
      </c>
      <c r="CQ365">
        <v>0</v>
      </c>
      <c r="CR365">
        <v>1</v>
      </c>
      <c r="CS365">
        <v>11</v>
      </c>
      <c r="CY365" s="34"/>
    </row>
    <row r="366" spans="1:103" x14ac:dyDescent="0.25">
      <c r="A366">
        <v>365</v>
      </c>
      <c r="B366">
        <v>24</v>
      </c>
      <c r="C366" s="25" t="s">
        <v>247</v>
      </c>
      <c r="D366" s="12">
        <v>11.41572966851014</v>
      </c>
      <c r="E366" s="14">
        <v>0.44943817592559621</v>
      </c>
      <c r="F366" s="7">
        <v>25.4</v>
      </c>
      <c r="G366" s="7">
        <f t="shared" si="76"/>
        <v>10.966291492584544</v>
      </c>
      <c r="H366" s="16">
        <f t="shared" si="77"/>
        <v>11.865167844435737</v>
      </c>
      <c r="I366" s="11">
        <f t="shared" si="84"/>
        <v>0.23064086478003865</v>
      </c>
      <c r="J366" s="33">
        <f t="shared" si="85"/>
        <v>9.0803490070881371E-3</v>
      </c>
      <c r="K366" s="33">
        <f t="shared" si="86"/>
        <v>110.12792561380606</v>
      </c>
      <c r="L366" s="8">
        <v>1</v>
      </c>
      <c r="M366" s="9">
        <v>0</v>
      </c>
      <c r="N366" s="8">
        <v>0</v>
      </c>
      <c r="O366" s="9">
        <v>0</v>
      </c>
      <c r="P366" s="9">
        <v>1</v>
      </c>
      <c r="Q366" s="9">
        <v>0</v>
      </c>
      <c r="R366" s="9">
        <v>0</v>
      </c>
      <c r="S366" s="8">
        <v>11501</v>
      </c>
      <c r="T366" s="9">
        <v>17</v>
      </c>
      <c r="U366" s="9">
        <f t="shared" si="78"/>
        <v>11483</v>
      </c>
      <c r="V366" s="9">
        <f t="shared" si="79"/>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9"/>
        <v>0.10799999999999998</v>
      </c>
      <c r="AO366" s="42">
        <v>0.57999999999999996</v>
      </c>
      <c r="AP366" s="18">
        <v>0.42</v>
      </c>
      <c r="AQ366">
        <v>1</v>
      </c>
      <c r="AR366" s="40">
        <v>0</v>
      </c>
      <c r="AS366" t="s">
        <v>98</v>
      </c>
      <c r="AT366" s="40" t="s">
        <v>98</v>
      </c>
      <c r="AU366">
        <v>0</v>
      </c>
      <c r="AV366" s="18">
        <v>1</v>
      </c>
      <c r="AW366">
        <f t="shared" si="90"/>
        <v>0.52700000000000002</v>
      </c>
      <c r="AX366" s="18">
        <v>0.47299999999999998</v>
      </c>
      <c r="AY366" s="18" t="s">
        <v>20</v>
      </c>
      <c r="AZ366">
        <v>0</v>
      </c>
      <c r="BA366">
        <v>0</v>
      </c>
      <c r="BB366">
        <v>0</v>
      </c>
      <c r="BC366">
        <v>0</v>
      </c>
      <c r="BD366">
        <v>0</v>
      </c>
      <c r="BE366">
        <v>1</v>
      </c>
      <c r="BF366" s="18">
        <v>0</v>
      </c>
      <c r="BG366">
        <v>0</v>
      </c>
      <c r="BH366">
        <v>1</v>
      </c>
      <c r="BI366" s="18">
        <v>0</v>
      </c>
      <c r="BJ366">
        <v>787</v>
      </c>
      <c r="BK366">
        <v>29</v>
      </c>
      <c r="BL366" s="25">
        <v>33.378</v>
      </c>
      <c r="BM366">
        <v>1</v>
      </c>
      <c r="BN366">
        <v>0</v>
      </c>
      <c r="BO366">
        <v>0</v>
      </c>
      <c r="BP366">
        <v>0</v>
      </c>
      <c r="BQ366">
        <v>0</v>
      </c>
      <c r="BR366">
        <v>0</v>
      </c>
      <c r="BS366">
        <v>0</v>
      </c>
      <c r="BT366" s="18">
        <v>0</v>
      </c>
      <c r="BU366">
        <v>0</v>
      </c>
      <c r="BV366">
        <v>0</v>
      </c>
      <c r="BW366">
        <v>1</v>
      </c>
      <c r="BX366" s="18">
        <v>0</v>
      </c>
      <c r="BY366">
        <v>0</v>
      </c>
      <c r="BZ366">
        <v>0</v>
      </c>
      <c r="CA366">
        <v>0</v>
      </c>
      <c r="CB366">
        <v>0</v>
      </c>
      <c r="CC366" s="18">
        <v>0</v>
      </c>
      <c r="CD366">
        <v>0</v>
      </c>
      <c r="CE366">
        <v>0</v>
      </c>
      <c r="CF366">
        <v>1</v>
      </c>
      <c r="CG366">
        <v>1</v>
      </c>
      <c r="CH366">
        <v>0</v>
      </c>
      <c r="CI366">
        <v>0</v>
      </c>
      <c r="CJ366">
        <v>0</v>
      </c>
      <c r="CK366">
        <v>0</v>
      </c>
      <c r="CL366">
        <v>0</v>
      </c>
      <c r="CM366">
        <v>1</v>
      </c>
      <c r="CN366" s="18">
        <v>1</v>
      </c>
      <c r="CO366">
        <v>0</v>
      </c>
      <c r="CP366">
        <v>83</v>
      </c>
      <c r="CQ366">
        <v>0</v>
      </c>
      <c r="CR366">
        <v>1</v>
      </c>
      <c r="CS366">
        <v>11</v>
      </c>
      <c r="CY366" s="34"/>
    </row>
    <row r="367" spans="1:103" x14ac:dyDescent="0.25">
      <c r="A367">
        <v>366</v>
      </c>
      <c r="B367">
        <v>24</v>
      </c>
      <c r="C367" s="25" t="s">
        <v>247</v>
      </c>
      <c r="D367" s="12">
        <v>15.61953355564145</v>
      </c>
      <c r="E367" s="14">
        <v>0.43793084735443322</v>
      </c>
      <c r="F367" s="7">
        <v>35.666666666666671</v>
      </c>
      <c r="G367" s="7">
        <f t="shared" si="76"/>
        <v>15.181602708287016</v>
      </c>
      <c r="H367" s="16">
        <f t="shared" si="77"/>
        <v>16.057464402995883</v>
      </c>
      <c r="I367" s="11">
        <f t="shared" si="84"/>
        <v>0.31580601670891845</v>
      </c>
      <c r="J367" s="33">
        <f t="shared" si="85"/>
        <v>8.8543743002500487E-3</v>
      </c>
      <c r="K367" s="33">
        <f t="shared" si="86"/>
        <v>112.93852801905605</v>
      </c>
      <c r="L367" s="8">
        <v>1</v>
      </c>
      <c r="M367" s="9">
        <v>0</v>
      </c>
      <c r="N367" s="8">
        <v>0</v>
      </c>
      <c r="O367" s="9">
        <v>0</v>
      </c>
      <c r="P367" s="9">
        <v>1</v>
      </c>
      <c r="Q367" s="9">
        <v>0</v>
      </c>
      <c r="R367" s="9">
        <v>0</v>
      </c>
      <c r="S367" s="8">
        <v>11501</v>
      </c>
      <c r="T367" s="9">
        <v>17</v>
      </c>
      <c r="U367" s="9">
        <f t="shared" si="78"/>
        <v>11483</v>
      </c>
      <c r="V367" s="9">
        <f t="shared" si="79"/>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9"/>
        <v>0.10799999999999998</v>
      </c>
      <c r="AO367" s="42">
        <v>0.57999999999999996</v>
      </c>
      <c r="AP367" s="18">
        <v>0.42</v>
      </c>
      <c r="AQ367">
        <v>1</v>
      </c>
      <c r="AR367" s="40">
        <v>0</v>
      </c>
      <c r="AS367" t="s">
        <v>98</v>
      </c>
      <c r="AT367" s="40" t="s">
        <v>98</v>
      </c>
      <c r="AU367">
        <v>0</v>
      </c>
      <c r="AV367" s="18">
        <v>1</v>
      </c>
      <c r="AW367">
        <f t="shared" si="90"/>
        <v>0.52700000000000002</v>
      </c>
      <c r="AX367" s="18">
        <v>0.47299999999999998</v>
      </c>
      <c r="AY367" s="18" t="s">
        <v>20</v>
      </c>
      <c r="AZ367">
        <v>0</v>
      </c>
      <c r="BA367">
        <v>0</v>
      </c>
      <c r="BB367">
        <v>0</v>
      </c>
      <c r="BC367">
        <v>0</v>
      </c>
      <c r="BD367">
        <v>0</v>
      </c>
      <c r="BE367">
        <v>1</v>
      </c>
      <c r="BF367" s="18">
        <v>0</v>
      </c>
      <c r="BG367">
        <v>0</v>
      </c>
      <c r="BH367">
        <v>1</v>
      </c>
      <c r="BI367" s="18">
        <v>0</v>
      </c>
      <c r="BJ367">
        <v>787</v>
      </c>
      <c r="BK367">
        <v>29</v>
      </c>
      <c r="BL367" s="25">
        <v>33.378</v>
      </c>
      <c r="BM367">
        <v>1</v>
      </c>
      <c r="BN367">
        <v>0</v>
      </c>
      <c r="BO367">
        <v>0</v>
      </c>
      <c r="BP367">
        <v>0</v>
      </c>
      <c r="BQ367">
        <v>0</v>
      </c>
      <c r="BR367">
        <v>0</v>
      </c>
      <c r="BS367">
        <v>0</v>
      </c>
      <c r="BT367" s="18">
        <v>0</v>
      </c>
      <c r="BU367">
        <v>0</v>
      </c>
      <c r="BV367">
        <v>0</v>
      </c>
      <c r="BW367">
        <v>1</v>
      </c>
      <c r="BX367" s="18">
        <v>0</v>
      </c>
      <c r="BY367">
        <v>0</v>
      </c>
      <c r="BZ367">
        <v>0</v>
      </c>
      <c r="CA367">
        <v>0</v>
      </c>
      <c r="CB367">
        <v>0</v>
      </c>
      <c r="CC367" s="18">
        <v>0</v>
      </c>
      <c r="CD367">
        <v>0</v>
      </c>
      <c r="CE367">
        <v>0</v>
      </c>
      <c r="CF367">
        <v>1</v>
      </c>
      <c r="CG367">
        <v>1</v>
      </c>
      <c r="CH367">
        <v>0</v>
      </c>
      <c r="CI367">
        <v>0</v>
      </c>
      <c r="CJ367">
        <v>0</v>
      </c>
      <c r="CK367">
        <v>0</v>
      </c>
      <c r="CL367">
        <v>0</v>
      </c>
      <c r="CM367">
        <v>1</v>
      </c>
      <c r="CN367" s="18">
        <v>1</v>
      </c>
      <c r="CO367">
        <v>0</v>
      </c>
      <c r="CP367">
        <v>83</v>
      </c>
      <c r="CQ367">
        <v>0</v>
      </c>
      <c r="CR367">
        <v>1</v>
      </c>
      <c r="CS367">
        <v>11</v>
      </c>
      <c r="CY367" s="34"/>
    </row>
    <row r="368" spans="1:103" x14ac:dyDescent="0.25">
      <c r="A368">
        <v>367</v>
      </c>
      <c r="B368">
        <v>24</v>
      </c>
      <c r="C368" s="25" t="s">
        <v>247</v>
      </c>
      <c r="D368" s="12">
        <v>15.109416852657519</v>
      </c>
      <c r="E368" s="14">
        <v>0.3306218129684359</v>
      </c>
      <c r="F368" s="7">
        <v>45.7</v>
      </c>
      <c r="G368" s="7">
        <f t="shared" si="76"/>
        <v>14.778795039689083</v>
      </c>
      <c r="H368" s="16">
        <f t="shared" si="77"/>
        <v>15.440038665625956</v>
      </c>
      <c r="I368" s="11">
        <f t="shared" si="84"/>
        <v>0.39228566159909373</v>
      </c>
      <c r="J368" s="33">
        <f t="shared" si="85"/>
        <v>8.5839313260195563E-3</v>
      </c>
      <c r="K368" s="33">
        <f t="shared" si="86"/>
        <v>116.49673815176114</v>
      </c>
      <c r="L368" s="8">
        <v>1</v>
      </c>
      <c r="M368" s="9">
        <v>0</v>
      </c>
      <c r="N368" s="8">
        <v>0</v>
      </c>
      <c r="O368" s="9">
        <v>0</v>
      </c>
      <c r="P368" s="9">
        <v>1</v>
      </c>
      <c r="Q368" s="9">
        <v>0</v>
      </c>
      <c r="R368" s="9">
        <v>0</v>
      </c>
      <c r="S368" s="8">
        <v>11501</v>
      </c>
      <c r="T368" s="9">
        <v>17</v>
      </c>
      <c r="U368" s="9">
        <f t="shared" si="78"/>
        <v>11483</v>
      </c>
      <c r="V368" s="9">
        <f t="shared" si="79"/>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9"/>
        <v>0.10799999999999998</v>
      </c>
      <c r="AO368" s="42">
        <v>0.57999999999999996</v>
      </c>
      <c r="AP368" s="18">
        <v>0.42</v>
      </c>
      <c r="AQ368">
        <v>1</v>
      </c>
      <c r="AR368" s="40">
        <v>0</v>
      </c>
      <c r="AS368" t="s">
        <v>98</v>
      </c>
      <c r="AT368" s="40" t="s">
        <v>98</v>
      </c>
      <c r="AU368">
        <v>0</v>
      </c>
      <c r="AV368" s="18">
        <v>1</v>
      </c>
      <c r="AW368">
        <f t="shared" si="90"/>
        <v>0.52700000000000002</v>
      </c>
      <c r="AX368" s="18">
        <v>0.47299999999999998</v>
      </c>
      <c r="AY368" s="18" t="s">
        <v>20</v>
      </c>
      <c r="AZ368">
        <v>0</v>
      </c>
      <c r="BA368">
        <v>0</v>
      </c>
      <c r="BB368">
        <v>0</v>
      </c>
      <c r="BC368">
        <v>0</v>
      </c>
      <c r="BD368">
        <v>0</v>
      </c>
      <c r="BE368">
        <v>1</v>
      </c>
      <c r="BF368" s="18">
        <v>0</v>
      </c>
      <c r="BG368">
        <v>0</v>
      </c>
      <c r="BH368">
        <v>1</v>
      </c>
      <c r="BI368" s="18">
        <v>0</v>
      </c>
      <c r="BJ368">
        <v>787</v>
      </c>
      <c r="BK368">
        <v>29</v>
      </c>
      <c r="BL368" s="25">
        <v>33.378</v>
      </c>
      <c r="BM368">
        <v>1</v>
      </c>
      <c r="BN368">
        <v>0</v>
      </c>
      <c r="BO368">
        <v>0</v>
      </c>
      <c r="BP368">
        <v>0</v>
      </c>
      <c r="BQ368">
        <v>0</v>
      </c>
      <c r="BR368">
        <v>0</v>
      </c>
      <c r="BS368">
        <v>0</v>
      </c>
      <c r="BT368" s="18">
        <v>0</v>
      </c>
      <c r="BU368">
        <v>0</v>
      </c>
      <c r="BV368">
        <v>0</v>
      </c>
      <c r="BW368">
        <v>1</v>
      </c>
      <c r="BX368" s="18">
        <v>0</v>
      </c>
      <c r="BY368">
        <v>0</v>
      </c>
      <c r="BZ368">
        <v>0</v>
      </c>
      <c r="CA368">
        <v>0</v>
      </c>
      <c r="CB368">
        <v>0</v>
      </c>
      <c r="CC368" s="18">
        <v>0</v>
      </c>
      <c r="CD368">
        <v>0</v>
      </c>
      <c r="CE368">
        <v>0</v>
      </c>
      <c r="CF368">
        <v>1</v>
      </c>
      <c r="CG368">
        <v>1</v>
      </c>
      <c r="CH368">
        <v>0</v>
      </c>
      <c r="CI368">
        <v>0</v>
      </c>
      <c r="CJ368">
        <v>0</v>
      </c>
      <c r="CK368">
        <v>0</v>
      </c>
      <c r="CL368">
        <v>0</v>
      </c>
      <c r="CM368">
        <v>1</v>
      </c>
      <c r="CN368" s="18">
        <v>1</v>
      </c>
      <c r="CO368">
        <v>0</v>
      </c>
      <c r="CP368">
        <v>83</v>
      </c>
      <c r="CQ368">
        <v>0</v>
      </c>
      <c r="CR368">
        <v>1</v>
      </c>
      <c r="CS368">
        <v>11</v>
      </c>
      <c r="CY368" s="34"/>
    </row>
    <row r="369" spans="1:103" x14ac:dyDescent="0.25">
      <c r="A369">
        <v>368</v>
      </c>
      <c r="B369">
        <v>24</v>
      </c>
      <c r="C369" s="25" t="s">
        <v>247</v>
      </c>
      <c r="D369" s="12">
        <v>16.600000000000001</v>
      </c>
      <c r="E369" s="14">
        <v>1</v>
      </c>
      <c r="F369" s="7">
        <f>D369/E369</f>
        <v>16.600000000000001</v>
      </c>
      <c r="G369" s="7">
        <f t="shared" si="76"/>
        <v>15.600000000000001</v>
      </c>
      <c r="H369" s="16">
        <f t="shared" si="77"/>
        <v>17.600000000000001</v>
      </c>
      <c r="I369" s="11">
        <f t="shared" si="84"/>
        <v>0.34745373685855596</v>
      </c>
      <c r="J369" s="33">
        <f t="shared" si="85"/>
        <v>2.0930948003527464E-2</v>
      </c>
      <c r="K369" s="33">
        <f t="shared" si="86"/>
        <v>47.776144674931651</v>
      </c>
      <c r="L369" s="8">
        <v>1</v>
      </c>
      <c r="M369" s="9">
        <v>0</v>
      </c>
      <c r="N369" s="8">
        <v>0</v>
      </c>
      <c r="O369" s="9">
        <v>0</v>
      </c>
      <c r="P369" s="9">
        <v>1</v>
      </c>
      <c r="Q369" s="9">
        <v>0</v>
      </c>
      <c r="R369" s="9">
        <v>0</v>
      </c>
      <c r="S369" s="8">
        <v>2018</v>
      </c>
      <c r="T369" s="9">
        <v>10</v>
      </c>
      <c r="U369" s="9">
        <f t="shared" si="78"/>
        <v>2007</v>
      </c>
      <c r="V369" s="9">
        <f t="shared" si="79"/>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9"/>
        <v>0.127</v>
      </c>
      <c r="AO369" s="42">
        <v>0.16</v>
      </c>
      <c r="AP369" s="18">
        <v>0.84</v>
      </c>
      <c r="AQ369">
        <v>0</v>
      </c>
      <c r="AR369" s="40">
        <v>1</v>
      </c>
      <c r="AS369" t="s">
        <v>98</v>
      </c>
      <c r="AT369" s="40" t="s">
        <v>98</v>
      </c>
      <c r="AU369">
        <v>0</v>
      </c>
      <c r="AV369" s="18">
        <v>1</v>
      </c>
      <c r="AW369">
        <f t="shared" si="90"/>
        <v>0.499</v>
      </c>
      <c r="AX369" s="18">
        <v>0.501</v>
      </c>
      <c r="AY369" s="18" t="s">
        <v>20</v>
      </c>
      <c r="AZ369">
        <v>0</v>
      </c>
      <c r="BA369">
        <v>0</v>
      </c>
      <c r="BB369">
        <v>0</v>
      </c>
      <c r="BC369">
        <v>0</v>
      </c>
      <c r="BD369">
        <v>0</v>
      </c>
      <c r="BE369">
        <v>1</v>
      </c>
      <c r="BF369" s="18">
        <v>0</v>
      </c>
      <c r="BG369">
        <v>0</v>
      </c>
      <c r="BH369">
        <v>1</v>
      </c>
      <c r="BI369" s="18">
        <v>0</v>
      </c>
      <c r="BJ369">
        <v>787</v>
      </c>
      <c r="BK369">
        <v>29</v>
      </c>
      <c r="BL369" s="25">
        <v>32.451999999999998</v>
      </c>
      <c r="BM369">
        <v>1</v>
      </c>
      <c r="BN369">
        <v>0</v>
      </c>
      <c r="BO369">
        <v>0</v>
      </c>
      <c r="BP369">
        <v>0</v>
      </c>
      <c r="BQ369">
        <v>0</v>
      </c>
      <c r="BR369">
        <v>0</v>
      </c>
      <c r="BS369">
        <v>0</v>
      </c>
      <c r="BT369" s="18">
        <v>0</v>
      </c>
      <c r="BU369">
        <v>0</v>
      </c>
      <c r="BV369">
        <v>0</v>
      </c>
      <c r="BW369">
        <v>1</v>
      </c>
      <c r="BX369" s="18">
        <v>0</v>
      </c>
      <c r="BY369">
        <v>0</v>
      </c>
      <c r="BZ369">
        <v>0</v>
      </c>
      <c r="CA369">
        <v>0</v>
      </c>
      <c r="CB369">
        <v>0</v>
      </c>
      <c r="CC369" s="18">
        <v>0</v>
      </c>
      <c r="CD369">
        <v>0</v>
      </c>
      <c r="CE369">
        <v>0</v>
      </c>
      <c r="CF369">
        <v>1</v>
      </c>
      <c r="CG369">
        <v>1</v>
      </c>
      <c r="CH369">
        <v>0</v>
      </c>
      <c r="CI369">
        <v>0</v>
      </c>
      <c r="CJ369">
        <v>0</v>
      </c>
      <c r="CK369">
        <v>0</v>
      </c>
      <c r="CL369">
        <v>0</v>
      </c>
      <c r="CM369">
        <v>1</v>
      </c>
      <c r="CN369" s="18">
        <v>1</v>
      </c>
      <c r="CO369">
        <v>0</v>
      </c>
      <c r="CP369">
        <v>83</v>
      </c>
      <c r="CQ369">
        <v>0</v>
      </c>
      <c r="CR369">
        <v>1</v>
      </c>
      <c r="CS369">
        <v>11</v>
      </c>
      <c r="CY369" s="34"/>
    </row>
    <row r="370" spans="1:103" x14ac:dyDescent="0.25">
      <c r="A370">
        <v>369</v>
      </c>
      <c r="B370">
        <v>24</v>
      </c>
      <c r="C370" s="25" t="s">
        <v>247</v>
      </c>
      <c r="D370" s="12">
        <v>0.18547806908248979</v>
      </c>
      <c r="E370" s="14">
        <v>7.050335959275926E-2</v>
      </c>
      <c r="F370" s="7">
        <v>2.6307692307692312</v>
      </c>
      <c r="G370" s="7">
        <f t="shared" si="76"/>
        <v>0.11497470948973053</v>
      </c>
      <c r="H370" s="16">
        <f t="shared" si="77"/>
        <v>0.25598142867524903</v>
      </c>
      <c r="I370" s="11">
        <f t="shared" si="84"/>
        <v>5.8724269196420084E-2</v>
      </c>
      <c r="J370" s="33">
        <f t="shared" si="85"/>
        <v>2.2322090630218158E-2</v>
      </c>
      <c r="K370" s="33">
        <f t="shared" si="86"/>
        <v>44.79867126093766</v>
      </c>
      <c r="L370" s="8">
        <v>1</v>
      </c>
      <c r="M370" s="9">
        <v>0</v>
      </c>
      <c r="N370" s="8">
        <v>0</v>
      </c>
      <c r="O370" s="9">
        <v>0</v>
      </c>
      <c r="P370" s="9">
        <v>1</v>
      </c>
      <c r="Q370" s="9">
        <v>0</v>
      </c>
      <c r="R370" s="9">
        <v>0</v>
      </c>
      <c r="S370" s="8">
        <v>2018</v>
      </c>
      <c r="T370" s="9">
        <v>17</v>
      </c>
      <c r="U370" s="9">
        <f t="shared" si="78"/>
        <v>2000</v>
      </c>
      <c r="V370" s="9">
        <f t="shared" si="79"/>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9"/>
        <v>0.127</v>
      </c>
      <c r="AO370" s="42">
        <v>0.16</v>
      </c>
      <c r="AP370" s="18">
        <v>0.84</v>
      </c>
      <c r="AQ370">
        <v>0</v>
      </c>
      <c r="AR370" s="40">
        <v>1</v>
      </c>
      <c r="AS370" t="s">
        <v>98</v>
      </c>
      <c r="AT370" s="40" t="s">
        <v>98</v>
      </c>
      <c r="AU370">
        <v>0</v>
      </c>
      <c r="AV370" s="18">
        <v>1</v>
      </c>
      <c r="AW370">
        <f t="shared" si="90"/>
        <v>0.499</v>
      </c>
      <c r="AX370" s="18">
        <v>0.501</v>
      </c>
      <c r="AY370" s="18" t="s">
        <v>20</v>
      </c>
      <c r="AZ370">
        <v>0</v>
      </c>
      <c r="BA370">
        <v>0</v>
      </c>
      <c r="BB370">
        <v>0</v>
      </c>
      <c r="BC370">
        <v>0</v>
      </c>
      <c r="BD370">
        <v>0</v>
      </c>
      <c r="BE370">
        <v>1</v>
      </c>
      <c r="BF370" s="18">
        <v>0</v>
      </c>
      <c r="BG370">
        <v>0</v>
      </c>
      <c r="BH370">
        <v>1</v>
      </c>
      <c r="BI370" s="18">
        <v>0</v>
      </c>
      <c r="BJ370">
        <v>787</v>
      </c>
      <c r="BK370">
        <v>29</v>
      </c>
      <c r="BL370" s="25">
        <v>32.451999999999998</v>
      </c>
      <c r="BM370">
        <v>1</v>
      </c>
      <c r="BN370">
        <v>0</v>
      </c>
      <c r="BO370">
        <v>0</v>
      </c>
      <c r="BP370">
        <v>0</v>
      </c>
      <c r="BQ370">
        <v>0</v>
      </c>
      <c r="BR370">
        <v>0</v>
      </c>
      <c r="BS370">
        <v>0</v>
      </c>
      <c r="BT370" s="18">
        <v>0</v>
      </c>
      <c r="BU370">
        <v>0</v>
      </c>
      <c r="BV370">
        <v>0</v>
      </c>
      <c r="BW370">
        <v>1</v>
      </c>
      <c r="BX370" s="18">
        <v>0</v>
      </c>
      <c r="BY370">
        <v>0</v>
      </c>
      <c r="BZ370">
        <v>0</v>
      </c>
      <c r="CA370">
        <v>0</v>
      </c>
      <c r="CB370">
        <v>0</v>
      </c>
      <c r="CC370" s="18">
        <v>0</v>
      </c>
      <c r="CD370">
        <v>0</v>
      </c>
      <c r="CE370">
        <v>0</v>
      </c>
      <c r="CF370">
        <v>1</v>
      </c>
      <c r="CG370">
        <v>1</v>
      </c>
      <c r="CH370">
        <v>0</v>
      </c>
      <c r="CI370">
        <v>0</v>
      </c>
      <c r="CJ370">
        <v>0</v>
      </c>
      <c r="CK370">
        <v>0</v>
      </c>
      <c r="CL370">
        <v>0</v>
      </c>
      <c r="CM370">
        <v>1</v>
      </c>
      <c r="CN370" s="18">
        <v>1</v>
      </c>
      <c r="CO370">
        <v>0</v>
      </c>
      <c r="CP370">
        <v>83</v>
      </c>
      <c r="CQ370">
        <v>0</v>
      </c>
      <c r="CR370">
        <v>1</v>
      </c>
      <c r="CS370">
        <v>11</v>
      </c>
      <c r="CY370" s="34"/>
    </row>
    <row r="371" spans="1:103" x14ac:dyDescent="0.25">
      <c r="A371">
        <v>370</v>
      </c>
      <c r="B371">
        <v>24</v>
      </c>
      <c r="C371" s="25" t="s">
        <v>247</v>
      </c>
      <c r="D371" s="12">
        <v>17.998457404788319</v>
      </c>
      <c r="E371" s="14">
        <v>2.6302547355640549</v>
      </c>
      <c r="F371" s="7">
        <v>6.8428571428571416</v>
      </c>
      <c r="G371" s="7">
        <f t="shared" si="76"/>
        <v>15.368202669224264</v>
      </c>
      <c r="H371" s="16">
        <f t="shared" si="77"/>
        <v>20.628712140352373</v>
      </c>
      <c r="I371" s="11">
        <f t="shared" si="84"/>
        <v>0.15125061508817442</v>
      </c>
      <c r="J371" s="33">
        <f t="shared" si="85"/>
        <v>2.2103430179900234E-2</v>
      </c>
      <c r="K371" s="33">
        <f t="shared" si="86"/>
        <v>45.241846711618116</v>
      </c>
      <c r="L371" s="8">
        <v>1</v>
      </c>
      <c r="M371" s="9">
        <v>0</v>
      </c>
      <c r="N371" s="8">
        <v>0</v>
      </c>
      <c r="O371" s="9">
        <v>0</v>
      </c>
      <c r="P371" s="9">
        <v>1</v>
      </c>
      <c r="Q371" s="9">
        <v>0</v>
      </c>
      <c r="R371" s="9">
        <v>0</v>
      </c>
      <c r="S371" s="8">
        <v>2018</v>
      </c>
      <c r="T371" s="9">
        <v>17</v>
      </c>
      <c r="U371" s="9">
        <f t="shared" si="78"/>
        <v>2000</v>
      </c>
      <c r="V371" s="9">
        <f t="shared" si="79"/>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9"/>
        <v>0.127</v>
      </c>
      <c r="AO371" s="42">
        <v>0.16</v>
      </c>
      <c r="AP371" s="18">
        <v>0.84</v>
      </c>
      <c r="AQ371">
        <v>0</v>
      </c>
      <c r="AR371" s="40">
        <v>1</v>
      </c>
      <c r="AS371" t="s">
        <v>98</v>
      </c>
      <c r="AT371" s="40" t="s">
        <v>98</v>
      </c>
      <c r="AU371">
        <v>0</v>
      </c>
      <c r="AV371" s="18">
        <v>1</v>
      </c>
      <c r="AW371">
        <f t="shared" si="90"/>
        <v>0.499</v>
      </c>
      <c r="AX371" s="18">
        <v>0.501</v>
      </c>
      <c r="AY371" s="18" t="s">
        <v>20</v>
      </c>
      <c r="AZ371">
        <v>0</v>
      </c>
      <c r="BA371">
        <v>0</v>
      </c>
      <c r="BB371">
        <v>0</v>
      </c>
      <c r="BC371">
        <v>0</v>
      </c>
      <c r="BD371">
        <v>0</v>
      </c>
      <c r="BE371">
        <v>1</v>
      </c>
      <c r="BF371" s="18">
        <v>0</v>
      </c>
      <c r="BG371">
        <v>0</v>
      </c>
      <c r="BH371">
        <v>1</v>
      </c>
      <c r="BI371" s="18">
        <v>0</v>
      </c>
      <c r="BJ371">
        <v>787</v>
      </c>
      <c r="BK371">
        <v>29</v>
      </c>
      <c r="BL371" s="25">
        <v>32.451999999999998</v>
      </c>
      <c r="BM371">
        <v>1</v>
      </c>
      <c r="BN371">
        <v>0</v>
      </c>
      <c r="BO371">
        <v>0</v>
      </c>
      <c r="BP371">
        <v>0</v>
      </c>
      <c r="BQ371">
        <v>0</v>
      </c>
      <c r="BR371">
        <v>0</v>
      </c>
      <c r="BS371">
        <v>0</v>
      </c>
      <c r="BT371" s="18">
        <v>0</v>
      </c>
      <c r="BU371">
        <v>0</v>
      </c>
      <c r="BV371">
        <v>0</v>
      </c>
      <c r="BW371">
        <v>1</v>
      </c>
      <c r="BX371" s="18">
        <v>0</v>
      </c>
      <c r="BY371">
        <v>0</v>
      </c>
      <c r="BZ371">
        <v>0</v>
      </c>
      <c r="CA371">
        <v>0</v>
      </c>
      <c r="CB371">
        <v>0</v>
      </c>
      <c r="CC371" s="18">
        <v>0</v>
      </c>
      <c r="CD371">
        <v>0</v>
      </c>
      <c r="CE371">
        <v>0</v>
      </c>
      <c r="CF371">
        <v>1</v>
      </c>
      <c r="CG371">
        <v>1</v>
      </c>
      <c r="CH371">
        <v>0</v>
      </c>
      <c r="CI371">
        <v>0</v>
      </c>
      <c r="CJ371">
        <v>0</v>
      </c>
      <c r="CK371">
        <v>0</v>
      </c>
      <c r="CL371">
        <v>0</v>
      </c>
      <c r="CM371">
        <v>1</v>
      </c>
      <c r="CN371" s="18">
        <v>1</v>
      </c>
      <c r="CO371">
        <v>0</v>
      </c>
      <c r="CP371">
        <v>83</v>
      </c>
      <c r="CQ371">
        <v>0</v>
      </c>
      <c r="CR371">
        <v>1</v>
      </c>
      <c r="CS371">
        <v>11</v>
      </c>
      <c r="CY371" s="34"/>
    </row>
    <row r="372" spans="1:103" x14ac:dyDescent="0.25">
      <c r="A372">
        <v>371</v>
      </c>
      <c r="B372">
        <v>24</v>
      </c>
      <c r="C372" s="25" t="s">
        <v>247</v>
      </c>
      <c r="D372" s="12">
        <v>25.814803615404159</v>
      </c>
      <c r="E372" s="14">
        <v>2.0583232118594679</v>
      </c>
      <c r="F372" s="7">
        <v>12.54166666666667</v>
      </c>
      <c r="G372" s="7">
        <f t="shared" si="76"/>
        <v>23.756480403544693</v>
      </c>
      <c r="H372" s="16">
        <f t="shared" si="77"/>
        <v>27.873126827263626</v>
      </c>
      <c r="I372" s="11">
        <f t="shared" si="84"/>
        <v>0.27002293046576503</v>
      </c>
      <c r="J372" s="33">
        <f t="shared" si="85"/>
        <v>2.1530067545443055E-2</v>
      </c>
      <c r="K372" s="33">
        <f t="shared" si="86"/>
        <v>46.446672677144242</v>
      </c>
      <c r="L372" s="8">
        <v>1</v>
      </c>
      <c r="M372" s="9">
        <v>0</v>
      </c>
      <c r="N372" s="8">
        <v>0</v>
      </c>
      <c r="O372" s="9">
        <v>0</v>
      </c>
      <c r="P372" s="9">
        <v>1</v>
      </c>
      <c r="Q372" s="9">
        <v>0</v>
      </c>
      <c r="R372" s="9">
        <v>0</v>
      </c>
      <c r="S372" s="8">
        <v>2018</v>
      </c>
      <c r="T372" s="9">
        <v>17</v>
      </c>
      <c r="U372" s="9">
        <f t="shared" si="78"/>
        <v>2000</v>
      </c>
      <c r="V372" s="9">
        <f t="shared" si="79"/>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9"/>
        <v>0.127</v>
      </c>
      <c r="AO372" s="42">
        <v>0.16</v>
      </c>
      <c r="AP372" s="18">
        <v>0.84</v>
      </c>
      <c r="AQ372">
        <v>0</v>
      </c>
      <c r="AR372" s="40">
        <v>1</v>
      </c>
      <c r="AS372" t="s">
        <v>98</v>
      </c>
      <c r="AT372" s="40" t="s">
        <v>98</v>
      </c>
      <c r="AU372">
        <v>0</v>
      </c>
      <c r="AV372" s="18">
        <v>1</v>
      </c>
      <c r="AW372">
        <f t="shared" si="90"/>
        <v>0.499</v>
      </c>
      <c r="AX372" s="18">
        <v>0.501</v>
      </c>
      <c r="AY372" s="18" t="s">
        <v>20</v>
      </c>
      <c r="AZ372">
        <v>0</v>
      </c>
      <c r="BA372">
        <v>0</v>
      </c>
      <c r="BB372">
        <v>0</v>
      </c>
      <c r="BC372">
        <v>0</v>
      </c>
      <c r="BD372">
        <v>0</v>
      </c>
      <c r="BE372">
        <v>1</v>
      </c>
      <c r="BF372" s="18">
        <v>0</v>
      </c>
      <c r="BG372">
        <v>0</v>
      </c>
      <c r="BH372">
        <v>1</v>
      </c>
      <c r="BI372" s="18">
        <v>0</v>
      </c>
      <c r="BJ372">
        <v>787</v>
      </c>
      <c r="BK372">
        <v>29</v>
      </c>
      <c r="BL372" s="25">
        <v>32.451999999999998</v>
      </c>
      <c r="BM372">
        <v>1</v>
      </c>
      <c r="BN372">
        <v>0</v>
      </c>
      <c r="BO372">
        <v>0</v>
      </c>
      <c r="BP372">
        <v>0</v>
      </c>
      <c r="BQ372">
        <v>0</v>
      </c>
      <c r="BR372">
        <v>0</v>
      </c>
      <c r="BS372">
        <v>0</v>
      </c>
      <c r="BT372" s="18">
        <v>0</v>
      </c>
      <c r="BU372">
        <v>0</v>
      </c>
      <c r="BV372">
        <v>0</v>
      </c>
      <c r="BW372">
        <v>1</v>
      </c>
      <c r="BX372" s="18">
        <v>0</v>
      </c>
      <c r="BY372">
        <v>0</v>
      </c>
      <c r="BZ372">
        <v>0</v>
      </c>
      <c r="CA372">
        <v>0</v>
      </c>
      <c r="CB372">
        <v>0</v>
      </c>
      <c r="CC372" s="18">
        <v>0</v>
      </c>
      <c r="CD372">
        <v>0</v>
      </c>
      <c r="CE372">
        <v>0</v>
      </c>
      <c r="CF372">
        <v>1</v>
      </c>
      <c r="CG372">
        <v>1</v>
      </c>
      <c r="CH372">
        <v>0</v>
      </c>
      <c r="CI372">
        <v>0</v>
      </c>
      <c r="CJ372">
        <v>0</v>
      </c>
      <c r="CK372">
        <v>0</v>
      </c>
      <c r="CL372">
        <v>0</v>
      </c>
      <c r="CM372">
        <v>1</v>
      </c>
      <c r="CN372" s="18">
        <v>1</v>
      </c>
      <c r="CO372">
        <v>0</v>
      </c>
      <c r="CP372">
        <v>83</v>
      </c>
      <c r="CQ372">
        <v>0</v>
      </c>
      <c r="CR372">
        <v>1</v>
      </c>
      <c r="CS372">
        <v>11</v>
      </c>
      <c r="CY372" s="34"/>
    </row>
    <row r="373" spans="1:103" x14ac:dyDescent="0.25">
      <c r="A373">
        <v>372</v>
      </c>
      <c r="B373">
        <v>24</v>
      </c>
      <c r="C373" s="25" t="s">
        <v>247</v>
      </c>
      <c r="D373" s="12">
        <v>16.561693659668311</v>
      </c>
      <c r="E373" s="14">
        <v>1.0783522730115009</v>
      </c>
      <c r="F373" s="7">
        <v>15.358333333333331</v>
      </c>
      <c r="G373" s="7">
        <f t="shared" si="76"/>
        <v>15.483341386656811</v>
      </c>
      <c r="H373" s="16">
        <f t="shared" si="77"/>
        <v>17.640045932679811</v>
      </c>
      <c r="I373" s="11">
        <f t="shared" si="84"/>
        <v>0.32480297517394513</v>
      </c>
      <c r="J373" s="33">
        <f t="shared" si="85"/>
        <v>2.1148321769329046E-2</v>
      </c>
      <c r="K373" s="33">
        <f t="shared" si="86"/>
        <v>47.285075899037928</v>
      </c>
      <c r="L373" s="8">
        <v>1</v>
      </c>
      <c r="M373" s="9">
        <v>0</v>
      </c>
      <c r="N373" s="8">
        <v>0</v>
      </c>
      <c r="O373" s="9">
        <v>0</v>
      </c>
      <c r="P373" s="9">
        <v>1</v>
      </c>
      <c r="Q373" s="9">
        <v>0</v>
      </c>
      <c r="R373" s="9">
        <v>0</v>
      </c>
      <c r="S373" s="8">
        <v>2018</v>
      </c>
      <c r="T373" s="9">
        <v>17</v>
      </c>
      <c r="U373" s="9">
        <f t="shared" si="78"/>
        <v>2000</v>
      </c>
      <c r="V373" s="9">
        <f t="shared" si="79"/>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9"/>
        <v>0.127</v>
      </c>
      <c r="AO373" s="42">
        <v>0.16</v>
      </c>
      <c r="AP373" s="18">
        <v>0.84</v>
      </c>
      <c r="AQ373">
        <v>0</v>
      </c>
      <c r="AR373" s="40">
        <v>1</v>
      </c>
      <c r="AS373" t="s">
        <v>98</v>
      </c>
      <c r="AT373" s="40" t="s">
        <v>98</v>
      </c>
      <c r="AU373">
        <v>0</v>
      </c>
      <c r="AV373" s="18">
        <v>1</v>
      </c>
      <c r="AW373">
        <f t="shared" si="90"/>
        <v>0.499</v>
      </c>
      <c r="AX373" s="18">
        <v>0.501</v>
      </c>
      <c r="AY373" s="18" t="s">
        <v>20</v>
      </c>
      <c r="AZ373">
        <v>0</v>
      </c>
      <c r="BA373">
        <v>0</v>
      </c>
      <c r="BB373">
        <v>0</v>
      </c>
      <c r="BC373">
        <v>0</v>
      </c>
      <c r="BD373">
        <v>0</v>
      </c>
      <c r="BE373">
        <v>1</v>
      </c>
      <c r="BF373" s="18">
        <v>0</v>
      </c>
      <c r="BG373">
        <v>0</v>
      </c>
      <c r="BH373">
        <v>1</v>
      </c>
      <c r="BI373" s="18">
        <v>0</v>
      </c>
      <c r="BJ373">
        <v>787</v>
      </c>
      <c r="BK373">
        <v>29</v>
      </c>
      <c r="BL373" s="25">
        <v>32.451999999999998</v>
      </c>
      <c r="BM373">
        <v>1</v>
      </c>
      <c r="BN373">
        <v>0</v>
      </c>
      <c r="BO373">
        <v>0</v>
      </c>
      <c r="BP373">
        <v>0</v>
      </c>
      <c r="BQ373">
        <v>0</v>
      </c>
      <c r="BR373">
        <v>0</v>
      </c>
      <c r="BS373">
        <v>0</v>
      </c>
      <c r="BT373" s="18">
        <v>0</v>
      </c>
      <c r="BU373">
        <v>0</v>
      </c>
      <c r="BV373">
        <v>0</v>
      </c>
      <c r="BW373">
        <v>1</v>
      </c>
      <c r="BX373" s="18">
        <v>0</v>
      </c>
      <c r="BY373">
        <v>0</v>
      </c>
      <c r="BZ373">
        <v>0</v>
      </c>
      <c r="CA373">
        <v>0</v>
      </c>
      <c r="CB373">
        <v>0</v>
      </c>
      <c r="CC373" s="18">
        <v>0</v>
      </c>
      <c r="CD373">
        <v>0</v>
      </c>
      <c r="CE373">
        <v>0</v>
      </c>
      <c r="CF373">
        <v>1</v>
      </c>
      <c r="CG373">
        <v>1</v>
      </c>
      <c r="CH373">
        <v>0</v>
      </c>
      <c r="CI373">
        <v>0</v>
      </c>
      <c r="CJ373">
        <v>0</v>
      </c>
      <c r="CK373">
        <v>0</v>
      </c>
      <c r="CL373">
        <v>0</v>
      </c>
      <c r="CM373">
        <v>1</v>
      </c>
      <c r="CN373" s="18">
        <v>1</v>
      </c>
      <c r="CO373">
        <v>0</v>
      </c>
      <c r="CP373">
        <v>83</v>
      </c>
      <c r="CQ373">
        <v>0</v>
      </c>
      <c r="CR373">
        <v>1</v>
      </c>
      <c r="CS373">
        <v>11</v>
      </c>
      <c r="CY373" s="34"/>
    </row>
    <row r="374" spans="1:103" x14ac:dyDescent="0.25">
      <c r="A374">
        <v>373</v>
      </c>
      <c r="B374">
        <v>24</v>
      </c>
      <c r="C374" s="25" t="s">
        <v>247</v>
      </c>
      <c r="D374" s="12">
        <v>22.28911175196944</v>
      </c>
      <c r="E374" s="14">
        <v>1.068789142422248</v>
      </c>
      <c r="F374" s="7">
        <v>20.854545454545459</v>
      </c>
      <c r="G374" s="7">
        <f t="shared" si="76"/>
        <v>21.220322609547193</v>
      </c>
      <c r="H374" s="16">
        <f t="shared" si="77"/>
        <v>23.357900894391687</v>
      </c>
      <c r="I374" s="11">
        <f t="shared" si="84"/>
        <v>0.42262879884855609</v>
      </c>
      <c r="J374" s="33">
        <f t="shared" si="85"/>
        <v>2.0265548331883678E-2</v>
      </c>
      <c r="K374" s="33">
        <f t="shared" si="86"/>
        <v>49.34482815975452</v>
      </c>
      <c r="L374" s="8">
        <v>1</v>
      </c>
      <c r="M374" s="9">
        <v>0</v>
      </c>
      <c r="N374" s="8">
        <v>0</v>
      </c>
      <c r="O374" s="9">
        <v>0</v>
      </c>
      <c r="P374" s="9">
        <v>1</v>
      </c>
      <c r="Q374" s="9">
        <v>0</v>
      </c>
      <c r="R374" s="9">
        <v>0</v>
      </c>
      <c r="S374" s="8">
        <v>2018</v>
      </c>
      <c r="T374" s="9">
        <v>17</v>
      </c>
      <c r="U374" s="9">
        <f t="shared" si="78"/>
        <v>2000</v>
      </c>
      <c r="V374" s="9">
        <f t="shared" si="79"/>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9"/>
        <v>0.127</v>
      </c>
      <c r="AO374" s="42">
        <v>0.16</v>
      </c>
      <c r="AP374" s="18">
        <v>0.84</v>
      </c>
      <c r="AQ374">
        <v>0</v>
      </c>
      <c r="AR374" s="40">
        <v>1</v>
      </c>
      <c r="AS374" t="s">
        <v>98</v>
      </c>
      <c r="AT374" s="40" t="s">
        <v>98</v>
      </c>
      <c r="AU374">
        <v>0</v>
      </c>
      <c r="AV374" s="18">
        <v>1</v>
      </c>
      <c r="AW374">
        <f t="shared" si="90"/>
        <v>0.499</v>
      </c>
      <c r="AX374" s="18">
        <v>0.501</v>
      </c>
      <c r="AY374" s="18" t="s">
        <v>20</v>
      </c>
      <c r="AZ374">
        <v>0</v>
      </c>
      <c r="BA374">
        <v>0</v>
      </c>
      <c r="BB374">
        <v>0</v>
      </c>
      <c r="BC374">
        <v>0</v>
      </c>
      <c r="BD374">
        <v>0</v>
      </c>
      <c r="BE374">
        <v>1</v>
      </c>
      <c r="BF374" s="18">
        <v>0</v>
      </c>
      <c r="BG374">
        <v>0</v>
      </c>
      <c r="BH374">
        <v>1</v>
      </c>
      <c r="BI374" s="18">
        <v>0</v>
      </c>
      <c r="BJ374">
        <v>787</v>
      </c>
      <c r="BK374">
        <v>29</v>
      </c>
      <c r="BL374" s="25">
        <v>32.451999999999998</v>
      </c>
      <c r="BM374">
        <v>1</v>
      </c>
      <c r="BN374">
        <v>0</v>
      </c>
      <c r="BO374">
        <v>0</v>
      </c>
      <c r="BP374">
        <v>0</v>
      </c>
      <c r="BQ374">
        <v>0</v>
      </c>
      <c r="BR374">
        <v>0</v>
      </c>
      <c r="BS374">
        <v>0</v>
      </c>
      <c r="BT374" s="18">
        <v>0</v>
      </c>
      <c r="BU374">
        <v>0</v>
      </c>
      <c r="BV374">
        <v>0</v>
      </c>
      <c r="BW374">
        <v>1</v>
      </c>
      <c r="BX374" s="18">
        <v>0</v>
      </c>
      <c r="BY374">
        <v>0</v>
      </c>
      <c r="BZ374">
        <v>0</v>
      </c>
      <c r="CA374">
        <v>0</v>
      </c>
      <c r="CB374">
        <v>0</v>
      </c>
      <c r="CC374" s="18">
        <v>0</v>
      </c>
      <c r="CD374">
        <v>0</v>
      </c>
      <c r="CE374">
        <v>0</v>
      </c>
      <c r="CF374">
        <v>1</v>
      </c>
      <c r="CG374">
        <v>1</v>
      </c>
      <c r="CH374">
        <v>0</v>
      </c>
      <c r="CI374">
        <v>0</v>
      </c>
      <c r="CJ374">
        <v>0</v>
      </c>
      <c r="CK374">
        <v>0</v>
      </c>
      <c r="CL374">
        <v>0</v>
      </c>
      <c r="CM374">
        <v>1</v>
      </c>
      <c r="CN374" s="18">
        <v>1</v>
      </c>
      <c r="CO374">
        <v>0</v>
      </c>
      <c r="CP374">
        <v>83</v>
      </c>
      <c r="CQ374">
        <v>0</v>
      </c>
      <c r="CR374">
        <v>1</v>
      </c>
      <c r="CS374">
        <v>11</v>
      </c>
      <c r="CY374" s="34"/>
    </row>
    <row r="375" spans="1:103" x14ac:dyDescent="0.25">
      <c r="A375">
        <v>374</v>
      </c>
      <c r="B375">
        <v>24</v>
      </c>
      <c r="C375" s="25" t="s">
        <v>247</v>
      </c>
      <c r="D375" s="12">
        <v>29.217759563620561</v>
      </c>
      <c r="E375" s="14">
        <v>1.104831059470011</v>
      </c>
      <c r="F375" s="7">
        <v>26.445454545454549</v>
      </c>
      <c r="G375" s="7">
        <f t="shared" si="76"/>
        <v>28.112928504150549</v>
      </c>
      <c r="H375" s="16">
        <f t="shared" si="77"/>
        <v>30.322590623090573</v>
      </c>
      <c r="I375" s="11">
        <f t="shared" si="84"/>
        <v>0.50900314512121547</v>
      </c>
      <c r="J375" s="33">
        <f t="shared" si="85"/>
        <v>1.9247282902486663E-2</v>
      </c>
      <c r="K375" s="33">
        <f t="shared" si="86"/>
        <v>51.955385342769837</v>
      </c>
      <c r="L375" s="8">
        <v>1</v>
      </c>
      <c r="M375" s="9">
        <v>0</v>
      </c>
      <c r="N375" s="8">
        <v>0</v>
      </c>
      <c r="O375" s="9">
        <v>0</v>
      </c>
      <c r="P375" s="9">
        <v>1</v>
      </c>
      <c r="Q375" s="9">
        <v>0</v>
      </c>
      <c r="R375" s="9">
        <v>0</v>
      </c>
      <c r="S375" s="8">
        <v>2018</v>
      </c>
      <c r="T375" s="9">
        <v>17</v>
      </c>
      <c r="U375" s="9">
        <f t="shared" si="78"/>
        <v>2000</v>
      </c>
      <c r="V375" s="9">
        <f t="shared" si="79"/>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9"/>
        <v>0.127</v>
      </c>
      <c r="AO375" s="42">
        <v>0.16</v>
      </c>
      <c r="AP375" s="18">
        <v>0.84</v>
      </c>
      <c r="AQ375">
        <v>0</v>
      </c>
      <c r="AR375" s="40">
        <v>1</v>
      </c>
      <c r="AS375" t="s">
        <v>98</v>
      </c>
      <c r="AT375" s="40" t="s">
        <v>98</v>
      </c>
      <c r="AU375">
        <v>0</v>
      </c>
      <c r="AV375" s="18">
        <v>1</v>
      </c>
      <c r="AW375">
        <f t="shared" si="90"/>
        <v>0.499</v>
      </c>
      <c r="AX375" s="18">
        <v>0.501</v>
      </c>
      <c r="AY375" s="18" t="s">
        <v>20</v>
      </c>
      <c r="AZ375">
        <v>0</v>
      </c>
      <c r="BA375">
        <v>0</v>
      </c>
      <c r="BB375">
        <v>0</v>
      </c>
      <c r="BC375">
        <v>0</v>
      </c>
      <c r="BD375">
        <v>0</v>
      </c>
      <c r="BE375">
        <v>1</v>
      </c>
      <c r="BF375" s="18">
        <v>0</v>
      </c>
      <c r="BG375">
        <v>0</v>
      </c>
      <c r="BH375">
        <v>1</v>
      </c>
      <c r="BI375" s="18">
        <v>0</v>
      </c>
      <c r="BJ375">
        <v>787</v>
      </c>
      <c r="BK375">
        <v>29</v>
      </c>
      <c r="BL375" s="25">
        <v>32.451999999999998</v>
      </c>
      <c r="BM375">
        <v>1</v>
      </c>
      <c r="BN375">
        <v>0</v>
      </c>
      <c r="BO375">
        <v>0</v>
      </c>
      <c r="BP375">
        <v>0</v>
      </c>
      <c r="BQ375">
        <v>0</v>
      </c>
      <c r="BR375">
        <v>0</v>
      </c>
      <c r="BS375">
        <v>0</v>
      </c>
      <c r="BT375" s="18">
        <v>0</v>
      </c>
      <c r="BU375">
        <v>0</v>
      </c>
      <c r="BV375">
        <v>0</v>
      </c>
      <c r="BW375">
        <v>1</v>
      </c>
      <c r="BX375" s="18">
        <v>0</v>
      </c>
      <c r="BY375">
        <v>0</v>
      </c>
      <c r="BZ375">
        <v>0</v>
      </c>
      <c r="CA375">
        <v>0</v>
      </c>
      <c r="CB375">
        <v>0</v>
      </c>
      <c r="CC375" s="18">
        <v>0</v>
      </c>
      <c r="CD375">
        <v>0</v>
      </c>
      <c r="CE375">
        <v>0</v>
      </c>
      <c r="CF375">
        <v>1</v>
      </c>
      <c r="CG375">
        <v>1</v>
      </c>
      <c r="CH375">
        <v>0</v>
      </c>
      <c r="CI375">
        <v>0</v>
      </c>
      <c r="CJ375">
        <v>0</v>
      </c>
      <c r="CK375">
        <v>0</v>
      </c>
      <c r="CL375">
        <v>0</v>
      </c>
      <c r="CM375">
        <v>1</v>
      </c>
      <c r="CN375" s="18">
        <v>1</v>
      </c>
      <c r="CO375">
        <v>0</v>
      </c>
      <c r="CP375">
        <v>83</v>
      </c>
      <c r="CQ375">
        <v>0</v>
      </c>
      <c r="CR375">
        <v>1</v>
      </c>
      <c r="CS375">
        <v>11</v>
      </c>
      <c r="CY375" s="34"/>
    </row>
    <row r="376" spans="1:103" x14ac:dyDescent="0.25">
      <c r="A376">
        <v>375</v>
      </c>
      <c r="B376">
        <v>24</v>
      </c>
      <c r="C376" s="25" t="s">
        <v>247</v>
      </c>
      <c r="D376" s="12">
        <v>6.4</v>
      </c>
      <c r="E376" s="14">
        <v>0.5</v>
      </c>
      <c r="F376" s="7">
        <f>D376/E376</f>
        <v>12.8</v>
      </c>
      <c r="G376" s="7">
        <f t="shared" si="76"/>
        <v>5.9</v>
      </c>
      <c r="H376" s="16">
        <f t="shared" si="77"/>
        <v>6.9</v>
      </c>
      <c r="I376" s="11">
        <f t="shared" si="84"/>
        <v>0.1185752579115172</v>
      </c>
      <c r="J376" s="33">
        <f t="shared" si="85"/>
        <v>9.2636920243372809E-3</v>
      </c>
      <c r="K376" s="33">
        <f t="shared" si="86"/>
        <v>107.94832096887843</v>
      </c>
      <c r="L376" s="8">
        <v>1</v>
      </c>
      <c r="M376" s="9">
        <v>0</v>
      </c>
      <c r="N376" s="8">
        <v>0</v>
      </c>
      <c r="O376" s="9">
        <v>0</v>
      </c>
      <c r="P376" s="9">
        <v>1</v>
      </c>
      <c r="Q376" s="9">
        <v>0</v>
      </c>
      <c r="R376" s="9">
        <v>0</v>
      </c>
      <c r="S376" s="8">
        <v>11501</v>
      </c>
      <c r="T376" s="9">
        <v>11</v>
      </c>
      <c r="U376" s="9">
        <f t="shared" si="78"/>
        <v>11489</v>
      </c>
      <c r="V376" s="9">
        <f t="shared" si="79"/>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9"/>
        <v>0.10799999999999998</v>
      </c>
      <c r="AO376" s="42">
        <v>0.57999999999999996</v>
      </c>
      <c r="AP376" s="18">
        <v>0.42</v>
      </c>
      <c r="AQ376">
        <v>1</v>
      </c>
      <c r="AR376" s="40">
        <v>0</v>
      </c>
      <c r="AS376" t="s">
        <v>98</v>
      </c>
      <c r="AT376" s="40" t="s">
        <v>98</v>
      </c>
      <c r="AU376">
        <v>0</v>
      </c>
      <c r="AV376" s="18">
        <v>1</v>
      </c>
      <c r="AW376">
        <f t="shared" si="90"/>
        <v>0.52700000000000002</v>
      </c>
      <c r="AX376" s="18">
        <v>0.47299999999999998</v>
      </c>
      <c r="AY376" s="18" t="s">
        <v>20</v>
      </c>
      <c r="AZ376">
        <v>0</v>
      </c>
      <c r="BA376">
        <v>0</v>
      </c>
      <c r="BB376">
        <v>0</v>
      </c>
      <c r="BC376">
        <v>0</v>
      </c>
      <c r="BD376">
        <v>0</v>
      </c>
      <c r="BE376">
        <v>1</v>
      </c>
      <c r="BF376" s="18">
        <v>0</v>
      </c>
      <c r="BG376">
        <v>0</v>
      </c>
      <c r="BH376">
        <v>1</v>
      </c>
      <c r="BI376" s="18">
        <v>0</v>
      </c>
      <c r="BJ376">
        <v>787</v>
      </c>
      <c r="BK376">
        <v>29</v>
      </c>
      <c r="BL376" s="25">
        <v>33.378</v>
      </c>
      <c r="BM376">
        <v>0</v>
      </c>
      <c r="BN376">
        <v>0</v>
      </c>
      <c r="BO376">
        <v>0</v>
      </c>
      <c r="BP376">
        <v>0</v>
      </c>
      <c r="BQ376">
        <v>0</v>
      </c>
      <c r="BR376">
        <v>1</v>
      </c>
      <c r="BS376">
        <v>0</v>
      </c>
      <c r="BT376" s="18">
        <v>0</v>
      </c>
      <c r="BU376">
        <v>0</v>
      </c>
      <c r="BV376">
        <v>0</v>
      </c>
      <c r="BW376">
        <v>1</v>
      </c>
      <c r="BX376" s="18">
        <v>0</v>
      </c>
      <c r="BY376">
        <v>0</v>
      </c>
      <c r="BZ376">
        <v>0</v>
      </c>
      <c r="CA376">
        <v>0</v>
      </c>
      <c r="CB376">
        <v>0</v>
      </c>
      <c r="CC376" s="18">
        <v>0</v>
      </c>
      <c r="CD376">
        <v>0</v>
      </c>
      <c r="CE376">
        <v>0</v>
      </c>
      <c r="CF376">
        <v>1</v>
      </c>
      <c r="CG376">
        <v>1</v>
      </c>
      <c r="CH376">
        <v>0</v>
      </c>
      <c r="CI376">
        <v>0</v>
      </c>
      <c r="CJ376">
        <v>0</v>
      </c>
      <c r="CK376">
        <v>0</v>
      </c>
      <c r="CL376">
        <v>0</v>
      </c>
      <c r="CM376">
        <v>1</v>
      </c>
      <c r="CN376" s="18">
        <v>1</v>
      </c>
      <c r="CO376">
        <v>0</v>
      </c>
      <c r="CP376">
        <v>83</v>
      </c>
      <c r="CQ376">
        <v>0</v>
      </c>
      <c r="CR376">
        <v>1</v>
      </c>
      <c r="CS376">
        <v>11</v>
      </c>
      <c r="CY376" s="34"/>
    </row>
    <row r="377" spans="1:103" x14ac:dyDescent="0.25">
      <c r="A377">
        <v>376</v>
      </c>
      <c r="B377">
        <v>24</v>
      </c>
      <c r="C377" s="25" t="s">
        <v>247</v>
      </c>
      <c r="D377" s="12">
        <v>2.861867558069298</v>
      </c>
      <c r="E377" s="14">
        <v>0.38414329638514072</v>
      </c>
      <c r="F377" s="7">
        <v>7.4499999999999993</v>
      </c>
      <c r="G377" s="7">
        <f t="shared" si="76"/>
        <v>2.4777242616841573</v>
      </c>
      <c r="H377" s="16">
        <f t="shared" si="77"/>
        <v>3.2460108544544388</v>
      </c>
      <c r="I377" s="11">
        <f t="shared" si="84"/>
        <v>6.9358608038768421E-2</v>
      </c>
      <c r="J377" s="33">
        <f t="shared" si="85"/>
        <v>9.3098802736601913E-3</v>
      </c>
      <c r="K377" s="33">
        <f t="shared" si="86"/>
        <v>107.41276693205515</v>
      </c>
      <c r="L377" s="8">
        <v>1</v>
      </c>
      <c r="M377" s="9">
        <v>0</v>
      </c>
      <c r="N377" s="8">
        <v>0</v>
      </c>
      <c r="O377" s="9">
        <v>0</v>
      </c>
      <c r="P377" s="9">
        <v>1</v>
      </c>
      <c r="Q377" s="9">
        <v>0</v>
      </c>
      <c r="R377" s="9">
        <v>0</v>
      </c>
      <c r="S377" s="8">
        <v>11501</v>
      </c>
      <c r="T377" s="9">
        <v>18</v>
      </c>
      <c r="U377" s="9">
        <f t="shared" si="78"/>
        <v>11482</v>
      </c>
      <c r="V377" s="9">
        <f t="shared" si="79"/>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9"/>
        <v>0.10799999999999998</v>
      </c>
      <c r="AO377" s="42">
        <v>0.57999999999999996</v>
      </c>
      <c r="AP377" s="18">
        <v>0.42</v>
      </c>
      <c r="AQ377">
        <v>1</v>
      </c>
      <c r="AR377" s="40">
        <v>0</v>
      </c>
      <c r="AS377" t="s">
        <v>98</v>
      </c>
      <c r="AT377" s="40" t="s">
        <v>98</v>
      </c>
      <c r="AU377">
        <v>0</v>
      </c>
      <c r="AV377" s="18">
        <v>1</v>
      </c>
      <c r="AW377">
        <f t="shared" si="90"/>
        <v>0.52700000000000002</v>
      </c>
      <c r="AX377" s="18">
        <v>0.47299999999999998</v>
      </c>
      <c r="AY377" s="18" t="s">
        <v>20</v>
      </c>
      <c r="AZ377">
        <v>0</v>
      </c>
      <c r="BA377">
        <v>0</v>
      </c>
      <c r="BB377">
        <v>0</v>
      </c>
      <c r="BC377">
        <v>0</v>
      </c>
      <c r="BD377">
        <v>0</v>
      </c>
      <c r="BE377">
        <v>1</v>
      </c>
      <c r="BF377" s="18">
        <v>0</v>
      </c>
      <c r="BG377">
        <v>0</v>
      </c>
      <c r="BH377">
        <v>1</v>
      </c>
      <c r="BI377" s="18">
        <v>0</v>
      </c>
      <c r="BJ377">
        <v>787</v>
      </c>
      <c r="BK377">
        <v>29</v>
      </c>
      <c r="BL377" s="25">
        <v>33.378</v>
      </c>
      <c r="BM377">
        <v>0</v>
      </c>
      <c r="BN377">
        <v>0</v>
      </c>
      <c r="BO377">
        <v>0</v>
      </c>
      <c r="BP377">
        <v>0</v>
      </c>
      <c r="BQ377">
        <v>0</v>
      </c>
      <c r="BR377">
        <v>1</v>
      </c>
      <c r="BS377">
        <v>0</v>
      </c>
      <c r="BT377" s="18">
        <v>0</v>
      </c>
      <c r="BU377">
        <v>0</v>
      </c>
      <c r="BV377">
        <v>0</v>
      </c>
      <c r="BW377">
        <v>1</v>
      </c>
      <c r="BX377" s="18">
        <v>0</v>
      </c>
      <c r="BY377">
        <v>0</v>
      </c>
      <c r="BZ377">
        <v>0</v>
      </c>
      <c r="CA377">
        <v>0</v>
      </c>
      <c r="CB377">
        <v>0</v>
      </c>
      <c r="CC377" s="18">
        <v>0</v>
      </c>
      <c r="CD377">
        <v>0</v>
      </c>
      <c r="CE377">
        <v>0</v>
      </c>
      <c r="CF377">
        <v>1</v>
      </c>
      <c r="CG377">
        <v>1</v>
      </c>
      <c r="CH377">
        <v>0</v>
      </c>
      <c r="CI377">
        <v>0</v>
      </c>
      <c r="CJ377">
        <v>0</v>
      </c>
      <c r="CK377">
        <v>0</v>
      </c>
      <c r="CL377">
        <v>0</v>
      </c>
      <c r="CM377">
        <v>1</v>
      </c>
      <c r="CN377" s="18">
        <v>1</v>
      </c>
      <c r="CO377">
        <v>0</v>
      </c>
      <c r="CP377">
        <v>83</v>
      </c>
      <c r="CQ377">
        <v>0</v>
      </c>
      <c r="CR377">
        <v>1</v>
      </c>
      <c r="CS377">
        <v>11</v>
      </c>
      <c r="CY377" s="34"/>
    </row>
    <row r="378" spans="1:103" x14ac:dyDescent="0.25">
      <c r="A378">
        <v>377</v>
      </c>
      <c r="B378">
        <v>24</v>
      </c>
      <c r="C378" s="25" t="s">
        <v>247</v>
      </c>
      <c r="D378" s="12">
        <v>4.4316374840892347</v>
      </c>
      <c r="E378" s="14">
        <v>0.31318992820418617</v>
      </c>
      <c r="F378" s="7">
        <v>14.15</v>
      </c>
      <c r="G378" s="7">
        <f t="shared" si="76"/>
        <v>4.1184475558850488</v>
      </c>
      <c r="H378" s="16">
        <f t="shared" si="77"/>
        <v>4.7448274122934206</v>
      </c>
      <c r="I378" s="11">
        <f t="shared" si="84"/>
        <v>0.13091629410405495</v>
      </c>
      <c r="J378" s="33">
        <f t="shared" si="85"/>
        <v>9.2520349190144836E-3</v>
      </c>
      <c r="K378" s="33">
        <f t="shared" si="86"/>
        <v>108.08433050169668</v>
      </c>
      <c r="L378" s="8">
        <v>1</v>
      </c>
      <c r="M378" s="9">
        <v>0</v>
      </c>
      <c r="N378" s="8">
        <v>0</v>
      </c>
      <c r="O378" s="9">
        <v>0</v>
      </c>
      <c r="P378" s="9">
        <v>1</v>
      </c>
      <c r="Q378" s="9">
        <v>0</v>
      </c>
      <c r="R378" s="9">
        <v>0</v>
      </c>
      <c r="S378" s="8">
        <v>11501</v>
      </c>
      <c r="T378" s="9">
        <v>18</v>
      </c>
      <c r="U378" s="9">
        <f t="shared" si="78"/>
        <v>11482</v>
      </c>
      <c r="V378" s="9">
        <f t="shared" si="79"/>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9"/>
        <v>0.10799999999999998</v>
      </c>
      <c r="AO378" s="42">
        <v>0.57999999999999996</v>
      </c>
      <c r="AP378" s="18">
        <v>0.42</v>
      </c>
      <c r="AQ378">
        <v>1</v>
      </c>
      <c r="AR378" s="40">
        <v>0</v>
      </c>
      <c r="AS378" t="s">
        <v>98</v>
      </c>
      <c r="AT378" s="40" t="s">
        <v>98</v>
      </c>
      <c r="AU378">
        <v>0</v>
      </c>
      <c r="AV378" s="18">
        <v>1</v>
      </c>
      <c r="AW378">
        <f t="shared" si="90"/>
        <v>0.52700000000000002</v>
      </c>
      <c r="AX378" s="18">
        <v>0.47299999999999998</v>
      </c>
      <c r="AY378" s="18" t="s">
        <v>20</v>
      </c>
      <c r="AZ378">
        <v>0</v>
      </c>
      <c r="BA378">
        <v>0</v>
      </c>
      <c r="BB378">
        <v>0</v>
      </c>
      <c r="BC378">
        <v>0</v>
      </c>
      <c r="BD378">
        <v>0</v>
      </c>
      <c r="BE378">
        <v>1</v>
      </c>
      <c r="BF378" s="18">
        <v>0</v>
      </c>
      <c r="BG378">
        <v>0</v>
      </c>
      <c r="BH378">
        <v>1</v>
      </c>
      <c r="BI378" s="18">
        <v>0</v>
      </c>
      <c r="BJ378">
        <v>787</v>
      </c>
      <c r="BK378">
        <v>29</v>
      </c>
      <c r="BL378" s="25">
        <v>33.378</v>
      </c>
      <c r="BM378">
        <v>0</v>
      </c>
      <c r="BN378">
        <v>0</v>
      </c>
      <c r="BO378">
        <v>0</v>
      </c>
      <c r="BP378">
        <v>0</v>
      </c>
      <c r="BQ378">
        <v>0</v>
      </c>
      <c r="BR378">
        <v>1</v>
      </c>
      <c r="BS378">
        <v>0</v>
      </c>
      <c r="BT378" s="18">
        <v>0</v>
      </c>
      <c r="BU378">
        <v>0</v>
      </c>
      <c r="BV378">
        <v>0</v>
      </c>
      <c r="BW378">
        <v>1</v>
      </c>
      <c r="BX378" s="18">
        <v>0</v>
      </c>
      <c r="BY378">
        <v>0</v>
      </c>
      <c r="BZ378">
        <v>0</v>
      </c>
      <c r="CA378">
        <v>0</v>
      </c>
      <c r="CB378">
        <v>0</v>
      </c>
      <c r="CC378" s="18">
        <v>0</v>
      </c>
      <c r="CD378">
        <v>0</v>
      </c>
      <c r="CE378">
        <v>0</v>
      </c>
      <c r="CF378">
        <v>1</v>
      </c>
      <c r="CG378">
        <v>1</v>
      </c>
      <c r="CH378">
        <v>0</v>
      </c>
      <c r="CI378">
        <v>0</v>
      </c>
      <c r="CJ378">
        <v>0</v>
      </c>
      <c r="CK378">
        <v>0</v>
      </c>
      <c r="CL378">
        <v>0</v>
      </c>
      <c r="CM378">
        <v>1</v>
      </c>
      <c r="CN378" s="18">
        <v>1</v>
      </c>
      <c r="CO378">
        <v>0</v>
      </c>
      <c r="CP378">
        <v>83</v>
      </c>
      <c r="CQ378">
        <v>0</v>
      </c>
      <c r="CR378">
        <v>1</v>
      </c>
      <c r="CS378">
        <v>11</v>
      </c>
      <c r="CY378" s="34"/>
    </row>
    <row r="379" spans="1:103" x14ac:dyDescent="0.25">
      <c r="A379">
        <v>378</v>
      </c>
      <c r="B379">
        <v>24</v>
      </c>
      <c r="C379" s="25" t="s">
        <v>247</v>
      </c>
      <c r="D379" s="12">
        <v>12.461862071858331</v>
      </c>
      <c r="E379" s="14">
        <v>0.46761208524796732</v>
      </c>
      <c r="F379" s="7">
        <v>26.65</v>
      </c>
      <c r="G379" s="7">
        <f t="shared" si="76"/>
        <v>11.994249986610363</v>
      </c>
      <c r="H379" s="16">
        <f t="shared" si="77"/>
        <v>12.929474157106299</v>
      </c>
      <c r="I379" s="11">
        <f t="shared" si="84"/>
        <v>0.2413547072811752</v>
      </c>
      <c r="J379" s="33">
        <f t="shared" si="85"/>
        <v>9.0564618116763685E-3</v>
      </c>
      <c r="K379" s="33">
        <f t="shared" si="86"/>
        <v>110.41839747071137</v>
      </c>
      <c r="L379" s="8">
        <v>1</v>
      </c>
      <c r="M379" s="9">
        <v>0</v>
      </c>
      <c r="N379" s="8">
        <v>0</v>
      </c>
      <c r="O379" s="9">
        <v>0</v>
      </c>
      <c r="P379" s="9">
        <v>1</v>
      </c>
      <c r="Q379" s="9">
        <v>0</v>
      </c>
      <c r="R379" s="9">
        <v>0</v>
      </c>
      <c r="S379" s="8">
        <v>11501</v>
      </c>
      <c r="T379" s="9">
        <v>18</v>
      </c>
      <c r="U379" s="9">
        <f t="shared" si="78"/>
        <v>11482</v>
      </c>
      <c r="V379" s="9">
        <f t="shared" si="79"/>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9"/>
        <v>0.10799999999999998</v>
      </c>
      <c r="AO379" s="42">
        <v>0.57999999999999996</v>
      </c>
      <c r="AP379" s="18">
        <v>0.42</v>
      </c>
      <c r="AQ379">
        <v>1</v>
      </c>
      <c r="AR379" s="40">
        <v>0</v>
      </c>
      <c r="AS379" t="s">
        <v>98</v>
      </c>
      <c r="AT379" s="40" t="s">
        <v>98</v>
      </c>
      <c r="AU379">
        <v>0</v>
      </c>
      <c r="AV379" s="18">
        <v>1</v>
      </c>
      <c r="AW379">
        <f t="shared" si="90"/>
        <v>0.52700000000000002</v>
      </c>
      <c r="AX379" s="18">
        <v>0.47299999999999998</v>
      </c>
      <c r="AY379" s="18" t="s">
        <v>20</v>
      </c>
      <c r="AZ379">
        <v>0</v>
      </c>
      <c r="BA379">
        <v>0</v>
      </c>
      <c r="BB379">
        <v>0</v>
      </c>
      <c r="BC379">
        <v>0</v>
      </c>
      <c r="BD379">
        <v>0</v>
      </c>
      <c r="BE379">
        <v>1</v>
      </c>
      <c r="BF379" s="18">
        <v>0</v>
      </c>
      <c r="BG379">
        <v>0</v>
      </c>
      <c r="BH379">
        <v>1</v>
      </c>
      <c r="BI379" s="18">
        <v>0</v>
      </c>
      <c r="BJ379">
        <v>787</v>
      </c>
      <c r="BK379">
        <v>29</v>
      </c>
      <c r="BL379" s="25">
        <v>33.378</v>
      </c>
      <c r="BM379">
        <v>0</v>
      </c>
      <c r="BN379">
        <v>0</v>
      </c>
      <c r="BO379">
        <v>0</v>
      </c>
      <c r="BP379">
        <v>0</v>
      </c>
      <c r="BQ379">
        <v>0</v>
      </c>
      <c r="BR379">
        <v>1</v>
      </c>
      <c r="BS379">
        <v>0</v>
      </c>
      <c r="BT379" s="18">
        <v>0</v>
      </c>
      <c r="BU379">
        <v>0</v>
      </c>
      <c r="BV379">
        <v>0</v>
      </c>
      <c r="BW379">
        <v>1</v>
      </c>
      <c r="BX379" s="18">
        <v>0</v>
      </c>
      <c r="BY379">
        <v>0</v>
      </c>
      <c r="BZ379">
        <v>0</v>
      </c>
      <c r="CA379">
        <v>0</v>
      </c>
      <c r="CB379">
        <v>0</v>
      </c>
      <c r="CC379" s="18">
        <v>0</v>
      </c>
      <c r="CD379">
        <v>0</v>
      </c>
      <c r="CE379">
        <v>0</v>
      </c>
      <c r="CF379">
        <v>1</v>
      </c>
      <c r="CG379">
        <v>1</v>
      </c>
      <c r="CH379">
        <v>0</v>
      </c>
      <c r="CI379">
        <v>0</v>
      </c>
      <c r="CJ379">
        <v>0</v>
      </c>
      <c r="CK379">
        <v>0</v>
      </c>
      <c r="CL379">
        <v>0</v>
      </c>
      <c r="CM379">
        <v>1</v>
      </c>
      <c r="CN379" s="18">
        <v>1</v>
      </c>
      <c r="CO379">
        <v>0</v>
      </c>
      <c r="CP379">
        <v>83</v>
      </c>
      <c r="CQ379">
        <v>0</v>
      </c>
      <c r="CR379">
        <v>1</v>
      </c>
      <c r="CS379">
        <v>11</v>
      </c>
      <c r="CY379" s="34"/>
    </row>
    <row r="380" spans="1:103" x14ac:dyDescent="0.25">
      <c r="A380">
        <v>379</v>
      </c>
      <c r="B380">
        <v>24</v>
      </c>
      <c r="C380" s="25" t="s">
        <v>247</v>
      </c>
      <c r="D380" s="12">
        <v>10.023075465215991</v>
      </c>
      <c r="E380" s="14">
        <v>0.4107817813613111</v>
      </c>
      <c r="F380" s="7">
        <v>24.4</v>
      </c>
      <c r="G380" s="7">
        <f t="shared" si="76"/>
        <v>9.6122936838546789</v>
      </c>
      <c r="H380" s="16">
        <f t="shared" si="77"/>
        <v>10.433857246577302</v>
      </c>
      <c r="I380" s="11">
        <f t="shared" si="84"/>
        <v>0.22202599264435696</v>
      </c>
      <c r="J380" s="33">
        <f t="shared" si="85"/>
        <v>9.099425928047418E-3</v>
      </c>
      <c r="K380" s="33">
        <f t="shared" si="86"/>
        <v>109.89704272636274</v>
      </c>
      <c r="L380" s="8">
        <v>1</v>
      </c>
      <c r="M380" s="9">
        <v>0</v>
      </c>
      <c r="N380" s="8">
        <v>0</v>
      </c>
      <c r="O380" s="9">
        <v>0</v>
      </c>
      <c r="P380" s="9">
        <v>1</v>
      </c>
      <c r="Q380" s="9">
        <v>0</v>
      </c>
      <c r="R380" s="9">
        <v>0</v>
      </c>
      <c r="S380" s="8">
        <v>11501</v>
      </c>
      <c r="T380" s="9">
        <v>18</v>
      </c>
      <c r="U380" s="9">
        <f t="shared" si="78"/>
        <v>11482</v>
      </c>
      <c r="V380" s="9">
        <f t="shared" si="79"/>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9"/>
        <v>0.10799999999999998</v>
      </c>
      <c r="AO380" s="42">
        <v>0.57999999999999996</v>
      </c>
      <c r="AP380" s="18">
        <v>0.42</v>
      </c>
      <c r="AQ380">
        <v>1</v>
      </c>
      <c r="AR380" s="40">
        <v>0</v>
      </c>
      <c r="AS380" t="s">
        <v>98</v>
      </c>
      <c r="AT380" s="40" t="s">
        <v>98</v>
      </c>
      <c r="AU380">
        <v>0</v>
      </c>
      <c r="AV380" s="18">
        <v>1</v>
      </c>
      <c r="AW380">
        <f t="shared" si="90"/>
        <v>0.52700000000000002</v>
      </c>
      <c r="AX380" s="18">
        <v>0.47299999999999998</v>
      </c>
      <c r="AY380" s="18" t="s">
        <v>20</v>
      </c>
      <c r="AZ380">
        <v>0</v>
      </c>
      <c r="BA380">
        <v>0</v>
      </c>
      <c r="BB380">
        <v>0</v>
      </c>
      <c r="BC380">
        <v>0</v>
      </c>
      <c r="BD380">
        <v>0</v>
      </c>
      <c r="BE380">
        <v>1</v>
      </c>
      <c r="BF380" s="18">
        <v>0</v>
      </c>
      <c r="BG380">
        <v>0</v>
      </c>
      <c r="BH380">
        <v>1</v>
      </c>
      <c r="BI380" s="18">
        <v>0</v>
      </c>
      <c r="BJ380">
        <v>787</v>
      </c>
      <c r="BK380">
        <v>29</v>
      </c>
      <c r="BL380" s="25">
        <v>33.378</v>
      </c>
      <c r="BM380">
        <v>0</v>
      </c>
      <c r="BN380">
        <v>0</v>
      </c>
      <c r="BO380">
        <v>0</v>
      </c>
      <c r="BP380">
        <v>0</v>
      </c>
      <c r="BQ380">
        <v>0</v>
      </c>
      <c r="BR380">
        <v>1</v>
      </c>
      <c r="BS380">
        <v>0</v>
      </c>
      <c r="BT380" s="18">
        <v>0</v>
      </c>
      <c r="BU380">
        <v>0</v>
      </c>
      <c r="BV380">
        <v>0</v>
      </c>
      <c r="BW380">
        <v>1</v>
      </c>
      <c r="BX380" s="18">
        <v>0</v>
      </c>
      <c r="BY380">
        <v>0</v>
      </c>
      <c r="BZ380">
        <v>0</v>
      </c>
      <c r="CA380">
        <v>0</v>
      </c>
      <c r="CB380">
        <v>0</v>
      </c>
      <c r="CC380" s="18">
        <v>0</v>
      </c>
      <c r="CD380">
        <v>0</v>
      </c>
      <c r="CE380">
        <v>0</v>
      </c>
      <c r="CF380">
        <v>1</v>
      </c>
      <c r="CG380">
        <v>1</v>
      </c>
      <c r="CH380">
        <v>0</v>
      </c>
      <c r="CI380">
        <v>0</v>
      </c>
      <c r="CJ380">
        <v>0</v>
      </c>
      <c r="CK380">
        <v>0</v>
      </c>
      <c r="CL380">
        <v>0</v>
      </c>
      <c r="CM380">
        <v>1</v>
      </c>
      <c r="CN380" s="18">
        <v>1</v>
      </c>
      <c r="CO380">
        <v>0</v>
      </c>
      <c r="CP380">
        <v>83</v>
      </c>
      <c r="CQ380">
        <v>0</v>
      </c>
      <c r="CR380">
        <v>1</v>
      </c>
      <c r="CS380">
        <v>11</v>
      </c>
      <c r="CY380" s="34"/>
    </row>
    <row r="381" spans="1:103" x14ac:dyDescent="0.25">
      <c r="A381">
        <v>380</v>
      </c>
      <c r="B381">
        <v>24</v>
      </c>
      <c r="C381" s="25" t="s">
        <v>247</v>
      </c>
      <c r="D381" s="12">
        <v>13.257758507094071</v>
      </c>
      <c r="E381" s="14">
        <v>0.40134485894331212</v>
      </c>
      <c r="F381" s="7">
        <v>33.033333333333331</v>
      </c>
      <c r="G381" s="7">
        <f t="shared" si="76"/>
        <v>12.856413648150758</v>
      </c>
      <c r="H381" s="16">
        <f t="shared" si="77"/>
        <v>13.659103366037384</v>
      </c>
      <c r="I381" s="11">
        <f t="shared" si="84"/>
        <v>0.29459777921080099</v>
      </c>
      <c r="J381" s="33">
        <f t="shared" si="85"/>
        <v>8.9181971506801534E-3</v>
      </c>
      <c r="K381" s="33">
        <f t="shared" si="86"/>
        <v>112.13028632403963</v>
      </c>
      <c r="L381" s="8">
        <v>1</v>
      </c>
      <c r="M381" s="9">
        <v>0</v>
      </c>
      <c r="N381" s="8">
        <v>0</v>
      </c>
      <c r="O381" s="9">
        <v>0</v>
      </c>
      <c r="P381" s="9">
        <v>1</v>
      </c>
      <c r="Q381" s="9">
        <v>0</v>
      </c>
      <c r="R381" s="9">
        <v>0</v>
      </c>
      <c r="S381" s="8">
        <v>11501</v>
      </c>
      <c r="T381" s="9">
        <v>18</v>
      </c>
      <c r="U381" s="9">
        <f t="shared" si="78"/>
        <v>11482</v>
      </c>
      <c r="V381" s="9">
        <f t="shared" si="79"/>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9"/>
        <v>0.10799999999999998</v>
      </c>
      <c r="AO381" s="42">
        <v>0.57999999999999996</v>
      </c>
      <c r="AP381" s="18">
        <v>0.42</v>
      </c>
      <c r="AQ381">
        <v>1</v>
      </c>
      <c r="AR381" s="40">
        <v>0</v>
      </c>
      <c r="AS381" t="s">
        <v>98</v>
      </c>
      <c r="AT381" s="40" t="s">
        <v>98</v>
      </c>
      <c r="AU381">
        <v>0</v>
      </c>
      <c r="AV381" s="18">
        <v>1</v>
      </c>
      <c r="AW381">
        <f t="shared" si="90"/>
        <v>0.52700000000000002</v>
      </c>
      <c r="AX381" s="18">
        <v>0.47299999999999998</v>
      </c>
      <c r="AY381" s="18" t="s">
        <v>20</v>
      </c>
      <c r="AZ381">
        <v>0</v>
      </c>
      <c r="BA381">
        <v>0</v>
      </c>
      <c r="BB381">
        <v>0</v>
      </c>
      <c r="BC381">
        <v>0</v>
      </c>
      <c r="BD381">
        <v>0</v>
      </c>
      <c r="BE381">
        <v>1</v>
      </c>
      <c r="BF381" s="18">
        <v>0</v>
      </c>
      <c r="BG381">
        <v>0</v>
      </c>
      <c r="BH381">
        <v>1</v>
      </c>
      <c r="BI381" s="18">
        <v>0</v>
      </c>
      <c r="BJ381">
        <v>787</v>
      </c>
      <c r="BK381">
        <v>29</v>
      </c>
      <c r="BL381" s="25">
        <v>33.378</v>
      </c>
      <c r="BM381">
        <v>0</v>
      </c>
      <c r="BN381">
        <v>0</v>
      </c>
      <c r="BO381">
        <v>0</v>
      </c>
      <c r="BP381">
        <v>0</v>
      </c>
      <c r="BQ381">
        <v>0</v>
      </c>
      <c r="BR381">
        <v>1</v>
      </c>
      <c r="BS381">
        <v>0</v>
      </c>
      <c r="BT381" s="18">
        <v>0</v>
      </c>
      <c r="BU381">
        <v>0</v>
      </c>
      <c r="BV381">
        <v>0</v>
      </c>
      <c r="BW381">
        <v>1</v>
      </c>
      <c r="BX381" s="18">
        <v>0</v>
      </c>
      <c r="BY381">
        <v>0</v>
      </c>
      <c r="BZ381">
        <v>0</v>
      </c>
      <c r="CA381">
        <v>0</v>
      </c>
      <c r="CB381">
        <v>0</v>
      </c>
      <c r="CC381" s="18">
        <v>0</v>
      </c>
      <c r="CD381">
        <v>0</v>
      </c>
      <c r="CE381">
        <v>0</v>
      </c>
      <c r="CF381">
        <v>1</v>
      </c>
      <c r="CG381">
        <v>1</v>
      </c>
      <c r="CH381">
        <v>0</v>
      </c>
      <c r="CI381">
        <v>0</v>
      </c>
      <c r="CJ381">
        <v>0</v>
      </c>
      <c r="CK381">
        <v>0</v>
      </c>
      <c r="CL381">
        <v>0</v>
      </c>
      <c r="CM381">
        <v>1</v>
      </c>
      <c r="CN381" s="18">
        <v>1</v>
      </c>
      <c r="CO381">
        <v>0</v>
      </c>
      <c r="CP381">
        <v>83</v>
      </c>
      <c r="CQ381">
        <v>0</v>
      </c>
      <c r="CR381">
        <v>1</v>
      </c>
      <c r="CS381">
        <v>11</v>
      </c>
      <c r="CY381" s="34"/>
    </row>
    <row r="382" spans="1:103" x14ac:dyDescent="0.25">
      <c r="A382">
        <v>381</v>
      </c>
      <c r="B382">
        <v>24</v>
      </c>
      <c r="C382" s="25" t="s">
        <v>247</v>
      </c>
      <c r="D382" s="12">
        <v>12.91474433343347</v>
      </c>
      <c r="E382" s="14">
        <v>0.31094890048395202</v>
      </c>
      <c r="F382" s="7">
        <v>41.533333333333331</v>
      </c>
      <c r="G382" s="7">
        <f t="shared" si="76"/>
        <v>12.603795432949518</v>
      </c>
      <c r="H382" s="16">
        <f t="shared" si="77"/>
        <v>13.225693233917422</v>
      </c>
      <c r="I382" s="11">
        <f t="shared" si="84"/>
        <v>0.36140520779130031</v>
      </c>
      <c r="J382" s="33">
        <f t="shared" si="85"/>
        <v>8.7015700110264927E-3</v>
      </c>
      <c r="K382" s="33">
        <f t="shared" si="86"/>
        <v>114.92178983020486</v>
      </c>
      <c r="L382" s="8">
        <v>1</v>
      </c>
      <c r="M382" s="9">
        <v>0</v>
      </c>
      <c r="N382" s="8">
        <v>0</v>
      </c>
      <c r="O382" s="9">
        <v>0</v>
      </c>
      <c r="P382" s="9">
        <v>1</v>
      </c>
      <c r="Q382" s="9">
        <v>0</v>
      </c>
      <c r="R382" s="9">
        <v>0</v>
      </c>
      <c r="S382" s="8">
        <v>11501</v>
      </c>
      <c r="T382" s="9">
        <v>18</v>
      </c>
      <c r="U382" s="9">
        <f t="shared" si="78"/>
        <v>11482</v>
      </c>
      <c r="V382" s="9">
        <f t="shared" si="79"/>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9"/>
        <v>0.10799999999999998</v>
      </c>
      <c r="AO382" s="42">
        <v>0.57999999999999996</v>
      </c>
      <c r="AP382" s="18">
        <v>0.42</v>
      </c>
      <c r="AQ382">
        <v>1</v>
      </c>
      <c r="AR382" s="40">
        <v>0</v>
      </c>
      <c r="AS382" t="s">
        <v>98</v>
      </c>
      <c r="AT382" s="40" t="s">
        <v>98</v>
      </c>
      <c r="AU382">
        <v>0</v>
      </c>
      <c r="AV382" s="18">
        <v>1</v>
      </c>
      <c r="AW382">
        <f t="shared" si="90"/>
        <v>0.52700000000000002</v>
      </c>
      <c r="AX382" s="18">
        <v>0.47299999999999998</v>
      </c>
      <c r="AY382" s="18" t="s">
        <v>20</v>
      </c>
      <c r="AZ382">
        <v>0</v>
      </c>
      <c r="BA382">
        <v>0</v>
      </c>
      <c r="BB382">
        <v>0</v>
      </c>
      <c r="BC382">
        <v>0</v>
      </c>
      <c r="BD382">
        <v>0</v>
      </c>
      <c r="BE382">
        <v>1</v>
      </c>
      <c r="BF382" s="18">
        <v>0</v>
      </c>
      <c r="BG382">
        <v>0</v>
      </c>
      <c r="BH382">
        <v>1</v>
      </c>
      <c r="BI382" s="18">
        <v>0</v>
      </c>
      <c r="BJ382">
        <v>787</v>
      </c>
      <c r="BK382">
        <v>29</v>
      </c>
      <c r="BL382" s="25">
        <v>33.378</v>
      </c>
      <c r="BM382">
        <v>0</v>
      </c>
      <c r="BN382">
        <v>0</v>
      </c>
      <c r="BO382">
        <v>0</v>
      </c>
      <c r="BP382">
        <v>0</v>
      </c>
      <c r="BQ382">
        <v>0</v>
      </c>
      <c r="BR382">
        <v>1</v>
      </c>
      <c r="BS382">
        <v>0</v>
      </c>
      <c r="BT382" s="18">
        <v>0</v>
      </c>
      <c r="BU382">
        <v>0</v>
      </c>
      <c r="BV382">
        <v>0</v>
      </c>
      <c r="BW382">
        <v>1</v>
      </c>
      <c r="BX382" s="18">
        <v>0</v>
      </c>
      <c r="BY382">
        <v>0</v>
      </c>
      <c r="BZ382">
        <v>0</v>
      </c>
      <c r="CA382">
        <v>0</v>
      </c>
      <c r="CB382">
        <v>0</v>
      </c>
      <c r="CC382" s="18">
        <v>0</v>
      </c>
      <c r="CD382">
        <v>0</v>
      </c>
      <c r="CE382">
        <v>0</v>
      </c>
      <c r="CF382">
        <v>1</v>
      </c>
      <c r="CG382">
        <v>1</v>
      </c>
      <c r="CH382">
        <v>0</v>
      </c>
      <c r="CI382">
        <v>0</v>
      </c>
      <c r="CJ382">
        <v>0</v>
      </c>
      <c r="CK382">
        <v>0</v>
      </c>
      <c r="CL382">
        <v>0</v>
      </c>
      <c r="CM382">
        <v>1</v>
      </c>
      <c r="CN382" s="18">
        <v>1</v>
      </c>
      <c r="CO382">
        <v>0</v>
      </c>
      <c r="CP382">
        <v>83</v>
      </c>
      <c r="CQ382">
        <v>0</v>
      </c>
      <c r="CR382">
        <v>1</v>
      </c>
      <c r="CS382">
        <v>11</v>
      </c>
      <c r="CY382" s="34"/>
    </row>
    <row r="383" spans="1:103" x14ac:dyDescent="0.25">
      <c r="A383">
        <v>382</v>
      </c>
      <c r="B383">
        <v>24</v>
      </c>
      <c r="C383" s="25" t="s">
        <v>247</v>
      </c>
      <c r="D383" s="12">
        <v>14.2</v>
      </c>
      <c r="E383" s="14">
        <v>1</v>
      </c>
      <c r="F383" s="7">
        <f>D383/E383</f>
        <v>14.2</v>
      </c>
      <c r="G383" s="7">
        <f t="shared" si="76"/>
        <v>13.2</v>
      </c>
      <c r="H383" s="16">
        <f t="shared" si="77"/>
        <v>15.2</v>
      </c>
      <c r="I383" s="11">
        <f t="shared" si="84"/>
        <v>0.30222070698132025</v>
      </c>
      <c r="J383" s="33">
        <f t="shared" si="85"/>
        <v>2.1283148378966214E-2</v>
      </c>
      <c r="K383" s="33">
        <f t="shared" si="86"/>
        <v>46.985529687340971</v>
      </c>
      <c r="L383" s="8">
        <v>1</v>
      </c>
      <c r="M383" s="9">
        <v>0</v>
      </c>
      <c r="N383" s="8">
        <v>0</v>
      </c>
      <c r="O383" s="9">
        <v>0</v>
      </c>
      <c r="P383" s="9">
        <v>1</v>
      </c>
      <c r="Q383" s="9">
        <v>0</v>
      </c>
      <c r="R383" s="9">
        <v>0</v>
      </c>
      <c r="S383" s="8">
        <v>2018</v>
      </c>
      <c r="T383" s="9">
        <v>11</v>
      </c>
      <c r="U383" s="9">
        <f t="shared" si="78"/>
        <v>2006</v>
      </c>
      <c r="V383" s="9">
        <f t="shared" si="79"/>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9"/>
        <v>0.127</v>
      </c>
      <c r="AO383" s="42">
        <v>0.16</v>
      </c>
      <c r="AP383" s="18">
        <v>0.84</v>
      </c>
      <c r="AQ383">
        <v>0</v>
      </c>
      <c r="AR383" s="40">
        <v>1</v>
      </c>
      <c r="AS383" t="s">
        <v>98</v>
      </c>
      <c r="AT383" s="40" t="s">
        <v>98</v>
      </c>
      <c r="AU383">
        <v>0</v>
      </c>
      <c r="AV383" s="18">
        <v>1</v>
      </c>
      <c r="AW383">
        <f t="shared" si="90"/>
        <v>0.499</v>
      </c>
      <c r="AX383" s="18">
        <v>0.501</v>
      </c>
      <c r="AY383" s="18" t="s">
        <v>20</v>
      </c>
      <c r="AZ383">
        <v>0</v>
      </c>
      <c r="BA383">
        <v>0</v>
      </c>
      <c r="BB383">
        <v>0</v>
      </c>
      <c r="BC383">
        <v>0</v>
      </c>
      <c r="BD383">
        <v>0</v>
      </c>
      <c r="BE383">
        <v>1</v>
      </c>
      <c r="BF383" s="18">
        <v>0</v>
      </c>
      <c r="BG383">
        <v>0</v>
      </c>
      <c r="BH383">
        <v>1</v>
      </c>
      <c r="BI383" s="18">
        <v>0</v>
      </c>
      <c r="BJ383">
        <v>787</v>
      </c>
      <c r="BK383">
        <v>29</v>
      </c>
      <c r="BL383" s="25">
        <v>32.451999999999998</v>
      </c>
      <c r="BM383">
        <v>0</v>
      </c>
      <c r="BN383">
        <v>0</v>
      </c>
      <c r="BO383">
        <v>0</v>
      </c>
      <c r="BP383">
        <v>0</v>
      </c>
      <c r="BQ383">
        <v>0</v>
      </c>
      <c r="BR383">
        <v>1</v>
      </c>
      <c r="BS383">
        <v>0</v>
      </c>
      <c r="BT383" s="18">
        <v>0</v>
      </c>
      <c r="BU383">
        <v>0</v>
      </c>
      <c r="BV383">
        <v>0</v>
      </c>
      <c r="BW383">
        <v>1</v>
      </c>
      <c r="BX383" s="18">
        <v>0</v>
      </c>
      <c r="BY383">
        <v>0</v>
      </c>
      <c r="BZ383">
        <v>0</v>
      </c>
      <c r="CA383">
        <v>0</v>
      </c>
      <c r="CB383">
        <v>0</v>
      </c>
      <c r="CC383" s="18">
        <v>0</v>
      </c>
      <c r="CD383">
        <v>0</v>
      </c>
      <c r="CE383">
        <v>0</v>
      </c>
      <c r="CF383">
        <v>1</v>
      </c>
      <c r="CG383">
        <v>1</v>
      </c>
      <c r="CH383">
        <v>0</v>
      </c>
      <c r="CI383">
        <v>0</v>
      </c>
      <c r="CJ383">
        <v>0</v>
      </c>
      <c r="CK383">
        <v>0</v>
      </c>
      <c r="CL383">
        <v>0</v>
      </c>
      <c r="CM383">
        <v>1</v>
      </c>
      <c r="CN383" s="18">
        <v>1</v>
      </c>
      <c r="CO383">
        <v>0</v>
      </c>
      <c r="CP383">
        <v>83</v>
      </c>
      <c r="CQ383">
        <v>0</v>
      </c>
      <c r="CR383">
        <v>1</v>
      </c>
      <c r="CS383">
        <v>11</v>
      </c>
      <c r="CY383" s="34"/>
    </row>
    <row r="384" spans="1:103" x14ac:dyDescent="0.25">
      <c r="A384">
        <v>383</v>
      </c>
      <c r="B384">
        <v>24</v>
      </c>
      <c r="C384" s="25" t="s">
        <v>247</v>
      </c>
      <c r="D384" s="12">
        <v>0.20858331137321159</v>
      </c>
      <c r="E384" s="14">
        <v>7.2973753250103177E-2</v>
      </c>
      <c r="F384" s="7">
        <v>2.8583333333333338</v>
      </c>
      <c r="G384" s="7">
        <f t="shared" si="76"/>
        <v>0.13560955812310843</v>
      </c>
      <c r="H384" s="16">
        <f t="shared" si="77"/>
        <v>0.28155706462331476</v>
      </c>
      <c r="I384" s="11">
        <f t="shared" si="84"/>
        <v>6.3800016035671786E-2</v>
      </c>
      <c r="J384" s="33">
        <f t="shared" si="85"/>
        <v>2.2320705318602366E-2</v>
      </c>
      <c r="K384" s="33">
        <f t="shared" si="86"/>
        <v>44.801451644388088</v>
      </c>
      <c r="L384" s="8">
        <v>1</v>
      </c>
      <c r="M384" s="9">
        <v>0</v>
      </c>
      <c r="N384" s="8">
        <v>0</v>
      </c>
      <c r="O384" s="9">
        <v>0</v>
      </c>
      <c r="P384" s="9">
        <v>1</v>
      </c>
      <c r="Q384" s="9">
        <v>0</v>
      </c>
      <c r="R384" s="9">
        <v>0</v>
      </c>
      <c r="S384" s="8">
        <v>2018</v>
      </c>
      <c r="T384" s="9">
        <v>18</v>
      </c>
      <c r="U384" s="9">
        <f t="shared" si="78"/>
        <v>1999</v>
      </c>
      <c r="V384" s="9">
        <f t="shared" si="79"/>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9"/>
        <v>0.127</v>
      </c>
      <c r="AO384" s="42">
        <v>0.16</v>
      </c>
      <c r="AP384" s="18">
        <v>0.84</v>
      </c>
      <c r="AQ384">
        <v>0</v>
      </c>
      <c r="AR384" s="40">
        <v>1</v>
      </c>
      <c r="AS384" t="s">
        <v>98</v>
      </c>
      <c r="AT384" s="40" t="s">
        <v>98</v>
      </c>
      <c r="AU384">
        <v>0</v>
      </c>
      <c r="AV384" s="18">
        <v>1</v>
      </c>
      <c r="AW384">
        <f t="shared" si="90"/>
        <v>0.499</v>
      </c>
      <c r="AX384" s="18">
        <v>0.501</v>
      </c>
      <c r="AY384" s="18" t="s">
        <v>20</v>
      </c>
      <c r="AZ384">
        <v>0</v>
      </c>
      <c r="BA384">
        <v>0</v>
      </c>
      <c r="BB384">
        <v>0</v>
      </c>
      <c r="BC384">
        <v>0</v>
      </c>
      <c r="BD384">
        <v>0</v>
      </c>
      <c r="BE384">
        <v>1</v>
      </c>
      <c r="BF384" s="18">
        <v>0</v>
      </c>
      <c r="BG384">
        <v>0</v>
      </c>
      <c r="BH384">
        <v>1</v>
      </c>
      <c r="BI384" s="18">
        <v>0</v>
      </c>
      <c r="BJ384">
        <v>787</v>
      </c>
      <c r="BK384">
        <v>29</v>
      </c>
      <c r="BL384" s="25">
        <v>32.451999999999998</v>
      </c>
      <c r="BM384">
        <v>0</v>
      </c>
      <c r="BN384">
        <v>0</v>
      </c>
      <c r="BO384">
        <v>0</v>
      </c>
      <c r="BP384">
        <v>0</v>
      </c>
      <c r="BQ384">
        <v>0</v>
      </c>
      <c r="BR384">
        <v>1</v>
      </c>
      <c r="BS384">
        <v>0</v>
      </c>
      <c r="BT384" s="18">
        <v>0</v>
      </c>
      <c r="BU384">
        <v>0</v>
      </c>
      <c r="BV384">
        <v>0</v>
      </c>
      <c r="BW384">
        <v>1</v>
      </c>
      <c r="BX384" s="18">
        <v>0</v>
      </c>
      <c r="BY384">
        <v>0</v>
      </c>
      <c r="BZ384">
        <v>0</v>
      </c>
      <c r="CA384">
        <v>0</v>
      </c>
      <c r="CB384">
        <v>0</v>
      </c>
      <c r="CC384" s="18">
        <v>0</v>
      </c>
      <c r="CD384">
        <v>0</v>
      </c>
      <c r="CE384">
        <v>0</v>
      </c>
      <c r="CF384">
        <v>1</v>
      </c>
      <c r="CG384">
        <v>1</v>
      </c>
      <c r="CH384">
        <v>0</v>
      </c>
      <c r="CI384">
        <v>0</v>
      </c>
      <c r="CJ384">
        <v>0</v>
      </c>
      <c r="CK384">
        <v>0</v>
      </c>
      <c r="CL384">
        <v>0</v>
      </c>
      <c r="CM384">
        <v>1</v>
      </c>
      <c r="CN384" s="18">
        <v>1</v>
      </c>
      <c r="CO384">
        <v>0</v>
      </c>
      <c r="CP384">
        <v>83</v>
      </c>
      <c r="CQ384">
        <v>0</v>
      </c>
      <c r="CR384">
        <v>1</v>
      </c>
      <c r="CS384">
        <v>11</v>
      </c>
      <c r="CY384" s="34"/>
    </row>
    <row r="385" spans="1:103" x14ac:dyDescent="0.25">
      <c r="A385">
        <v>384</v>
      </c>
      <c r="B385">
        <v>24</v>
      </c>
      <c r="C385" s="25" t="s">
        <v>247</v>
      </c>
      <c r="D385" s="12">
        <v>17.973273386022949</v>
      </c>
      <c r="E385" s="14">
        <v>2.6265743987924979</v>
      </c>
      <c r="F385" s="7">
        <v>6.8428571428571416</v>
      </c>
      <c r="G385" s="7">
        <f t="shared" si="76"/>
        <v>15.346698987230452</v>
      </c>
      <c r="H385" s="16">
        <f t="shared" si="77"/>
        <v>20.599847784815449</v>
      </c>
      <c r="I385" s="11">
        <f t="shared" si="84"/>
        <v>0.15128757625528103</v>
      </c>
      <c r="J385" s="33">
        <f t="shared" si="85"/>
        <v>2.2108831603068209E-2</v>
      </c>
      <c r="K385" s="33">
        <f t="shared" si="86"/>
        <v>45.230793646337354</v>
      </c>
      <c r="L385" s="8">
        <v>1</v>
      </c>
      <c r="M385" s="9">
        <v>0</v>
      </c>
      <c r="N385" s="8">
        <v>0</v>
      </c>
      <c r="O385" s="9">
        <v>0</v>
      </c>
      <c r="P385" s="9">
        <v>1</v>
      </c>
      <c r="Q385" s="9">
        <v>0</v>
      </c>
      <c r="R385" s="9">
        <v>0</v>
      </c>
      <c r="S385" s="8">
        <v>2018</v>
      </c>
      <c r="T385" s="9">
        <v>18</v>
      </c>
      <c r="U385" s="9">
        <f t="shared" si="78"/>
        <v>1999</v>
      </c>
      <c r="V385" s="9">
        <f t="shared" si="79"/>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9"/>
        <v>0.127</v>
      </c>
      <c r="AO385" s="42">
        <v>0.16</v>
      </c>
      <c r="AP385" s="18">
        <v>0.84</v>
      </c>
      <c r="AQ385">
        <v>0</v>
      </c>
      <c r="AR385" s="40">
        <v>1</v>
      </c>
      <c r="AS385" t="s">
        <v>98</v>
      </c>
      <c r="AT385" s="40" t="s">
        <v>98</v>
      </c>
      <c r="AU385">
        <v>0</v>
      </c>
      <c r="AV385" s="18">
        <v>1</v>
      </c>
      <c r="AW385">
        <f t="shared" si="90"/>
        <v>0.499</v>
      </c>
      <c r="AX385" s="18">
        <v>0.501</v>
      </c>
      <c r="AY385" s="18" t="s">
        <v>20</v>
      </c>
      <c r="AZ385">
        <v>0</v>
      </c>
      <c r="BA385">
        <v>0</v>
      </c>
      <c r="BB385">
        <v>0</v>
      </c>
      <c r="BC385">
        <v>0</v>
      </c>
      <c r="BD385">
        <v>0</v>
      </c>
      <c r="BE385">
        <v>1</v>
      </c>
      <c r="BF385" s="18">
        <v>0</v>
      </c>
      <c r="BG385">
        <v>0</v>
      </c>
      <c r="BH385">
        <v>1</v>
      </c>
      <c r="BI385" s="18">
        <v>0</v>
      </c>
      <c r="BJ385">
        <v>787</v>
      </c>
      <c r="BK385">
        <v>29</v>
      </c>
      <c r="BL385" s="25">
        <v>32.451999999999998</v>
      </c>
      <c r="BM385">
        <v>0</v>
      </c>
      <c r="BN385">
        <v>0</v>
      </c>
      <c r="BO385">
        <v>0</v>
      </c>
      <c r="BP385">
        <v>0</v>
      </c>
      <c r="BQ385">
        <v>0</v>
      </c>
      <c r="BR385">
        <v>1</v>
      </c>
      <c r="BS385">
        <v>0</v>
      </c>
      <c r="BT385" s="18">
        <v>0</v>
      </c>
      <c r="BU385">
        <v>0</v>
      </c>
      <c r="BV385">
        <v>0</v>
      </c>
      <c r="BW385">
        <v>1</v>
      </c>
      <c r="BX385" s="18">
        <v>0</v>
      </c>
      <c r="BY385">
        <v>0</v>
      </c>
      <c r="BZ385">
        <v>0</v>
      </c>
      <c r="CA385">
        <v>0</v>
      </c>
      <c r="CB385">
        <v>0</v>
      </c>
      <c r="CC385" s="18">
        <v>0</v>
      </c>
      <c r="CD385">
        <v>0</v>
      </c>
      <c r="CE385">
        <v>0</v>
      </c>
      <c r="CF385">
        <v>1</v>
      </c>
      <c r="CG385">
        <v>1</v>
      </c>
      <c r="CH385">
        <v>0</v>
      </c>
      <c r="CI385">
        <v>0</v>
      </c>
      <c r="CJ385">
        <v>0</v>
      </c>
      <c r="CK385">
        <v>0</v>
      </c>
      <c r="CL385">
        <v>0</v>
      </c>
      <c r="CM385">
        <v>1</v>
      </c>
      <c r="CN385" s="18">
        <v>1</v>
      </c>
      <c r="CO385">
        <v>0</v>
      </c>
      <c r="CP385">
        <v>83</v>
      </c>
      <c r="CQ385">
        <v>0</v>
      </c>
      <c r="CR385">
        <v>1</v>
      </c>
      <c r="CS385">
        <v>11</v>
      </c>
      <c r="CY385" s="34"/>
    </row>
    <row r="386" spans="1:103" x14ac:dyDescent="0.25">
      <c r="A386">
        <v>385</v>
      </c>
      <c r="B386">
        <v>24</v>
      </c>
      <c r="C386" s="25" t="s">
        <v>247</v>
      </c>
      <c r="D386" s="12">
        <v>25.77199271767741</v>
      </c>
      <c r="E386" s="14">
        <v>1.713563345590253</v>
      </c>
      <c r="F386" s="7">
        <v>15.04</v>
      </c>
      <c r="G386" s="7">
        <f t="shared" ref="G386:G449" si="91">D386-E386</f>
        <v>24.058429372087158</v>
      </c>
      <c r="H386" s="16">
        <f t="shared" ref="H386:H449" si="92">D386+E386</f>
        <v>27.485556063267662</v>
      </c>
      <c r="I386" s="11">
        <f t="shared" si="84"/>
        <v>0.31883291842716138</v>
      </c>
      <c r="J386" s="33">
        <f t="shared" si="85"/>
        <v>2.1198997235848498E-2</v>
      </c>
      <c r="K386" s="33">
        <f t="shared" si="86"/>
        <v>47.172042567605658</v>
      </c>
      <c r="L386" s="8">
        <v>1</v>
      </c>
      <c r="M386" s="9">
        <v>0</v>
      </c>
      <c r="N386" s="8">
        <v>0</v>
      </c>
      <c r="O386" s="9">
        <v>0</v>
      </c>
      <c r="P386" s="9">
        <v>1</v>
      </c>
      <c r="Q386" s="9">
        <v>0</v>
      </c>
      <c r="R386" s="9">
        <v>0</v>
      </c>
      <c r="S386" s="8">
        <v>2018</v>
      </c>
      <c r="T386" s="9">
        <v>18</v>
      </c>
      <c r="U386" s="9">
        <f t="shared" ref="U386:U449" si="93">S386-T386-1</f>
        <v>1999</v>
      </c>
      <c r="V386" s="9">
        <f t="shared" ref="V386:V449" si="94">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9"/>
        <v>0.127</v>
      </c>
      <c r="AO386" s="42">
        <v>0.16</v>
      </c>
      <c r="AP386" s="18">
        <v>0.84</v>
      </c>
      <c r="AQ386">
        <v>0</v>
      </c>
      <c r="AR386" s="40">
        <v>1</v>
      </c>
      <c r="AS386" t="s">
        <v>98</v>
      </c>
      <c r="AT386" s="40" t="s">
        <v>98</v>
      </c>
      <c r="AU386">
        <v>0</v>
      </c>
      <c r="AV386" s="18">
        <v>1</v>
      </c>
      <c r="AW386">
        <f t="shared" si="90"/>
        <v>0.499</v>
      </c>
      <c r="AX386" s="18">
        <v>0.501</v>
      </c>
      <c r="AY386" s="18" t="s">
        <v>20</v>
      </c>
      <c r="AZ386">
        <v>0</v>
      </c>
      <c r="BA386">
        <v>0</v>
      </c>
      <c r="BB386">
        <v>0</v>
      </c>
      <c r="BC386">
        <v>0</v>
      </c>
      <c r="BD386">
        <v>0</v>
      </c>
      <c r="BE386">
        <v>1</v>
      </c>
      <c r="BF386" s="18">
        <v>0</v>
      </c>
      <c r="BG386">
        <v>0</v>
      </c>
      <c r="BH386">
        <v>1</v>
      </c>
      <c r="BI386" s="18">
        <v>0</v>
      </c>
      <c r="BJ386">
        <v>787</v>
      </c>
      <c r="BK386">
        <v>29</v>
      </c>
      <c r="BL386" s="25">
        <v>32.451999999999998</v>
      </c>
      <c r="BM386">
        <v>0</v>
      </c>
      <c r="BN386">
        <v>0</v>
      </c>
      <c r="BO386">
        <v>0</v>
      </c>
      <c r="BP386">
        <v>0</v>
      </c>
      <c r="BQ386">
        <v>0</v>
      </c>
      <c r="BR386">
        <v>1</v>
      </c>
      <c r="BS386">
        <v>0</v>
      </c>
      <c r="BT386" s="18">
        <v>0</v>
      </c>
      <c r="BU386">
        <v>0</v>
      </c>
      <c r="BV386">
        <v>0</v>
      </c>
      <c r="BW386">
        <v>1</v>
      </c>
      <c r="BX386" s="18">
        <v>0</v>
      </c>
      <c r="BY386">
        <v>0</v>
      </c>
      <c r="BZ386">
        <v>0</v>
      </c>
      <c r="CA386">
        <v>0</v>
      </c>
      <c r="CB386">
        <v>0</v>
      </c>
      <c r="CC386" s="18">
        <v>0</v>
      </c>
      <c r="CD386">
        <v>0</v>
      </c>
      <c r="CE386">
        <v>0</v>
      </c>
      <c r="CF386">
        <v>1</v>
      </c>
      <c r="CG386">
        <v>1</v>
      </c>
      <c r="CH386">
        <v>0</v>
      </c>
      <c r="CI386">
        <v>0</v>
      </c>
      <c r="CJ386">
        <v>0</v>
      </c>
      <c r="CK386">
        <v>0</v>
      </c>
      <c r="CL386">
        <v>0</v>
      </c>
      <c r="CM386">
        <v>1</v>
      </c>
      <c r="CN386" s="18">
        <v>1</v>
      </c>
      <c r="CO386">
        <v>0</v>
      </c>
      <c r="CP386">
        <v>83</v>
      </c>
      <c r="CQ386">
        <v>0</v>
      </c>
      <c r="CR386">
        <v>1</v>
      </c>
      <c r="CS386">
        <v>11</v>
      </c>
      <c r="CY386" s="34"/>
    </row>
    <row r="387" spans="1:103" x14ac:dyDescent="0.25">
      <c r="A387">
        <v>386</v>
      </c>
      <c r="B387">
        <v>24</v>
      </c>
      <c r="C387" s="25" t="s">
        <v>247</v>
      </c>
      <c r="D387" s="12">
        <v>16.561693659668311</v>
      </c>
      <c r="E387" s="14">
        <v>1.3486721221228259</v>
      </c>
      <c r="F387" s="7">
        <v>12.28</v>
      </c>
      <c r="G387" s="7">
        <f t="shared" si="91"/>
        <v>15.213021537545485</v>
      </c>
      <c r="H387" s="16">
        <f t="shared" si="92"/>
        <v>17.910365781791135</v>
      </c>
      <c r="I387" s="11">
        <f t="shared" si="84"/>
        <v>0.26484970841855721</v>
      </c>
      <c r="J387" s="33">
        <f t="shared" si="85"/>
        <v>2.1567565832130067E-2</v>
      </c>
      <c r="K387" s="33">
        <f t="shared" si="86"/>
        <v>46.365918517807884</v>
      </c>
      <c r="L387" s="8">
        <v>1</v>
      </c>
      <c r="M387" s="9">
        <v>0</v>
      </c>
      <c r="N387" s="8">
        <v>0</v>
      </c>
      <c r="O387" s="9">
        <v>0</v>
      </c>
      <c r="P387" s="9">
        <v>1</v>
      </c>
      <c r="Q387" s="9">
        <v>0</v>
      </c>
      <c r="R387" s="9">
        <v>0</v>
      </c>
      <c r="S387" s="8">
        <v>2018</v>
      </c>
      <c r="T387" s="9">
        <v>18</v>
      </c>
      <c r="U387" s="9">
        <f t="shared" si="93"/>
        <v>1999</v>
      </c>
      <c r="V387" s="9">
        <f t="shared" si="94"/>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9"/>
        <v>0.127</v>
      </c>
      <c r="AO387" s="42">
        <v>0.16</v>
      </c>
      <c r="AP387" s="18">
        <v>0.84</v>
      </c>
      <c r="AQ387">
        <v>0</v>
      </c>
      <c r="AR387" s="40">
        <v>1</v>
      </c>
      <c r="AS387" t="s">
        <v>98</v>
      </c>
      <c r="AT387" s="40" t="s">
        <v>98</v>
      </c>
      <c r="AU387">
        <v>0</v>
      </c>
      <c r="AV387" s="18">
        <v>1</v>
      </c>
      <c r="AW387">
        <f t="shared" si="90"/>
        <v>0.499</v>
      </c>
      <c r="AX387" s="18">
        <v>0.501</v>
      </c>
      <c r="AY387" s="18" t="s">
        <v>20</v>
      </c>
      <c r="AZ387">
        <v>0</v>
      </c>
      <c r="BA387">
        <v>0</v>
      </c>
      <c r="BB387">
        <v>0</v>
      </c>
      <c r="BC387">
        <v>0</v>
      </c>
      <c r="BD387">
        <v>0</v>
      </c>
      <c r="BE387">
        <v>1</v>
      </c>
      <c r="BF387" s="18">
        <v>0</v>
      </c>
      <c r="BG387">
        <v>0</v>
      </c>
      <c r="BH387">
        <v>1</v>
      </c>
      <c r="BI387" s="18">
        <v>0</v>
      </c>
      <c r="BJ387">
        <v>787</v>
      </c>
      <c r="BK387">
        <v>29</v>
      </c>
      <c r="BL387" s="25">
        <v>32.451999999999998</v>
      </c>
      <c r="BM387">
        <v>0</v>
      </c>
      <c r="BN387">
        <v>0</v>
      </c>
      <c r="BO387">
        <v>0</v>
      </c>
      <c r="BP387">
        <v>0</v>
      </c>
      <c r="BQ387">
        <v>0</v>
      </c>
      <c r="BR387">
        <v>1</v>
      </c>
      <c r="BS387">
        <v>0</v>
      </c>
      <c r="BT387" s="18">
        <v>0</v>
      </c>
      <c r="BU387">
        <v>0</v>
      </c>
      <c r="BV387">
        <v>0</v>
      </c>
      <c r="BW387">
        <v>1</v>
      </c>
      <c r="BX387" s="18">
        <v>0</v>
      </c>
      <c r="BY387">
        <v>0</v>
      </c>
      <c r="BZ387">
        <v>0</v>
      </c>
      <c r="CA387">
        <v>0</v>
      </c>
      <c r="CB387">
        <v>0</v>
      </c>
      <c r="CC387" s="18">
        <v>0</v>
      </c>
      <c r="CD387">
        <v>0</v>
      </c>
      <c r="CE387">
        <v>0</v>
      </c>
      <c r="CF387">
        <v>1</v>
      </c>
      <c r="CG387">
        <v>1</v>
      </c>
      <c r="CH387">
        <v>0</v>
      </c>
      <c r="CI387">
        <v>0</v>
      </c>
      <c r="CJ387">
        <v>0</v>
      </c>
      <c r="CK387">
        <v>0</v>
      </c>
      <c r="CL387">
        <v>0</v>
      </c>
      <c r="CM387">
        <v>1</v>
      </c>
      <c r="CN387" s="18">
        <v>1</v>
      </c>
      <c r="CO387">
        <v>0</v>
      </c>
      <c r="CP387">
        <v>83</v>
      </c>
      <c r="CQ387">
        <v>0</v>
      </c>
      <c r="CR387">
        <v>1</v>
      </c>
      <c r="CS387">
        <v>11</v>
      </c>
      <c r="CY387" s="34"/>
    </row>
    <row r="388" spans="1:103" x14ac:dyDescent="0.25">
      <c r="A388">
        <v>387</v>
      </c>
      <c r="B388">
        <v>24</v>
      </c>
      <c r="C388" s="25" t="s">
        <v>247</v>
      </c>
      <c r="D388" s="12">
        <v>22.28911175196944</v>
      </c>
      <c r="E388" s="14">
        <v>1.7496904122784549</v>
      </c>
      <c r="F388" s="7">
        <v>12.738888888888891</v>
      </c>
      <c r="G388" s="7">
        <f t="shared" si="91"/>
        <v>20.539421339690985</v>
      </c>
      <c r="H388" s="16">
        <f t="shared" si="92"/>
        <v>24.038802164247894</v>
      </c>
      <c r="I388" s="11">
        <f t="shared" si="84"/>
        <v>0.27401611438895046</v>
      </c>
      <c r="J388" s="33">
        <f t="shared" si="85"/>
        <v>2.1510205228962527E-2</v>
      </c>
      <c r="K388" s="33">
        <f t="shared" si="86"/>
        <v>46.489561087662004</v>
      </c>
      <c r="L388" s="8">
        <v>1</v>
      </c>
      <c r="M388" s="9">
        <v>0</v>
      </c>
      <c r="N388" s="8">
        <v>0</v>
      </c>
      <c r="O388" s="9">
        <v>0</v>
      </c>
      <c r="P388" s="9">
        <v>1</v>
      </c>
      <c r="Q388" s="9">
        <v>0</v>
      </c>
      <c r="R388" s="9">
        <v>0</v>
      </c>
      <c r="S388" s="8">
        <v>2018</v>
      </c>
      <c r="T388" s="9">
        <v>18</v>
      </c>
      <c r="U388" s="9">
        <f t="shared" si="93"/>
        <v>1999</v>
      </c>
      <c r="V388" s="9">
        <f t="shared" si="94"/>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9"/>
        <v>0.127</v>
      </c>
      <c r="AO388" s="42">
        <v>0.16</v>
      </c>
      <c r="AP388" s="18">
        <v>0.84</v>
      </c>
      <c r="AQ388">
        <v>0</v>
      </c>
      <c r="AR388" s="40">
        <v>1</v>
      </c>
      <c r="AS388" t="s">
        <v>98</v>
      </c>
      <c r="AT388" s="40" t="s">
        <v>98</v>
      </c>
      <c r="AU388">
        <v>0</v>
      </c>
      <c r="AV388" s="18">
        <v>1</v>
      </c>
      <c r="AW388">
        <f t="shared" si="90"/>
        <v>0.499</v>
      </c>
      <c r="AX388" s="18">
        <v>0.501</v>
      </c>
      <c r="AY388" s="18" t="s">
        <v>20</v>
      </c>
      <c r="AZ388">
        <v>0</v>
      </c>
      <c r="BA388">
        <v>0</v>
      </c>
      <c r="BB388">
        <v>0</v>
      </c>
      <c r="BC388">
        <v>0</v>
      </c>
      <c r="BD388">
        <v>0</v>
      </c>
      <c r="BE388">
        <v>1</v>
      </c>
      <c r="BF388" s="18">
        <v>0</v>
      </c>
      <c r="BG388">
        <v>0</v>
      </c>
      <c r="BH388">
        <v>1</v>
      </c>
      <c r="BI388" s="18">
        <v>0</v>
      </c>
      <c r="BJ388">
        <v>787</v>
      </c>
      <c r="BK388">
        <v>29</v>
      </c>
      <c r="BL388" s="25">
        <v>32.451999999999998</v>
      </c>
      <c r="BM388">
        <v>0</v>
      </c>
      <c r="BN388">
        <v>0</v>
      </c>
      <c r="BO388">
        <v>0</v>
      </c>
      <c r="BP388">
        <v>0</v>
      </c>
      <c r="BQ388">
        <v>0</v>
      </c>
      <c r="BR388">
        <v>1</v>
      </c>
      <c r="BS388">
        <v>0</v>
      </c>
      <c r="BT388" s="18">
        <v>0</v>
      </c>
      <c r="BU388">
        <v>0</v>
      </c>
      <c r="BV388">
        <v>0</v>
      </c>
      <c r="BW388">
        <v>1</v>
      </c>
      <c r="BX388" s="18">
        <v>0</v>
      </c>
      <c r="BY388">
        <v>0</v>
      </c>
      <c r="BZ388">
        <v>0</v>
      </c>
      <c r="CA388">
        <v>0</v>
      </c>
      <c r="CB388">
        <v>0</v>
      </c>
      <c r="CC388" s="18">
        <v>0</v>
      </c>
      <c r="CD388">
        <v>0</v>
      </c>
      <c r="CE388">
        <v>0</v>
      </c>
      <c r="CF388">
        <v>1</v>
      </c>
      <c r="CG388">
        <v>1</v>
      </c>
      <c r="CH388">
        <v>0</v>
      </c>
      <c r="CI388">
        <v>0</v>
      </c>
      <c r="CJ388">
        <v>0</v>
      </c>
      <c r="CK388">
        <v>0</v>
      </c>
      <c r="CL388">
        <v>0</v>
      </c>
      <c r="CM388">
        <v>1</v>
      </c>
      <c r="CN388" s="18">
        <v>1</v>
      </c>
      <c r="CO388">
        <v>0</v>
      </c>
      <c r="CP388">
        <v>83</v>
      </c>
      <c r="CQ388">
        <v>0</v>
      </c>
      <c r="CR388">
        <v>1</v>
      </c>
      <c r="CS388">
        <v>11</v>
      </c>
      <c r="CY388" s="34"/>
    </row>
    <row r="389" spans="1:103" x14ac:dyDescent="0.25">
      <c r="A389">
        <v>388</v>
      </c>
      <c r="B389">
        <v>24</v>
      </c>
      <c r="C389" s="25" t="s">
        <v>247</v>
      </c>
      <c r="D389" s="12">
        <v>29.217759563620561</v>
      </c>
      <c r="E389" s="14">
        <v>2.8132643321230248</v>
      </c>
      <c r="F389" s="7">
        <v>10.385714285714281</v>
      </c>
      <c r="G389" s="7">
        <f t="shared" si="91"/>
        <v>26.404495231497535</v>
      </c>
      <c r="H389" s="16">
        <f t="shared" si="92"/>
        <v>32.031023895743587</v>
      </c>
      <c r="I389" s="11">
        <f t="shared" si="84"/>
        <v>0.22626543579702987</v>
      </c>
      <c r="J389" s="33">
        <f t="shared" si="85"/>
        <v>2.1786218027224344E-2</v>
      </c>
      <c r="K389" s="33">
        <f t="shared" si="86"/>
        <v>45.900578005342041</v>
      </c>
      <c r="L389" s="8">
        <v>1</v>
      </c>
      <c r="M389" s="9">
        <v>0</v>
      </c>
      <c r="N389" s="8">
        <v>0</v>
      </c>
      <c r="O389" s="9">
        <v>0</v>
      </c>
      <c r="P389" s="9">
        <v>1</v>
      </c>
      <c r="Q389" s="9">
        <v>0</v>
      </c>
      <c r="R389" s="9">
        <v>0</v>
      </c>
      <c r="S389" s="8">
        <v>2018</v>
      </c>
      <c r="T389" s="9">
        <v>18</v>
      </c>
      <c r="U389" s="9">
        <f t="shared" si="93"/>
        <v>1999</v>
      </c>
      <c r="V389" s="9">
        <f t="shared" si="94"/>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9"/>
        <v>0.127</v>
      </c>
      <c r="AO389" s="42">
        <v>0.16</v>
      </c>
      <c r="AP389" s="18">
        <v>0.84</v>
      </c>
      <c r="AQ389">
        <v>0</v>
      </c>
      <c r="AR389" s="40">
        <v>1</v>
      </c>
      <c r="AS389" t="s">
        <v>98</v>
      </c>
      <c r="AT389" s="40" t="s">
        <v>98</v>
      </c>
      <c r="AU389">
        <v>0</v>
      </c>
      <c r="AV389" s="18">
        <v>1</v>
      </c>
      <c r="AW389">
        <f t="shared" si="90"/>
        <v>0.499</v>
      </c>
      <c r="AX389" s="18">
        <v>0.501</v>
      </c>
      <c r="AY389" s="18" t="s">
        <v>20</v>
      </c>
      <c r="AZ389">
        <v>0</v>
      </c>
      <c r="BA389">
        <v>0</v>
      </c>
      <c r="BB389">
        <v>0</v>
      </c>
      <c r="BC389">
        <v>0</v>
      </c>
      <c r="BD389">
        <v>0</v>
      </c>
      <c r="BE389">
        <v>1</v>
      </c>
      <c r="BF389" s="18">
        <v>0</v>
      </c>
      <c r="BG389">
        <v>0</v>
      </c>
      <c r="BH389">
        <v>1</v>
      </c>
      <c r="BI389" s="18">
        <v>0</v>
      </c>
      <c r="BJ389">
        <v>787</v>
      </c>
      <c r="BK389">
        <v>29</v>
      </c>
      <c r="BL389" s="25">
        <v>32.451999999999998</v>
      </c>
      <c r="BM389">
        <v>0</v>
      </c>
      <c r="BN389">
        <v>0</v>
      </c>
      <c r="BO389">
        <v>0</v>
      </c>
      <c r="BP389">
        <v>0</v>
      </c>
      <c r="BQ389">
        <v>0</v>
      </c>
      <c r="BR389">
        <v>1</v>
      </c>
      <c r="BS389">
        <v>0</v>
      </c>
      <c r="BT389" s="18">
        <v>0</v>
      </c>
      <c r="BU389">
        <v>0</v>
      </c>
      <c r="BV389">
        <v>0</v>
      </c>
      <c r="BW389">
        <v>1</v>
      </c>
      <c r="BX389" s="18">
        <v>0</v>
      </c>
      <c r="BY389">
        <v>0</v>
      </c>
      <c r="BZ389">
        <v>0</v>
      </c>
      <c r="CA389">
        <v>0</v>
      </c>
      <c r="CB389">
        <v>0</v>
      </c>
      <c r="CC389" s="18">
        <v>0</v>
      </c>
      <c r="CD389">
        <v>0</v>
      </c>
      <c r="CE389">
        <v>0</v>
      </c>
      <c r="CF389">
        <v>1</v>
      </c>
      <c r="CG389">
        <v>1</v>
      </c>
      <c r="CH389">
        <v>0</v>
      </c>
      <c r="CI389">
        <v>0</v>
      </c>
      <c r="CJ389">
        <v>0</v>
      </c>
      <c r="CK389">
        <v>0</v>
      </c>
      <c r="CL389">
        <v>0</v>
      </c>
      <c r="CM389">
        <v>1</v>
      </c>
      <c r="CN389" s="18">
        <v>1</v>
      </c>
      <c r="CO389">
        <v>0</v>
      </c>
      <c r="CP389">
        <v>83</v>
      </c>
      <c r="CQ389">
        <v>0</v>
      </c>
      <c r="CR389">
        <v>1</v>
      </c>
      <c r="CS389">
        <v>11</v>
      </c>
      <c r="CY389" s="34"/>
    </row>
    <row r="390" spans="1:103" x14ac:dyDescent="0.25">
      <c r="A390">
        <v>389</v>
      </c>
      <c r="B390">
        <v>24</v>
      </c>
      <c r="C390" s="25" t="s">
        <v>247</v>
      </c>
      <c r="D390" s="12">
        <v>9.9</v>
      </c>
      <c r="E390" s="14">
        <v>1</v>
      </c>
      <c r="F390" s="7">
        <f t="shared" ref="F390:F409" si="95">D390/E390</f>
        <v>9.9</v>
      </c>
      <c r="G390" s="7">
        <f t="shared" si="91"/>
        <v>8.9</v>
      </c>
      <c r="H390" s="16">
        <f t="shared" si="92"/>
        <v>10.9</v>
      </c>
      <c r="I390" s="11">
        <f t="shared" si="84"/>
        <v>0.15200201690536094</v>
      </c>
      <c r="J390" s="33">
        <f t="shared" si="85"/>
        <v>1.535373908134959E-2</v>
      </c>
      <c r="K390" s="33">
        <f t="shared" si="86"/>
        <v>65.13071472047578</v>
      </c>
      <c r="L390" s="8">
        <v>1</v>
      </c>
      <c r="M390" s="9">
        <v>0</v>
      </c>
      <c r="N390" s="8">
        <v>0</v>
      </c>
      <c r="O390" s="9">
        <v>0</v>
      </c>
      <c r="P390" s="9">
        <v>1</v>
      </c>
      <c r="Q390" s="9">
        <v>0</v>
      </c>
      <c r="R390" s="9">
        <v>0</v>
      </c>
      <c r="S390" s="8">
        <v>4155</v>
      </c>
      <c r="T390" s="9">
        <v>10</v>
      </c>
      <c r="U390" s="9">
        <f t="shared" si="93"/>
        <v>4144</v>
      </c>
      <c r="V390" s="9">
        <f t="shared" si="94"/>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9"/>
        <v>0.10799999999999998</v>
      </c>
      <c r="AO390" s="42">
        <v>0.57999999999999996</v>
      </c>
      <c r="AP390" s="18">
        <v>0.42</v>
      </c>
      <c r="AQ390">
        <v>1</v>
      </c>
      <c r="AR390" s="40">
        <v>0</v>
      </c>
      <c r="AS390" t="s">
        <v>98</v>
      </c>
      <c r="AT390" s="40" t="s">
        <v>98</v>
      </c>
      <c r="AU390">
        <v>0</v>
      </c>
      <c r="AV390" s="18">
        <v>1</v>
      </c>
      <c r="AW390">
        <f t="shared" si="90"/>
        <v>0.52700000000000002</v>
      </c>
      <c r="AX390" s="18">
        <v>0.47299999999999998</v>
      </c>
      <c r="AY390" s="18" t="s">
        <v>20</v>
      </c>
      <c r="AZ390">
        <v>0</v>
      </c>
      <c r="BA390">
        <v>0</v>
      </c>
      <c r="BB390">
        <v>0</v>
      </c>
      <c r="BC390">
        <v>0</v>
      </c>
      <c r="BD390">
        <v>0</v>
      </c>
      <c r="BE390">
        <v>1</v>
      </c>
      <c r="BF390" s="18">
        <v>0</v>
      </c>
      <c r="BG390">
        <v>0</v>
      </c>
      <c r="BH390">
        <v>1</v>
      </c>
      <c r="BI390" s="18">
        <v>0</v>
      </c>
      <c r="BJ390">
        <v>787</v>
      </c>
      <c r="BK390">
        <v>29</v>
      </c>
      <c r="BL390" s="25">
        <v>33.378</v>
      </c>
      <c r="BM390">
        <v>0</v>
      </c>
      <c r="BN390">
        <v>0</v>
      </c>
      <c r="BO390">
        <v>0</v>
      </c>
      <c r="BP390">
        <v>0</v>
      </c>
      <c r="BQ390">
        <v>0</v>
      </c>
      <c r="BR390">
        <v>0</v>
      </c>
      <c r="BS390">
        <v>0</v>
      </c>
      <c r="BT390" s="18">
        <v>1</v>
      </c>
      <c r="BU390">
        <v>0</v>
      </c>
      <c r="BV390">
        <v>1</v>
      </c>
      <c r="BW390">
        <v>0</v>
      </c>
      <c r="BX390" s="18">
        <v>0</v>
      </c>
      <c r="BY390">
        <v>1</v>
      </c>
      <c r="BZ390">
        <v>0</v>
      </c>
      <c r="CA390">
        <v>0</v>
      </c>
      <c r="CB390">
        <v>0</v>
      </c>
      <c r="CC390" s="18">
        <v>0</v>
      </c>
      <c r="CD390">
        <v>0</v>
      </c>
      <c r="CE390">
        <v>0</v>
      </c>
      <c r="CF390">
        <v>1</v>
      </c>
      <c r="CG390">
        <v>1</v>
      </c>
      <c r="CH390">
        <v>0</v>
      </c>
      <c r="CI390">
        <v>0</v>
      </c>
      <c r="CJ390">
        <v>0</v>
      </c>
      <c r="CK390">
        <v>0</v>
      </c>
      <c r="CL390">
        <v>0</v>
      </c>
      <c r="CM390">
        <v>1</v>
      </c>
      <c r="CN390" s="18">
        <v>1</v>
      </c>
      <c r="CO390">
        <v>0</v>
      </c>
      <c r="CP390">
        <v>83</v>
      </c>
      <c r="CQ390">
        <v>0</v>
      </c>
      <c r="CR390">
        <v>1</v>
      </c>
      <c r="CS390">
        <v>11</v>
      </c>
      <c r="CY390" s="34"/>
    </row>
    <row r="391" spans="1:103" x14ac:dyDescent="0.25">
      <c r="A391">
        <v>390</v>
      </c>
      <c r="B391">
        <v>24</v>
      </c>
      <c r="C391" s="25" t="s">
        <v>247</v>
      </c>
      <c r="D391" s="12">
        <v>10.6</v>
      </c>
      <c r="E391" s="14">
        <v>0.5</v>
      </c>
      <c r="F391" s="7">
        <f t="shared" si="95"/>
        <v>21.2</v>
      </c>
      <c r="G391" s="7">
        <f t="shared" si="91"/>
        <v>10.1</v>
      </c>
      <c r="H391" s="16">
        <f t="shared" si="92"/>
        <v>11.1</v>
      </c>
      <c r="I391" s="11">
        <f t="shared" si="84"/>
        <v>0.27304447275129468</v>
      </c>
      <c r="J391" s="33">
        <f t="shared" si="85"/>
        <v>1.2879456261853524E-2</v>
      </c>
      <c r="K391" s="33">
        <f t="shared" si="86"/>
        <v>77.643029307208252</v>
      </c>
      <c r="L391" s="8">
        <v>1</v>
      </c>
      <c r="M391" s="9">
        <v>0</v>
      </c>
      <c r="N391" s="8">
        <v>0</v>
      </c>
      <c r="O391" s="9">
        <v>0</v>
      </c>
      <c r="P391" s="9">
        <v>1</v>
      </c>
      <c r="Q391" s="9">
        <v>0</v>
      </c>
      <c r="R391" s="9">
        <v>0</v>
      </c>
      <c r="S391" s="8">
        <v>5590</v>
      </c>
      <c r="T391" s="9">
        <v>10</v>
      </c>
      <c r="U391" s="9">
        <f t="shared" si="93"/>
        <v>5579</v>
      </c>
      <c r="V391" s="9">
        <f t="shared" si="94"/>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9"/>
        <v>0.10799999999999998</v>
      </c>
      <c r="AO391" s="42">
        <v>0.57999999999999996</v>
      </c>
      <c r="AP391" s="18">
        <v>0.42</v>
      </c>
      <c r="AQ391">
        <v>1</v>
      </c>
      <c r="AR391" s="40">
        <v>0</v>
      </c>
      <c r="AS391" t="s">
        <v>98</v>
      </c>
      <c r="AT391" s="40" t="s">
        <v>98</v>
      </c>
      <c r="AU391">
        <v>0</v>
      </c>
      <c r="AV391" s="18">
        <v>1</v>
      </c>
      <c r="AW391">
        <f t="shared" si="90"/>
        <v>0.52700000000000002</v>
      </c>
      <c r="AX391" s="18">
        <v>0.47299999999999998</v>
      </c>
      <c r="AY391" s="18" t="s">
        <v>20</v>
      </c>
      <c r="AZ391">
        <v>0</v>
      </c>
      <c r="BA391">
        <v>0</v>
      </c>
      <c r="BB391">
        <v>0</v>
      </c>
      <c r="BC391">
        <v>0</v>
      </c>
      <c r="BD391">
        <v>0</v>
      </c>
      <c r="BE391">
        <v>1</v>
      </c>
      <c r="BF391" s="18">
        <v>0</v>
      </c>
      <c r="BG391">
        <v>0</v>
      </c>
      <c r="BH391">
        <v>1</v>
      </c>
      <c r="BI391" s="18">
        <v>0</v>
      </c>
      <c r="BJ391">
        <v>787</v>
      </c>
      <c r="BK391">
        <v>29</v>
      </c>
      <c r="BL391" s="25">
        <v>33.378</v>
      </c>
      <c r="BM391">
        <v>0</v>
      </c>
      <c r="BN391">
        <v>0</v>
      </c>
      <c r="BO391">
        <v>0</v>
      </c>
      <c r="BP391">
        <v>0</v>
      </c>
      <c r="BQ391">
        <v>0</v>
      </c>
      <c r="BR391">
        <v>0</v>
      </c>
      <c r="BS391">
        <v>0</v>
      </c>
      <c r="BT391" s="18">
        <v>1</v>
      </c>
      <c r="BU391">
        <v>0</v>
      </c>
      <c r="BV391">
        <v>1</v>
      </c>
      <c r="BW391">
        <v>0</v>
      </c>
      <c r="BX391" s="18">
        <v>0</v>
      </c>
      <c r="BY391">
        <v>0</v>
      </c>
      <c r="BZ391">
        <v>0</v>
      </c>
      <c r="CA391">
        <v>1</v>
      </c>
      <c r="CB391">
        <v>0</v>
      </c>
      <c r="CC391" s="18">
        <v>0</v>
      </c>
      <c r="CD391">
        <v>0</v>
      </c>
      <c r="CE391">
        <v>0</v>
      </c>
      <c r="CF391">
        <v>1</v>
      </c>
      <c r="CG391">
        <v>1</v>
      </c>
      <c r="CH391">
        <v>0</v>
      </c>
      <c r="CI391">
        <v>0</v>
      </c>
      <c r="CJ391">
        <v>0</v>
      </c>
      <c r="CK391">
        <v>0</v>
      </c>
      <c r="CL391">
        <v>0</v>
      </c>
      <c r="CM391">
        <v>1</v>
      </c>
      <c r="CN391" s="18">
        <v>1</v>
      </c>
      <c r="CO391">
        <v>0</v>
      </c>
      <c r="CP391">
        <v>83</v>
      </c>
      <c r="CQ391">
        <v>0</v>
      </c>
      <c r="CR391">
        <v>1</v>
      </c>
      <c r="CS391">
        <v>11</v>
      </c>
      <c r="CY391" s="34"/>
    </row>
    <row r="392" spans="1:103" x14ac:dyDescent="0.25">
      <c r="A392">
        <v>391</v>
      </c>
      <c r="B392">
        <v>24</v>
      </c>
      <c r="C392" s="25" t="s">
        <v>247</v>
      </c>
      <c r="D392" s="12">
        <v>16.899999999999999</v>
      </c>
      <c r="E392" s="14">
        <v>3</v>
      </c>
      <c r="F392" s="7">
        <f t="shared" si="95"/>
        <v>5.6333333333333329</v>
      </c>
      <c r="G392" s="7">
        <f t="shared" si="91"/>
        <v>13.899999999999999</v>
      </c>
      <c r="H392" s="16">
        <f t="shared" si="92"/>
        <v>19.899999999999999</v>
      </c>
      <c r="I392" s="11">
        <f t="shared" ref="I392:I455" si="96">IFERROR(F392/SQRT(F392^2+U392), "X")</f>
        <v>0.24805751063781942</v>
      </c>
      <c r="J392" s="33">
        <f t="shared" ref="J392:J455" si="97">IFERROR(SQRT((1-I392^2)/U392), "X")</f>
        <v>4.4033877628015285E-2</v>
      </c>
      <c r="K392" s="33">
        <f t="shared" ref="K392:K455" si="98">IFERROR(1/J392, "X")</f>
        <v>22.709787415219115</v>
      </c>
      <c r="L392" s="8">
        <v>1</v>
      </c>
      <c r="M392" s="9">
        <v>0</v>
      </c>
      <c r="N392" s="8">
        <v>0</v>
      </c>
      <c r="O392" s="9">
        <v>0</v>
      </c>
      <c r="P392" s="9">
        <v>1</v>
      </c>
      <c r="Q392" s="9">
        <v>0</v>
      </c>
      <c r="R392" s="9">
        <v>0</v>
      </c>
      <c r="S392" s="8">
        <v>493</v>
      </c>
      <c r="T392" s="9">
        <v>8</v>
      </c>
      <c r="U392" s="9">
        <f t="shared" si="93"/>
        <v>484</v>
      </c>
      <c r="V392" s="9">
        <f t="shared" si="94"/>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9"/>
        <v>0.127</v>
      </c>
      <c r="AO392" s="42">
        <v>0.16</v>
      </c>
      <c r="AP392" s="18">
        <v>0.84</v>
      </c>
      <c r="AQ392">
        <v>0</v>
      </c>
      <c r="AR392" s="40">
        <v>1</v>
      </c>
      <c r="AS392" t="s">
        <v>98</v>
      </c>
      <c r="AT392" s="40" t="s">
        <v>98</v>
      </c>
      <c r="AU392">
        <v>0</v>
      </c>
      <c r="AV392" s="18">
        <v>1</v>
      </c>
      <c r="AW392">
        <f t="shared" si="90"/>
        <v>0.499</v>
      </c>
      <c r="AX392" s="18">
        <v>0.501</v>
      </c>
      <c r="AY392" s="18" t="s">
        <v>20</v>
      </c>
      <c r="AZ392">
        <v>0</v>
      </c>
      <c r="BA392">
        <v>0</v>
      </c>
      <c r="BB392">
        <v>0</v>
      </c>
      <c r="BC392">
        <v>0</v>
      </c>
      <c r="BD392">
        <v>0</v>
      </c>
      <c r="BE392">
        <v>1</v>
      </c>
      <c r="BF392" s="18">
        <v>0</v>
      </c>
      <c r="BG392">
        <v>0</v>
      </c>
      <c r="BH392">
        <v>1</v>
      </c>
      <c r="BI392" s="18">
        <v>0</v>
      </c>
      <c r="BJ392">
        <v>787</v>
      </c>
      <c r="BK392">
        <v>29</v>
      </c>
      <c r="BL392" s="25">
        <v>32.451999999999998</v>
      </c>
      <c r="BM392">
        <v>0</v>
      </c>
      <c r="BN392">
        <v>0</v>
      </c>
      <c r="BO392">
        <v>0</v>
      </c>
      <c r="BP392">
        <v>0</v>
      </c>
      <c r="BQ392">
        <v>0</v>
      </c>
      <c r="BR392">
        <v>0</v>
      </c>
      <c r="BS392">
        <v>0</v>
      </c>
      <c r="BT392" s="18">
        <v>1</v>
      </c>
      <c r="BU392">
        <v>0</v>
      </c>
      <c r="BV392">
        <v>1</v>
      </c>
      <c r="BW392">
        <v>0</v>
      </c>
      <c r="BX392" s="18">
        <v>0</v>
      </c>
      <c r="BY392">
        <v>1</v>
      </c>
      <c r="BZ392">
        <v>0</v>
      </c>
      <c r="CA392">
        <v>0</v>
      </c>
      <c r="CB392">
        <v>0</v>
      </c>
      <c r="CC392" s="18">
        <v>0</v>
      </c>
      <c r="CD392">
        <v>0</v>
      </c>
      <c r="CE392">
        <v>0</v>
      </c>
      <c r="CF392">
        <v>1</v>
      </c>
      <c r="CG392">
        <v>1</v>
      </c>
      <c r="CH392">
        <v>0</v>
      </c>
      <c r="CI392">
        <v>0</v>
      </c>
      <c r="CJ392">
        <v>0</v>
      </c>
      <c r="CK392">
        <v>0</v>
      </c>
      <c r="CL392">
        <v>0</v>
      </c>
      <c r="CM392">
        <v>1</v>
      </c>
      <c r="CN392" s="18">
        <v>1</v>
      </c>
      <c r="CO392">
        <v>0</v>
      </c>
      <c r="CP392">
        <v>83</v>
      </c>
      <c r="CQ392">
        <v>0</v>
      </c>
      <c r="CR392">
        <v>1</v>
      </c>
      <c r="CS392">
        <v>11</v>
      </c>
      <c r="CY392" s="34"/>
    </row>
    <row r="393" spans="1:103" s="51" customFormat="1" x14ac:dyDescent="0.25">
      <c r="A393" s="51">
        <v>392</v>
      </c>
      <c r="B393" s="51">
        <v>24</v>
      </c>
      <c r="C393" s="52" t="s">
        <v>247</v>
      </c>
      <c r="D393" s="53">
        <v>17.600000000000001</v>
      </c>
      <c r="E393" s="54">
        <v>1</v>
      </c>
      <c r="F393" s="55">
        <f t="shared" si="95"/>
        <v>17.600000000000001</v>
      </c>
      <c r="G393" s="55">
        <f t="shared" si="91"/>
        <v>16.600000000000001</v>
      </c>
      <c r="H393" s="56">
        <f t="shared" si="92"/>
        <v>18.600000000000001</v>
      </c>
      <c r="I393" s="11">
        <f t="shared" si="96"/>
        <v>0.5074849643669247</v>
      </c>
      <c r="J393" s="33">
        <f t="shared" si="97"/>
        <v>2.8834372975393447E-2</v>
      </c>
      <c r="K393" s="33">
        <f t="shared" si="98"/>
        <v>34.680830439884218</v>
      </c>
      <c r="L393" s="59">
        <v>1</v>
      </c>
      <c r="M393" s="60">
        <v>0</v>
      </c>
      <c r="N393" s="59">
        <v>0</v>
      </c>
      <c r="O393" s="60">
        <v>0</v>
      </c>
      <c r="P393" s="60">
        <v>1</v>
      </c>
      <c r="Q393" s="60">
        <v>0</v>
      </c>
      <c r="R393" s="60">
        <v>0</v>
      </c>
      <c r="S393" s="59">
        <v>903</v>
      </c>
      <c r="T393" s="60">
        <v>9</v>
      </c>
      <c r="U393" s="60">
        <f t="shared" si="93"/>
        <v>893</v>
      </c>
      <c r="V393" s="60">
        <f t="shared" si="94"/>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9"/>
        <v>0.127</v>
      </c>
      <c r="AO393" s="64">
        <v>0.16</v>
      </c>
      <c r="AP393" s="65">
        <v>0.84</v>
      </c>
      <c r="AQ393" s="51">
        <v>0</v>
      </c>
      <c r="AR393" s="66">
        <v>1</v>
      </c>
      <c r="AS393" s="51" t="s">
        <v>98</v>
      </c>
      <c r="AT393" s="66" t="s">
        <v>98</v>
      </c>
      <c r="AU393">
        <v>0</v>
      </c>
      <c r="AV393" s="65">
        <v>1</v>
      </c>
      <c r="AW393" s="51">
        <f t="shared" si="90"/>
        <v>0.499</v>
      </c>
      <c r="AX393" s="65">
        <v>0.501</v>
      </c>
      <c r="AY393" s="65" t="s">
        <v>20</v>
      </c>
      <c r="AZ393">
        <v>0</v>
      </c>
      <c r="BA393">
        <v>0</v>
      </c>
      <c r="BB393">
        <v>0</v>
      </c>
      <c r="BC393">
        <v>0</v>
      </c>
      <c r="BD393">
        <v>0</v>
      </c>
      <c r="BE393">
        <v>1</v>
      </c>
      <c r="BF393" s="65">
        <v>0</v>
      </c>
      <c r="BG393">
        <v>0</v>
      </c>
      <c r="BH393">
        <v>1</v>
      </c>
      <c r="BI393" s="65">
        <v>0</v>
      </c>
      <c r="BJ393">
        <v>787</v>
      </c>
      <c r="BK393">
        <v>29</v>
      </c>
      <c r="BL393" s="52">
        <v>32.451999999999998</v>
      </c>
      <c r="BM393" s="51">
        <v>0</v>
      </c>
      <c r="BN393" s="51">
        <v>0</v>
      </c>
      <c r="BO393" s="51">
        <v>0</v>
      </c>
      <c r="BP393" s="51">
        <v>0</v>
      </c>
      <c r="BQ393" s="51">
        <v>0</v>
      </c>
      <c r="BR393" s="51">
        <v>0</v>
      </c>
      <c r="BS393" s="51">
        <v>0</v>
      </c>
      <c r="BT393" s="65">
        <v>1</v>
      </c>
      <c r="BU393" s="51">
        <v>0</v>
      </c>
      <c r="BV393" s="51">
        <v>1</v>
      </c>
      <c r="BW393" s="51">
        <v>0</v>
      </c>
      <c r="BX393" s="65">
        <v>0</v>
      </c>
      <c r="BY393" s="51">
        <v>0</v>
      </c>
      <c r="BZ393" s="51">
        <v>0</v>
      </c>
      <c r="CA393" s="51">
        <v>1</v>
      </c>
      <c r="CB393" s="51">
        <v>0</v>
      </c>
      <c r="CC393" s="65">
        <v>0</v>
      </c>
      <c r="CD393" s="51">
        <v>0</v>
      </c>
      <c r="CE393" s="51">
        <v>0</v>
      </c>
      <c r="CF393" s="51">
        <v>1</v>
      </c>
      <c r="CG393" s="51">
        <v>1</v>
      </c>
      <c r="CH393" s="51">
        <v>0</v>
      </c>
      <c r="CI393" s="51">
        <v>0</v>
      </c>
      <c r="CJ393" s="51">
        <v>0</v>
      </c>
      <c r="CK393" s="51">
        <v>0</v>
      </c>
      <c r="CL393" s="51">
        <v>0</v>
      </c>
      <c r="CM393" s="51">
        <v>1</v>
      </c>
      <c r="CN393" s="65">
        <v>1</v>
      </c>
      <c r="CO393">
        <v>0</v>
      </c>
      <c r="CP393">
        <v>83</v>
      </c>
      <c r="CQ393">
        <v>0</v>
      </c>
      <c r="CR393">
        <v>1</v>
      </c>
      <c r="CS393">
        <v>11</v>
      </c>
      <c r="CT393" s="67"/>
      <c r="CY393" s="67"/>
    </row>
    <row r="394" spans="1:103" x14ac:dyDescent="0.25">
      <c r="A394">
        <v>393</v>
      </c>
      <c r="B394">
        <v>25</v>
      </c>
      <c r="C394" s="25" t="s">
        <v>260</v>
      </c>
      <c r="D394" s="12">
        <v>8.61</v>
      </c>
      <c r="E394" s="14">
        <v>9.5899999999999999E-2</v>
      </c>
      <c r="F394" s="7">
        <f t="shared" si="95"/>
        <v>89.78102189781022</v>
      </c>
      <c r="G394" s="7">
        <f t="shared" si="91"/>
        <v>8.5140999999999991</v>
      </c>
      <c r="H394" s="16">
        <f t="shared" si="92"/>
        <v>8.7058999999999997</v>
      </c>
      <c r="I394" s="11">
        <f t="shared" si="96"/>
        <v>0.35823210569483238</v>
      </c>
      <c r="J394" s="33">
        <f t="shared" si="97"/>
        <v>3.9900649170887832E-3</v>
      </c>
      <c r="K394" s="33">
        <f t="shared" si="98"/>
        <v>250.62248880141439</v>
      </c>
      <c r="L394" s="8">
        <v>1</v>
      </c>
      <c r="M394" s="9">
        <v>0</v>
      </c>
      <c r="N394" s="8">
        <v>0</v>
      </c>
      <c r="O394" s="9">
        <v>0</v>
      </c>
      <c r="P394" s="9">
        <v>0</v>
      </c>
      <c r="Q394" s="9">
        <v>1</v>
      </c>
      <c r="R394" s="9">
        <v>0</v>
      </c>
      <c r="S394" s="8">
        <v>54759</v>
      </c>
      <c r="T394" s="9">
        <v>7</v>
      </c>
      <c r="U394" s="9">
        <f t="shared" si="93"/>
        <v>54751</v>
      </c>
      <c r="V394" s="9">
        <f t="shared" si="94"/>
        <v>4</v>
      </c>
      <c r="W394" s="7">
        <v>8.5079999999999991</v>
      </c>
      <c r="X394" s="7">
        <f t="shared" ref="X394:X409" si="99">BL394-W394-6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90"/>
        <v>0.66700000000000004</v>
      </c>
      <c r="AX394" s="18">
        <v>0.33300000000000002</v>
      </c>
      <c r="AY394" s="18" t="s">
        <v>27</v>
      </c>
      <c r="AZ394">
        <v>0</v>
      </c>
      <c r="BA394">
        <v>0</v>
      </c>
      <c r="BB394">
        <v>0</v>
      </c>
      <c r="BC394">
        <v>0</v>
      </c>
      <c r="BD394">
        <v>0</v>
      </c>
      <c r="BE394">
        <v>1</v>
      </c>
      <c r="BF394" s="18">
        <v>0</v>
      </c>
      <c r="BG394">
        <v>0</v>
      </c>
      <c r="BH394">
        <v>1</v>
      </c>
      <c r="BI394" s="18">
        <v>0</v>
      </c>
      <c r="BJ394">
        <v>1523</v>
      </c>
      <c r="BK394">
        <v>34</v>
      </c>
      <c r="BL394" s="25">
        <v>38.226999999999997</v>
      </c>
      <c r="BM394">
        <v>1</v>
      </c>
      <c r="BN394">
        <v>0</v>
      </c>
      <c r="BO394">
        <v>0</v>
      </c>
      <c r="BP394">
        <v>0</v>
      </c>
      <c r="BQ394">
        <v>0</v>
      </c>
      <c r="BR394">
        <v>0</v>
      </c>
      <c r="BS394">
        <v>0</v>
      </c>
      <c r="BT394" s="18">
        <v>0</v>
      </c>
      <c r="BU394">
        <v>0</v>
      </c>
      <c r="BV394">
        <v>0</v>
      </c>
      <c r="BW394">
        <v>1</v>
      </c>
      <c r="BX394" s="18">
        <v>0</v>
      </c>
      <c r="BY394">
        <v>0</v>
      </c>
      <c r="BZ394">
        <v>0</v>
      </c>
      <c r="CA394">
        <v>0</v>
      </c>
      <c r="CB394">
        <v>0</v>
      </c>
      <c r="CC394" s="18">
        <v>0</v>
      </c>
      <c r="CD394">
        <v>1</v>
      </c>
      <c r="CE394">
        <v>1</v>
      </c>
      <c r="CF394">
        <v>0</v>
      </c>
      <c r="CG394">
        <v>0</v>
      </c>
      <c r="CH394">
        <v>1</v>
      </c>
      <c r="CI394">
        <v>0</v>
      </c>
      <c r="CJ394">
        <v>0</v>
      </c>
      <c r="CK394">
        <v>0</v>
      </c>
      <c r="CL394">
        <v>0</v>
      </c>
      <c r="CM394">
        <v>1</v>
      </c>
      <c r="CN394" s="18">
        <v>0</v>
      </c>
      <c r="CO394">
        <v>0.14599999999999999</v>
      </c>
      <c r="CP394">
        <v>39</v>
      </c>
      <c r="CQ394">
        <v>1</v>
      </c>
      <c r="CR394">
        <v>0</v>
      </c>
      <c r="CS394">
        <v>20</v>
      </c>
      <c r="CY394" s="34"/>
    </row>
    <row r="395" spans="1:103" x14ac:dyDescent="0.25">
      <c r="A395">
        <v>394</v>
      </c>
      <c r="B395">
        <v>25</v>
      </c>
      <c r="C395" s="25" t="s">
        <v>260</v>
      </c>
      <c r="D395" s="12">
        <v>7.11</v>
      </c>
      <c r="E395" s="14">
        <v>2.7</v>
      </c>
      <c r="F395" s="7">
        <f t="shared" si="95"/>
        <v>2.6333333333333333</v>
      </c>
      <c r="G395" s="7">
        <f t="shared" si="91"/>
        <v>4.41</v>
      </c>
      <c r="H395" s="16">
        <f t="shared" si="92"/>
        <v>9.81</v>
      </c>
      <c r="I395" s="11">
        <f t="shared" si="96"/>
        <v>1.1253362473406978E-2</v>
      </c>
      <c r="J395" s="33">
        <f t="shared" si="97"/>
        <v>4.2734287873697381E-3</v>
      </c>
      <c r="K395" s="33">
        <f t="shared" si="98"/>
        <v>234.00413339179383</v>
      </c>
      <c r="L395" s="8">
        <v>0</v>
      </c>
      <c r="M395" s="9">
        <v>1</v>
      </c>
      <c r="N395" s="8">
        <v>0</v>
      </c>
      <c r="O395" s="9">
        <v>0</v>
      </c>
      <c r="P395" s="9">
        <v>0</v>
      </c>
      <c r="Q395" s="9">
        <v>1</v>
      </c>
      <c r="R395" s="9">
        <v>0</v>
      </c>
      <c r="S395" s="8">
        <v>54759</v>
      </c>
      <c r="T395" s="9">
        <v>7</v>
      </c>
      <c r="U395" s="9">
        <f t="shared" si="93"/>
        <v>54751</v>
      </c>
      <c r="V395" s="9">
        <f t="shared" si="94"/>
        <v>4</v>
      </c>
      <c r="W395" s="7">
        <v>8.5079999999999991</v>
      </c>
      <c r="X395" s="7">
        <f t="shared" si="99"/>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90"/>
        <v>0.66700000000000004</v>
      </c>
      <c r="AX395" s="18">
        <v>0.33300000000000002</v>
      </c>
      <c r="AY395" s="18" t="s">
        <v>27</v>
      </c>
      <c r="AZ395">
        <v>0</v>
      </c>
      <c r="BA395">
        <v>0</v>
      </c>
      <c r="BB395">
        <v>0</v>
      </c>
      <c r="BC395">
        <v>0</v>
      </c>
      <c r="BD395">
        <v>0</v>
      </c>
      <c r="BE395">
        <v>1</v>
      </c>
      <c r="BF395" s="18">
        <v>0</v>
      </c>
      <c r="BG395">
        <v>0</v>
      </c>
      <c r="BH395">
        <v>1</v>
      </c>
      <c r="BI395" s="18">
        <v>0</v>
      </c>
      <c r="BJ395">
        <v>1523</v>
      </c>
      <c r="BK395">
        <v>34</v>
      </c>
      <c r="BL395" s="25">
        <v>38.226999999999997</v>
      </c>
      <c r="BM395">
        <v>0</v>
      </c>
      <c r="BN395">
        <v>0</v>
      </c>
      <c r="BO395">
        <v>0</v>
      </c>
      <c r="BP395">
        <v>1</v>
      </c>
      <c r="BQ395">
        <v>0</v>
      </c>
      <c r="BR395">
        <v>0</v>
      </c>
      <c r="BS395">
        <v>0</v>
      </c>
      <c r="BT395" s="18">
        <v>0</v>
      </c>
      <c r="BU395">
        <v>0</v>
      </c>
      <c r="BV395">
        <v>0</v>
      </c>
      <c r="BW395">
        <v>1</v>
      </c>
      <c r="BX395" s="18">
        <v>0</v>
      </c>
      <c r="BY395">
        <v>0</v>
      </c>
      <c r="BZ395">
        <v>0</v>
      </c>
      <c r="CA395">
        <v>0</v>
      </c>
      <c r="CB395">
        <v>0</v>
      </c>
      <c r="CC395" s="18">
        <v>0</v>
      </c>
      <c r="CD395">
        <v>1</v>
      </c>
      <c r="CE395">
        <v>1</v>
      </c>
      <c r="CF395">
        <v>0</v>
      </c>
      <c r="CG395">
        <v>0</v>
      </c>
      <c r="CH395">
        <v>1</v>
      </c>
      <c r="CI395">
        <v>0</v>
      </c>
      <c r="CJ395">
        <v>0</v>
      </c>
      <c r="CK395">
        <v>0</v>
      </c>
      <c r="CL395">
        <v>0</v>
      </c>
      <c r="CM395">
        <v>1</v>
      </c>
      <c r="CN395" s="18">
        <v>0</v>
      </c>
      <c r="CO395">
        <v>0.14599999999999999</v>
      </c>
      <c r="CP395">
        <v>39</v>
      </c>
      <c r="CQ395">
        <v>1</v>
      </c>
      <c r="CR395">
        <v>0</v>
      </c>
      <c r="CS395">
        <v>20</v>
      </c>
      <c r="CY395" s="34"/>
    </row>
    <row r="396" spans="1:103" x14ac:dyDescent="0.25">
      <c r="A396">
        <v>395</v>
      </c>
      <c r="B396">
        <v>25</v>
      </c>
      <c r="C396" s="25" t="s">
        <v>260</v>
      </c>
      <c r="D396" s="12">
        <v>8.5299999999999994</v>
      </c>
      <c r="E396" s="14">
        <v>3.6</v>
      </c>
      <c r="F396" s="7">
        <f t="shared" si="95"/>
        <v>2.369444444444444</v>
      </c>
      <c r="G396" s="7">
        <f t="shared" si="91"/>
        <v>4.93</v>
      </c>
      <c r="H396" s="16">
        <f t="shared" si="92"/>
        <v>12.129999999999999</v>
      </c>
      <c r="I396" s="11">
        <f t="shared" si="96"/>
        <v>1.0125774162546355E-2</v>
      </c>
      <c r="J396" s="33">
        <f t="shared" si="97"/>
        <v>4.2734803030676297E-3</v>
      </c>
      <c r="K396" s="33">
        <f t="shared" si="98"/>
        <v>234.00131253259099</v>
      </c>
      <c r="L396" s="8">
        <v>0</v>
      </c>
      <c r="M396" s="9">
        <v>1</v>
      </c>
      <c r="N396" s="8">
        <v>0</v>
      </c>
      <c r="O396" s="9">
        <v>0</v>
      </c>
      <c r="P396" s="9">
        <v>0</v>
      </c>
      <c r="Q396" s="9">
        <v>1</v>
      </c>
      <c r="R396" s="9">
        <v>0</v>
      </c>
      <c r="S396" s="8">
        <v>54759</v>
      </c>
      <c r="T396" s="9">
        <v>7</v>
      </c>
      <c r="U396" s="9">
        <f t="shared" si="93"/>
        <v>54751</v>
      </c>
      <c r="V396" s="9">
        <f t="shared" si="94"/>
        <v>4</v>
      </c>
      <c r="W396" s="7">
        <v>8.5079999999999991</v>
      </c>
      <c r="X396" s="7">
        <f t="shared" si="99"/>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90"/>
        <v>0.66700000000000004</v>
      </c>
      <c r="AX396" s="18">
        <v>0.33300000000000002</v>
      </c>
      <c r="AY396" s="18" t="s">
        <v>27</v>
      </c>
      <c r="AZ396">
        <v>0</v>
      </c>
      <c r="BA396">
        <v>0</v>
      </c>
      <c r="BB396">
        <v>0</v>
      </c>
      <c r="BC396">
        <v>0</v>
      </c>
      <c r="BD396">
        <v>0</v>
      </c>
      <c r="BE396">
        <v>1</v>
      </c>
      <c r="BF396" s="18">
        <v>0</v>
      </c>
      <c r="BG396">
        <v>0</v>
      </c>
      <c r="BH396">
        <v>1</v>
      </c>
      <c r="BI396" s="18">
        <v>0</v>
      </c>
      <c r="BJ396">
        <v>1523</v>
      </c>
      <c r="BK396">
        <v>34</v>
      </c>
      <c r="BL396" s="25">
        <v>38.226999999999997</v>
      </c>
      <c r="BM396">
        <v>0</v>
      </c>
      <c r="BN396">
        <v>0</v>
      </c>
      <c r="BO396">
        <v>0</v>
      </c>
      <c r="BP396">
        <v>1</v>
      </c>
      <c r="BQ396">
        <v>0</v>
      </c>
      <c r="BR396">
        <v>0</v>
      </c>
      <c r="BS396">
        <v>0</v>
      </c>
      <c r="BT396" s="18">
        <v>0</v>
      </c>
      <c r="BU396">
        <v>0</v>
      </c>
      <c r="BV396">
        <v>0</v>
      </c>
      <c r="BW396">
        <v>1</v>
      </c>
      <c r="BX396" s="18">
        <v>0</v>
      </c>
      <c r="BY396">
        <v>0</v>
      </c>
      <c r="BZ396">
        <v>0</v>
      </c>
      <c r="CA396">
        <v>0</v>
      </c>
      <c r="CB396">
        <v>0</v>
      </c>
      <c r="CC396" s="18">
        <v>0</v>
      </c>
      <c r="CD396">
        <v>1</v>
      </c>
      <c r="CE396">
        <v>1</v>
      </c>
      <c r="CF396">
        <v>0</v>
      </c>
      <c r="CG396">
        <v>0</v>
      </c>
      <c r="CH396">
        <v>1</v>
      </c>
      <c r="CI396">
        <v>0</v>
      </c>
      <c r="CJ396">
        <v>0</v>
      </c>
      <c r="CK396">
        <v>0</v>
      </c>
      <c r="CL396">
        <v>0</v>
      </c>
      <c r="CM396">
        <v>1</v>
      </c>
      <c r="CN396" s="18">
        <v>0</v>
      </c>
      <c r="CO396">
        <v>0.14599999999999999</v>
      </c>
      <c r="CP396">
        <v>39</v>
      </c>
      <c r="CQ396">
        <v>1</v>
      </c>
      <c r="CR396">
        <v>0</v>
      </c>
      <c r="CS396">
        <v>20</v>
      </c>
      <c r="CY396" s="34"/>
    </row>
    <row r="397" spans="1:103" s="51" customFormat="1" x14ac:dyDescent="0.25">
      <c r="A397" s="51">
        <v>396</v>
      </c>
      <c r="B397" s="51">
        <v>25</v>
      </c>
      <c r="C397" s="52" t="s">
        <v>260</v>
      </c>
      <c r="D397" s="53">
        <v>4.4000000000000004</v>
      </c>
      <c r="E397" s="54">
        <v>0.28999999999999998</v>
      </c>
      <c r="F397" s="55">
        <f t="shared" si="95"/>
        <v>15.17241379310345</v>
      </c>
      <c r="G397" s="55">
        <f t="shared" si="91"/>
        <v>4.1100000000000003</v>
      </c>
      <c r="H397" s="56">
        <f t="shared" si="92"/>
        <v>4.6900000000000004</v>
      </c>
      <c r="I397" s="11">
        <f t="shared" si="96"/>
        <v>0.10967410775251542</v>
      </c>
      <c r="J397" s="33">
        <f t="shared" si="97"/>
        <v>7.2285207382339692E-3</v>
      </c>
      <c r="K397" s="33">
        <f t="shared" si="98"/>
        <v>138.34089106373847</v>
      </c>
      <c r="L397" s="59">
        <v>0</v>
      </c>
      <c r="M397" s="60">
        <v>1</v>
      </c>
      <c r="N397" s="59">
        <v>0</v>
      </c>
      <c r="O397" s="60">
        <v>0</v>
      </c>
      <c r="P397" s="60">
        <v>0</v>
      </c>
      <c r="Q397" s="60">
        <v>1</v>
      </c>
      <c r="R397" s="60">
        <v>0</v>
      </c>
      <c r="S397" s="59">
        <v>18912</v>
      </c>
      <c r="T397" s="60">
        <v>3</v>
      </c>
      <c r="U397" s="60">
        <f t="shared" si="93"/>
        <v>18908</v>
      </c>
      <c r="V397" s="60">
        <f t="shared" si="94"/>
        <v>4</v>
      </c>
      <c r="W397" s="55">
        <v>8.5079999999999991</v>
      </c>
      <c r="X397" s="55">
        <f t="shared" si="99"/>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90"/>
        <v>0.66700000000000004</v>
      </c>
      <c r="AX397" s="65">
        <v>0.33300000000000002</v>
      </c>
      <c r="AY397" s="65" t="s">
        <v>27</v>
      </c>
      <c r="AZ397">
        <v>0</v>
      </c>
      <c r="BA397">
        <v>0</v>
      </c>
      <c r="BB397">
        <v>0</v>
      </c>
      <c r="BC397">
        <v>0</v>
      </c>
      <c r="BD397">
        <v>0</v>
      </c>
      <c r="BE397">
        <v>1</v>
      </c>
      <c r="BF397" s="65">
        <v>0</v>
      </c>
      <c r="BG397">
        <v>0</v>
      </c>
      <c r="BH397">
        <v>1</v>
      </c>
      <c r="BI397" s="65">
        <v>0</v>
      </c>
      <c r="BJ397">
        <v>1523</v>
      </c>
      <c r="BK397">
        <v>34</v>
      </c>
      <c r="BL397" s="52">
        <v>38.226999999999997</v>
      </c>
      <c r="BM397" s="51">
        <v>0</v>
      </c>
      <c r="BN397" s="51">
        <v>0</v>
      </c>
      <c r="BO397" s="51">
        <v>0</v>
      </c>
      <c r="BP397" s="51">
        <v>1</v>
      </c>
      <c r="BQ397" s="51">
        <v>0</v>
      </c>
      <c r="BR397" s="51">
        <v>0</v>
      </c>
      <c r="BS397" s="51">
        <v>0</v>
      </c>
      <c r="BT397" s="65">
        <v>0</v>
      </c>
      <c r="BU397" s="51">
        <v>1</v>
      </c>
      <c r="BV397" s="51">
        <v>0</v>
      </c>
      <c r="BW397" s="51">
        <v>0</v>
      </c>
      <c r="BX397" s="65">
        <v>0</v>
      </c>
      <c r="BY397" s="51">
        <v>0</v>
      </c>
      <c r="BZ397" s="51">
        <v>0</v>
      </c>
      <c r="CA397" s="51">
        <v>0</v>
      </c>
      <c r="CB397" s="51">
        <v>0</v>
      </c>
      <c r="CC397" s="65">
        <v>0</v>
      </c>
      <c r="CD397" s="51">
        <v>1</v>
      </c>
      <c r="CE397" s="51">
        <v>0</v>
      </c>
      <c r="CF397" s="51">
        <v>0</v>
      </c>
      <c r="CG397" s="51">
        <v>0</v>
      </c>
      <c r="CH397" s="51">
        <v>0</v>
      </c>
      <c r="CI397" s="51">
        <v>0</v>
      </c>
      <c r="CJ397" s="51">
        <v>0</v>
      </c>
      <c r="CK397" s="51">
        <v>0</v>
      </c>
      <c r="CL397" s="51">
        <v>0</v>
      </c>
      <c r="CM397" s="51">
        <v>1</v>
      </c>
      <c r="CN397" s="65">
        <v>0</v>
      </c>
      <c r="CO397">
        <v>0.14599999999999999</v>
      </c>
      <c r="CP397">
        <v>39</v>
      </c>
      <c r="CQ397">
        <v>1</v>
      </c>
      <c r="CR397">
        <v>0</v>
      </c>
      <c r="CS397">
        <v>20</v>
      </c>
      <c r="CT397" s="67"/>
      <c r="CY397" s="67"/>
    </row>
    <row r="398" spans="1:103" x14ac:dyDescent="0.25">
      <c r="A398">
        <v>397</v>
      </c>
      <c r="B398">
        <v>26</v>
      </c>
      <c r="C398" s="25" t="s">
        <v>261</v>
      </c>
      <c r="D398" s="12">
        <v>14.5</v>
      </c>
      <c r="E398" s="14">
        <v>0.41699999999999998</v>
      </c>
      <c r="F398" s="7">
        <f t="shared" si="95"/>
        <v>34.772182254196643</v>
      </c>
      <c r="G398" s="7">
        <f t="shared" si="91"/>
        <v>14.083</v>
      </c>
      <c r="H398" s="16">
        <f t="shared" si="92"/>
        <v>14.917</v>
      </c>
      <c r="I398" s="11">
        <f t="shared" si="96"/>
        <v>7.755581398730077E-2</v>
      </c>
      <c r="J398" s="33">
        <f t="shared" si="97"/>
        <v>2.2303982367382355E-3</v>
      </c>
      <c r="K398" s="33">
        <f t="shared" si="98"/>
        <v>448.35042618326918</v>
      </c>
      <c r="L398" s="8">
        <v>0</v>
      </c>
      <c r="M398" s="9">
        <v>1</v>
      </c>
      <c r="N398" s="8">
        <v>0</v>
      </c>
      <c r="O398" s="9">
        <v>0</v>
      </c>
      <c r="P398" s="9">
        <v>0</v>
      </c>
      <c r="Q398" s="9">
        <v>1</v>
      </c>
      <c r="R398" s="9">
        <v>0</v>
      </c>
      <c r="S398" s="8">
        <v>199833</v>
      </c>
      <c r="T398" s="9">
        <v>23</v>
      </c>
      <c r="U398" s="9">
        <f t="shared" si="93"/>
        <v>199809</v>
      </c>
      <c r="V398" s="9">
        <f t="shared" si="94"/>
        <v>12</v>
      </c>
      <c r="W398" s="7">
        <v>7.2</v>
      </c>
      <c r="X398" s="7">
        <f t="shared" si="99"/>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v>0</v>
      </c>
      <c r="BF398" s="18">
        <v>0</v>
      </c>
      <c r="BG398">
        <v>0</v>
      </c>
      <c r="BH398">
        <v>1</v>
      </c>
      <c r="BI398" s="18">
        <v>0</v>
      </c>
      <c r="BJ398">
        <v>2017</v>
      </c>
      <c r="BK398">
        <v>440</v>
      </c>
      <c r="BL398" s="25">
        <v>41.5</v>
      </c>
      <c r="BM398">
        <v>0</v>
      </c>
      <c r="BN398">
        <v>0</v>
      </c>
      <c r="BO398">
        <v>1</v>
      </c>
      <c r="BP398">
        <v>0</v>
      </c>
      <c r="BQ398">
        <v>0</v>
      </c>
      <c r="BR398">
        <v>0</v>
      </c>
      <c r="BS398">
        <v>0</v>
      </c>
      <c r="BT398" s="18">
        <v>0</v>
      </c>
      <c r="BU398">
        <v>0</v>
      </c>
      <c r="BV398">
        <v>1</v>
      </c>
      <c r="BW398">
        <v>0</v>
      </c>
      <c r="BX398" s="18">
        <v>0</v>
      </c>
      <c r="BY398">
        <v>0</v>
      </c>
      <c r="BZ398">
        <v>0</v>
      </c>
      <c r="CA398">
        <v>0</v>
      </c>
      <c r="CB398">
        <v>0</v>
      </c>
      <c r="CC398" s="18">
        <v>0</v>
      </c>
      <c r="CD398">
        <v>1</v>
      </c>
      <c r="CE398">
        <v>1</v>
      </c>
      <c r="CF398">
        <v>0</v>
      </c>
      <c r="CG398">
        <v>0</v>
      </c>
      <c r="CH398">
        <v>0</v>
      </c>
      <c r="CI398">
        <v>0</v>
      </c>
      <c r="CJ398">
        <v>0</v>
      </c>
      <c r="CK398">
        <v>0</v>
      </c>
      <c r="CL398">
        <v>0</v>
      </c>
      <c r="CM398">
        <v>0</v>
      </c>
      <c r="CN398" s="18">
        <v>0</v>
      </c>
      <c r="CO398">
        <v>0.16400000000000001</v>
      </c>
      <c r="CP398">
        <v>127</v>
      </c>
      <c r="CQ398">
        <v>1</v>
      </c>
      <c r="CR398">
        <v>0</v>
      </c>
      <c r="CS398">
        <v>14</v>
      </c>
      <c r="CY398" s="34"/>
    </row>
    <row r="399" spans="1:103" x14ac:dyDescent="0.25">
      <c r="A399">
        <v>398</v>
      </c>
      <c r="B399">
        <v>26</v>
      </c>
      <c r="C399" s="25" t="s">
        <v>261</v>
      </c>
      <c r="D399" s="12">
        <v>15.1</v>
      </c>
      <c r="E399" s="14">
        <v>0.47299999999999998</v>
      </c>
      <c r="F399" s="7">
        <f t="shared" si="95"/>
        <v>31.923890063424949</v>
      </c>
      <c r="G399" s="7">
        <f t="shared" si="91"/>
        <v>14.626999999999999</v>
      </c>
      <c r="H399" s="16">
        <f t="shared" si="92"/>
        <v>15.573</v>
      </c>
      <c r="I399" s="11">
        <f t="shared" si="96"/>
        <v>7.1236656764881751E-2</v>
      </c>
      <c r="J399" s="33">
        <f t="shared" si="97"/>
        <v>2.2314528907145079E-3</v>
      </c>
      <c r="K399" s="33">
        <f t="shared" si="98"/>
        <v>448.13852183982317</v>
      </c>
      <c r="L399" s="8">
        <v>0</v>
      </c>
      <c r="M399" s="9">
        <v>1</v>
      </c>
      <c r="N399" s="8">
        <v>0</v>
      </c>
      <c r="O399" s="9">
        <v>0</v>
      </c>
      <c r="P399" s="9">
        <v>0</v>
      </c>
      <c r="Q399" s="9">
        <v>1</v>
      </c>
      <c r="R399" s="9">
        <v>0</v>
      </c>
      <c r="S399" s="8">
        <v>199833</v>
      </c>
      <c r="T399" s="9">
        <v>23</v>
      </c>
      <c r="U399" s="9">
        <f t="shared" si="93"/>
        <v>199809</v>
      </c>
      <c r="V399" s="9">
        <f t="shared" si="94"/>
        <v>12</v>
      </c>
      <c r="W399" s="7">
        <v>7.2</v>
      </c>
      <c r="X399" s="7">
        <f t="shared" si="99"/>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v>0</v>
      </c>
      <c r="BF399" s="18">
        <v>0</v>
      </c>
      <c r="BG399">
        <v>0</v>
      </c>
      <c r="BH399">
        <v>1</v>
      </c>
      <c r="BI399" s="18">
        <v>0</v>
      </c>
      <c r="BJ399">
        <v>2017</v>
      </c>
      <c r="BK399">
        <v>440</v>
      </c>
      <c r="BL399" s="25">
        <v>41.5</v>
      </c>
      <c r="BM399">
        <v>0</v>
      </c>
      <c r="BN399">
        <v>0</v>
      </c>
      <c r="BO399">
        <v>1</v>
      </c>
      <c r="BP399">
        <v>0</v>
      </c>
      <c r="BQ399">
        <v>0</v>
      </c>
      <c r="BR399">
        <v>0</v>
      </c>
      <c r="BS399">
        <v>0</v>
      </c>
      <c r="BT399" s="18">
        <v>0</v>
      </c>
      <c r="BU399">
        <v>0</v>
      </c>
      <c r="BV399">
        <v>1</v>
      </c>
      <c r="BW399">
        <v>0</v>
      </c>
      <c r="BX399" s="18">
        <v>0</v>
      </c>
      <c r="BY399">
        <v>0</v>
      </c>
      <c r="BZ399">
        <v>0</v>
      </c>
      <c r="CA399">
        <v>0</v>
      </c>
      <c r="CB399">
        <v>0</v>
      </c>
      <c r="CC399" s="18">
        <v>0</v>
      </c>
      <c r="CD399">
        <v>1</v>
      </c>
      <c r="CE399">
        <v>1</v>
      </c>
      <c r="CF399">
        <v>0</v>
      </c>
      <c r="CG399">
        <v>0</v>
      </c>
      <c r="CH399">
        <v>0</v>
      </c>
      <c r="CI399">
        <v>0</v>
      </c>
      <c r="CJ399">
        <v>0</v>
      </c>
      <c r="CK399">
        <v>0</v>
      </c>
      <c r="CL399">
        <v>0</v>
      </c>
      <c r="CM399">
        <v>0</v>
      </c>
      <c r="CN399" s="18">
        <v>0</v>
      </c>
      <c r="CO399">
        <v>0.16400000000000001</v>
      </c>
      <c r="CP399">
        <v>127</v>
      </c>
      <c r="CQ399">
        <v>1</v>
      </c>
      <c r="CR399">
        <v>0</v>
      </c>
      <c r="CS399">
        <v>14</v>
      </c>
      <c r="CY399" s="34"/>
    </row>
    <row r="400" spans="1:103" x14ac:dyDescent="0.25">
      <c r="A400">
        <v>399</v>
      </c>
      <c r="B400">
        <v>26</v>
      </c>
      <c r="C400" s="25" t="s">
        <v>261</v>
      </c>
      <c r="D400" s="12">
        <v>14.9</v>
      </c>
      <c r="E400" s="14">
        <v>0.54700000000000004</v>
      </c>
      <c r="F400" s="7">
        <f t="shared" si="95"/>
        <v>27.239488117001827</v>
      </c>
      <c r="G400" s="7">
        <f t="shared" si="91"/>
        <v>14.353</v>
      </c>
      <c r="H400" s="16">
        <f t="shared" si="92"/>
        <v>15.447000000000001</v>
      </c>
      <c r="I400" s="11">
        <f t="shared" si="96"/>
        <v>6.0825619003027735E-2</v>
      </c>
      <c r="J400" s="33">
        <f t="shared" si="97"/>
        <v>2.2329942009836358E-3</v>
      </c>
      <c r="K400" s="33">
        <f t="shared" si="98"/>
        <v>447.82919703038152</v>
      </c>
      <c r="L400" s="8">
        <v>0</v>
      </c>
      <c r="M400" s="9">
        <v>1</v>
      </c>
      <c r="N400" s="8">
        <v>0</v>
      </c>
      <c r="O400" s="9">
        <v>0</v>
      </c>
      <c r="P400" s="9">
        <v>0</v>
      </c>
      <c r="Q400" s="9">
        <v>1</v>
      </c>
      <c r="R400" s="9">
        <v>0</v>
      </c>
      <c r="S400" s="8">
        <v>199833</v>
      </c>
      <c r="T400" s="9">
        <v>23</v>
      </c>
      <c r="U400" s="9">
        <f t="shared" si="93"/>
        <v>199809</v>
      </c>
      <c r="V400" s="9">
        <f t="shared" si="94"/>
        <v>12</v>
      </c>
      <c r="W400" s="7">
        <v>7.2</v>
      </c>
      <c r="X400" s="7">
        <f t="shared" si="99"/>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v>0</v>
      </c>
      <c r="BF400" s="18">
        <v>0</v>
      </c>
      <c r="BG400">
        <v>0</v>
      </c>
      <c r="BH400">
        <v>1</v>
      </c>
      <c r="BI400" s="18">
        <v>0</v>
      </c>
      <c r="BJ400">
        <v>2017</v>
      </c>
      <c r="BK400">
        <v>440</v>
      </c>
      <c r="BL400" s="25">
        <v>41.5</v>
      </c>
      <c r="BM400">
        <v>0</v>
      </c>
      <c r="BN400">
        <v>0</v>
      </c>
      <c r="BO400">
        <v>1</v>
      </c>
      <c r="BP400">
        <v>0</v>
      </c>
      <c r="BQ400">
        <v>0</v>
      </c>
      <c r="BR400">
        <v>0</v>
      </c>
      <c r="BS400">
        <v>0</v>
      </c>
      <c r="BT400" s="18">
        <v>0</v>
      </c>
      <c r="BU400">
        <v>0</v>
      </c>
      <c r="BV400">
        <v>1</v>
      </c>
      <c r="BW400">
        <v>0</v>
      </c>
      <c r="BX400" s="18">
        <v>0</v>
      </c>
      <c r="BY400">
        <v>0</v>
      </c>
      <c r="BZ400">
        <v>0</v>
      </c>
      <c r="CA400">
        <v>0</v>
      </c>
      <c r="CB400">
        <v>0</v>
      </c>
      <c r="CC400" s="18">
        <v>0</v>
      </c>
      <c r="CD400">
        <v>1</v>
      </c>
      <c r="CE400">
        <v>1</v>
      </c>
      <c r="CF400">
        <v>0</v>
      </c>
      <c r="CG400">
        <v>0</v>
      </c>
      <c r="CH400">
        <v>0</v>
      </c>
      <c r="CI400">
        <v>0</v>
      </c>
      <c r="CJ400">
        <v>0</v>
      </c>
      <c r="CK400">
        <v>0</v>
      </c>
      <c r="CL400">
        <v>0</v>
      </c>
      <c r="CM400">
        <v>0</v>
      </c>
      <c r="CN400" s="18">
        <v>0</v>
      </c>
      <c r="CO400">
        <v>0.16400000000000001</v>
      </c>
      <c r="CP400">
        <v>127</v>
      </c>
      <c r="CQ400">
        <v>1</v>
      </c>
      <c r="CR400">
        <v>0</v>
      </c>
      <c r="CS400">
        <v>14</v>
      </c>
      <c r="CY400" s="34"/>
    </row>
    <row r="401" spans="1:103" x14ac:dyDescent="0.25">
      <c r="A401">
        <v>400</v>
      </c>
      <c r="B401">
        <v>26</v>
      </c>
      <c r="C401" s="25" t="s">
        <v>261</v>
      </c>
      <c r="D401" s="12">
        <v>16.100000000000001</v>
      </c>
      <c r="E401" s="14">
        <v>0.625</v>
      </c>
      <c r="F401" s="7">
        <f t="shared" si="95"/>
        <v>25.76</v>
      </c>
      <c r="G401" s="7">
        <f t="shared" si="91"/>
        <v>15.475000000000001</v>
      </c>
      <c r="H401" s="16">
        <f t="shared" si="92"/>
        <v>16.725000000000001</v>
      </c>
      <c r="I401" s="11">
        <f t="shared" si="96"/>
        <v>5.7533178976614648E-2</v>
      </c>
      <c r="J401" s="33">
        <f t="shared" si="97"/>
        <v>2.2334308608934253E-3</v>
      </c>
      <c r="K401" s="33">
        <f t="shared" si="98"/>
        <v>447.7416415746921</v>
      </c>
      <c r="L401" s="8">
        <v>0</v>
      </c>
      <c r="M401" s="9">
        <v>1</v>
      </c>
      <c r="N401" s="8">
        <v>0</v>
      </c>
      <c r="O401" s="9">
        <v>0</v>
      </c>
      <c r="P401" s="9">
        <v>0</v>
      </c>
      <c r="Q401" s="9">
        <v>1</v>
      </c>
      <c r="R401" s="9">
        <v>0</v>
      </c>
      <c r="S401" s="8">
        <v>199833</v>
      </c>
      <c r="T401" s="9">
        <v>23</v>
      </c>
      <c r="U401" s="9">
        <f t="shared" si="93"/>
        <v>199809</v>
      </c>
      <c r="V401" s="9">
        <f t="shared" si="94"/>
        <v>12</v>
      </c>
      <c r="W401" s="7">
        <v>7.2</v>
      </c>
      <c r="X401" s="7">
        <f t="shared" si="99"/>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v>0</v>
      </c>
      <c r="BF401" s="18">
        <v>0</v>
      </c>
      <c r="BG401">
        <v>0</v>
      </c>
      <c r="BH401">
        <v>1</v>
      </c>
      <c r="BI401" s="18">
        <v>0</v>
      </c>
      <c r="BJ401">
        <v>2017</v>
      </c>
      <c r="BK401">
        <v>440</v>
      </c>
      <c r="BL401" s="25">
        <v>41.5</v>
      </c>
      <c r="BM401">
        <v>0</v>
      </c>
      <c r="BN401">
        <v>0</v>
      </c>
      <c r="BO401">
        <v>1</v>
      </c>
      <c r="BP401">
        <v>0</v>
      </c>
      <c r="BQ401">
        <v>0</v>
      </c>
      <c r="BR401">
        <v>0</v>
      </c>
      <c r="BS401">
        <v>0</v>
      </c>
      <c r="BT401" s="18">
        <v>0</v>
      </c>
      <c r="BU401">
        <v>0</v>
      </c>
      <c r="BV401">
        <v>1</v>
      </c>
      <c r="BW401">
        <v>0</v>
      </c>
      <c r="BX401" s="18">
        <v>0</v>
      </c>
      <c r="BY401">
        <v>0</v>
      </c>
      <c r="BZ401">
        <v>0</v>
      </c>
      <c r="CA401">
        <v>0</v>
      </c>
      <c r="CB401">
        <v>0</v>
      </c>
      <c r="CC401" s="18">
        <v>0</v>
      </c>
      <c r="CD401">
        <v>1</v>
      </c>
      <c r="CE401">
        <v>1</v>
      </c>
      <c r="CF401">
        <v>0</v>
      </c>
      <c r="CG401">
        <v>0</v>
      </c>
      <c r="CH401">
        <v>0</v>
      </c>
      <c r="CI401">
        <v>0</v>
      </c>
      <c r="CJ401">
        <v>0</v>
      </c>
      <c r="CK401">
        <v>0</v>
      </c>
      <c r="CL401">
        <v>0</v>
      </c>
      <c r="CM401">
        <v>0</v>
      </c>
      <c r="CN401" s="18">
        <v>0</v>
      </c>
      <c r="CO401">
        <v>0.16400000000000001</v>
      </c>
      <c r="CP401">
        <v>127</v>
      </c>
      <c r="CQ401">
        <v>1</v>
      </c>
      <c r="CR401">
        <v>0</v>
      </c>
      <c r="CS401">
        <v>14</v>
      </c>
      <c r="CY401" s="34"/>
    </row>
    <row r="402" spans="1:103" x14ac:dyDescent="0.25">
      <c r="A402">
        <v>401</v>
      </c>
      <c r="B402">
        <v>26</v>
      </c>
      <c r="C402" s="25" t="s">
        <v>261</v>
      </c>
      <c r="D402" s="12">
        <v>12</v>
      </c>
      <c r="E402" s="14">
        <v>0.64800000000000002</v>
      </c>
      <c r="F402" s="7">
        <f t="shared" si="95"/>
        <v>18.518518518518519</v>
      </c>
      <c r="G402" s="7">
        <f t="shared" si="91"/>
        <v>11.352</v>
      </c>
      <c r="H402" s="16">
        <f t="shared" si="92"/>
        <v>12.648</v>
      </c>
      <c r="I402" s="11">
        <f t="shared" si="96"/>
        <v>5.5153261715128153E-2</v>
      </c>
      <c r="J402" s="33">
        <f t="shared" si="97"/>
        <v>2.9782761326169198E-3</v>
      </c>
      <c r="K402" s="33">
        <f t="shared" si="98"/>
        <v>335.76470262390706</v>
      </c>
      <c r="L402" s="8">
        <v>0</v>
      </c>
      <c r="M402" s="9">
        <v>1</v>
      </c>
      <c r="N402" s="8">
        <v>0</v>
      </c>
      <c r="O402" s="9">
        <v>0</v>
      </c>
      <c r="P402" s="9">
        <v>0</v>
      </c>
      <c r="Q402" s="9">
        <v>1</v>
      </c>
      <c r="R402" s="9">
        <v>0</v>
      </c>
      <c r="S402" s="8">
        <v>112419</v>
      </c>
      <c r="T402" s="9">
        <v>23</v>
      </c>
      <c r="U402" s="9">
        <f t="shared" si="93"/>
        <v>112395</v>
      </c>
      <c r="V402" s="9">
        <f t="shared" si="94"/>
        <v>12</v>
      </c>
      <c r="W402" s="7">
        <v>7.2</v>
      </c>
      <c r="X402" s="7">
        <f t="shared" si="99"/>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v>0</v>
      </c>
      <c r="BF402" s="18">
        <v>0</v>
      </c>
      <c r="BG402">
        <v>0</v>
      </c>
      <c r="BH402">
        <v>1</v>
      </c>
      <c r="BI402" s="18">
        <v>0</v>
      </c>
      <c r="BJ402">
        <v>2017</v>
      </c>
      <c r="BK402">
        <v>440</v>
      </c>
      <c r="BL402" s="25">
        <v>41.5</v>
      </c>
      <c r="BM402">
        <v>0</v>
      </c>
      <c r="BN402">
        <v>0</v>
      </c>
      <c r="BO402">
        <v>1</v>
      </c>
      <c r="BP402">
        <v>0</v>
      </c>
      <c r="BQ402">
        <v>0</v>
      </c>
      <c r="BR402">
        <v>0</v>
      </c>
      <c r="BS402">
        <v>0</v>
      </c>
      <c r="BT402" s="18">
        <v>0</v>
      </c>
      <c r="BU402">
        <v>0</v>
      </c>
      <c r="BV402">
        <v>1</v>
      </c>
      <c r="BW402">
        <v>0</v>
      </c>
      <c r="BX402" s="18">
        <v>0</v>
      </c>
      <c r="BY402">
        <v>0</v>
      </c>
      <c r="BZ402">
        <v>0</v>
      </c>
      <c r="CA402">
        <v>0</v>
      </c>
      <c r="CB402">
        <v>0</v>
      </c>
      <c r="CC402" s="18">
        <v>0</v>
      </c>
      <c r="CD402">
        <v>1</v>
      </c>
      <c r="CE402">
        <v>1</v>
      </c>
      <c r="CF402">
        <v>0</v>
      </c>
      <c r="CG402">
        <v>0</v>
      </c>
      <c r="CH402">
        <v>0</v>
      </c>
      <c r="CI402">
        <v>0</v>
      </c>
      <c r="CJ402">
        <v>0</v>
      </c>
      <c r="CK402">
        <v>0</v>
      </c>
      <c r="CL402">
        <v>0</v>
      </c>
      <c r="CM402">
        <v>0</v>
      </c>
      <c r="CN402" s="18">
        <v>0</v>
      </c>
      <c r="CO402">
        <v>0.16400000000000001</v>
      </c>
      <c r="CP402">
        <v>127</v>
      </c>
      <c r="CQ402">
        <v>1</v>
      </c>
      <c r="CR402">
        <v>0</v>
      </c>
      <c r="CS402">
        <v>14</v>
      </c>
      <c r="CY402" s="34"/>
    </row>
    <row r="403" spans="1:103" x14ac:dyDescent="0.25">
      <c r="A403">
        <v>402</v>
      </c>
      <c r="B403">
        <v>26</v>
      </c>
      <c r="C403" s="25" t="s">
        <v>261</v>
      </c>
      <c r="D403" s="12">
        <v>12.8</v>
      </c>
      <c r="E403" s="14">
        <v>0.747</v>
      </c>
      <c r="F403" s="7">
        <f t="shared" si="95"/>
        <v>17.13520749665328</v>
      </c>
      <c r="G403" s="7">
        <f t="shared" si="91"/>
        <v>12.053000000000001</v>
      </c>
      <c r="H403" s="16">
        <f t="shared" si="92"/>
        <v>13.547000000000001</v>
      </c>
      <c r="I403" s="11">
        <f t="shared" si="96"/>
        <v>5.1044546129633404E-2</v>
      </c>
      <c r="J403" s="33">
        <f t="shared" si="97"/>
        <v>2.9789278092840748E-3</v>
      </c>
      <c r="K403" s="33">
        <f t="shared" si="98"/>
        <v>335.69125001398737</v>
      </c>
      <c r="L403" s="8">
        <v>0</v>
      </c>
      <c r="M403" s="9">
        <v>1</v>
      </c>
      <c r="N403" s="8">
        <v>0</v>
      </c>
      <c r="O403" s="9">
        <v>0</v>
      </c>
      <c r="P403" s="9">
        <v>0</v>
      </c>
      <c r="Q403" s="9">
        <v>1</v>
      </c>
      <c r="R403" s="9">
        <v>0</v>
      </c>
      <c r="S403" s="8">
        <v>112419</v>
      </c>
      <c r="T403" s="9">
        <v>23</v>
      </c>
      <c r="U403" s="9">
        <f t="shared" si="93"/>
        <v>112395</v>
      </c>
      <c r="V403" s="9">
        <f t="shared" si="94"/>
        <v>12</v>
      </c>
      <c r="W403" s="7">
        <v>7.2</v>
      </c>
      <c r="X403" s="7">
        <f t="shared" si="99"/>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v>0</v>
      </c>
      <c r="BF403" s="18">
        <v>0</v>
      </c>
      <c r="BG403">
        <v>0</v>
      </c>
      <c r="BH403">
        <v>1</v>
      </c>
      <c r="BI403" s="18">
        <v>0</v>
      </c>
      <c r="BJ403">
        <v>2017</v>
      </c>
      <c r="BK403">
        <v>440</v>
      </c>
      <c r="BL403" s="25">
        <v>41.5</v>
      </c>
      <c r="BM403">
        <v>0</v>
      </c>
      <c r="BN403">
        <v>0</v>
      </c>
      <c r="BO403">
        <v>1</v>
      </c>
      <c r="BP403">
        <v>0</v>
      </c>
      <c r="BQ403">
        <v>0</v>
      </c>
      <c r="BR403">
        <v>0</v>
      </c>
      <c r="BS403">
        <v>0</v>
      </c>
      <c r="BT403" s="18">
        <v>0</v>
      </c>
      <c r="BU403">
        <v>0</v>
      </c>
      <c r="BV403">
        <v>1</v>
      </c>
      <c r="BW403">
        <v>0</v>
      </c>
      <c r="BX403" s="18">
        <v>0</v>
      </c>
      <c r="BY403">
        <v>0</v>
      </c>
      <c r="BZ403">
        <v>0</v>
      </c>
      <c r="CA403">
        <v>0</v>
      </c>
      <c r="CB403">
        <v>0</v>
      </c>
      <c r="CC403" s="18">
        <v>0</v>
      </c>
      <c r="CD403">
        <v>1</v>
      </c>
      <c r="CE403">
        <v>1</v>
      </c>
      <c r="CF403">
        <v>0</v>
      </c>
      <c r="CG403">
        <v>0</v>
      </c>
      <c r="CH403">
        <v>0</v>
      </c>
      <c r="CI403">
        <v>0</v>
      </c>
      <c r="CJ403">
        <v>0</v>
      </c>
      <c r="CK403">
        <v>0</v>
      </c>
      <c r="CL403">
        <v>0</v>
      </c>
      <c r="CM403">
        <v>0</v>
      </c>
      <c r="CN403" s="18">
        <v>0</v>
      </c>
      <c r="CO403">
        <v>0.16400000000000001</v>
      </c>
      <c r="CP403">
        <v>127</v>
      </c>
      <c r="CQ403">
        <v>1</v>
      </c>
      <c r="CR403">
        <v>0</v>
      </c>
      <c r="CS403">
        <v>14</v>
      </c>
      <c r="CY403" s="34"/>
    </row>
    <row r="404" spans="1:103" x14ac:dyDescent="0.25">
      <c r="A404">
        <v>403</v>
      </c>
      <c r="B404">
        <v>26</v>
      </c>
      <c r="C404" s="25" t="s">
        <v>261</v>
      </c>
      <c r="D404" s="12">
        <v>16.7</v>
      </c>
      <c r="E404" s="14">
        <v>0.61</v>
      </c>
      <c r="F404" s="7">
        <f t="shared" si="95"/>
        <v>27.377049180327869</v>
      </c>
      <c r="G404" s="7">
        <f t="shared" si="91"/>
        <v>16.09</v>
      </c>
      <c r="H404" s="16">
        <f t="shared" si="92"/>
        <v>17.309999999999999</v>
      </c>
      <c r="I404" s="11">
        <f t="shared" si="96"/>
        <v>9.2214950598948575E-2</v>
      </c>
      <c r="J404" s="33">
        <f t="shared" si="97"/>
        <v>3.3683305308597985E-3</v>
      </c>
      <c r="K404" s="33">
        <f t="shared" si="98"/>
        <v>296.88297832954669</v>
      </c>
      <c r="L404" s="8">
        <v>0</v>
      </c>
      <c r="M404" s="9">
        <v>1</v>
      </c>
      <c r="N404" s="8">
        <v>0</v>
      </c>
      <c r="O404" s="9">
        <v>0</v>
      </c>
      <c r="P404" s="9">
        <v>0</v>
      </c>
      <c r="Q404" s="9">
        <v>1</v>
      </c>
      <c r="R404" s="9">
        <v>0</v>
      </c>
      <c r="S404" s="8">
        <v>87414</v>
      </c>
      <c r="T404" s="9">
        <v>23</v>
      </c>
      <c r="U404" s="9">
        <f t="shared" si="93"/>
        <v>87390</v>
      </c>
      <c r="V404" s="9">
        <f t="shared" si="94"/>
        <v>12</v>
      </c>
      <c r="W404" s="7">
        <v>7.2</v>
      </c>
      <c r="X404" s="7">
        <f t="shared" si="99"/>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v>0</v>
      </c>
      <c r="BF404" s="18">
        <v>0</v>
      </c>
      <c r="BG404">
        <v>0</v>
      </c>
      <c r="BH404">
        <v>1</v>
      </c>
      <c r="BI404" s="18">
        <v>0</v>
      </c>
      <c r="BJ404">
        <v>2017</v>
      </c>
      <c r="BK404">
        <v>440</v>
      </c>
      <c r="BL404" s="25">
        <v>41.5</v>
      </c>
      <c r="BM404">
        <v>0</v>
      </c>
      <c r="BN404">
        <v>0</v>
      </c>
      <c r="BO404">
        <v>1</v>
      </c>
      <c r="BP404">
        <v>0</v>
      </c>
      <c r="BQ404">
        <v>0</v>
      </c>
      <c r="BR404">
        <v>0</v>
      </c>
      <c r="BS404">
        <v>0</v>
      </c>
      <c r="BT404" s="18">
        <v>0</v>
      </c>
      <c r="BU404">
        <v>0</v>
      </c>
      <c r="BV404">
        <v>1</v>
      </c>
      <c r="BW404">
        <v>0</v>
      </c>
      <c r="BX404" s="18">
        <v>0</v>
      </c>
      <c r="BY404">
        <v>0</v>
      </c>
      <c r="BZ404">
        <v>0</v>
      </c>
      <c r="CA404">
        <v>0</v>
      </c>
      <c r="CB404">
        <v>0</v>
      </c>
      <c r="CC404" s="18">
        <v>0</v>
      </c>
      <c r="CD404">
        <v>1</v>
      </c>
      <c r="CE404">
        <v>1</v>
      </c>
      <c r="CF404">
        <v>0</v>
      </c>
      <c r="CG404">
        <v>0</v>
      </c>
      <c r="CH404">
        <v>0</v>
      </c>
      <c r="CI404">
        <v>0</v>
      </c>
      <c r="CJ404">
        <v>0</v>
      </c>
      <c r="CK404">
        <v>0</v>
      </c>
      <c r="CL404">
        <v>0</v>
      </c>
      <c r="CM404">
        <v>0</v>
      </c>
      <c r="CN404" s="18">
        <v>0</v>
      </c>
      <c r="CO404">
        <v>0.16400000000000001</v>
      </c>
      <c r="CP404">
        <v>127</v>
      </c>
      <c r="CQ404">
        <v>1</v>
      </c>
      <c r="CR404">
        <v>0</v>
      </c>
      <c r="CS404">
        <v>14</v>
      </c>
      <c r="CY404" s="34"/>
    </row>
    <row r="405" spans="1:103" x14ac:dyDescent="0.25">
      <c r="A405">
        <v>404</v>
      </c>
      <c r="B405">
        <v>26</v>
      </c>
      <c r="C405" s="25" t="s">
        <v>261</v>
      </c>
      <c r="D405" s="12">
        <v>16.399999999999999</v>
      </c>
      <c r="E405" s="14">
        <v>0.65200000000000002</v>
      </c>
      <c r="F405" s="7">
        <f t="shared" si="95"/>
        <v>25.153374233128833</v>
      </c>
      <c r="G405" s="7">
        <f t="shared" si="91"/>
        <v>15.747999999999999</v>
      </c>
      <c r="H405" s="16">
        <f t="shared" si="92"/>
        <v>17.052</v>
      </c>
      <c r="I405" s="11">
        <f t="shared" si="96"/>
        <v>8.4781076855170251E-2</v>
      </c>
      <c r="J405" s="33">
        <f t="shared" si="97"/>
        <v>3.3705647627787199E-3</v>
      </c>
      <c r="K405" s="33">
        <f t="shared" si="98"/>
        <v>296.68618477325805</v>
      </c>
      <c r="L405" s="8">
        <v>0</v>
      </c>
      <c r="M405" s="9">
        <v>1</v>
      </c>
      <c r="N405" s="8">
        <v>0</v>
      </c>
      <c r="O405" s="9">
        <v>0</v>
      </c>
      <c r="P405" s="9">
        <v>0</v>
      </c>
      <c r="Q405" s="9">
        <v>1</v>
      </c>
      <c r="R405" s="9">
        <v>0</v>
      </c>
      <c r="S405" s="8">
        <v>87414</v>
      </c>
      <c r="T405" s="9">
        <v>23</v>
      </c>
      <c r="U405" s="9">
        <f t="shared" si="93"/>
        <v>87390</v>
      </c>
      <c r="V405" s="9">
        <f t="shared" si="94"/>
        <v>12</v>
      </c>
      <c r="W405" s="7">
        <v>7.2</v>
      </c>
      <c r="X405" s="7">
        <f t="shared" si="99"/>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v>0</v>
      </c>
      <c r="BF405" s="18">
        <v>0</v>
      </c>
      <c r="BG405">
        <v>0</v>
      </c>
      <c r="BH405">
        <v>1</v>
      </c>
      <c r="BI405" s="18">
        <v>0</v>
      </c>
      <c r="BJ405">
        <v>2017</v>
      </c>
      <c r="BK405">
        <v>440</v>
      </c>
      <c r="BL405" s="25">
        <v>41.5</v>
      </c>
      <c r="BM405">
        <v>0</v>
      </c>
      <c r="BN405">
        <v>0</v>
      </c>
      <c r="BO405">
        <v>1</v>
      </c>
      <c r="BP405">
        <v>0</v>
      </c>
      <c r="BQ405">
        <v>0</v>
      </c>
      <c r="BR405">
        <v>0</v>
      </c>
      <c r="BS405">
        <v>0</v>
      </c>
      <c r="BT405" s="18">
        <v>0</v>
      </c>
      <c r="BU405">
        <v>0</v>
      </c>
      <c r="BV405">
        <v>1</v>
      </c>
      <c r="BW405">
        <v>0</v>
      </c>
      <c r="BX405" s="18">
        <v>0</v>
      </c>
      <c r="BY405">
        <v>0</v>
      </c>
      <c r="BZ405">
        <v>0</v>
      </c>
      <c r="CA405">
        <v>0</v>
      </c>
      <c r="CB405">
        <v>0</v>
      </c>
      <c r="CC405" s="18">
        <v>0</v>
      </c>
      <c r="CD405">
        <v>1</v>
      </c>
      <c r="CE405">
        <v>1</v>
      </c>
      <c r="CF405">
        <v>0</v>
      </c>
      <c r="CG405">
        <v>0</v>
      </c>
      <c r="CH405">
        <v>0</v>
      </c>
      <c r="CI405">
        <v>0</v>
      </c>
      <c r="CJ405">
        <v>0</v>
      </c>
      <c r="CK405">
        <v>0</v>
      </c>
      <c r="CL405">
        <v>0</v>
      </c>
      <c r="CM405">
        <v>0</v>
      </c>
      <c r="CN405" s="18">
        <v>0</v>
      </c>
      <c r="CO405">
        <v>0.16400000000000001</v>
      </c>
      <c r="CP405">
        <v>127</v>
      </c>
      <c r="CQ405">
        <v>1</v>
      </c>
      <c r="CR405">
        <v>0</v>
      </c>
      <c r="CS405">
        <v>14</v>
      </c>
      <c r="CY405" s="34"/>
    </row>
    <row r="406" spans="1:103" x14ac:dyDescent="0.25">
      <c r="A406">
        <v>405</v>
      </c>
      <c r="B406">
        <v>26</v>
      </c>
      <c r="C406" s="25" t="s">
        <v>261</v>
      </c>
      <c r="D406" s="12">
        <v>14.6</v>
      </c>
      <c r="E406" s="14">
        <v>0.60099999999999998</v>
      </c>
      <c r="F406" s="7">
        <f t="shared" si="95"/>
        <v>24.292845257903494</v>
      </c>
      <c r="G406" s="7">
        <f t="shared" si="91"/>
        <v>13.998999999999999</v>
      </c>
      <c r="H406" s="16">
        <f t="shared" si="92"/>
        <v>15.201000000000001</v>
      </c>
      <c r="I406" s="11">
        <f t="shared" si="96"/>
        <v>6.5918282922566435E-2</v>
      </c>
      <c r="J406" s="33">
        <f t="shared" si="97"/>
        <v>2.7134854819494815E-3</v>
      </c>
      <c r="K406" s="33">
        <f t="shared" si="98"/>
        <v>368.52970345784132</v>
      </c>
      <c r="L406" s="8">
        <v>0</v>
      </c>
      <c r="M406" s="9">
        <v>1</v>
      </c>
      <c r="N406" s="8">
        <v>0</v>
      </c>
      <c r="O406" s="9">
        <v>0</v>
      </c>
      <c r="P406" s="9">
        <v>0</v>
      </c>
      <c r="Q406" s="9">
        <v>1</v>
      </c>
      <c r="R406" s="9">
        <v>0</v>
      </c>
      <c r="S406" s="8">
        <v>135248</v>
      </c>
      <c r="T406" s="9">
        <v>23</v>
      </c>
      <c r="U406" s="9">
        <f t="shared" si="93"/>
        <v>135224</v>
      </c>
      <c r="V406" s="9">
        <f t="shared" si="94"/>
        <v>12</v>
      </c>
      <c r="W406" s="7">
        <v>7.2</v>
      </c>
      <c r="X406" s="7">
        <f t="shared" si="99"/>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v>0</v>
      </c>
      <c r="BF406" s="18">
        <v>0</v>
      </c>
      <c r="BG406">
        <v>0</v>
      </c>
      <c r="BH406">
        <v>1</v>
      </c>
      <c r="BI406" s="18">
        <v>0</v>
      </c>
      <c r="BJ406">
        <v>2017</v>
      </c>
      <c r="BK406">
        <v>440</v>
      </c>
      <c r="BL406" s="25">
        <v>41.5</v>
      </c>
      <c r="BM406">
        <v>0</v>
      </c>
      <c r="BN406">
        <v>0</v>
      </c>
      <c r="BO406">
        <v>1</v>
      </c>
      <c r="BP406">
        <v>0</v>
      </c>
      <c r="BQ406">
        <v>0</v>
      </c>
      <c r="BR406">
        <v>0</v>
      </c>
      <c r="BS406">
        <v>0</v>
      </c>
      <c r="BT406" s="18">
        <v>0</v>
      </c>
      <c r="BU406">
        <v>0</v>
      </c>
      <c r="BV406">
        <v>1</v>
      </c>
      <c r="BW406">
        <v>0</v>
      </c>
      <c r="BX406" s="18">
        <v>0</v>
      </c>
      <c r="BY406">
        <v>0</v>
      </c>
      <c r="BZ406">
        <v>0</v>
      </c>
      <c r="CA406">
        <v>0</v>
      </c>
      <c r="CB406">
        <v>0</v>
      </c>
      <c r="CC406" s="18">
        <v>0</v>
      </c>
      <c r="CD406">
        <v>1</v>
      </c>
      <c r="CE406">
        <v>1</v>
      </c>
      <c r="CF406">
        <v>0</v>
      </c>
      <c r="CG406">
        <v>0</v>
      </c>
      <c r="CH406">
        <v>0</v>
      </c>
      <c r="CI406">
        <v>0</v>
      </c>
      <c r="CJ406">
        <v>0</v>
      </c>
      <c r="CK406">
        <v>0</v>
      </c>
      <c r="CL406">
        <v>0</v>
      </c>
      <c r="CM406">
        <v>0</v>
      </c>
      <c r="CN406" s="18">
        <v>0</v>
      </c>
      <c r="CO406">
        <v>0.16400000000000001</v>
      </c>
      <c r="CP406">
        <v>127</v>
      </c>
      <c r="CQ406">
        <v>1</v>
      </c>
      <c r="CR406">
        <v>0</v>
      </c>
      <c r="CS406">
        <v>14</v>
      </c>
      <c r="CY406" s="34"/>
    </row>
    <row r="407" spans="1:103" x14ac:dyDescent="0.25">
      <c r="A407">
        <v>406</v>
      </c>
      <c r="B407">
        <v>26</v>
      </c>
      <c r="C407" s="25" t="s">
        <v>261</v>
      </c>
      <c r="D407" s="12">
        <v>15.8</v>
      </c>
      <c r="E407" s="14">
        <v>0.627</v>
      </c>
      <c r="F407" s="7">
        <f t="shared" si="95"/>
        <v>25.199362041467307</v>
      </c>
      <c r="G407" s="7">
        <f t="shared" si="91"/>
        <v>15.173</v>
      </c>
      <c r="H407" s="16">
        <f t="shared" si="92"/>
        <v>16.427</v>
      </c>
      <c r="I407" s="11">
        <f t="shared" si="96"/>
        <v>6.8366811670725114E-2</v>
      </c>
      <c r="J407" s="33">
        <f t="shared" si="97"/>
        <v>2.7130373998445981E-3</v>
      </c>
      <c r="K407" s="33">
        <f t="shared" si="98"/>
        <v>368.59056939549731</v>
      </c>
      <c r="L407" s="8">
        <v>0</v>
      </c>
      <c r="M407" s="9">
        <v>1</v>
      </c>
      <c r="N407" s="8">
        <v>0</v>
      </c>
      <c r="O407" s="9">
        <v>0</v>
      </c>
      <c r="P407" s="9">
        <v>0</v>
      </c>
      <c r="Q407" s="9">
        <v>1</v>
      </c>
      <c r="R407" s="9">
        <v>0</v>
      </c>
      <c r="S407" s="8">
        <v>135248</v>
      </c>
      <c r="T407" s="9">
        <v>23</v>
      </c>
      <c r="U407" s="9">
        <f t="shared" si="93"/>
        <v>135224</v>
      </c>
      <c r="V407" s="9">
        <f t="shared" si="94"/>
        <v>12</v>
      </c>
      <c r="W407" s="7">
        <v>7.2</v>
      </c>
      <c r="X407" s="7">
        <f t="shared" si="99"/>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v>0</v>
      </c>
      <c r="BF407" s="18">
        <v>0</v>
      </c>
      <c r="BG407">
        <v>0</v>
      </c>
      <c r="BH407">
        <v>1</v>
      </c>
      <c r="BI407" s="18">
        <v>0</v>
      </c>
      <c r="BJ407">
        <v>2017</v>
      </c>
      <c r="BK407">
        <v>440</v>
      </c>
      <c r="BL407" s="25">
        <v>41.5</v>
      </c>
      <c r="BM407">
        <v>0</v>
      </c>
      <c r="BN407">
        <v>0</v>
      </c>
      <c r="BO407">
        <v>1</v>
      </c>
      <c r="BP407">
        <v>0</v>
      </c>
      <c r="BQ407">
        <v>0</v>
      </c>
      <c r="BR407">
        <v>0</v>
      </c>
      <c r="BS407">
        <v>0</v>
      </c>
      <c r="BT407" s="18">
        <v>0</v>
      </c>
      <c r="BU407">
        <v>0</v>
      </c>
      <c r="BV407">
        <v>1</v>
      </c>
      <c r="BW407">
        <v>0</v>
      </c>
      <c r="BX407" s="18">
        <v>0</v>
      </c>
      <c r="BY407">
        <v>0</v>
      </c>
      <c r="BZ407">
        <v>0</v>
      </c>
      <c r="CA407">
        <v>0</v>
      </c>
      <c r="CB407">
        <v>0</v>
      </c>
      <c r="CC407" s="18">
        <v>0</v>
      </c>
      <c r="CD407">
        <v>1</v>
      </c>
      <c r="CE407">
        <v>1</v>
      </c>
      <c r="CF407">
        <v>0</v>
      </c>
      <c r="CG407">
        <v>0</v>
      </c>
      <c r="CH407">
        <v>0</v>
      </c>
      <c r="CI407">
        <v>0</v>
      </c>
      <c r="CJ407">
        <v>0</v>
      </c>
      <c r="CK407">
        <v>0</v>
      </c>
      <c r="CL407">
        <v>0</v>
      </c>
      <c r="CM407">
        <v>0</v>
      </c>
      <c r="CN407" s="18">
        <v>0</v>
      </c>
      <c r="CO407">
        <v>0.16400000000000001</v>
      </c>
      <c r="CP407">
        <v>127</v>
      </c>
      <c r="CQ407">
        <v>1</v>
      </c>
      <c r="CR407">
        <v>0</v>
      </c>
      <c r="CS407">
        <v>14</v>
      </c>
      <c r="CY407" s="34"/>
    </row>
    <row r="408" spans="1:103" x14ac:dyDescent="0.25">
      <c r="A408">
        <v>407</v>
      </c>
      <c r="B408">
        <v>26</v>
      </c>
      <c r="C408" s="25" t="s">
        <v>261</v>
      </c>
      <c r="D408" s="12">
        <v>14.1</v>
      </c>
      <c r="E408" s="14">
        <v>0.57799999999999996</v>
      </c>
      <c r="F408" s="7">
        <f t="shared" si="95"/>
        <v>24.394463667820069</v>
      </c>
      <c r="G408" s="7">
        <f t="shared" si="91"/>
        <v>13.522</v>
      </c>
      <c r="H408" s="16">
        <f t="shared" si="92"/>
        <v>14.677999999999999</v>
      </c>
      <c r="I408" s="11">
        <f t="shared" si="96"/>
        <v>9.5568279478523185E-2</v>
      </c>
      <c r="J408" s="33">
        <f t="shared" si="97"/>
        <v>3.9176216694032911E-3</v>
      </c>
      <c r="K408" s="33">
        <f t="shared" si="98"/>
        <v>255.25690951988074</v>
      </c>
      <c r="L408" s="8">
        <v>0</v>
      </c>
      <c r="M408" s="9">
        <v>1</v>
      </c>
      <c r="N408" s="8">
        <v>0</v>
      </c>
      <c r="O408" s="9">
        <v>0</v>
      </c>
      <c r="P408" s="9">
        <v>0</v>
      </c>
      <c r="Q408" s="9">
        <v>1</v>
      </c>
      <c r="R408" s="9">
        <v>0</v>
      </c>
      <c r="S408" s="8">
        <v>64585</v>
      </c>
      <c r="T408" s="9">
        <v>23</v>
      </c>
      <c r="U408" s="9">
        <f t="shared" si="93"/>
        <v>64561</v>
      </c>
      <c r="V408" s="9">
        <f t="shared" si="94"/>
        <v>12</v>
      </c>
      <c r="W408" s="7">
        <v>7.2</v>
      </c>
      <c r="X408" s="7">
        <f t="shared" si="99"/>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v>0</v>
      </c>
      <c r="BF408" s="18">
        <v>0</v>
      </c>
      <c r="BG408">
        <v>0</v>
      </c>
      <c r="BH408">
        <v>1</v>
      </c>
      <c r="BI408" s="18">
        <v>0</v>
      </c>
      <c r="BJ408">
        <v>2017</v>
      </c>
      <c r="BK408">
        <v>440</v>
      </c>
      <c r="BL408" s="25">
        <v>41.5</v>
      </c>
      <c r="BM408">
        <v>0</v>
      </c>
      <c r="BN408">
        <v>0</v>
      </c>
      <c r="BO408">
        <v>1</v>
      </c>
      <c r="BP408">
        <v>0</v>
      </c>
      <c r="BQ408">
        <v>0</v>
      </c>
      <c r="BR408">
        <v>0</v>
      </c>
      <c r="BS408">
        <v>0</v>
      </c>
      <c r="BT408" s="18">
        <v>0</v>
      </c>
      <c r="BU408">
        <v>0</v>
      </c>
      <c r="BV408">
        <v>1</v>
      </c>
      <c r="BW408">
        <v>0</v>
      </c>
      <c r="BX408" s="18">
        <v>0</v>
      </c>
      <c r="BY408">
        <v>0</v>
      </c>
      <c r="BZ408">
        <v>0</v>
      </c>
      <c r="CA408">
        <v>0</v>
      </c>
      <c r="CB408">
        <v>0</v>
      </c>
      <c r="CC408" s="18">
        <v>0</v>
      </c>
      <c r="CD408">
        <v>1</v>
      </c>
      <c r="CE408">
        <v>1</v>
      </c>
      <c r="CF408">
        <v>0</v>
      </c>
      <c r="CG408">
        <v>0</v>
      </c>
      <c r="CH408">
        <v>0</v>
      </c>
      <c r="CI408">
        <v>0</v>
      </c>
      <c r="CJ408">
        <v>0</v>
      </c>
      <c r="CK408">
        <v>0</v>
      </c>
      <c r="CL408">
        <v>0</v>
      </c>
      <c r="CM408">
        <v>0</v>
      </c>
      <c r="CN408" s="18">
        <v>0</v>
      </c>
      <c r="CO408">
        <v>0.16400000000000001</v>
      </c>
      <c r="CP408">
        <v>127</v>
      </c>
      <c r="CQ408">
        <v>1</v>
      </c>
      <c r="CR408">
        <v>0</v>
      </c>
      <c r="CS408">
        <v>14</v>
      </c>
      <c r="CY408" s="34"/>
    </row>
    <row r="409" spans="1:103" x14ac:dyDescent="0.25">
      <c r="A409">
        <v>408</v>
      </c>
      <c r="B409" s="51">
        <v>26</v>
      </c>
      <c r="C409" s="52" t="s">
        <v>261</v>
      </c>
      <c r="D409" s="53">
        <v>16.3</v>
      </c>
      <c r="E409" s="54">
        <v>0.71099999999999997</v>
      </c>
      <c r="F409" s="55">
        <f t="shared" si="95"/>
        <v>22.925457102672294</v>
      </c>
      <c r="G409" s="55">
        <f t="shared" si="91"/>
        <v>15.589</v>
      </c>
      <c r="H409" s="56">
        <f t="shared" si="92"/>
        <v>17.010999999999999</v>
      </c>
      <c r="I409" s="11">
        <f t="shared" si="96"/>
        <v>8.986121557159743E-2</v>
      </c>
      <c r="J409" s="33">
        <f t="shared" si="97"/>
        <v>3.9197131454850164E-3</v>
      </c>
      <c r="K409" s="33">
        <f t="shared" si="98"/>
        <v>255.12070982843881</v>
      </c>
      <c r="L409" s="59">
        <v>0</v>
      </c>
      <c r="M409" s="60">
        <v>1</v>
      </c>
      <c r="N409" s="59">
        <v>0</v>
      </c>
      <c r="O409" s="60">
        <v>0</v>
      </c>
      <c r="P409" s="60">
        <v>0</v>
      </c>
      <c r="Q409" s="60">
        <v>1</v>
      </c>
      <c r="R409" s="60">
        <v>0</v>
      </c>
      <c r="S409" s="59">
        <v>64585</v>
      </c>
      <c r="T409" s="60">
        <v>23</v>
      </c>
      <c r="U409" s="60">
        <f t="shared" si="93"/>
        <v>64561</v>
      </c>
      <c r="V409" s="60">
        <f t="shared" si="94"/>
        <v>12</v>
      </c>
      <c r="W409" s="55">
        <v>7.2</v>
      </c>
      <c r="X409" s="55">
        <f t="shared" si="99"/>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v>0</v>
      </c>
      <c r="BF409" s="65">
        <v>0</v>
      </c>
      <c r="BG409">
        <v>0</v>
      </c>
      <c r="BH409">
        <v>1</v>
      </c>
      <c r="BI409" s="65">
        <v>0</v>
      </c>
      <c r="BJ409">
        <v>2017</v>
      </c>
      <c r="BK409">
        <v>440</v>
      </c>
      <c r="BL409" s="52">
        <v>41.5</v>
      </c>
      <c r="BM409" s="51">
        <v>0</v>
      </c>
      <c r="BN409" s="51">
        <v>0</v>
      </c>
      <c r="BO409" s="51">
        <v>1</v>
      </c>
      <c r="BP409" s="51">
        <v>0</v>
      </c>
      <c r="BQ409" s="51">
        <v>0</v>
      </c>
      <c r="BR409" s="51">
        <v>0</v>
      </c>
      <c r="BS409" s="51">
        <v>0</v>
      </c>
      <c r="BT409" s="65">
        <v>0</v>
      </c>
      <c r="BU409" s="51">
        <v>0</v>
      </c>
      <c r="BV409" s="51">
        <v>1</v>
      </c>
      <c r="BW409" s="51">
        <v>0</v>
      </c>
      <c r="BX409" s="65">
        <v>0</v>
      </c>
      <c r="BY409" s="51">
        <v>0</v>
      </c>
      <c r="BZ409" s="51">
        <v>0</v>
      </c>
      <c r="CA409" s="51">
        <v>0</v>
      </c>
      <c r="CB409" s="51">
        <v>0</v>
      </c>
      <c r="CC409" s="65">
        <v>0</v>
      </c>
      <c r="CD409" s="51">
        <v>1</v>
      </c>
      <c r="CE409" s="51">
        <v>1</v>
      </c>
      <c r="CF409" s="51">
        <v>0</v>
      </c>
      <c r="CG409" s="51">
        <v>0</v>
      </c>
      <c r="CH409" s="51">
        <v>0</v>
      </c>
      <c r="CI409" s="51">
        <v>0</v>
      </c>
      <c r="CJ409" s="51">
        <v>0</v>
      </c>
      <c r="CK409" s="51">
        <v>0</v>
      </c>
      <c r="CL409" s="51">
        <v>0</v>
      </c>
      <c r="CM409" s="51">
        <v>0</v>
      </c>
      <c r="CN409" s="65">
        <v>0</v>
      </c>
      <c r="CO409">
        <v>0.16400000000000001</v>
      </c>
      <c r="CP409">
        <v>127</v>
      </c>
      <c r="CQ409">
        <v>1</v>
      </c>
      <c r="CR409">
        <v>0</v>
      </c>
      <c r="CS409">
        <v>14</v>
      </c>
      <c r="CY409" s="34"/>
    </row>
    <row r="410" spans="1:103" x14ac:dyDescent="0.25">
      <c r="A410">
        <v>409</v>
      </c>
      <c r="B410">
        <v>27</v>
      </c>
      <c r="C410" s="25" t="s">
        <v>490</v>
      </c>
      <c r="D410" s="12">
        <v>4.5999999999999996</v>
      </c>
      <c r="E410" s="14">
        <f t="shared" ref="E410:E417" si="100">D410/F410</f>
        <v>0.13855421686746985</v>
      </c>
      <c r="F410" s="7">
        <v>33.200000000000003</v>
      </c>
      <c r="G410" s="7">
        <f t="shared" si="91"/>
        <v>4.4614457831325298</v>
      </c>
      <c r="H410" s="16">
        <f t="shared" si="92"/>
        <v>4.7385542168674695</v>
      </c>
      <c r="I410" s="11">
        <f t="shared" si="96"/>
        <v>0.3293553550615026</v>
      </c>
      <c r="J410" s="33">
        <f t="shared" si="97"/>
        <v>9.9203420199247758E-3</v>
      </c>
      <c r="K410" s="33">
        <f t="shared" si="98"/>
        <v>100.80297614654044</v>
      </c>
      <c r="L410" s="8">
        <v>0</v>
      </c>
      <c r="M410" s="9">
        <v>1</v>
      </c>
      <c r="N410" s="8">
        <v>0</v>
      </c>
      <c r="O410" s="9">
        <v>0</v>
      </c>
      <c r="P410" s="9">
        <v>0</v>
      </c>
      <c r="Q410" s="9">
        <v>1</v>
      </c>
      <c r="R410" s="9">
        <v>0</v>
      </c>
      <c r="S410" s="8">
        <v>9065</v>
      </c>
      <c r="T410" s="9">
        <v>5</v>
      </c>
      <c r="U410" s="9">
        <f t="shared" si="93"/>
        <v>9059</v>
      </c>
      <c r="V410" s="9">
        <f t="shared" si="94"/>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v>0</v>
      </c>
      <c r="BF410" s="18">
        <v>1</v>
      </c>
      <c r="BG410">
        <v>0</v>
      </c>
      <c r="BH410">
        <v>1</v>
      </c>
      <c r="BI410" s="18">
        <v>0</v>
      </c>
      <c r="BJ410">
        <v>1066</v>
      </c>
      <c r="BK410">
        <v>85</v>
      </c>
      <c r="BL410" s="25">
        <v>34.03</v>
      </c>
      <c r="BM410">
        <v>1</v>
      </c>
      <c r="BN410">
        <v>0</v>
      </c>
      <c r="BO410">
        <v>0</v>
      </c>
      <c r="BP410">
        <v>0</v>
      </c>
      <c r="BQ410">
        <v>0</v>
      </c>
      <c r="BR410">
        <v>0</v>
      </c>
      <c r="BS410">
        <v>0</v>
      </c>
      <c r="BT410" s="18">
        <v>0</v>
      </c>
      <c r="BU410">
        <v>0</v>
      </c>
      <c r="BV410">
        <v>0</v>
      </c>
      <c r="BW410">
        <v>1</v>
      </c>
      <c r="BX410" s="18">
        <v>0</v>
      </c>
      <c r="BY410">
        <v>0</v>
      </c>
      <c r="BZ410">
        <v>0</v>
      </c>
      <c r="CA410">
        <v>0</v>
      </c>
      <c r="CB410">
        <v>0</v>
      </c>
      <c r="CC410" s="18">
        <v>0</v>
      </c>
      <c r="CD410">
        <v>0</v>
      </c>
      <c r="CE410">
        <v>0</v>
      </c>
      <c r="CF410">
        <v>1</v>
      </c>
      <c r="CG410">
        <v>1</v>
      </c>
      <c r="CH410">
        <v>0</v>
      </c>
      <c r="CI410">
        <v>0</v>
      </c>
      <c r="CJ410">
        <v>0</v>
      </c>
      <c r="CK410">
        <v>0</v>
      </c>
      <c r="CL410">
        <v>0</v>
      </c>
      <c r="CM410">
        <v>0</v>
      </c>
      <c r="CN410" s="18">
        <v>0</v>
      </c>
      <c r="CO410">
        <v>8.5000000000000006E-2</v>
      </c>
      <c r="CP410">
        <v>58</v>
      </c>
      <c r="CQ410">
        <v>1</v>
      </c>
      <c r="CR410">
        <v>0</v>
      </c>
      <c r="CS410">
        <v>10</v>
      </c>
      <c r="CY410" s="34"/>
    </row>
    <row r="411" spans="1:103" x14ac:dyDescent="0.25">
      <c r="A411">
        <v>410</v>
      </c>
      <c r="B411">
        <v>27</v>
      </c>
      <c r="C411" s="25" t="s">
        <v>490</v>
      </c>
      <c r="D411" s="12">
        <v>5.3</v>
      </c>
      <c r="E411" s="14">
        <f t="shared" si="100"/>
        <v>0.2264957264957265</v>
      </c>
      <c r="F411" s="7">
        <v>23.4</v>
      </c>
      <c r="G411" s="7">
        <f t="shared" si="91"/>
        <v>5.0735042735042732</v>
      </c>
      <c r="H411" s="16">
        <f t="shared" si="92"/>
        <v>5.5264957264957264</v>
      </c>
      <c r="I411" s="11">
        <f t="shared" si="96"/>
        <v>0.38591799382353975</v>
      </c>
      <c r="J411" s="33">
        <f t="shared" si="97"/>
        <v>1.6492221958270933E-2</v>
      </c>
      <c r="K411" s="33">
        <f t="shared" si="98"/>
        <v>60.634643562900564</v>
      </c>
      <c r="L411" s="8">
        <v>0</v>
      </c>
      <c r="M411" s="9">
        <v>1</v>
      </c>
      <c r="N411" s="8">
        <v>0</v>
      </c>
      <c r="O411" s="9">
        <v>0</v>
      </c>
      <c r="P411" s="9">
        <v>0</v>
      </c>
      <c r="Q411" s="9">
        <v>1</v>
      </c>
      <c r="R411" s="9">
        <v>0</v>
      </c>
      <c r="S411" s="8">
        <v>3135</v>
      </c>
      <c r="T411" s="9">
        <v>5</v>
      </c>
      <c r="U411" s="9">
        <f t="shared" si="93"/>
        <v>3129</v>
      </c>
      <c r="V411" s="9">
        <f t="shared" si="94"/>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v>0</v>
      </c>
      <c r="BF411" s="18">
        <v>1</v>
      </c>
      <c r="BG411">
        <v>0</v>
      </c>
      <c r="BH411">
        <v>1</v>
      </c>
      <c r="BI411" s="18">
        <v>0</v>
      </c>
      <c r="BJ411">
        <v>1066</v>
      </c>
      <c r="BK411">
        <v>85</v>
      </c>
      <c r="BL411" s="25">
        <v>31.8</v>
      </c>
      <c r="BM411">
        <v>1</v>
      </c>
      <c r="BN411">
        <v>0</v>
      </c>
      <c r="BO411">
        <v>0</v>
      </c>
      <c r="BP411">
        <v>0</v>
      </c>
      <c r="BQ411">
        <v>0</v>
      </c>
      <c r="BR411">
        <v>0</v>
      </c>
      <c r="BS411">
        <v>0</v>
      </c>
      <c r="BT411" s="18">
        <v>0</v>
      </c>
      <c r="BU411">
        <v>0</v>
      </c>
      <c r="BV411">
        <v>0</v>
      </c>
      <c r="BW411">
        <v>1</v>
      </c>
      <c r="BX411" s="18">
        <v>0</v>
      </c>
      <c r="BY411">
        <v>0</v>
      </c>
      <c r="BZ411">
        <v>0</v>
      </c>
      <c r="CA411">
        <v>0</v>
      </c>
      <c r="CB411">
        <v>0</v>
      </c>
      <c r="CC411" s="18">
        <v>0</v>
      </c>
      <c r="CD411">
        <v>0</v>
      </c>
      <c r="CE411">
        <v>0</v>
      </c>
      <c r="CF411">
        <v>1</v>
      </c>
      <c r="CG411">
        <v>1</v>
      </c>
      <c r="CH411">
        <v>0</v>
      </c>
      <c r="CI411">
        <v>0</v>
      </c>
      <c r="CJ411">
        <v>0</v>
      </c>
      <c r="CK411">
        <v>0</v>
      </c>
      <c r="CL411">
        <v>0</v>
      </c>
      <c r="CM411">
        <v>0</v>
      </c>
      <c r="CN411" s="18">
        <v>0</v>
      </c>
      <c r="CO411">
        <v>8.5000000000000006E-2</v>
      </c>
      <c r="CP411">
        <v>58</v>
      </c>
      <c r="CQ411">
        <v>1</v>
      </c>
      <c r="CR411">
        <v>0</v>
      </c>
      <c r="CS411">
        <v>10</v>
      </c>
      <c r="CY411" s="34"/>
    </row>
    <row r="412" spans="1:103" x14ac:dyDescent="0.25">
      <c r="A412">
        <v>411</v>
      </c>
      <c r="B412">
        <v>27</v>
      </c>
      <c r="C412" s="25" t="s">
        <v>490</v>
      </c>
      <c r="D412" s="12">
        <v>3.6</v>
      </c>
      <c r="E412" s="14">
        <f t="shared" si="100"/>
        <v>6.4285714285714293E-2</v>
      </c>
      <c r="F412" s="7">
        <v>56</v>
      </c>
      <c r="G412" s="7">
        <f t="shared" si="91"/>
        <v>3.5357142857142856</v>
      </c>
      <c r="H412" s="16">
        <f t="shared" si="92"/>
        <v>3.6642857142857146</v>
      </c>
      <c r="I412" s="11">
        <f t="shared" si="96"/>
        <v>0.23199795227200942</v>
      </c>
      <c r="J412" s="33">
        <f t="shared" si="97"/>
        <v>4.1428205762858829E-3</v>
      </c>
      <c r="K412" s="33">
        <f t="shared" si="98"/>
        <v>241.38144087729691</v>
      </c>
      <c r="L412" s="8">
        <v>0</v>
      </c>
      <c r="M412" s="9">
        <v>1</v>
      </c>
      <c r="N412" s="8">
        <v>0</v>
      </c>
      <c r="O412" s="9">
        <v>0</v>
      </c>
      <c r="P412" s="9">
        <v>0</v>
      </c>
      <c r="Q412" s="9">
        <v>1</v>
      </c>
      <c r="R412" s="9">
        <v>0</v>
      </c>
      <c r="S412" s="8">
        <v>55135</v>
      </c>
      <c r="T412" s="9">
        <v>5</v>
      </c>
      <c r="U412" s="9">
        <f t="shared" si="93"/>
        <v>55129</v>
      </c>
      <c r="V412" s="9">
        <f t="shared" si="94"/>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v>0</v>
      </c>
      <c r="BF412" s="18">
        <v>1</v>
      </c>
      <c r="BG412">
        <v>0</v>
      </c>
      <c r="BH412">
        <v>1</v>
      </c>
      <c r="BI412" s="18">
        <v>0</v>
      </c>
      <c r="BJ412">
        <v>1066</v>
      </c>
      <c r="BK412">
        <v>85</v>
      </c>
      <c r="BL412" s="25">
        <v>34.03</v>
      </c>
      <c r="BM412">
        <v>1</v>
      </c>
      <c r="BN412">
        <v>0</v>
      </c>
      <c r="BO412">
        <v>0</v>
      </c>
      <c r="BP412">
        <v>0</v>
      </c>
      <c r="BQ412">
        <v>0</v>
      </c>
      <c r="BR412">
        <v>0</v>
      </c>
      <c r="BS412">
        <v>0</v>
      </c>
      <c r="BT412" s="18">
        <v>0</v>
      </c>
      <c r="BU412">
        <v>0</v>
      </c>
      <c r="BV412">
        <v>0</v>
      </c>
      <c r="BW412">
        <v>1</v>
      </c>
      <c r="BX412" s="18">
        <v>0</v>
      </c>
      <c r="BY412">
        <v>0</v>
      </c>
      <c r="BZ412">
        <v>0</v>
      </c>
      <c r="CA412">
        <v>0</v>
      </c>
      <c r="CB412">
        <v>0</v>
      </c>
      <c r="CC412" s="18">
        <v>0</v>
      </c>
      <c r="CD412">
        <v>0</v>
      </c>
      <c r="CE412">
        <v>0</v>
      </c>
      <c r="CF412">
        <v>1</v>
      </c>
      <c r="CG412">
        <v>1</v>
      </c>
      <c r="CH412">
        <v>0</v>
      </c>
      <c r="CI412">
        <v>0</v>
      </c>
      <c r="CJ412">
        <v>0</v>
      </c>
      <c r="CK412">
        <v>0</v>
      </c>
      <c r="CL412">
        <v>0</v>
      </c>
      <c r="CM412">
        <v>0</v>
      </c>
      <c r="CN412" s="18">
        <v>0</v>
      </c>
      <c r="CO412">
        <v>8.5000000000000006E-2</v>
      </c>
      <c r="CP412">
        <v>58</v>
      </c>
      <c r="CQ412">
        <v>1</v>
      </c>
      <c r="CR412">
        <v>0</v>
      </c>
      <c r="CS412">
        <v>10</v>
      </c>
      <c r="CY412" s="34"/>
    </row>
    <row r="413" spans="1:103" x14ac:dyDescent="0.25">
      <c r="A413">
        <v>412</v>
      </c>
      <c r="B413">
        <v>27</v>
      </c>
      <c r="C413" s="25" t="s">
        <v>490</v>
      </c>
      <c r="D413" s="12">
        <v>2.8</v>
      </c>
      <c r="E413" s="14">
        <f t="shared" si="100"/>
        <v>9.3023255813953473E-2</v>
      </c>
      <c r="F413" s="7">
        <v>30.1</v>
      </c>
      <c r="G413" s="7">
        <f t="shared" si="91"/>
        <v>2.7069767441860462</v>
      </c>
      <c r="H413" s="16">
        <f t="shared" si="92"/>
        <v>2.8930232558139535</v>
      </c>
      <c r="I413" s="11">
        <f t="shared" si="96"/>
        <v>0.18766370166751487</v>
      </c>
      <c r="J413" s="33">
        <f t="shared" si="97"/>
        <v>6.2346744740038162E-3</v>
      </c>
      <c r="K413" s="33">
        <f t="shared" si="98"/>
        <v>160.39329786496691</v>
      </c>
      <c r="L413" s="8">
        <v>0</v>
      </c>
      <c r="M413" s="9">
        <v>1</v>
      </c>
      <c r="N413" s="8">
        <v>0</v>
      </c>
      <c r="O413" s="9">
        <v>0</v>
      </c>
      <c r="P413" s="9">
        <v>0</v>
      </c>
      <c r="Q413" s="9">
        <v>1</v>
      </c>
      <c r="R413" s="9">
        <v>0</v>
      </c>
      <c r="S413" s="8">
        <v>24826</v>
      </c>
      <c r="T413" s="9">
        <v>5</v>
      </c>
      <c r="U413" s="9">
        <f t="shared" si="93"/>
        <v>24820</v>
      </c>
      <c r="V413" s="9">
        <f t="shared" si="94"/>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v>0</v>
      </c>
      <c r="BF413" s="18">
        <v>1</v>
      </c>
      <c r="BG413">
        <v>0</v>
      </c>
      <c r="BH413">
        <v>1</v>
      </c>
      <c r="BI413" s="18">
        <v>0</v>
      </c>
      <c r="BJ413">
        <v>1066</v>
      </c>
      <c r="BK413">
        <v>85</v>
      </c>
      <c r="BL413" s="25">
        <v>31.8</v>
      </c>
      <c r="BM413">
        <v>1</v>
      </c>
      <c r="BN413">
        <v>0</v>
      </c>
      <c r="BO413">
        <v>0</v>
      </c>
      <c r="BP413">
        <v>0</v>
      </c>
      <c r="BQ413">
        <v>0</v>
      </c>
      <c r="BR413">
        <v>0</v>
      </c>
      <c r="BS413">
        <v>0</v>
      </c>
      <c r="BT413" s="18">
        <v>0</v>
      </c>
      <c r="BU413">
        <v>0</v>
      </c>
      <c r="BV413">
        <v>0</v>
      </c>
      <c r="BW413">
        <v>1</v>
      </c>
      <c r="BX413" s="18">
        <v>0</v>
      </c>
      <c r="BY413">
        <v>0</v>
      </c>
      <c r="BZ413">
        <v>0</v>
      </c>
      <c r="CA413">
        <v>0</v>
      </c>
      <c r="CB413">
        <v>0</v>
      </c>
      <c r="CC413" s="18">
        <v>0</v>
      </c>
      <c r="CD413">
        <v>0</v>
      </c>
      <c r="CE413">
        <v>0</v>
      </c>
      <c r="CF413">
        <v>1</v>
      </c>
      <c r="CG413">
        <v>1</v>
      </c>
      <c r="CH413">
        <v>0</v>
      </c>
      <c r="CI413">
        <v>0</v>
      </c>
      <c r="CJ413">
        <v>0</v>
      </c>
      <c r="CK413">
        <v>0</v>
      </c>
      <c r="CL413">
        <v>0</v>
      </c>
      <c r="CM413">
        <v>0</v>
      </c>
      <c r="CN413" s="18">
        <v>0</v>
      </c>
      <c r="CO413">
        <v>8.5000000000000006E-2</v>
      </c>
      <c r="CP413">
        <v>58</v>
      </c>
      <c r="CQ413">
        <v>1</v>
      </c>
      <c r="CR413">
        <v>0</v>
      </c>
      <c r="CS413">
        <v>10</v>
      </c>
      <c r="CY413" s="34"/>
    </row>
    <row r="414" spans="1:103" x14ac:dyDescent="0.25">
      <c r="A414">
        <v>413</v>
      </c>
      <c r="B414">
        <v>27</v>
      </c>
      <c r="C414" s="25" t="s">
        <v>490</v>
      </c>
      <c r="D414" s="12">
        <v>2.5</v>
      </c>
      <c r="E414" s="14">
        <f t="shared" si="100"/>
        <v>0.39936102236421728</v>
      </c>
      <c r="F414" s="7">
        <v>6.26</v>
      </c>
      <c r="G414" s="7">
        <f t="shared" si="91"/>
        <v>2.1006389776357826</v>
      </c>
      <c r="H414" s="16">
        <f t="shared" si="92"/>
        <v>2.8993610223642174</v>
      </c>
      <c r="I414" s="11">
        <f t="shared" si="96"/>
        <v>6.5629166615310958E-2</v>
      </c>
      <c r="J414" s="33">
        <f t="shared" si="97"/>
        <v>1.0483892430560858E-2</v>
      </c>
      <c r="K414" s="33">
        <f t="shared" si="98"/>
        <v>95.384420111462646</v>
      </c>
      <c r="L414" s="8">
        <v>0</v>
      </c>
      <c r="M414" s="9">
        <v>1</v>
      </c>
      <c r="N414" s="8">
        <v>0</v>
      </c>
      <c r="O414" s="9">
        <v>0</v>
      </c>
      <c r="P414" s="9">
        <v>0</v>
      </c>
      <c r="Q414" s="9">
        <v>1</v>
      </c>
      <c r="R414" s="9">
        <v>0</v>
      </c>
      <c r="S414" s="8">
        <v>9065</v>
      </c>
      <c r="T414" s="9">
        <v>5</v>
      </c>
      <c r="U414" s="9">
        <f t="shared" si="93"/>
        <v>9059</v>
      </c>
      <c r="V414" s="9">
        <f t="shared" si="94"/>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v>0</v>
      </c>
      <c r="BF414" s="18">
        <v>1</v>
      </c>
      <c r="BG414">
        <v>0</v>
      </c>
      <c r="BH414">
        <v>1</v>
      </c>
      <c r="BI414" s="18">
        <v>0</v>
      </c>
      <c r="BJ414">
        <v>1066</v>
      </c>
      <c r="BK414">
        <v>85</v>
      </c>
      <c r="BL414" s="25">
        <v>34.03</v>
      </c>
      <c r="BM414">
        <v>1</v>
      </c>
      <c r="BN414">
        <v>0</v>
      </c>
      <c r="BO414">
        <v>0</v>
      </c>
      <c r="BP414">
        <v>0</v>
      </c>
      <c r="BQ414">
        <v>0</v>
      </c>
      <c r="BR414">
        <v>0</v>
      </c>
      <c r="BS414">
        <v>0</v>
      </c>
      <c r="BT414" s="18">
        <v>0</v>
      </c>
      <c r="BU414">
        <v>0</v>
      </c>
      <c r="BV414">
        <v>0</v>
      </c>
      <c r="BW414">
        <v>1</v>
      </c>
      <c r="BX414" s="18">
        <v>0</v>
      </c>
      <c r="BY414">
        <v>0</v>
      </c>
      <c r="BZ414">
        <v>0</v>
      </c>
      <c r="CA414">
        <v>0</v>
      </c>
      <c r="CB414">
        <v>0</v>
      </c>
      <c r="CC414" s="18">
        <v>0</v>
      </c>
      <c r="CD414">
        <v>0</v>
      </c>
      <c r="CE414">
        <v>0</v>
      </c>
      <c r="CF414">
        <v>1</v>
      </c>
      <c r="CG414">
        <v>1</v>
      </c>
      <c r="CH414">
        <v>0</v>
      </c>
      <c r="CI414">
        <v>0</v>
      </c>
      <c r="CJ414">
        <v>0</v>
      </c>
      <c r="CK414">
        <v>0</v>
      </c>
      <c r="CL414">
        <v>0</v>
      </c>
      <c r="CM414">
        <v>0</v>
      </c>
      <c r="CN414" s="18">
        <v>0</v>
      </c>
      <c r="CO414">
        <v>8.5000000000000006E-2</v>
      </c>
      <c r="CP414">
        <v>58</v>
      </c>
      <c r="CQ414">
        <v>1</v>
      </c>
      <c r="CR414">
        <v>0</v>
      </c>
      <c r="CS414">
        <v>10</v>
      </c>
      <c r="CY414" s="34"/>
    </row>
    <row r="415" spans="1:103" x14ac:dyDescent="0.25">
      <c r="A415">
        <v>414</v>
      </c>
      <c r="B415">
        <v>27</v>
      </c>
      <c r="C415" s="25" t="s">
        <v>490</v>
      </c>
      <c r="D415" s="12">
        <v>2.4</v>
      </c>
      <c r="E415" s="14">
        <f t="shared" si="100"/>
        <v>0.69364161849710981</v>
      </c>
      <c r="F415" s="7">
        <v>3.46</v>
      </c>
      <c r="G415" s="7">
        <f t="shared" si="91"/>
        <v>1.70635838150289</v>
      </c>
      <c r="H415" s="16">
        <f t="shared" si="92"/>
        <v>3.0936416184971098</v>
      </c>
      <c r="I415" s="11">
        <f t="shared" si="96"/>
        <v>6.173679701695501E-2</v>
      </c>
      <c r="J415" s="33">
        <f t="shared" si="97"/>
        <v>1.7843004918195092E-2</v>
      </c>
      <c r="K415" s="33">
        <f t="shared" si="98"/>
        <v>56.044371706711097</v>
      </c>
      <c r="L415" s="8">
        <v>0</v>
      </c>
      <c r="M415" s="9">
        <v>1</v>
      </c>
      <c r="N415" s="8">
        <v>0</v>
      </c>
      <c r="O415" s="9">
        <v>0</v>
      </c>
      <c r="P415" s="9">
        <v>0</v>
      </c>
      <c r="Q415" s="9">
        <v>1</v>
      </c>
      <c r="R415" s="9">
        <v>0</v>
      </c>
      <c r="S415" s="8">
        <v>3135</v>
      </c>
      <c r="T415" s="9">
        <v>5</v>
      </c>
      <c r="U415" s="9">
        <f t="shared" si="93"/>
        <v>3129</v>
      </c>
      <c r="V415" s="9">
        <f t="shared" si="94"/>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v>0</v>
      </c>
      <c r="BF415" s="18">
        <v>1</v>
      </c>
      <c r="BG415">
        <v>0</v>
      </c>
      <c r="BH415">
        <v>1</v>
      </c>
      <c r="BI415" s="18">
        <v>0</v>
      </c>
      <c r="BJ415">
        <v>1066</v>
      </c>
      <c r="BK415">
        <v>85</v>
      </c>
      <c r="BL415" s="25">
        <v>31.8</v>
      </c>
      <c r="BM415">
        <v>1</v>
      </c>
      <c r="BN415">
        <v>0</v>
      </c>
      <c r="BO415">
        <v>0</v>
      </c>
      <c r="BP415">
        <v>0</v>
      </c>
      <c r="BQ415">
        <v>0</v>
      </c>
      <c r="BR415">
        <v>0</v>
      </c>
      <c r="BS415">
        <v>0</v>
      </c>
      <c r="BT415" s="18">
        <v>0</v>
      </c>
      <c r="BU415">
        <v>0</v>
      </c>
      <c r="BV415">
        <v>0</v>
      </c>
      <c r="BW415">
        <v>1</v>
      </c>
      <c r="BX415" s="18">
        <v>0</v>
      </c>
      <c r="BY415">
        <v>0</v>
      </c>
      <c r="BZ415">
        <v>0</v>
      </c>
      <c r="CA415">
        <v>0</v>
      </c>
      <c r="CB415">
        <v>0</v>
      </c>
      <c r="CC415" s="18">
        <v>0</v>
      </c>
      <c r="CD415">
        <v>0</v>
      </c>
      <c r="CE415">
        <v>0</v>
      </c>
      <c r="CF415">
        <v>1</v>
      </c>
      <c r="CG415">
        <v>1</v>
      </c>
      <c r="CH415">
        <v>0</v>
      </c>
      <c r="CI415">
        <v>0</v>
      </c>
      <c r="CJ415">
        <v>0</v>
      </c>
      <c r="CK415">
        <v>0</v>
      </c>
      <c r="CL415">
        <v>0</v>
      </c>
      <c r="CM415">
        <v>0</v>
      </c>
      <c r="CN415" s="18">
        <v>0</v>
      </c>
      <c r="CO415">
        <v>8.5000000000000006E-2</v>
      </c>
      <c r="CP415">
        <v>58</v>
      </c>
      <c r="CQ415">
        <v>1</v>
      </c>
      <c r="CR415">
        <v>0</v>
      </c>
      <c r="CS415">
        <v>10</v>
      </c>
      <c r="CY415" s="34"/>
    </row>
    <row r="416" spans="1:103" x14ac:dyDescent="0.25">
      <c r="A416">
        <v>415</v>
      </c>
      <c r="B416">
        <v>27</v>
      </c>
      <c r="C416" s="25" t="s">
        <v>490</v>
      </c>
      <c r="D416" s="12">
        <v>3.2</v>
      </c>
      <c r="E416" s="14">
        <f t="shared" si="100"/>
        <v>0.11228070175438597</v>
      </c>
      <c r="F416" s="7">
        <v>28.5</v>
      </c>
      <c r="G416" s="7">
        <f t="shared" si="91"/>
        <v>3.0877192982456143</v>
      </c>
      <c r="H416" s="16">
        <f t="shared" si="92"/>
        <v>3.312280701754386</v>
      </c>
      <c r="I416" s="11">
        <f t="shared" si="96"/>
        <v>0.12049770538708542</v>
      </c>
      <c r="J416" s="33">
        <f t="shared" si="97"/>
        <v>4.2279896627047519E-3</v>
      </c>
      <c r="K416" s="33">
        <f t="shared" si="98"/>
        <v>236.51902671878216</v>
      </c>
      <c r="L416" s="8">
        <v>0</v>
      </c>
      <c r="M416" s="9">
        <v>1</v>
      </c>
      <c r="N416" s="8">
        <v>0</v>
      </c>
      <c r="O416" s="9">
        <v>0</v>
      </c>
      <c r="P416" s="9">
        <v>0</v>
      </c>
      <c r="Q416" s="9">
        <v>1</v>
      </c>
      <c r="R416" s="9">
        <v>0</v>
      </c>
      <c r="S416" s="8">
        <v>55135</v>
      </c>
      <c r="T416" s="9">
        <v>5</v>
      </c>
      <c r="U416" s="9">
        <f t="shared" si="93"/>
        <v>55129</v>
      </c>
      <c r="V416" s="9">
        <f t="shared" si="94"/>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v>0</v>
      </c>
      <c r="BF416" s="18">
        <v>1</v>
      </c>
      <c r="BG416">
        <v>0</v>
      </c>
      <c r="BH416">
        <v>1</v>
      </c>
      <c r="BI416" s="18">
        <v>0</v>
      </c>
      <c r="BJ416">
        <v>1066</v>
      </c>
      <c r="BK416">
        <v>85</v>
      </c>
      <c r="BL416" s="25">
        <v>34.03</v>
      </c>
      <c r="BM416">
        <v>1</v>
      </c>
      <c r="BN416">
        <v>0</v>
      </c>
      <c r="BO416">
        <v>0</v>
      </c>
      <c r="BP416">
        <v>0</v>
      </c>
      <c r="BQ416">
        <v>0</v>
      </c>
      <c r="BR416">
        <v>0</v>
      </c>
      <c r="BS416">
        <v>0</v>
      </c>
      <c r="BT416" s="18">
        <v>0</v>
      </c>
      <c r="BU416">
        <v>0</v>
      </c>
      <c r="BV416">
        <v>0</v>
      </c>
      <c r="BW416">
        <v>1</v>
      </c>
      <c r="BX416" s="18">
        <v>0</v>
      </c>
      <c r="BY416">
        <v>0</v>
      </c>
      <c r="BZ416">
        <v>0</v>
      </c>
      <c r="CA416">
        <v>0</v>
      </c>
      <c r="CB416">
        <v>0</v>
      </c>
      <c r="CC416" s="18">
        <v>0</v>
      </c>
      <c r="CD416">
        <v>0</v>
      </c>
      <c r="CE416">
        <v>0</v>
      </c>
      <c r="CF416">
        <v>1</v>
      </c>
      <c r="CG416">
        <v>1</v>
      </c>
      <c r="CH416">
        <v>0</v>
      </c>
      <c r="CI416">
        <v>0</v>
      </c>
      <c r="CJ416">
        <v>0</v>
      </c>
      <c r="CK416">
        <v>0</v>
      </c>
      <c r="CL416">
        <v>0</v>
      </c>
      <c r="CM416">
        <v>0</v>
      </c>
      <c r="CN416" s="18">
        <v>0</v>
      </c>
      <c r="CO416">
        <v>8.5000000000000006E-2</v>
      </c>
      <c r="CP416">
        <v>58</v>
      </c>
      <c r="CQ416">
        <v>1</v>
      </c>
      <c r="CR416">
        <v>0</v>
      </c>
      <c r="CS416">
        <v>10</v>
      </c>
      <c r="CY416" s="34"/>
    </row>
    <row r="417" spans="1:103" s="51" customFormat="1" x14ac:dyDescent="0.25">
      <c r="A417" s="51">
        <v>416</v>
      </c>
      <c r="B417" s="51">
        <v>27</v>
      </c>
      <c r="C417" s="52" t="s">
        <v>490</v>
      </c>
      <c r="D417" s="53">
        <v>1.9</v>
      </c>
      <c r="E417" s="54">
        <f t="shared" si="100"/>
        <v>0.14843749999999997</v>
      </c>
      <c r="F417" s="55">
        <v>12.8</v>
      </c>
      <c r="G417" s="55">
        <f t="shared" si="91"/>
        <v>1.7515624999999999</v>
      </c>
      <c r="H417" s="56">
        <f t="shared" si="92"/>
        <v>2.0484374999999999</v>
      </c>
      <c r="I417" s="11">
        <f t="shared" si="96"/>
        <v>8.0980485224041943E-2</v>
      </c>
      <c r="J417" s="33">
        <f t="shared" si="97"/>
        <v>6.3266004081282768E-3</v>
      </c>
      <c r="K417" s="33">
        <f t="shared" si="98"/>
        <v>158.06277234061156</v>
      </c>
      <c r="L417" s="59">
        <v>0</v>
      </c>
      <c r="M417" s="60">
        <v>1</v>
      </c>
      <c r="N417" s="59">
        <v>0</v>
      </c>
      <c r="O417" s="60">
        <v>0</v>
      </c>
      <c r="P417" s="60">
        <v>0</v>
      </c>
      <c r="Q417" s="60">
        <v>1</v>
      </c>
      <c r="R417" s="60">
        <v>0</v>
      </c>
      <c r="S417" s="59">
        <v>24826</v>
      </c>
      <c r="T417" s="60">
        <v>5</v>
      </c>
      <c r="U417" s="60">
        <f t="shared" si="93"/>
        <v>24820</v>
      </c>
      <c r="V417" s="60">
        <f t="shared" si="94"/>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v>0</v>
      </c>
      <c r="BF417" s="65">
        <v>1</v>
      </c>
      <c r="BG417">
        <v>0</v>
      </c>
      <c r="BH417">
        <v>1</v>
      </c>
      <c r="BI417" s="65">
        <v>0</v>
      </c>
      <c r="BJ417">
        <v>1066</v>
      </c>
      <c r="BK417">
        <v>85</v>
      </c>
      <c r="BL417" s="52">
        <v>31.8</v>
      </c>
      <c r="BM417" s="51">
        <v>1</v>
      </c>
      <c r="BN417" s="51">
        <v>0</v>
      </c>
      <c r="BO417" s="51">
        <v>0</v>
      </c>
      <c r="BP417" s="51">
        <v>0</v>
      </c>
      <c r="BQ417" s="51">
        <v>0</v>
      </c>
      <c r="BR417" s="51">
        <v>0</v>
      </c>
      <c r="BS417" s="51">
        <v>0</v>
      </c>
      <c r="BT417" s="65">
        <v>0</v>
      </c>
      <c r="BU417" s="51">
        <v>0</v>
      </c>
      <c r="BV417" s="51">
        <v>0</v>
      </c>
      <c r="BW417" s="51">
        <v>1</v>
      </c>
      <c r="BX417" s="65">
        <v>0</v>
      </c>
      <c r="BY417" s="51">
        <v>0</v>
      </c>
      <c r="BZ417" s="51">
        <v>0</v>
      </c>
      <c r="CA417" s="51">
        <v>0</v>
      </c>
      <c r="CB417" s="51">
        <v>0</v>
      </c>
      <c r="CC417" s="65">
        <v>0</v>
      </c>
      <c r="CD417" s="51">
        <v>0</v>
      </c>
      <c r="CE417" s="51">
        <v>0</v>
      </c>
      <c r="CF417" s="51">
        <v>1</v>
      </c>
      <c r="CG417" s="51">
        <v>1</v>
      </c>
      <c r="CH417" s="51">
        <v>0</v>
      </c>
      <c r="CI417" s="51">
        <v>0</v>
      </c>
      <c r="CJ417" s="51">
        <v>0</v>
      </c>
      <c r="CK417" s="51">
        <v>0</v>
      </c>
      <c r="CL417" s="51">
        <v>0</v>
      </c>
      <c r="CM417" s="51">
        <v>0</v>
      </c>
      <c r="CN417" s="65">
        <v>0</v>
      </c>
      <c r="CO417">
        <v>8.5000000000000006E-2</v>
      </c>
      <c r="CP417">
        <v>58</v>
      </c>
      <c r="CQ417">
        <v>1</v>
      </c>
      <c r="CR417">
        <v>0</v>
      </c>
      <c r="CS417">
        <v>10</v>
      </c>
      <c r="CT417" s="67"/>
      <c r="CY417" s="67"/>
    </row>
    <row r="418" spans="1:103" x14ac:dyDescent="0.25">
      <c r="A418">
        <v>417</v>
      </c>
      <c r="B418">
        <v>28</v>
      </c>
      <c r="C418" s="25" t="s">
        <v>275</v>
      </c>
      <c r="D418" s="12">
        <v>4.8</v>
      </c>
      <c r="E418" s="14">
        <v>0.3</v>
      </c>
      <c r="F418" s="7">
        <f t="shared" ref="F418:F426" si="101">D418/E418</f>
        <v>16</v>
      </c>
      <c r="G418" s="7">
        <f t="shared" si="91"/>
        <v>4.5</v>
      </c>
      <c r="H418" s="16">
        <f t="shared" si="92"/>
        <v>5.0999999999999996</v>
      </c>
      <c r="I418" s="11">
        <f t="shared" si="96"/>
        <v>0.36891438072857313</v>
      </c>
      <c r="J418" s="33">
        <f t="shared" si="97"/>
        <v>2.3057148795535824E-2</v>
      </c>
      <c r="K418" s="33">
        <f t="shared" si="98"/>
        <v>43.370496884402876</v>
      </c>
      <c r="L418" s="8">
        <v>1</v>
      </c>
      <c r="M418" s="9">
        <v>0</v>
      </c>
      <c r="N418" s="8">
        <v>0</v>
      </c>
      <c r="O418" s="9">
        <v>0</v>
      </c>
      <c r="P418" s="9">
        <v>0</v>
      </c>
      <c r="Q418" s="9">
        <v>0</v>
      </c>
      <c r="R418" s="9">
        <v>1</v>
      </c>
      <c r="S418" s="8">
        <v>1629</v>
      </c>
      <c r="T418" s="9">
        <v>3</v>
      </c>
      <c r="U418" s="9">
        <f t="shared" si="93"/>
        <v>1625</v>
      </c>
      <c r="V418" s="9">
        <f t="shared" si="94"/>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102">1-AT418</f>
        <v>0.36770000000000003</v>
      </c>
      <c r="AT418" s="40">
        <v>0.63229999999999997</v>
      </c>
      <c r="AU418">
        <v>0</v>
      </c>
      <c r="AV418" s="18">
        <v>1</v>
      </c>
      <c r="AW418">
        <v>0</v>
      </c>
      <c r="AX418" s="18">
        <v>1</v>
      </c>
      <c r="AY418" s="18" t="s">
        <v>6</v>
      </c>
      <c r="AZ418">
        <v>0</v>
      </c>
      <c r="BA418">
        <v>0</v>
      </c>
      <c r="BB418">
        <v>0</v>
      </c>
      <c r="BC418">
        <v>0</v>
      </c>
      <c r="BD418">
        <v>1</v>
      </c>
      <c r="BE418">
        <v>0</v>
      </c>
      <c r="BF418" s="18">
        <v>0</v>
      </c>
      <c r="BG418">
        <v>0</v>
      </c>
      <c r="BH418">
        <v>1</v>
      </c>
      <c r="BI418" s="18">
        <v>0</v>
      </c>
      <c r="BJ418">
        <v>1617</v>
      </c>
      <c r="BK418">
        <v>21</v>
      </c>
      <c r="BL418" s="25">
        <v>35.659999999999997</v>
      </c>
      <c r="BM418">
        <v>1</v>
      </c>
      <c r="BN418">
        <v>0</v>
      </c>
      <c r="BO418">
        <v>0</v>
      </c>
      <c r="BP418">
        <v>0</v>
      </c>
      <c r="BQ418">
        <v>0</v>
      </c>
      <c r="BR418">
        <v>0</v>
      </c>
      <c r="BS418">
        <v>0</v>
      </c>
      <c r="BT418" s="18">
        <v>0</v>
      </c>
      <c r="BU418">
        <v>0</v>
      </c>
      <c r="BV418">
        <v>0</v>
      </c>
      <c r="BW418">
        <v>1</v>
      </c>
      <c r="BX418" s="18">
        <v>0</v>
      </c>
      <c r="BY418">
        <v>0</v>
      </c>
      <c r="BZ418">
        <v>0</v>
      </c>
      <c r="CA418">
        <v>0</v>
      </c>
      <c r="CB418">
        <v>0</v>
      </c>
      <c r="CC418" s="18">
        <v>0</v>
      </c>
      <c r="CD418">
        <v>0</v>
      </c>
      <c r="CE418">
        <v>0</v>
      </c>
      <c r="CF418">
        <v>1</v>
      </c>
      <c r="CG418">
        <v>1</v>
      </c>
      <c r="CH418">
        <v>0</v>
      </c>
      <c r="CI418">
        <v>0</v>
      </c>
      <c r="CJ418">
        <v>0</v>
      </c>
      <c r="CK418">
        <v>0</v>
      </c>
      <c r="CL418">
        <v>0</v>
      </c>
      <c r="CM418">
        <v>0</v>
      </c>
      <c r="CN418" s="18">
        <v>0</v>
      </c>
      <c r="CO418">
        <v>2.3E-2</v>
      </c>
      <c r="CP418">
        <v>97</v>
      </c>
      <c r="CQ418">
        <v>1</v>
      </c>
      <c r="CR418">
        <v>0</v>
      </c>
      <c r="CS418">
        <v>13</v>
      </c>
      <c r="CY418" s="34"/>
    </row>
    <row r="419" spans="1:103" x14ac:dyDescent="0.25">
      <c r="A419">
        <v>418</v>
      </c>
      <c r="B419">
        <v>28</v>
      </c>
      <c r="C419" s="25" t="s">
        <v>275</v>
      </c>
      <c r="D419" s="12">
        <v>4.5999999999999996</v>
      </c>
      <c r="E419" s="14">
        <v>0.3</v>
      </c>
      <c r="F419" s="7">
        <f t="shared" si="101"/>
        <v>15.333333333333332</v>
      </c>
      <c r="G419" s="7">
        <f t="shared" si="91"/>
        <v>4.3</v>
      </c>
      <c r="H419" s="16">
        <f t="shared" si="92"/>
        <v>4.8999999999999995</v>
      </c>
      <c r="I419" s="11">
        <f t="shared" si="96"/>
        <v>0.32167832167832161</v>
      </c>
      <c r="J419" s="33">
        <f t="shared" si="97"/>
        <v>2.097902097902098E-2</v>
      </c>
      <c r="K419" s="33">
        <f t="shared" si="98"/>
        <v>47.666666666666664</v>
      </c>
      <c r="L419" s="8">
        <v>1</v>
      </c>
      <c r="M419" s="9">
        <v>0</v>
      </c>
      <c r="N419" s="8">
        <v>0</v>
      </c>
      <c r="O419" s="9">
        <v>0</v>
      </c>
      <c r="P419" s="9">
        <v>0</v>
      </c>
      <c r="Q419" s="9">
        <v>0</v>
      </c>
      <c r="R419" s="9">
        <v>1</v>
      </c>
      <c r="S419" s="8">
        <v>2041</v>
      </c>
      <c r="T419" s="9">
        <v>3</v>
      </c>
      <c r="U419" s="9">
        <f t="shared" si="93"/>
        <v>2037</v>
      </c>
      <c r="V419" s="9">
        <f t="shared" si="94"/>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102"/>
        <v>0.44810000000000005</v>
      </c>
      <c r="AT419" s="40">
        <v>0.55189999999999995</v>
      </c>
      <c r="AU419">
        <v>0</v>
      </c>
      <c r="AV419" s="18">
        <v>1</v>
      </c>
      <c r="AW419">
        <v>0</v>
      </c>
      <c r="AX419" s="18">
        <v>1</v>
      </c>
      <c r="AY419" s="18" t="s">
        <v>6</v>
      </c>
      <c r="AZ419">
        <v>0</v>
      </c>
      <c r="BA419">
        <v>0</v>
      </c>
      <c r="BB419">
        <v>0</v>
      </c>
      <c r="BC419">
        <v>0</v>
      </c>
      <c r="BD419">
        <v>1</v>
      </c>
      <c r="BE419">
        <v>0</v>
      </c>
      <c r="BF419" s="18">
        <v>0</v>
      </c>
      <c r="BG419">
        <v>0</v>
      </c>
      <c r="BH419">
        <v>1</v>
      </c>
      <c r="BI419" s="18">
        <v>0</v>
      </c>
      <c r="BJ419">
        <v>1881</v>
      </c>
      <c r="BK419">
        <v>55</v>
      </c>
      <c r="BL419" s="25">
        <v>36.31</v>
      </c>
      <c r="BM419">
        <v>1</v>
      </c>
      <c r="BN419">
        <v>0</v>
      </c>
      <c r="BO419">
        <v>0</v>
      </c>
      <c r="BP419">
        <v>0</v>
      </c>
      <c r="BQ419">
        <v>0</v>
      </c>
      <c r="BR419">
        <v>0</v>
      </c>
      <c r="BS419">
        <v>0</v>
      </c>
      <c r="BT419" s="18">
        <v>0</v>
      </c>
      <c r="BU419">
        <v>0</v>
      </c>
      <c r="BV419">
        <v>0</v>
      </c>
      <c r="BW419">
        <v>1</v>
      </c>
      <c r="BX419" s="18">
        <v>0</v>
      </c>
      <c r="BY419">
        <v>0</v>
      </c>
      <c r="BZ419">
        <v>0</v>
      </c>
      <c r="CA419">
        <v>0</v>
      </c>
      <c r="CB419">
        <v>0</v>
      </c>
      <c r="CC419" s="18">
        <v>0</v>
      </c>
      <c r="CD419">
        <v>0</v>
      </c>
      <c r="CE419">
        <v>0</v>
      </c>
      <c r="CF419">
        <v>1</v>
      </c>
      <c r="CG419">
        <v>1</v>
      </c>
      <c r="CH419">
        <v>0</v>
      </c>
      <c r="CI419">
        <v>0</v>
      </c>
      <c r="CJ419">
        <v>0</v>
      </c>
      <c r="CK419">
        <v>0</v>
      </c>
      <c r="CL419">
        <v>0</v>
      </c>
      <c r="CM419">
        <v>0</v>
      </c>
      <c r="CN419" s="18">
        <v>0</v>
      </c>
      <c r="CO419">
        <v>2.3E-2</v>
      </c>
      <c r="CP419">
        <v>97</v>
      </c>
      <c r="CQ419">
        <v>1</v>
      </c>
      <c r="CR419">
        <v>0</v>
      </c>
      <c r="CS419">
        <v>13</v>
      </c>
      <c r="CY419" s="34"/>
    </row>
    <row r="420" spans="1:103" x14ac:dyDescent="0.25">
      <c r="A420">
        <v>419</v>
      </c>
      <c r="B420">
        <v>28</v>
      </c>
      <c r="C420" s="25" t="s">
        <v>275</v>
      </c>
      <c r="D420" s="12">
        <v>5.3</v>
      </c>
      <c r="E420" s="14">
        <v>0.3</v>
      </c>
      <c r="F420" s="7">
        <f t="shared" si="101"/>
        <v>17.666666666666668</v>
      </c>
      <c r="G420" s="7">
        <f t="shared" si="91"/>
        <v>5</v>
      </c>
      <c r="H420" s="16">
        <f t="shared" si="92"/>
        <v>5.6</v>
      </c>
      <c r="I420" s="11">
        <f t="shared" si="96"/>
        <v>0.30955535968034781</v>
      </c>
      <c r="J420" s="33">
        <f t="shared" si="97"/>
        <v>1.7522001491340439E-2</v>
      </c>
      <c r="K420" s="33">
        <f t="shared" si="98"/>
        <v>57.071105746350419</v>
      </c>
      <c r="L420" s="8">
        <v>1</v>
      </c>
      <c r="M420" s="9">
        <v>0</v>
      </c>
      <c r="N420" s="8">
        <v>0</v>
      </c>
      <c r="O420" s="9">
        <v>0</v>
      </c>
      <c r="P420" s="9">
        <v>0</v>
      </c>
      <c r="Q420" s="9">
        <v>0</v>
      </c>
      <c r="R420" s="9">
        <v>1</v>
      </c>
      <c r="S420" s="8">
        <v>2949</v>
      </c>
      <c r="T420" s="9">
        <v>3</v>
      </c>
      <c r="U420" s="9">
        <f t="shared" si="93"/>
        <v>2945</v>
      </c>
      <c r="V420" s="9">
        <f t="shared" si="94"/>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102"/>
        <v>0.56109999999999993</v>
      </c>
      <c r="AT420" s="40">
        <v>0.43890000000000001</v>
      </c>
      <c r="AU420">
        <v>0</v>
      </c>
      <c r="AV420" s="18">
        <v>1</v>
      </c>
      <c r="AW420">
        <v>0</v>
      </c>
      <c r="AX420" s="18">
        <v>1</v>
      </c>
      <c r="AY420" s="18" t="s">
        <v>6</v>
      </c>
      <c r="AZ420">
        <v>0</v>
      </c>
      <c r="BA420">
        <v>0</v>
      </c>
      <c r="BB420">
        <v>0</v>
      </c>
      <c r="BC420">
        <v>0</v>
      </c>
      <c r="BD420">
        <v>1</v>
      </c>
      <c r="BE420">
        <v>0</v>
      </c>
      <c r="BF420" s="18">
        <v>0</v>
      </c>
      <c r="BG420">
        <v>0</v>
      </c>
      <c r="BH420">
        <v>1</v>
      </c>
      <c r="BI420" s="18">
        <v>0</v>
      </c>
      <c r="BJ420">
        <v>2166</v>
      </c>
      <c r="BK420">
        <v>43</v>
      </c>
      <c r="BL420" s="25">
        <v>34.93</v>
      </c>
      <c r="BM420">
        <v>1</v>
      </c>
      <c r="BN420">
        <v>0</v>
      </c>
      <c r="BO420">
        <v>0</v>
      </c>
      <c r="BP420">
        <v>0</v>
      </c>
      <c r="BQ420">
        <v>0</v>
      </c>
      <c r="BR420">
        <v>0</v>
      </c>
      <c r="BS420">
        <v>0</v>
      </c>
      <c r="BT420" s="18">
        <v>0</v>
      </c>
      <c r="BU420">
        <v>0</v>
      </c>
      <c r="BV420">
        <v>0</v>
      </c>
      <c r="BW420">
        <v>1</v>
      </c>
      <c r="BX420" s="18">
        <v>0</v>
      </c>
      <c r="BY420">
        <v>0</v>
      </c>
      <c r="BZ420">
        <v>0</v>
      </c>
      <c r="CA420">
        <v>0</v>
      </c>
      <c r="CB420">
        <v>0</v>
      </c>
      <c r="CC420" s="18">
        <v>0</v>
      </c>
      <c r="CD420">
        <v>0</v>
      </c>
      <c r="CE420">
        <v>0</v>
      </c>
      <c r="CF420">
        <v>1</v>
      </c>
      <c r="CG420">
        <v>1</v>
      </c>
      <c r="CH420">
        <v>0</v>
      </c>
      <c r="CI420">
        <v>0</v>
      </c>
      <c r="CJ420">
        <v>0</v>
      </c>
      <c r="CK420">
        <v>0</v>
      </c>
      <c r="CL420">
        <v>0</v>
      </c>
      <c r="CM420">
        <v>0</v>
      </c>
      <c r="CN420" s="18">
        <v>0</v>
      </c>
      <c r="CO420">
        <v>2.3E-2</v>
      </c>
      <c r="CP420">
        <v>97</v>
      </c>
      <c r="CQ420">
        <v>1</v>
      </c>
      <c r="CR420">
        <v>0</v>
      </c>
      <c r="CS420">
        <v>13</v>
      </c>
      <c r="CY420" s="34"/>
    </row>
    <row r="421" spans="1:103" x14ac:dyDescent="0.25">
      <c r="A421">
        <v>420</v>
      </c>
      <c r="B421">
        <v>28</v>
      </c>
      <c r="C421" s="25" t="s">
        <v>275</v>
      </c>
      <c r="D421" s="12">
        <v>7</v>
      </c>
      <c r="E421" s="14">
        <v>0.6</v>
      </c>
      <c r="F421" s="7">
        <f t="shared" si="101"/>
        <v>11.666666666666668</v>
      </c>
      <c r="G421" s="7">
        <f t="shared" si="91"/>
        <v>6.4</v>
      </c>
      <c r="H421" s="16">
        <f t="shared" si="92"/>
        <v>7.6</v>
      </c>
      <c r="I421" s="11">
        <f t="shared" si="96"/>
        <v>0.28395287839479089</v>
      </c>
      <c r="J421" s="33">
        <f t="shared" si="97"/>
        <v>2.4338818148124934E-2</v>
      </c>
      <c r="K421" s="33">
        <f t="shared" si="98"/>
        <v>41.08662934716245</v>
      </c>
      <c r="L421" s="8">
        <v>1</v>
      </c>
      <c r="M421" s="9">
        <v>0</v>
      </c>
      <c r="N421" s="8">
        <v>0</v>
      </c>
      <c r="O421" s="9">
        <v>0</v>
      </c>
      <c r="P421" s="9">
        <v>0</v>
      </c>
      <c r="Q421" s="9">
        <v>0</v>
      </c>
      <c r="R421" s="9">
        <v>1</v>
      </c>
      <c r="S421" s="8">
        <v>1556</v>
      </c>
      <c r="T421" s="9">
        <v>3</v>
      </c>
      <c r="U421" s="9">
        <f t="shared" si="93"/>
        <v>1552</v>
      </c>
      <c r="V421" s="9">
        <f t="shared" si="94"/>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102"/>
        <v>0.33290000000000008</v>
      </c>
      <c r="AT421" s="40">
        <v>0.66709999999999992</v>
      </c>
      <c r="AU421">
        <v>0</v>
      </c>
      <c r="AV421" s="18">
        <v>1</v>
      </c>
      <c r="AW421">
        <v>0</v>
      </c>
      <c r="AX421" s="18">
        <v>1</v>
      </c>
      <c r="AY421" s="18" t="s">
        <v>15</v>
      </c>
      <c r="AZ421">
        <v>0</v>
      </c>
      <c r="BA421">
        <v>0</v>
      </c>
      <c r="BB421">
        <v>0</v>
      </c>
      <c r="BC421">
        <v>0</v>
      </c>
      <c r="BD421">
        <v>1</v>
      </c>
      <c r="BE421">
        <v>0</v>
      </c>
      <c r="BF421" s="18">
        <v>0</v>
      </c>
      <c r="BG421">
        <v>0</v>
      </c>
      <c r="BH421">
        <v>1</v>
      </c>
      <c r="BI421" s="18">
        <v>0</v>
      </c>
      <c r="BJ421">
        <v>1437</v>
      </c>
      <c r="BK421">
        <v>18</v>
      </c>
      <c r="BL421" s="25">
        <v>32.450000000000003</v>
      </c>
      <c r="BM421">
        <v>1</v>
      </c>
      <c r="BN421">
        <v>0</v>
      </c>
      <c r="BO421">
        <v>0</v>
      </c>
      <c r="BP421">
        <v>0</v>
      </c>
      <c r="BQ421">
        <v>0</v>
      </c>
      <c r="BR421">
        <v>0</v>
      </c>
      <c r="BS421">
        <v>0</v>
      </c>
      <c r="BT421" s="18">
        <v>0</v>
      </c>
      <c r="BU421">
        <v>0</v>
      </c>
      <c r="BV421">
        <v>0</v>
      </c>
      <c r="BW421">
        <v>1</v>
      </c>
      <c r="BX421" s="18">
        <v>0</v>
      </c>
      <c r="BY421">
        <v>0</v>
      </c>
      <c r="BZ421">
        <v>0</v>
      </c>
      <c r="CA421">
        <v>0</v>
      </c>
      <c r="CB421">
        <v>0</v>
      </c>
      <c r="CC421" s="18">
        <v>0</v>
      </c>
      <c r="CD421">
        <v>0</v>
      </c>
      <c r="CE421">
        <v>0</v>
      </c>
      <c r="CF421">
        <v>1</v>
      </c>
      <c r="CG421">
        <v>1</v>
      </c>
      <c r="CH421">
        <v>0</v>
      </c>
      <c r="CI421">
        <v>0</v>
      </c>
      <c r="CJ421">
        <v>0</v>
      </c>
      <c r="CK421">
        <v>0</v>
      </c>
      <c r="CL421">
        <v>0</v>
      </c>
      <c r="CM421">
        <v>0</v>
      </c>
      <c r="CN421" s="18">
        <v>0</v>
      </c>
      <c r="CO421">
        <v>2.3E-2</v>
      </c>
      <c r="CP421">
        <v>97</v>
      </c>
      <c r="CQ421">
        <v>1</v>
      </c>
      <c r="CR421">
        <v>0</v>
      </c>
      <c r="CS421">
        <v>13</v>
      </c>
      <c r="CY421" s="34"/>
    </row>
    <row r="422" spans="1:103" x14ac:dyDescent="0.25">
      <c r="A422">
        <v>421</v>
      </c>
      <c r="B422">
        <v>28</v>
      </c>
      <c r="C422" s="25" t="s">
        <v>275</v>
      </c>
      <c r="D422" s="12">
        <v>9.1</v>
      </c>
      <c r="E422" s="14">
        <v>0.4</v>
      </c>
      <c r="F422" s="7">
        <f t="shared" si="101"/>
        <v>22.749999999999996</v>
      </c>
      <c r="G422" s="7">
        <f t="shared" si="91"/>
        <v>8.6999999999999993</v>
      </c>
      <c r="H422" s="16">
        <f t="shared" si="92"/>
        <v>9.5</v>
      </c>
      <c r="I422" s="11">
        <f t="shared" si="96"/>
        <v>0.44230554911311321</v>
      </c>
      <c r="J422" s="33">
        <f t="shared" si="97"/>
        <v>1.9442002158818167E-2</v>
      </c>
      <c r="K422" s="33">
        <f t="shared" si="98"/>
        <v>51.435031836288388</v>
      </c>
      <c r="L422" s="8">
        <v>1</v>
      </c>
      <c r="M422" s="9">
        <v>0</v>
      </c>
      <c r="N422" s="8">
        <v>0</v>
      </c>
      <c r="O422" s="9">
        <v>0</v>
      </c>
      <c r="P422" s="9">
        <v>0</v>
      </c>
      <c r="Q422" s="9">
        <v>0</v>
      </c>
      <c r="R422" s="9">
        <v>1</v>
      </c>
      <c r="S422" s="8">
        <v>2132</v>
      </c>
      <c r="T422" s="9">
        <v>3</v>
      </c>
      <c r="U422" s="9">
        <f t="shared" si="93"/>
        <v>2128</v>
      </c>
      <c r="V422" s="9">
        <f t="shared" si="94"/>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102"/>
        <v>0.51</v>
      </c>
      <c r="AT422" s="40">
        <v>0.49</v>
      </c>
      <c r="AU422">
        <v>0</v>
      </c>
      <c r="AV422" s="18">
        <v>1</v>
      </c>
      <c r="AW422">
        <v>0</v>
      </c>
      <c r="AX422" s="18">
        <v>1</v>
      </c>
      <c r="AY422" s="18" t="s">
        <v>15</v>
      </c>
      <c r="AZ422">
        <v>0</v>
      </c>
      <c r="BA422">
        <v>0</v>
      </c>
      <c r="BB422">
        <v>0</v>
      </c>
      <c r="BC422">
        <v>0</v>
      </c>
      <c r="BD422">
        <v>1</v>
      </c>
      <c r="BE422">
        <v>0</v>
      </c>
      <c r="BF422" s="18">
        <v>0</v>
      </c>
      <c r="BG422">
        <v>0</v>
      </c>
      <c r="BH422">
        <v>1</v>
      </c>
      <c r="BI422" s="18">
        <v>0</v>
      </c>
      <c r="BJ422">
        <v>1756</v>
      </c>
      <c r="BK422">
        <v>72</v>
      </c>
      <c r="BL422" s="25">
        <v>34.99</v>
      </c>
      <c r="BM422">
        <v>1</v>
      </c>
      <c r="BN422">
        <v>0</v>
      </c>
      <c r="BO422">
        <v>0</v>
      </c>
      <c r="BP422">
        <v>0</v>
      </c>
      <c r="BQ422">
        <v>0</v>
      </c>
      <c r="BR422">
        <v>0</v>
      </c>
      <c r="BS422">
        <v>0</v>
      </c>
      <c r="BT422" s="18">
        <v>0</v>
      </c>
      <c r="BU422">
        <v>0</v>
      </c>
      <c r="BV422">
        <v>0</v>
      </c>
      <c r="BW422">
        <v>1</v>
      </c>
      <c r="BX422" s="18">
        <v>0</v>
      </c>
      <c r="BY422">
        <v>0</v>
      </c>
      <c r="BZ422">
        <v>0</v>
      </c>
      <c r="CA422">
        <v>0</v>
      </c>
      <c r="CB422">
        <v>0</v>
      </c>
      <c r="CC422" s="18">
        <v>0</v>
      </c>
      <c r="CD422">
        <v>0</v>
      </c>
      <c r="CE422">
        <v>0</v>
      </c>
      <c r="CF422">
        <v>1</v>
      </c>
      <c r="CG422">
        <v>1</v>
      </c>
      <c r="CH422">
        <v>0</v>
      </c>
      <c r="CI422">
        <v>0</v>
      </c>
      <c r="CJ422">
        <v>0</v>
      </c>
      <c r="CK422">
        <v>0</v>
      </c>
      <c r="CL422">
        <v>0</v>
      </c>
      <c r="CM422">
        <v>0</v>
      </c>
      <c r="CN422" s="18">
        <v>0</v>
      </c>
      <c r="CO422">
        <v>2.3E-2</v>
      </c>
      <c r="CP422">
        <v>97</v>
      </c>
      <c r="CQ422">
        <v>1</v>
      </c>
      <c r="CR422">
        <v>0</v>
      </c>
      <c r="CS422">
        <v>13</v>
      </c>
      <c r="CY422" s="34"/>
    </row>
    <row r="423" spans="1:103" x14ac:dyDescent="0.25">
      <c r="A423">
        <v>422</v>
      </c>
      <c r="B423">
        <v>28</v>
      </c>
      <c r="C423" s="25" t="s">
        <v>275</v>
      </c>
      <c r="D423" s="12">
        <v>8.1</v>
      </c>
      <c r="E423" s="14">
        <v>0.2</v>
      </c>
      <c r="F423" s="7">
        <f t="shared" si="101"/>
        <v>40.499999999999993</v>
      </c>
      <c r="G423" s="7">
        <f t="shared" si="91"/>
        <v>7.8999999999999995</v>
      </c>
      <c r="H423" s="16">
        <f t="shared" si="92"/>
        <v>8.2999999999999989</v>
      </c>
      <c r="I423" s="11">
        <f t="shared" si="96"/>
        <v>0.42586185739690013</v>
      </c>
      <c r="J423" s="33">
        <f t="shared" si="97"/>
        <v>1.051510759004692E-2</v>
      </c>
      <c r="K423" s="33">
        <f t="shared" si="98"/>
        <v>95.101261821281838</v>
      </c>
      <c r="L423" s="8">
        <v>1</v>
      </c>
      <c r="M423" s="9">
        <v>0</v>
      </c>
      <c r="N423" s="8">
        <v>0</v>
      </c>
      <c r="O423" s="9">
        <v>0</v>
      </c>
      <c r="P423" s="9">
        <v>0</v>
      </c>
      <c r="Q423" s="9">
        <v>0</v>
      </c>
      <c r="R423" s="9">
        <v>1</v>
      </c>
      <c r="S423" s="8">
        <v>7408</v>
      </c>
      <c r="T423" s="9">
        <v>3</v>
      </c>
      <c r="U423" s="9">
        <f t="shared" si="93"/>
        <v>7404</v>
      </c>
      <c r="V423" s="9">
        <f t="shared" si="94"/>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102"/>
        <v>0.64929999999999999</v>
      </c>
      <c r="AT423" s="40">
        <v>0.35070000000000001</v>
      </c>
      <c r="AU423">
        <v>0</v>
      </c>
      <c r="AV423" s="18">
        <v>1</v>
      </c>
      <c r="AW423">
        <v>0</v>
      </c>
      <c r="AX423" s="18">
        <v>1</v>
      </c>
      <c r="AY423" s="18" t="s">
        <v>15</v>
      </c>
      <c r="AZ423">
        <v>0</v>
      </c>
      <c r="BA423">
        <v>0</v>
      </c>
      <c r="BB423">
        <v>0</v>
      </c>
      <c r="BC423">
        <v>0</v>
      </c>
      <c r="BD423">
        <v>1</v>
      </c>
      <c r="BE423">
        <v>0</v>
      </c>
      <c r="BF423" s="18">
        <v>0</v>
      </c>
      <c r="BG423">
        <v>0</v>
      </c>
      <c r="BH423">
        <v>1</v>
      </c>
      <c r="BI423" s="18">
        <v>0</v>
      </c>
      <c r="BJ423">
        <v>2597</v>
      </c>
      <c r="BK423">
        <v>69</v>
      </c>
      <c r="BL423" s="25">
        <v>34.47</v>
      </c>
      <c r="BM423">
        <v>1</v>
      </c>
      <c r="BN423">
        <v>0</v>
      </c>
      <c r="BO423">
        <v>0</v>
      </c>
      <c r="BP423">
        <v>0</v>
      </c>
      <c r="BQ423">
        <v>0</v>
      </c>
      <c r="BR423">
        <v>0</v>
      </c>
      <c r="BS423">
        <v>0</v>
      </c>
      <c r="BT423" s="18">
        <v>0</v>
      </c>
      <c r="BU423">
        <v>0</v>
      </c>
      <c r="BV423">
        <v>0</v>
      </c>
      <c r="BW423">
        <v>1</v>
      </c>
      <c r="BX423" s="18">
        <v>0</v>
      </c>
      <c r="BY423">
        <v>0</v>
      </c>
      <c r="BZ423">
        <v>0</v>
      </c>
      <c r="CA423">
        <v>0</v>
      </c>
      <c r="CB423">
        <v>0</v>
      </c>
      <c r="CC423" s="18">
        <v>0</v>
      </c>
      <c r="CD423">
        <v>0</v>
      </c>
      <c r="CE423">
        <v>0</v>
      </c>
      <c r="CF423">
        <v>1</v>
      </c>
      <c r="CG423">
        <v>1</v>
      </c>
      <c r="CH423">
        <v>0</v>
      </c>
      <c r="CI423">
        <v>0</v>
      </c>
      <c r="CJ423">
        <v>0</v>
      </c>
      <c r="CK423">
        <v>0</v>
      </c>
      <c r="CL423">
        <v>0</v>
      </c>
      <c r="CM423">
        <v>0</v>
      </c>
      <c r="CN423" s="18">
        <v>0</v>
      </c>
      <c r="CO423">
        <v>2.3E-2</v>
      </c>
      <c r="CP423">
        <v>97</v>
      </c>
      <c r="CQ423">
        <v>1</v>
      </c>
      <c r="CR423">
        <v>0</v>
      </c>
      <c r="CS423">
        <v>13</v>
      </c>
      <c r="CY423" s="34"/>
    </row>
    <row r="424" spans="1:103" x14ac:dyDescent="0.25">
      <c r="A424">
        <v>423</v>
      </c>
      <c r="B424">
        <v>28</v>
      </c>
      <c r="C424" s="25" t="s">
        <v>275</v>
      </c>
      <c r="D424" s="12">
        <v>6.5</v>
      </c>
      <c r="E424" s="14">
        <v>0.2</v>
      </c>
      <c r="F424" s="7">
        <f t="shared" si="101"/>
        <v>32.5</v>
      </c>
      <c r="G424" s="7">
        <f t="shared" si="91"/>
        <v>6.3</v>
      </c>
      <c r="H424" s="16">
        <f t="shared" si="92"/>
        <v>6.7</v>
      </c>
      <c r="I424" s="11">
        <f t="shared" si="96"/>
        <v>0.34632820004060327</v>
      </c>
      <c r="J424" s="33">
        <f t="shared" si="97"/>
        <v>1.0656252308941638E-2</v>
      </c>
      <c r="K424" s="33">
        <f t="shared" si="98"/>
        <v>93.841621895617294</v>
      </c>
      <c r="L424" s="8">
        <v>1</v>
      </c>
      <c r="M424" s="9">
        <v>0</v>
      </c>
      <c r="N424" s="8">
        <v>0</v>
      </c>
      <c r="O424" s="9">
        <v>0</v>
      </c>
      <c r="P424" s="9">
        <v>0</v>
      </c>
      <c r="Q424" s="9">
        <v>0</v>
      </c>
      <c r="R424" s="9">
        <v>1</v>
      </c>
      <c r="S424" s="8">
        <v>7754</v>
      </c>
      <c r="T424" s="9">
        <v>3</v>
      </c>
      <c r="U424" s="9">
        <f t="shared" si="93"/>
        <v>7750</v>
      </c>
      <c r="V424" s="9">
        <f t="shared" si="94"/>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102"/>
        <v>0.77629999999999999</v>
      </c>
      <c r="AT424" s="40">
        <v>0.22370000000000001</v>
      </c>
      <c r="AU424">
        <v>0</v>
      </c>
      <c r="AV424" s="18">
        <v>1</v>
      </c>
      <c r="AW424">
        <v>0</v>
      </c>
      <c r="AX424" s="18">
        <v>1</v>
      </c>
      <c r="AY424" s="18" t="s">
        <v>29</v>
      </c>
      <c r="AZ424">
        <v>0</v>
      </c>
      <c r="BA424">
        <v>0</v>
      </c>
      <c r="BB424">
        <v>1</v>
      </c>
      <c r="BC424">
        <v>0</v>
      </c>
      <c r="BD424">
        <v>0</v>
      </c>
      <c r="BE424">
        <v>0</v>
      </c>
      <c r="BF424" s="18">
        <v>0</v>
      </c>
      <c r="BG424">
        <v>0</v>
      </c>
      <c r="BH424">
        <v>1</v>
      </c>
      <c r="BI424" s="18">
        <v>0</v>
      </c>
      <c r="BJ424">
        <v>3251</v>
      </c>
      <c r="BK424" t="s">
        <v>98</v>
      </c>
      <c r="BL424" s="25">
        <v>33.72</v>
      </c>
      <c r="BM424">
        <v>1</v>
      </c>
      <c r="BN424">
        <v>0</v>
      </c>
      <c r="BO424">
        <v>0</v>
      </c>
      <c r="BP424">
        <v>0</v>
      </c>
      <c r="BQ424">
        <v>0</v>
      </c>
      <c r="BR424">
        <v>0</v>
      </c>
      <c r="BS424">
        <v>0</v>
      </c>
      <c r="BT424" s="18">
        <v>0</v>
      </c>
      <c r="BU424">
        <v>0</v>
      </c>
      <c r="BV424">
        <v>0</v>
      </c>
      <c r="BW424">
        <v>1</v>
      </c>
      <c r="BX424" s="18">
        <v>0</v>
      </c>
      <c r="BY424">
        <v>0</v>
      </c>
      <c r="BZ424">
        <v>0</v>
      </c>
      <c r="CA424">
        <v>0</v>
      </c>
      <c r="CB424">
        <v>0</v>
      </c>
      <c r="CC424" s="18">
        <v>0</v>
      </c>
      <c r="CD424">
        <v>0</v>
      </c>
      <c r="CE424">
        <v>0</v>
      </c>
      <c r="CF424">
        <v>1</v>
      </c>
      <c r="CG424">
        <v>1</v>
      </c>
      <c r="CH424">
        <v>0</v>
      </c>
      <c r="CI424">
        <v>0</v>
      </c>
      <c r="CJ424">
        <v>0</v>
      </c>
      <c r="CK424">
        <v>0</v>
      </c>
      <c r="CL424">
        <v>0</v>
      </c>
      <c r="CM424">
        <v>0</v>
      </c>
      <c r="CN424" s="18">
        <v>0</v>
      </c>
      <c r="CO424">
        <v>2.3E-2</v>
      </c>
      <c r="CP424">
        <v>97</v>
      </c>
      <c r="CQ424">
        <v>1</v>
      </c>
      <c r="CR424">
        <v>0</v>
      </c>
      <c r="CS424">
        <v>13</v>
      </c>
      <c r="CY424" s="34"/>
    </row>
    <row r="425" spans="1:103" x14ac:dyDescent="0.25">
      <c r="A425">
        <v>424</v>
      </c>
      <c r="B425">
        <v>28</v>
      </c>
      <c r="C425" s="25" t="s">
        <v>275</v>
      </c>
      <c r="D425" s="12">
        <v>9.3000000000000007</v>
      </c>
      <c r="E425" s="14">
        <v>0.3</v>
      </c>
      <c r="F425" s="7">
        <f t="shared" si="101"/>
        <v>31.000000000000004</v>
      </c>
      <c r="G425" s="7">
        <f t="shared" si="91"/>
        <v>9</v>
      </c>
      <c r="H425" s="16">
        <f t="shared" si="92"/>
        <v>9.6000000000000014</v>
      </c>
      <c r="I425" s="11">
        <f t="shared" si="96"/>
        <v>0.2861186337195587</v>
      </c>
      <c r="J425" s="33">
        <f t="shared" si="97"/>
        <v>9.2296333457922153E-3</v>
      </c>
      <c r="K425" s="33">
        <f t="shared" si="98"/>
        <v>108.34666584625482</v>
      </c>
      <c r="L425" s="8">
        <v>1</v>
      </c>
      <c r="M425" s="9">
        <v>0</v>
      </c>
      <c r="N425" s="8">
        <v>0</v>
      </c>
      <c r="O425" s="9">
        <v>0</v>
      </c>
      <c r="P425" s="9">
        <v>0</v>
      </c>
      <c r="Q425" s="9">
        <v>0</v>
      </c>
      <c r="R425" s="9">
        <v>1</v>
      </c>
      <c r="S425" s="8">
        <v>10782</v>
      </c>
      <c r="T425" s="9">
        <v>3</v>
      </c>
      <c r="U425" s="9">
        <f t="shared" si="93"/>
        <v>10778</v>
      </c>
      <c r="V425" s="9">
        <f t="shared" si="94"/>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102"/>
        <v>0.80569999999999997</v>
      </c>
      <c r="AT425" s="40">
        <v>0.1943</v>
      </c>
      <c r="AU425">
        <v>0</v>
      </c>
      <c r="AV425" s="18">
        <v>1</v>
      </c>
      <c r="AW425">
        <v>0</v>
      </c>
      <c r="AX425" s="18">
        <v>1</v>
      </c>
      <c r="AY425" s="18" t="s">
        <v>29</v>
      </c>
      <c r="AZ425">
        <v>0</v>
      </c>
      <c r="BA425">
        <v>0</v>
      </c>
      <c r="BB425">
        <v>1</v>
      </c>
      <c r="BC425">
        <v>0</v>
      </c>
      <c r="BD425">
        <v>0</v>
      </c>
      <c r="BE425">
        <v>0</v>
      </c>
      <c r="BF425" s="18">
        <v>0</v>
      </c>
      <c r="BG425">
        <v>0</v>
      </c>
      <c r="BH425">
        <v>1</v>
      </c>
      <c r="BI425" s="18">
        <v>0</v>
      </c>
      <c r="BJ425">
        <v>4148</v>
      </c>
      <c r="BK425">
        <v>6236</v>
      </c>
      <c r="BL425" s="25">
        <v>34.79</v>
      </c>
      <c r="BM425">
        <v>1</v>
      </c>
      <c r="BN425">
        <v>0</v>
      </c>
      <c r="BO425">
        <v>0</v>
      </c>
      <c r="BP425">
        <v>0</v>
      </c>
      <c r="BQ425">
        <v>0</v>
      </c>
      <c r="BR425">
        <v>0</v>
      </c>
      <c r="BS425">
        <v>0</v>
      </c>
      <c r="BT425" s="18">
        <v>0</v>
      </c>
      <c r="BU425">
        <v>0</v>
      </c>
      <c r="BV425">
        <v>0</v>
      </c>
      <c r="BW425">
        <v>1</v>
      </c>
      <c r="BX425" s="18">
        <v>0</v>
      </c>
      <c r="BY425">
        <v>0</v>
      </c>
      <c r="BZ425">
        <v>0</v>
      </c>
      <c r="CA425">
        <v>0</v>
      </c>
      <c r="CB425">
        <v>0</v>
      </c>
      <c r="CC425" s="18">
        <v>0</v>
      </c>
      <c r="CD425">
        <v>0</v>
      </c>
      <c r="CE425">
        <v>0</v>
      </c>
      <c r="CF425">
        <v>1</v>
      </c>
      <c r="CG425">
        <v>1</v>
      </c>
      <c r="CH425">
        <v>0</v>
      </c>
      <c r="CI425">
        <v>0</v>
      </c>
      <c r="CJ425">
        <v>0</v>
      </c>
      <c r="CK425">
        <v>0</v>
      </c>
      <c r="CL425">
        <v>0</v>
      </c>
      <c r="CM425">
        <v>0</v>
      </c>
      <c r="CN425" s="18">
        <v>0</v>
      </c>
      <c r="CO425">
        <v>2.3E-2</v>
      </c>
      <c r="CP425">
        <v>97</v>
      </c>
      <c r="CQ425">
        <v>1</v>
      </c>
      <c r="CR425">
        <v>0</v>
      </c>
      <c r="CS425">
        <v>13</v>
      </c>
      <c r="CY425" s="34"/>
    </row>
    <row r="426" spans="1:103" x14ac:dyDescent="0.25">
      <c r="A426">
        <v>425</v>
      </c>
      <c r="B426">
        <v>28</v>
      </c>
      <c r="C426" s="25" t="s">
        <v>275</v>
      </c>
      <c r="D426" s="12">
        <v>11.6</v>
      </c>
      <c r="E426" s="14">
        <v>0.3</v>
      </c>
      <c r="F426" s="7">
        <f t="shared" si="101"/>
        <v>38.666666666666664</v>
      </c>
      <c r="G426" s="7">
        <f t="shared" si="91"/>
        <v>11.299999999999999</v>
      </c>
      <c r="H426" s="16">
        <f t="shared" si="92"/>
        <v>11.9</v>
      </c>
      <c r="I426" s="11">
        <f t="shared" si="96"/>
        <v>0.49193630773042418</v>
      </c>
      <c r="J426" s="33">
        <f t="shared" si="97"/>
        <v>1.2722490717166144E-2</v>
      </c>
      <c r="K426" s="33">
        <f t="shared" si="98"/>
        <v>78.60096126073212</v>
      </c>
      <c r="L426" s="8">
        <v>1</v>
      </c>
      <c r="M426" s="9">
        <v>0</v>
      </c>
      <c r="N426" s="8">
        <v>0</v>
      </c>
      <c r="O426" s="9">
        <v>0</v>
      </c>
      <c r="P426" s="9">
        <v>0</v>
      </c>
      <c r="Q426" s="9">
        <v>0</v>
      </c>
      <c r="R426" s="9">
        <v>1</v>
      </c>
      <c r="S426" s="8">
        <v>4687</v>
      </c>
      <c r="T426" s="9">
        <v>3</v>
      </c>
      <c r="U426" s="9">
        <f t="shared" si="93"/>
        <v>4683</v>
      </c>
      <c r="V426" s="9">
        <f t="shared" si="94"/>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102"/>
        <v>0.72070000000000001</v>
      </c>
      <c r="AT426" s="40">
        <v>0.27929999999999999</v>
      </c>
      <c r="AU426">
        <v>0</v>
      </c>
      <c r="AV426" s="18">
        <v>1</v>
      </c>
      <c r="AW426">
        <v>0</v>
      </c>
      <c r="AX426" s="18">
        <v>1</v>
      </c>
      <c r="AY426" s="18" t="s">
        <v>29</v>
      </c>
      <c r="AZ426">
        <v>0</v>
      </c>
      <c r="BA426">
        <v>0</v>
      </c>
      <c r="BB426">
        <v>1</v>
      </c>
      <c r="BC426">
        <v>0</v>
      </c>
      <c r="BD426">
        <v>0</v>
      </c>
      <c r="BE426">
        <v>0</v>
      </c>
      <c r="BF426" s="18">
        <v>0</v>
      </c>
      <c r="BG426">
        <v>0</v>
      </c>
      <c r="BH426">
        <v>1</v>
      </c>
      <c r="BI426" s="18">
        <v>0</v>
      </c>
      <c r="BJ426">
        <v>4893</v>
      </c>
      <c r="BK426">
        <v>9111</v>
      </c>
      <c r="BL426" s="25">
        <v>35.299999999999997</v>
      </c>
      <c r="BM426">
        <v>1</v>
      </c>
      <c r="BN426">
        <v>0</v>
      </c>
      <c r="BO426">
        <v>0</v>
      </c>
      <c r="BP426">
        <v>0</v>
      </c>
      <c r="BQ426">
        <v>0</v>
      </c>
      <c r="BR426">
        <v>0</v>
      </c>
      <c r="BS426">
        <v>0</v>
      </c>
      <c r="BT426" s="18">
        <v>0</v>
      </c>
      <c r="BU426">
        <v>0</v>
      </c>
      <c r="BV426">
        <v>0</v>
      </c>
      <c r="BW426">
        <v>1</v>
      </c>
      <c r="BX426" s="18">
        <v>0</v>
      </c>
      <c r="BY426">
        <v>0</v>
      </c>
      <c r="BZ426">
        <v>0</v>
      </c>
      <c r="CA426">
        <v>0</v>
      </c>
      <c r="CB426">
        <v>0</v>
      </c>
      <c r="CC426" s="18">
        <v>0</v>
      </c>
      <c r="CD426">
        <v>0</v>
      </c>
      <c r="CE426">
        <v>0</v>
      </c>
      <c r="CF426">
        <v>1</v>
      </c>
      <c r="CG426">
        <v>1</v>
      </c>
      <c r="CH426">
        <v>0</v>
      </c>
      <c r="CI426">
        <v>0</v>
      </c>
      <c r="CJ426">
        <v>0</v>
      </c>
      <c r="CK426">
        <v>0</v>
      </c>
      <c r="CL426">
        <v>0</v>
      </c>
      <c r="CM426">
        <v>0</v>
      </c>
      <c r="CN426" s="18">
        <v>0</v>
      </c>
      <c r="CO426">
        <v>2.3E-2</v>
      </c>
      <c r="CP426">
        <v>97</v>
      </c>
      <c r="CQ426">
        <v>1</v>
      </c>
      <c r="CR426">
        <v>0</v>
      </c>
      <c r="CS426">
        <v>13</v>
      </c>
      <c r="CY426" s="34"/>
    </row>
    <row r="427" spans="1:103" x14ac:dyDescent="0.25">
      <c r="A427">
        <v>426</v>
      </c>
      <c r="B427">
        <v>28</v>
      </c>
      <c r="C427" s="25" t="s">
        <v>275</v>
      </c>
      <c r="D427" s="12">
        <v>0.53426072862545748</v>
      </c>
      <c r="E427" s="14">
        <v>0.93000941649616686</v>
      </c>
      <c r="F427" s="7">
        <v>0.57446808510638292</v>
      </c>
      <c r="G427" s="7">
        <f t="shared" si="91"/>
        <v>-0.39574868787070938</v>
      </c>
      <c r="H427" s="16">
        <f t="shared" si="92"/>
        <v>1.4642701451216245</v>
      </c>
      <c r="I427" s="11">
        <f t="shared" si="96"/>
        <v>1.3980967807515428E-2</v>
      </c>
      <c r="J427" s="33">
        <f t="shared" si="97"/>
        <v>2.4337240257526857E-2</v>
      </c>
      <c r="K427" s="33">
        <f t="shared" si="98"/>
        <v>41.089293174509663</v>
      </c>
      <c r="L427" s="8">
        <v>1</v>
      </c>
      <c r="M427" s="9">
        <v>0</v>
      </c>
      <c r="N427" s="8">
        <v>0</v>
      </c>
      <c r="O427" s="9">
        <v>0</v>
      </c>
      <c r="P427" s="9">
        <v>0</v>
      </c>
      <c r="Q427" s="9">
        <v>0</v>
      </c>
      <c r="R427" s="9">
        <v>1</v>
      </c>
      <c r="S427" s="8">
        <v>1695</v>
      </c>
      <c r="T427" s="9">
        <v>6</v>
      </c>
      <c r="U427" s="9">
        <f t="shared" si="93"/>
        <v>1688</v>
      </c>
      <c r="V427" s="9">
        <f t="shared" si="94"/>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102"/>
        <v>0.36770000000000003</v>
      </c>
      <c r="AT427" s="40">
        <v>0.63229999999999997</v>
      </c>
      <c r="AU427">
        <v>0</v>
      </c>
      <c r="AV427" s="18">
        <v>1</v>
      </c>
      <c r="AW427">
        <v>0</v>
      </c>
      <c r="AX427" s="18">
        <v>1</v>
      </c>
      <c r="AY427" s="18" t="s">
        <v>6</v>
      </c>
      <c r="AZ427">
        <v>0</v>
      </c>
      <c r="BA427">
        <v>0</v>
      </c>
      <c r="BB427">
        <v>0</v>
      </c>
      <c r="BC427">
        <v>0</v>
      </c>
      <c r="BD427">
        <v>1</v>
      </c>
      <c r="BE427">
        <v>0</v>
      </c>
      <c r="BF427" s="18">
        <v>0</v>
      </c>
      <c r="BG427">
        <v>0</v>
      </c>
      <c r="BH427">
        <v>1</v>
      </c>
      <c r="BI427" s="18">
        <v>0</v>
      </c>
      <c r="BJ427">
        <v>1617</v>
      </c>
      <c r="BK427">
        <v>21</v>
      </c>
      <c r="BL427" s="25">
        <v>35.659999999999997</v>
      </c>
      <c r="BM427">
        <v>1</v>
      </c>
      <c r="BN427">
        <v>0</v>
      </c>
      <c r="BO427">
        <v>0</v>
      </c>
      <c r="BP427">
        <v>0</v>
      </c>
      <c r="BQ427">
        <v>0</v>
      </c>
      <c r="BR427">
        <v>0</v>
      </c>
      <c r="BS427">
        <v>0</v>
      </c>
      <c r="BT427" s="18">
        <v>0</v>
      </c>
      <c r="BU427">
        <v>0</v>
      </c>
      <c r="BV427">
        <v>0</v>
      </c>
      <c r="BW427">
        <v>1</v>
      </c>
      <c r="BX427" s="18">
        <v>0</v>
      </c>
      <c r="BY427">
        <v>0</v>
      </c>
      <c r="BZ427">
        <v>0</v>
      </c>
      <c r="CA427">
        <v>0</v>
      </c>
      <c r="CB427">
        <v>0</v>
      </c>
      <c r="CC427" s="18">
        <v>0</v>
      </c>
      <c r="CD427">
        <v>0</v>
      </c>
      <c r="CE427">
        <v>0</v>
      </c>
      <c r="CF427">
        <v>1</v>
      </c>
      <c r="CG427">
        <v>1</v>
      </c>
      <c r="CH427">
        <v>0</v>
      </c>
      <c r="CI427">
        <v>0</v>
      </c>
      <c r="CJ427">
        <v>0</v>
      </c>
      <c r="CK427">
        <v>0</v>
      </c>
      <c r="CL427">
        <v>0</v>
      </c>
      <c r="CM427">
        <v>0</v>
      </c>
      <c r="CN427" s="18">
        <v>0</v>
      </c>
      <c r="CO427">
        <v>2.3E-2</v>
      </c>
      <c r="CP427">
        <v>97</v>
      </c>
      <c r="CQ427">
        <v>1</v>
      </c>
      <c r="CR427">
        <v>0</v>
      </c>
      <c r="CS427">
        <v>13</v>
      </c>
      <c r="CY427" s="34"/>
    </row>
    <row r="428" spans="1:103" x14ac:dyDescent="0.25">
      <c r="A428">
        <v>427</v>
      </c>
      <c r="B428">
        <v>28</v>
      </c>
      <c r="C428" s="25" t="s">
        <v>275</v>
      </c>
      <c r="D428" s="12">
        <v>5.8058332763509357</v>
      </c>
      <c r="E428" s="14">
        <v>1.363695723049871</v>
      </c>
      <c r="F428" s="7">
        <v>4.2574257425742568</v>
      </c>
      <c r="G428" s="7">
        <f t="shared" si="91"/>
        <v>4.4421375533010643</v>
      </c>
      <c r="H428" s="16">
        <f t="shared" si="92"/>
        <v>7.1695289994008071</v>
      </c>
      <c r="I428" s="11">
        <f t="shared" si="96"/>
        <v>0.10307220635875566</v>
      </c>
      <c r="J428" s="33">
        <f t="shared" si="97"/>
        <v>2.4209983354033311E-2</v>
      </c>
      <c r="K428" s="33">
        <f t="shared" si="98"/>
        <v>41.305274166303917</v>
      </c>
      <c r="L428" s="8">
        <v>1</v>
      </c>
      <c r="M428" s="9">
        <v>0</v>
      </c>
      <c r="N428" s="8">
        <v>0</v>
      </c>
      <c r="O428" s="9">
        <v>0</v>
      </c>
      <c r="P428" s="9">
        <v>0</v>
      </c>
      <c r="Q428" s="9">
        <v>0</v>
      </c>
      <c r="R428" s="9">
        <v>1</v>
      </c>
      <c r="S428" s="8">
        <v>1695</v>
      </c>
      <c r="T428" s="9">
        <v>6</v>
      </c>
      <c r="U428" s="9">
        <f t="shared" si="93"/>
        <v>1688</v>
      </c>
      <c r="V428" s="9">
        <f t="shared" si="94"/>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102"/>
        <v>0.36770000000000003</v>
      </c>
      <c r="AT428" s="40">
        <v>0.63229999999999997</v>
      </c>
      <c r="AU428">
        <v>0</v>
      </c>
      <c r="AV428" s="18">
        <v>1</v>
      </c>
      <c r="AW428">
        <v>0</v>
      </c>
      <c r="AX428" s="18">
        <v>1</v>
      </c>
      <c r="AY428" s="18" t="s">
        <v>6</v>
      </c>
      <c r="AZ428">
        <v>0</v>
      </c>
      <c r="BA428">
        <v>0</v>
      </c>
      <c r="BB428">
        <v>0</v>
      </c>
      <c r="BC428">
        <v>0</v>
      </c>
      <c r="BD428">
        <v>1</v>
      </c>
      <c r="BE428">
        <v>0</v>
      </c>
      <c r="BF428" s="18">
        <v>0</v>
      </c>
      <c r="BG428">
        <v>0</v>
      </c>
      <c r="BH428">
        <v>1</v>
      </c>
      <c r="BI428" s="18">
        <v>0</v>
      </c>
      <c r="BJ428">
        <v>1617</v>
      </c>
      <c r="BK428">
        <v>21</v>
      </c>
      <c r="BL428" s="25">
        <v>35.659999999999997</v>
      </c>
      <c r="BM428">
        <v>1</v>
      </c>
      <c r="BN428">
        <v>0</v>
      </c>
      <c r="BO428">
        <v>0</v>
      </c>
      <c r="BP428">
        <v>0</v>
      </c>
      <c r="BQ428">
        <v>0</v>
      </c>
      <c r="BR428">
        <v>0</v>
      </c>
      <c r="BS428">
        <v>0</v>
      </c>
      <c r="BT428" s="18">
        <v>0</v>
      </c>
      <c r="BU428">
        <v>0</v>
      </c>
      <c r="BV428">
        <v>0</v>
      </c>
      <c r="BW428">
        <v>1</v>
      </c>
      <c r="BX428" s="18">
        <v>0</v>
      </c>
      <c r="BY428">
        <v>0</v>
      </c>
      <c r="BZ428">
        <v>0</v>
      </c>
      <c r="CA428">
        <v>0</v>
      </c>
      <c r="CB428">
        <v>0</v>
      </c>
      <c r="CC428" s="18">
        <v>0</v>
      </c>
      <c r="CD428">
        <v>0</v>
      </c>
      <c r="CE428">
        <v>0</v>
      </c>
      <c r="CF428">
        <v>1</v>
      </c>
      <c r="CG428">
        <v>1</v>
      </c>
      <c r="CH428">
        <v>0</v>
      </c>
      <c r="CI428">
        <v>0</v>
      </c>
      <c r="CJ428">
        <v>0</v>
      </c>
      <c r="CK428">
        <v>0</v>
      </c>
      <c r="CL428">
        <v>0</v>
      </c>
      <c r="CM428">
        <v>0</v>
      </c>
      <c r="CN428" s="18">
        <v>0</v>
      </c>
      <c r="CO428">
        <v>2.3E-2</v>
      </c>
      <c r="CP428">
        <v>97</v>
      </c>
      <c r="CQ428">
        <v>1</v>
      </c>
      <c r="CR428">
        <v>0</v>
      </c>
      <c r="CS428">
        <v>13</v>
      </c>
      <c r="CY428" s="34"/>
    </row>
    <row r="429" spans="1:103" x14ac:dyDescent="0.25">
      <c r="A429">
        <v>428</v>
      </c>
      <c r="B429">
        <v>28</v>
      </c>
      <c r="C429" s="25" t="s">
        <v>275</v>
      </c>
      <c r="D429" s="12">
        <v>3.782779413590132</v>
      </c>
      <c r="E429" s="14">
        <v>0.25059421982773739</v>
      </c>
      <c r="F429" s="7">
        <v>15.09523809523809</v>
      </c>
      <c r="G429" s="7">
        <f t="shared" si="91"/>
        <v>3.5321851937623947</v>
      </c>
      <c r="H429" s="16">
        <f t="shared" si="92"/>
        <v>4.0333736334178694</v>
      </c>
      <c r="I429" s="11">
        <f t="shared" si="96"/>
        <v>0.34487155734135655</v>
      </c>
      <c r="J429" s="33">
        <f t="shared" si="97"/>
        <v>2.2846380770247605E-2</v>
      </c>
      <c r="K429" s="33">
        <f t="shared" si="98"/>
        <v>43.770609010521284</v>
      </c>
      <c r="L429" s="8">
        <v>1</v>
      </c>
      <c r="M429" s="9">
        <v>0</v>
      </c>
      <c r="N429" s="8">
        <v>0</v>
      </c>
      <c r="O429" s="9">
        <v>0</v>
      </c>
      <c r="P429" s="9">
        <v>0</v>
      </c>
      <c r="Q429" s="9">
        <v>0</v>
      </c>
      <c r="R429" s="9">
        <v>1</v>
      </c>
      <c r="S429" s="8">
        <v>1695</v>
      </c>
      <c r="T429" s="9">
        <v>6</v>
      </c>
      <c r="U429" s="9">
        <f t="shared" si="93"/>
        <v>1688</v>
      </c>
      <c r="V429" s="9">
        <f t="shared" si="94"/>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102"/>
        <v>0.36770000000000003</v>
      </c>
      <c r="AT429" s="40">
        <v>0.63229999999999997</v>
      </c>
      <c r="AU429">
        <v>0</v>
      </c>
      <c r="AV429" s="18">
        <v>1</v>
      </c>
      <c r="AW429">
        <v>0</v>
      </c>
      <c r="AX429" s="18">
        <v>1</v>
      </c>
      <c r="AY429" s="18" t="s">
        <v>6</v>
      </c>
      <c r="AZ429">
        <v>0</v>
      </c>
      <c r="BA429">
        <v>0</v>
      </c>
      <c r="BB429">
        <v>0</v>
      </c>
      <c r="BC429">
        <v>0</v>
      </c>
      <c r="BD429">
        <v>1</v>
      </c>
      <c r="BE429">
        <v>0</v>
      </c>
      <c r="BF429" s="18">
        <v>0</v>
      </c>
      <c r="BG429">
        <v>0</v>
      </c>
      <c r="BH429">
        <v>1</v>
      </c>
      <c r="BI429" s="18">
        <v>0</v>
      </c>
      <c r="BJ429">
        <v>1617</v>
      </c>
      <c r="BK429">
        <v>21</v>
      </c>
      <c r="BL429" s="25">
        <v>35.659999999999997</v>
      </c>
      <c r="BM429">
        <v>1</v>
      </c>
      <c r="BN429">
        <v>0</v>
      </c>
      <c r="BO429">
        <v>0</v>
      </c>
      <c r="BP429">
        <v>0</v>
      </c>
      <c r="BQ429">
        <v>0</v>
      </c>
      <c r="BR429">
        <v>0</v>
      </c>
      <c r="BS429">
        <v>0</v>
      </c>
      <c r="BT429" s="18">
        <v>0</v>
      </c>
      <c r="BU429">
        <v>0</v>
      </c>
      <c r="BV429">
        <v>0</v>
      </c>
      <c r="BW429">
        <v>1</v>
      </c>
      <c r="BX429" s="18">
        <v>0</v>
      </c>
      <c r="BY429">
        <v>0</v>
      </c>
      <c r="BZ429">
        <v>0</v>
      </c>
      <c r="CA429">
        <v>0</v>
      </c>
      <c r="CB429">
        <v>0</v>
      </c>
      <c r="CC429" s="18">
        <v>0</v>
      </c>
      <c r="CD429">
        <v>0</v>
      </c>
      <c r="CE429">
        <v>0</v>
      </c>
      <c r="CF429">
        <v>1</v>
      </c>
      <c r="CG429">
        <v>1</v>
      </c>
      <c r="CH429">
        <v>0</v>
      </c>
      <c r="CI429">
        <v>0</v>
      </c>
      <c r="CJ429">
        <v>0</v>
      </c>
      <c r="CK429">
        <v>0</v>
      </c>
      <c r="CL429">
        <v>0</v>
      </c>
      <c r="CM429">
        <v>0</v>
      </c>
      <c r="CN429" s="18">
        <v>0</v>
      </c>
      <c r="CO429">
        <v>2.3E-2</v>
      </c>
      <c r="CP429">
        <v>97</v>
      </c>
      <c r="CQ429">
        <v>1</v>
      </c>
      <c r="CR429">
        <v>0</v>
      </c>
      <c r="CS429">
        <v>13</v>
      </c>
      <c r="CY429" s="34"/>
    </row>
    <row r="430" spans="1:103" x14ac:dyDescent="0.25">
      <c r="A430">
        <v>429</v>
      </c>
      <c r="B430">
        <v>28</v>
      </c>
      <c r="C430" s="25" t="s">
        <v>275</v>
      </c>
      <c r="D430" s="12">
        <v>2.8882691843426622</v>
      </c>
      <c r="E430" s="14">
        <v>0.75510305473010786</v>
      </c>
      <c r="F430" s="7">
        <v>3.8250000000000002</v>
      </c>
      <c r="G430" s="7">
        <f t="shared" si="91"/>
        <v>2.1331661296125546</v>
      </c>
      <c r="H430" s="16">
        <f t="shared" si="92"/>
        <v>3.6433722390727699</v>
      </c>
      <c r="I430" s="11">
        <f t="shared" si="96"/>
        <v>8.3435955787929159E-2</v>
      </c>
      <c r="J430" s="33">
        <f t="shared" si="97"/>
        <v>2.1813321774621999E-2</v>
      </c>
      <c r="K430" s="33">
        <f t="shared" si="98"/>
        <v>45.84354507452494</v>
      </c>
      <c r="L430" s="8">
        <v>1</v>
      </c>
      <c r="M430" s="9">
        <v>0</v>
      </c>
      <c r="N430" s="8">
        <v>0</v>
      </c>
      <c r="O430" s="9">
        <v>0</v>
      </c>
      <c r="P430" s="9">
        <v>0</v>
      </c>
      <c r="Q430" s="9">
        <v>0</v>
      </c>
      <c r="R430" s="9">
        <v>1</v>
      </c>
      <c r="S430" s="8">
        <v>2094</v>
      </c>
      <c r="T430" s="9">
        <v>6</v>
      </c>
      <c r="U430" s="9">
        <f t="shared" si="93"/>
        <v>2087</v>
      </c>
      <c r="V430" s="9">
        <f t="shared" si="94"/>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102"/>
        <v>0.44810000000000005</v>
      </c>
      <c r="AT430" s="40">
        <v>0.55189999999999995</v>
      </c>
      <c r="AU430">
        <v>0</v>
      </c>
      <c r="AV430" s="18">
        <v>1</v>
      </c>
      <c r="AW430">
        <v>0</v>
      </c>
      <c r="AX430" s="18">
        <v>1</v>
      </c>
      <c r="AY430" s="18" t="s">
        <v>6</v>
      </c>
      <c r="AZ430">
        <v>0</v>
      </c>
      <c r="BA430">
        <v>0</v>
      </c>
      <c r="BB430">
        <v>0</v>
      </c>
      <c r="BC430">
        <v>0</v>
      </c>
      <c r="BD430">
        <v>1</v>
      </c>
      <c r="BE430">
        <v>0</v>
      </c>
      <c r="BF430" s="18">
        <v>0</v>
      </c>
      <c r="BG430">
        <v>0</v>
      </c>
      <c r="BH430">
        <v>1</v>
      </c>
      <c r="BI430" s="18">
        <v>0</v>
      </c>
      <c r="BJ430">
        <v>1881</v>
      </c>
      <c r="BK430">
        <v>55</v>
      </c>
      <c r="BL430" s="25">
        <v>36.31</v>
      </c>
      <c r="BM430">
        <v>1</v>
      </c>
      <c r="BN430">
        <v>0</v>
      </c>
      <c r="BO430">
        <v>0</v>
      </c>
      <c r="BP430">
        <v>0</v>
      </c>
      <c r="BQ430">
        <v>0</v>
      </c>
      <c r="BR430">
        <v>0</v>
      </c>
      <c r="BS430">
        <v>0</v>
      </c>
      <c r="BT430" s="18">
        <v>0</v>
      </c>
      <c r="BU430">
        <v>0</v>
      </c>
      <c r="BV430">
        <v>0</v>
      </c>
      <c r="BW430">
        <v>1</v>
      </c>
      <c r="BX430" s="18">
        <v>0</v>
      </c>
      <c r="BY430">
        <v>0</v>
      </c>
      <c r="BZ430">
        <v>0</v>
      </c>
      <c r="CA430">
        <v>0</v>
      </c>
      <c r="CB430">
        <v>0</v>
      </c>
      <c r="CC430" s="18">
        <v>0</v>
      </c>
      <c r="CD430">
        <v>0</v>
      </c>
      <c r="CE430">
        <v>0</v>
      </c>
      <c r="CF430">
        <v>1</v>
      </c>
      <c r="CG430">
        <v>1</v>
      </c>
      <c r="CH430">
        <v>0</v>
      </c>
      <c r="CI430">
        <v>0</v>
      </c>
      <c r="CJ430">
        <v>0</v>
      </c>
      <c r="CK430">
        <v>0</v>
      </c>
      <c r="CL430">
        <v>0</v>
      </c>
      <c r="CM430">
        <v>0</v>
      </c>
      <c r="CN430" s="18">
        <v>0</v>
      </c>
      <c r="CO430">
        <v>2.3E-2</v>
      </c>
      <c r="CP430">
        <v>97</v>
      </c>
      <c r="CQ430">
        <v>1</v>
      </c>
      <c r="CR430">
        <v>0</v>
      </c>
      <c r="CS430">
        <v>13</v>
      </c>
      <c r="CY430" s="34"/>
    </row>
    <row r="431" spans="1:103" x14ac:dyDescent="0.25">
      <c r="A431">
        <v>430</v>
      </c>
      <c r="B431">
        <v>28</v>
      </c>
      <c r="C431" s="25" t="s">
        <v>275</v>
      </c>
      <c r="D431" s="12">
        <v>5.1029684358929073</v>
      </c>
      <c r="E431" s="14">
        <v>0.99818544254990993</v>
      </c>
      <c r="F431" s="7">
        <v>5.1122448979591839</v>
      </c>
      <c r="G431" s="7">
        <f t="shared" si="91"/>
        <v>4.1047829933429973</v>
      </c>
      <c r="H431" s="16">
        <f t="shared" si="92"/>
        <v>6.1011538784428172</v>
      </c>
      <c r="I431" s="11">
        <f t="shared" si="96"/>
        <v>0.11121107110684131</v>
      </c>
      <c r="J431" s="33">
        <f t="shared" si="97"/>
        <v>2.1753862212515865E-2</v>
      </c>
      <c r="K431" s="33">
        <f t="shared" si="98"/>
        <v>45.968848668383131</v>
      </c>
      <c r="L431" s="8">
        <v>1</v>
      </c>
      <c r="M431" s="9">
        <v>0</v>
      </c>
      <c r="N431" s="8">
        <v>0</v>
      </c>
      <c r="O431" s="9">
        <v>0</v>
      </c>
      <c r="P431" s="9">
        <v>0</v>
      </c>
      <c r="Q431" s="9">
        <v>0</v>
      </c>
      <c r="R431" s="9">
        <v>1</v>
      </c>
      <c r="S431" s="8">
        <v>2094</v>
      </c>
      <c r="T431" s="9">
        <v>6</v>
      </c>
      <c r="U431" s="9">
        <f t="shared" si="93"/>
        <v>2087</v>
      </c>
      <c r="V431" s="9">
        <f t="shared" si="94"/>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102"/>
        <v>0.44810000000000005</v>
      </c>
      <c r="AT431" s="40">
        <v>0.55189999999999995</v>
      </c>
      <c r="AU431">
        <v>0</v>
      </c>
      <c r="AV431" s="18">
        <v>1</v>
      </c>
      <c r="AW431">
        <v>0</v>
      </c>
      <c r="AX431" s="18">
        <v>1</v>
      </c>
      <c r="AY431" s="18" t="s">
        <v>6</v>
      </c>
      <c r="AZ431">
        <v>0</v>
      </c>
      <c r="BA431">
        <v>0</v>
      </c>
      <c r="BB431">
        <v>0</v>
      </c>
      <c r="BC431">
        <v>0</v>
      </c>
      <c r="BD431">
        <v>1</v>
      </c>
      <c r="BE431">
        <v>0</v>
      </c>
      <c r="BF431" s="18">
        <v>0</v>
      </c>
      <c r="BG431">
        <v>0</v>
      </c>
      <c r="BH431">
        <v>1</v>
      </c>
      <c r="BI431" s="18">
        <v>0</v>
      </c>
      <c r="BJ431">
        <v>1881</v>
      </c>
      <c r="BK431">
        <v>55</v>
      </c>
      <c r="BL431" s="25">
        <v>36.31</v>
      </c>
      <c r="BM431">
        <v>1</v>
      </c>
      <c r="BN431">
        <v>0</v>
      </c>
      <c r="BO431">
        <v>0</v>
      </c>
      <c r="BP431">
        <v>0</v>
      </c>
      <c r="BQ431">
        <v>0</v>
      </c>
      <c r="BR431">
        <v>0</v>
      </c>
      <c r="BS431">
        <v>0</v>
      </c>
      <c r="BT431" s="18">
        <v>0</v>
      </c>
      <c r="BU431">
        <v>0</v>
      </c>
      <c r="BV431">
        <v>0</v>
      </c>
      <c r="BW431">
        <v>1</v>
      </c>
      <c r="BX431" s="18">
        <v>0</v>
      </c>
      <c r="BY431">
        <v>0</v>
      </c>
      <c r="BZ431">
        <v>0</v>
      </c>
      <c r="CA431">
        <v>0</v>
      </c>
      <c r="CB431">
        <v>0</v>
      </c>
      <c r="CC431" s="18">
        <v>0</v>
      </c>
      <c r="CD431">
        <v>0</v>
      </c>
      <c r="CE431">
        <v>0</v>
      </c>
      <c r="CF431">
        <v>1</v>
      </c>
      <c r="CG431">
        <v>1</v>
      </c>
      <c r="CH431">
        <v>0</v>
      </c>
      <c r="CI431">
        <v>0</v>
      </c>
      <c r="CJ431">
        <v>0</v>
      </c>
      <c r="CK431">
        <v>0</v>
      </c>
      <c r="CL431">
        <v>0</v>
      </c>
      <c r="CM431">
        <v>0</v>
      </c>
      <c r="CN431" s="18">
        <v>0</v>
      </c>
      <c r="CO431">
        <v>2.3E-2</v>
      </c>
      <c r="CP431">
        <v>97</v>
      </c>
      <c r="CQ431">
        <v>1</v>
      </c>
      <c r="CR431">
        <v>0</v>
      </c>
      <c r="CS431">
        <v>13</v>
      </c>
      <c r="CY431" s="34"/>
    </row>
    <row r="432" spans="1:103" x14ac:dyDescent="0.25">
      <c r="A432">
        <v>431</v>
      </c>
      <c r="B432">
        <v>28</v>
      </c>
      <c r="C432" s="25" t="s">
        <v>275</v>
      </c>
      <c r="D432" s="12">
        <v>2.637187966687971</v>
      </c>
      <c r="E432" s="14">
        <v>0.1607036417200482</v>
      </c>
      <c r="F432" s="7">
        <v>16.410256410256409</v>
      </c>
      <c r="G432" s="7">
        <f t="shared" si="91"/>
        <v>2.4764843249679229</v>
      </c>
      <c r="H432" s="16">
        <f t="shared" si="92"/>
        <v>2.797891608408019</v>
      </c>
      <c r="I432" s="11">
        <f t="shared" si="96"/>
        <v>0.33806514481568656</v>
      </c>
      <c r="J432" s="33">
        <f t="shared" si="97"/>
        <v>2.0600844762205903E-2</v>
      </c>
      <c r="K432" s="33">
        <f t="shared" si="98"/>
        <v>48.541698728519606</v>
      </c>
      <c r="L432" s="8">
        <v>1</v>
      </c>
      <c r="M432" s="9">
        <v>0</v>
      </c>
      <c r="N432" s="8">
        <v>0</v>
      </c>
      <c r="O432" s="9">
        <v>0</v>
      </c>
      <c r="P432" s="9">
        <v>0</v>
      </c>
      <c r="Q432" s="9">
        <v>0</v>
      </c>
      <c r="R432" s="9">
        <v>1</v>
      </c>
      <c r="S432" s="8">
        <v>2094</v>
      </c>
      <c r="T432" s="9">
        <v>6</v>
      </c>
      <c r="U432" s="9">
        <f t="shared" si="93"/>
        <v>2087</v>
      </c>
      <c r="V432" s="9">
        <f t="shared" si="94"/>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102"/>
        <v>0.44810000000000005</v>
      </c>
      <c r="AT432" s="40">
        <v>0.55189999999999995</v>
      </c>
      <c r="AU432">
        <v>0</v>
      </c>
      <c r="AV432" s="18">
        <v>1</v>
      </c>
      <c r="AW432">
        <v>0</v>
      </c>
      <c r="AX432" s="18">
        <v>1</v>
      </c>
      <c r="AY432" s="18" t="s">
        <v>6</v>
      </c>
      <c r="AZ432">
        <v>0</v>
      </c>
      <c r="BA432">
        <v>0</v>
      </c>
      <c r="BB432">
        <v>0</v>
      </c>
      <c r="BC432">
        <v>0</v>
      </c>
      <c r="BD432">
        <v>1</v>
      </c>
      <c r="BE432">
        <v>0</v>
      </c>
      <c r="BF432" s="18">
        <v>0</v>
      </c>
      <c r="BG432">
        <v>0</v>
      </c>
      <c r="BH432">
        <v>1</v>
      </c>
      <c r="BI432" s="18">
        <v>0</v>
      </c>
      <c r="BJ432">
        <v>1881</v>
      </c>
      <c r="BK432">
        <v>55</v>
      </c>
      <c r="BL432" s="25">
        <v>36.31</v>
      </c>
      <c r="BM432">
        <v>1</v>
      </c>
      <c r="BN432">
        <v>0</v>
      </c>
      <c r="BO432">
        <v>0</v>
      </c>
      <c r="BP432">
        <v>0</v>
      </c>
      <c r="BQ432">
        <v>0</v>
      </c>
      <c r="BR432">
        <v>0</v>
      </c>
      <c r="BS432">
        <v>0</v>
      </c>
      <c r="BT432" s="18">
        <v>0</v>
      </c>
      <c r="BU432">
        <v>0</v>
      </c>
      <c r="BV432">
        <v>0</v>
      </c>
      <c r="BW432">
        <v>1</v>
      </c>
      <c r="BX432" s="18">
        <v>0</v>
      </c>
      <c r="BY432">
        <v>0</v>
      </c>
      <c r="BZ432">
        <v>0</v>
      </c>
      <c r="CA432">
        <v>0</v>
      </c>
      <c r="CB432">
        <v>0</v>
      </c>
      <c r="CC432" s="18">
        <v>0</v>
      </c>
      <c r="CD432">
        <v>0</v>
      </c>
      <c r="CE432">
        <v>0</v>
      </c>
      <c r="CF432">
        <v>1</v>
      </c>
      <c r="CG432">
        <v>1</v>
      </c>
      <c r="CH432">
        <v>0</v>
      </c>
      <c r="CI432">
        <v>0</v>
      </c>
      <c r="CJ432">
        <v>0</v>
      </c>
      <c r="CK432">
        <v>0</v>
      </c>
      <c r="CL432">
        <v>0</v>
      </c>
      <c r="CM432">
        <v>0</v>
      </c>
      <c r="CN432" s="18">
        <v>0</v>
      </c>
      <c r="CO432">
        <v>2.3E-2</v>
      </c>
      <c r="CP432">
        <v>97</v>
      </c>
      <c r="CQ432">
        <v>1</v>
      </c>
      <c r="CR432">
        <v>0</v>
      </c>
      <c r="CS432">
        <v>13</v>
      </c>
      <c r="CY432" s="34"/>
    </row>
    <row r="433" spans="1:103" x14ac:dyDescent="0.25">
      <c r="A433">
        <v>432</v>
      </c>
      <c r="B433">
        <v>28</v>
      </c>
      <c r="C433" s="25" t="s">
        <v>275</v>
      </c>
      <c r="D433" s="12">
        <v>1.362369791050599</v>
      </c>
      <c r="E433" s="14">
        <v>0.79795944904392246</v>
      </c>
      <c r="F433" s="7">
        <v>1.7073170731707319</v>
      </c>
      <c r="G433" s="7">
        <f t="shared" si="91"/>
        <v>0.5644103420066765</v>
      </c>
      <c r="H433" s="16">
        <f t="shared" si="92"/>
        <v>2.1603292400945215</v>
      </c>
      <c r="I433" s="11">
        <f t="shared" si="96"/>
        <v>3.1376263115216206E-2</v>
      </c>
      <c r="J433" s="33">
        <f t="shared" si="97"/>
        <v>1.8377525538912347E-2</v>
      </c>
      <c r="K433" s="33">
        <f t="shared" si="98"/>
        <v>54.414289773811618</v>
      </c>
      <c r="L433" s="8">
        <v>1</v>
      </c>
      <c r="M433" s="9">
        <v>0</v>
      </c>
      <c r="N433" s="8">
        <v>0</v>
      </c>
      <c r="O433" s="9">
        <v>0</v>
      </c>
      <c r="P433" s="9">
        <v>0</v>
      </c>
      <c r="Q433" s="9">
        <v>0</v>
      </c>
      <c r="R433" s="9">
        <v>1</v>
      </c>
      <c r="S433" s="8">
        <v>2965</v>
      </c>
      <c r="T433" s="9">
        <v>6</v>
      </c>
      <c r="U433" s="9">
        <f t="shared" si="93"/>
        <v>2958</v>
      </c>
      <c r="V433" s="9">
        <f t="shared" si="94"/>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102"/>
        <v>0.56109999999999993</v>
      </c>
      <c r="AT433" s="40">
        <v>0.43890000000000001</v>
      </c>
      <c r="AU433">
        <v>0</v>
      </c>
      <c r="AV433" s="18">
        <v>1</v>
      </c>
      <c r="AW433">
        <v>0</v>
      </c>
      <c r="AX433" s="18">
        <v>1</v>
      </c>
      <c r="AY433" s="18" t="s">
        <v>6</v>
      </c>
      <c r="AZ433">
        <v>0</v>
      </c>
      <c r="BA433">
        <v>0</v>
      </c>
      <c r="BB433">
        <v>0</v>
      </c>
      <c r="BC433">
        <v>0</v>
      </c>
      <c r="BD433">
        <v>1</v>
      </c>
      <c r="BE433">
        <v>0</v>
      </c>
      <c r="BF433" s="18">
        <v>0</v>
      </c>
      <c r="BG433">
        <v>0</v>
      </c>
      <c r="BH433">
        <v>1</v>
      </c>
      <c r="BI433" s="18">
        <v>0</v>
      </c>
      <c r="BJ433">
        <v>2166</v>
      </c>
      <c r="BK433">
        <v>43</v>
      </c>
      <c r="BL433" s="25">
        <v>34.93</v>
      </c>
      <c r="BM433">
        <v>1</v>
      </c>
      <c r="BN433">
        <v>0</v>
      </c>
      <c r="BO433">
        <v>0</v>
      </c>
      <c r="BP433">
        <v>0</v>
      </c>
      <c r="BQ433">
        <v>0</v>
      </c>
      <c r="BR433">
        <v>0</v>
      </c>
      <c r="BS433">
        <v>0</v>
      </c>
      <c r="BT433" s="18">
        <v>0</v>
      </c>
      <c r="BU433">
        <v>0</v>
      </c>
      <c r="BV433">
        <v>0</v>
      </c>
      <c r="BW433">
        <v>1</v>
      </c>
      <c r="BX433" s="18">
        <v>0</v>
      </c>
      <c r="BY433">
        <v>0</v>
      </c>
      <c r="BZ433">
        <v>0</v>
      </c>
      <c r="CA433">
        <v>0</v>
      </c>
      <c r="CB433">
        <v>0</v>
      </c>
      <c r="CC433" s="18">
        <v>0</v>
      </c>
      <c r="CD433">
        <v>0</v>
      </c>
      <c r="CE433">
        <v>0</v>
      </c>
      <c r="CF433">
        <v>1</v>
      </c>
      <c r="CG433">
        <v>1</v>
      </c>
      <c r="CH433">
        <v>0</v>
      </c>
      <c r="CI433">
        <v>0</v>
      </c>
      <c r="CJ433">
        <v>0</v>
      </c>
      <c r="CK433">
        <v>0</v>
      </c>
      <c r="CL433">
        <v>0</v>
      </c>
      <c r="CM433">
        <v>0</v>
      </c>
      <c r="CN433" s="18">
        <v>0</v>
      </c>
      <c r="CO433">
        <v>2.3E-2</v>
      </c>
      <c r="CP433">
        <v>97</v>
      </c>
      <c r="CQ433">
        <v>1</v>
      </c>
      <c r="CR433">
        <v>0</v>
      </c>
      <c r="CS433">
        <v>13</v>
      </c>
      <c r="CY433" s="34"/>
    </row>
    <row r="434" spans="1:103" x14ac:dyDescent="0.25">
      <c r="A434">
        <v>433</v>
      </c>
      <c r="B434">
        <v>28</v>
      </c>
      <c r="C434" s="25" t="s">
        <v>275</v>
      </c>
      <c r="D434" s="12">
        <v>4.6032590966232689</v>
      </c>
      <c r="E434" s="14">
        <v>1.538457645450408</v>
      </c>
      <c r="F434" s="7">
        <v>2.992125984251969</v>
      </c>
      <c r="G434" s="7">
        <f t="shared" si="91"/>
        <v>3.064801451172861</v>
      </c>
      <c r="H434" s="16">
        <f t="shared" si="92"/>
        <v>6.1417167420736769</v>
      </c>
      <c r="I434" s="11">
        <f t="shared" si="96"/>
        <v>5.4931891764221967E-2</v>
      </c>
      <c r="J434" s="33">
        <f t="shared" si="97"/>
        <v>1.8358816458042604E-2</v>
      </c>
      <c r="K434" s="33">
        <f t="shared" si="98"/>
        <v>54.469742223601862</v>
      </c>
      <c r="L434" s="8">
        <v>1</v>
      </c>
      <c r="M434" s="9">
        <v>0</v>
      </c>
      <c r="N434" s="8">
        <v>0</v>
      </c>
      <c r="O434" s="9">
        <v>0</v>
      </c>
      <c r="P434" s="9">
        <v>0</v>
      </c>
      <c r="Q434" s="9">
        <v>0</v>
      </c>
      <c r="R434" s="9">
        <v>1</v>
      </c>
      <c r="S434" s="8">
        <v>2965</v>
      </c>
      <c r="T434" s="9">
        <v>6</v>
      </c>
      <c r="U434" s="9">
        <f t="shared" si="93"/>
        <v>2958</v>
      </c>
      <c r="V434" s="9">
        <f t="shared" si="94"/>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102"/>
        <v>0.56109999999999993</v>
      </c>
      <c r="AT434" s="40">
        <v>0.43890000000000001</v>
      </c>
      <c r="AU434">
        <v>0</v>
      </c>
      <c r="AV434" s="18">
        <v>1</v>
      </c>
      <c r="AW434">
        <v>0</v>
      </c>
      <c r="AX434" s="18">
        <v>1</v>
      </c>
      <c r="AY434" s="18" t="s">
        <v>6</v>
      </c>
      <c r="AZ434">
        <v>0</v>
      </c>
      <c r="BA434">
        <v>0</v>
      </c>
      <c r="BB434">
        <v>0</v>
      </c>
      <c r="BC434">
        <v>0</v>
      </c>
      <c r="BD434">
        <v>1</v>
      </c>
      <c r="BE434">
        <v>0</v>
      </c>
      <c r="BF434" s="18">
        <v>0</v>
      </c>
      <c r="BG434">
        <v>0</v>
      </c>
      <c r="BH434">
        <v>1</v>
      </c>
      <c r="BI434" s="18">
        <v>0</v>
      </c>
      <c r="BJ434">
        <v>2166</v>
      </c>
      <c r="BK434">
        <v>43</v>
      </c>
      <c r="BL434" s="25">
        <v>34.93</v>
      </c>
      <c r="BM434">
        <v>1</v>
      </c>
      <c r="BN434">
        <v>0</v>
      </c>
      <c r="BO434">
        <v>0</v>
      </c>
      <c r="BP434">
        <v>0</v>
      </c>
      <c r="BQ434">
        <v>0</v>
      </c>
      <c r="BR434">
        <v>0</v>
      </c>
      <c r="BS434">
        <v>0</v>
      </c>
      <c r="BT434" s="18">
        <v>0</v>
      </c>
      <c r="BU434">
        <v>0</v>
      </c>
      <c r="BV434">
        <v>0</v>
      </c>
      <c r="BW434">
        <v>1</v>
      </c>
      <c r="BX434" s="18">
        <v>0</v>
      </c>
      <c r="BY434">
        <v>0</v>
      </c>
      <c r="BZ434">
        <v>0</v>
      </c>
      <c r="CA434">
        <v>0</v>
      </c>
      <c r="CB434">
        <v>0</v>
      </c>
      <c r="CC434" s="18">
        <v>0</v>
      </c>
      <c r="CD434">
        <v>0</v>
      </c>
      <c r="CE434">
        <v>0</v>
      </c>
      <c r="CF434">
        <v>1</v>
      </c>
      <c r="CG434">
        <v>1</v>
      </c>
      <c r="CH434">
        <v>0</v>
      </c>
      <c r="CI434">
        <v>0</v>
      </c>
      <c r="CJ434">
        <v>0</v>
      </c>
      <c r="CK434">
        <v>0</v>
      </c>
      <c r="CL434">
        <v>0</v>
      </c>
      <c r="CM434">
        <v>0</v>
      </c>
      <c r="CN434" s="18">
        <v>0</v>
      </c>
      <c r="CO434">
        <v>2.3E-2</v>
      </c>
      <c r="CP434">
        <v>97</v>
      </c>
      <c r="CQ434">
        <v>1</v>
      </c>
      <c r="CR434">
        <v>0</v>
      </c>
      <c r="CS434">
        <v>13</v>
      </c>
      <c r="CY434" s="34"/>
    </row>
    <row r="435" spans="1:103" x14ac:dyDescent="0.25">
      <c r="A435">
        <v>434</v>
      </c>
      <c r="B435">
        <v>28</v>
      </c>
      <c r="C435" s="25" t="s">
        <v>275</v>
      </c>
      <c r="D435" s="12">
        <v>6.0755280859349448</v>
      </c>
      <c r="E435" s="14">
        <v>0.32772558139898039</v>
      </c>
      <c r="F435" s="7">
        <v>18.53846153846154</v>
      </c>
      <c r="G435" s="7">
        <f t="shared" si="91"/>
        <v>5.7478025045359642</v>
      </c>
      <c r="H435" s="16">
        <f t="shared" si="92"/>
        <v>6.4032536673339253</v>
      </c>
      <c r="I435" s="11">
        <f t="shared" si="96"/>
        <v>0.32263134511512198</v>
      </c>
      <c r="J435" s="33">
        <f t="shared" si="97"/>
        <v>1.7403350566375875E-2</v>
      </c>
      <c r="K435" s="33">
        <f t="shared" si="98"/>
        <v>57.460199757858639</v>
      </c>
      <c r="L435" s="8">
        <v>1</v>
      </c>
      <c r="M435" s="9">
        <v>0</v>
      </c>
      <c r="N435" s="8">
        <v>0</v>
      </c>
      <c r="O435" s="9">
        <v>0</v>
      </c>
      <c r="P435" s="9">
        <v>0</v>
      </c>
      <c r="Q435" s="9">
        <v>0</v>
      </c>
      <c r="R435" s="9">
        <v>1</v>
      </c>
      <c r="S435" s="8">
        <v>2965</v>
      </c>
      <c r="T435" s="9">
        <v>6</v>
      </c>
      <c r="U435" s="9">
        <f t="shared" si="93"/>
        <v>2958</v>
      </c>
      <c r="V435" s="9">
        <f t="shared" si="94"/>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102"/>
        <v>0.56109999999999993</v>
      </c>
      <c r="AT435" s="40">
        <v>0.43890000000000001</v>
      </c>
      <c r="AU435">
        <v>0</v>
      </c>
      <c r="AV435" s="18">
        <v>1</v>
      </c>
      <c r="AW435">
        <v>0</v>
      </c>
      <c r="AX435" s="18">
        <v>1</v>
      </c>
      <c r="AY435" s="18" t="s">
        <v>6</v>
      </c>
      <c r="AZ435">
        <v>0</v>
      </c>
      <c r="BA435">
        <v>0</v>
      </c>
      <c r="BB435">
        <v>0</v>
      </c>
      <c r="BC435">
        <v>0</v>
      </c>
      <c r="BD435">
        <v>1</v>
      </c>
      <c r="BE435">
        <v>0</v>
      </c>
      <c r="BF435" s="18">
        <v>0</v>
      </c>
      <c r="BG435">
        <v>0</v>
      </c>
      <c r="BH435">
        <v>1</v>
      </c>
      <c r="BI435" s="18">
        <v>0</v>
      </c>
      <c r="BJ435">
        <v>2166</v>
      </c>
      <c r="BK435">
        <v>43</v>
      </c>
      <c r="BL435" s="25">
        <v>34.93</v>
      </c>
      <c r="BM435">
        <v>1</v>
      </c>
      <c r="BN435">
        <v>0</v>
      </c>
      <c r="BO435">
        <v>0</v>
      </c>
      <c r="BP435">
        <v>0</v>
      </c>
      <c r="BQ435">
        <v>0</v>
      </c>
      <c r="BR435">
        <v>0</v>
      </c>
      <c r="BS435">
        <v>0</v>
      </c>
      <c r="BT435" s="18">
        <v>0</v>
      </c>
      <c r="BU435">
        <v>0</v>
      </c>
      <c r="BV435">
        <v>0</v>
      </c>
      <c r="BW435">
        <v>1</v>
      </c>
      <c r="BX435" s="18">
        <v>0</v>
      </c>
      <c r="BY435">
        <v>0</v>
      </c>
      <c r="BZ435">
        <v>0</v>
      </c>
      <c r="CA435">
        <v>0</v>
      </c>
      <c r="CB435">
        <v>0</v>
      </c>
      <c r="CC435" s="18">
        <v>0</v>
      </c>
      <c r="CD435">
        <v>0</v>
      </c>
      <c r="CE435">
        <v>0</v>
      </c>
      <c r="CF435">
        <v>1</v>
      </c>
      <c r="CG435">
        <v>1</v>
      </c>
      <c r="CH435">
        <v>0</v>
      </c>
      <c r="CI435">
        <v>0</v>
      </c>
      <c r="CJ435">
        <v>0</v>
      </c>
      <c r="CK435">
        <v>0</v>
      </c>
      <c r="CL435">
        <v>0</v>
      </c>
      <c r="CM435">
        <v>0</v>
      </c>
      <c r="CN435" s="18">
        <v>0</v>
      </c>
      <c r="CO435">
        <v>2.3E-2</v>
      </c>
      <c r="CP435">
        <v>97</v>
      </c>
      <c r="CQ435">
        <v>1</v>
      </c>
      <c r="CR435">
        <v>0</v>
      </c>
      <c r="CS435">
        <v>13</v>
      </c>
      <c r="CY435" s="34"/>
    </row>
    <row r="436" spans="1:103" x14ac:dyDescent="0.25">
      <c r="A436">
        <v>435</v>
      </c>
      <c r="B436">
        <v>28</v>
      </c>
      <c r="C436" s="25" t="s">
        <v>275</v>
      </c>
      <c r="D436" s="12">
        <v>2.0538807778703432</v>
      </c>
      <c r="E436" s="14">
        <v>1.170903994860663</v>
      </c>
      <c r="F436" s="7">
        <v>1.7540983606557381</v>
      </c>
      <c r="G436" s="7">
        <f t="shared" si="91"/>
        <v>0.88297678300968019</v>
      </c>
      <c r="H436" s="16">
        <f t="shared" si="92"/>
        <v>3.2247847727310059</v>
      </c>
      <c r="I436" s="11">
        <f t="shared" si="96"/>
        <v>4.4524323599036242E-2</v>
      </c>
      <c r="J436" s="33">
        <f t="shared" si="97"/>
        <v>2.5383025603188881E-2</v>
      </c>
      <c r="K436" s="33">
        <f t="shared" si="98"/>
        <v>39.396406702373952</v>
      </c>
      <c r="L436" s="8">
        <v>1</v>
      </c>
      <c r="M436" s="9">
        <v>0</v>
      </c>
      <c r="N436" s="8">
        <v>0</v>
      </c>
      <c r="O436" s="9">
        <v>0</v>
      </c>
      <c r="P436" s="9">
        <v>0</v>
      </c>
      <c r="Q436" s="9">
        <v>0</v>
      </c>
      <c r="R436" s="9">
        <v>1</v>
      </c>
      <c r="S436" s="8">
        <v>1556</v>
      </c>
      <c r="T436" s="9">
        <v>6</v>
      </c>
      <c r="U436" s="9">
        <f t="shared" si="93"/>
        <v>1549</v>
      </c>
      <c r="V436" s="9">
        <f t="shared" si="94"/>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102"/>
        <v>0.77629999999999999</v>
      </c>
      <c r="AT436" s="40">
        <v>0.22370000000000001</v>
      </c>
      <c r="AU436">
        <v>0</v>
      </c>
      <c r="AV436" s="18">
        <v>1</v>
      </c>
      <c r="AW436">
        <v>0</v>
      </c>
      <c r="AX436" s="18">
        <v>1</v>
      </c>
      <c r="AY436" s="18" t="s">
        <v>29</v>
      </c>
      <c r="AZ436">
        <v>0</v>
      </c>
      <c r="BA436">
        <v>0</v>
      </c>
      <c r="BB436">
        <v>1</v>
      </c>
      <c r="BC436">
        <v>0</v>
      </c>
      <c r="BD436">
        <v>0</v>
      </c>
      <c r="BE436">
        <v>0</v>
      </c>
      <c r="BF436" s="18">
        <v>0</v>
      </c>
      <c r="BG436">
        <v>0</v>
      </c>
      <c r="BH436">
        <v>1</v>
      </c>
      <c r="BI436" s="18">
        <v>0</v>
      </c>
      <c r="BJ436">
        <v>3276</v>
      </c>
      <c r="BK436" t="s">
        <v>98</v>
      </c>
      <c r="BL436" s="25">
        <v>33.72</v>
      </c>
      <c r="BM436">
        <v>1</v>
      </c>
      <c r="BN436">
        <v>0</v>
      </c>
      <c r="BO436">
        <v>0</v>
      </c>
      <c r="BP436">
        <v>0</v>
      </c>
      <c r="BQ436">
        <v>0</v>
      </c>
      <c r="BR436">
        <v>0</v>
      </c>
      <c r="BS436">
        <v>0</v>
      </c>
      <c r="BT436" s="18">
        <v>0</v>
      </c>
      <c r="BU436">
        <v>0</v>
      </c>
      <c r="BV436">
        <v>0</v>
      </c>
      <c r="BW436">
        <v>1</v>
      </c>
      <c r="BX436" s="18">
        <v>0</v>
      </c>
      <c r="BY436">
        <v>0</v>
      </c>
      <c r="BZ436">
        <v>0</v>
      </c>
      <c r="CA436">
        <v>0</v>
      </c>
      <c r="CB436">
        <v>0</v>
      </c>
      <c r="CC436" s="18">
        <v>0</v>
      </c>
      <c r="CD436">
        <v>0</v>
      </c>
      <c r="CE436">
        <v>0</v>
      </c>
      <c r="CF436">
        <v>1</v>
      </c>
      <c r="CG436">
        <v>1</v>
      </c>
      <c r="CH436">
        <v>0</v>
      </c>
      <c r="CI436">
        <v>0</v>
      </c>
      <c r="CJ436">
        <v>0</v>
      </c>
      <c r="CK436">
        <v>0</v>
      </c>
      <c r="CL436">
        <v>0</v>
      </c>
      <c r="CM436">
        <v>0</v>
      </c>
      <c r="CN436" s="18">
        <v>0</v>
      </c>
      <c r="CO436">
        <v>2.3E-2</v>
      </c>
      <c r="CP436">
        <v>97</v>
      </c>
      <c r="CQ436">
        <v>1</v>
      </c>
      <c r="CR436">
        <v>0</v>
      </c>
      <c r="CS436">
        <v>13</v>
      </c>
      <c r="CY436" s="34"/>
    </row>
    <row r="437" spans="1:103" x14ac:dyDescent="0.25">
      <c r="A437">
        <v>436</v>
      </c>
      <c r="B437">
        <v>28</v>
      </c>
      <c r="C437" s="25" t="s">
        <v>275</v>
      </c>
      <c r="D437" s="12">
        <v>7.8648870451029076</v>
      </c>
      <c r="E437" s="14">
        <v>0.9456315802029891</v>
      </c>
      <c r="F437" s="7">
        <v>8.3170731707317067</v>
      </c>
      <c r="G437" s="7">
        <f t="shared" si="91"/>
        <v>6.9192554648999183</v>
      </c>
      <c r="H437" s="16">
        <f t="shared" si="92"/>
        <v>8.810518625305896</v>
      </c>
      <c r="I437" s="11">
        <f t="shared" si="96"/>
        <v>0.2067559194316444</v>
      </c>
      <c r="J437" s="33">
        <f t="shared" si="97"/>
        <v>2.4859216119347275E-2</v>
      </c>
      <c r="K437" s="33">
        <f t="shared" si="98"/>
        <v>40.226529879263822</v>
      </c>
      <c r="L437" s="8">
        <v>1</v>
      </c>
      <c r="M437" s="9">
        <v>0</v>
      </c>
      <c r="N437" s="8">
        <v>0</v>
      </c>
      <c r="O437" s="9">
        <v>0</v>
      </c>
      <c r="P437" s="9">
        <v>0</v>
      </c>
      <c r="Q437" s="9">
        <v>0</v>
      </c>
      <c r="R437" s="9">
        <v>1</v>
      </c>
      <c r="S437" s="8">
        <v>1556</v>
      </c>
      <c r="T437" s="9">
        <v>6</v>
      </c>
      <c r="U437" s="9">
        <f t="shared" si="93"/>
        <v>1549</v>
      </c>
      <c r="V437" s="9">
        <f t="shared" si="94"/>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102"/>
        <v>0.77629999999999999</v>
      </c>
      <c r="AT437" s="40">
        <v>0.22370000000000001</v>
      </c>
      <c r="AU437">
        <v>0</v>
      </c>
      <c r="AV437" s="18">
        <v>1</v>
      </c>
      <c r="AW437">
        <v>0</v>
      </c>
      <c r="AX437" s="18">
        <v>1</v>
      </c>
      <c r="AY437" s="18" t="s">
        <v>29</v>
      </c>
      <c r="AZ437">
        <v>0</v>
      </c>
      <c r="BA437">
        <v>0</v>
      </c>
      <c r="BB437">
        <v>1</v>
      </c>
      <c r="BC437">
        <v>0</v>
      </c>
      <c r="BD437">
        <v>0</v>
      </c>
      <c r="BE437">
        <v>0</v>
      </c>
      <c r="BF437" s="18">
        <v>0</v>
      </c>
      <c r="BG437">
        <v>0</v>
      </c>
      <c r="BH437">
        <v>1</v>
      </c>
      <c r="BI437" s="18">
        <v>0</v>
      </c>
      <c r="BJ437">
        <v>3276</v>
      </c>
      <c r="BK437" t="s">
        <v>98</v>
      </c>
      <c r="BL437" s="25">
        <v>33.72</v>
      </c>
      <c r="BM437">
        <v>1</v>
      </c>
      <c r="BN437">
        <v>0</v>
      </c>
      <c r="BO437">
        <v>0</v>
      </c>
      <c r="BP437">
        <v>0</v>
      </c>
      <c r="BQ437">
        <v>0</v>
      </c>
      <c r="BR437">
        <v>0</v>
      </c>
      <c r="BS437">
        <v>0</v>
      </c>
      <c r="BT437" s="18">
        <v>0</v>
      </c>
      <c r="BU437">
        <v>0</v>
      </c>
      <c r="BV437">
        <v>0</v>
      </c>
      <c r="BW437">
        <v>1</v>
      </c>
      <c r="BX437" s="18">
        <v>0</v>
      </c>
      <c r="BY437">
        <v>0</v>
      </c>
      <c r="BZ437">
        <v>0</v>
      </c>
      <c r="CA437">
        <v>0</v>
      </c>
      <c r="CB437">
        <v>0</v>
      </c>
      <c r="CC437" s="18">
        <v>0</v>
      </c>
      <c r="CD437">
        <v>0</v>
      </c>
      <c r="CE437">
        <v>0</v>
      </c>
      <c r="CF437">
        <v>1</v>
      </c>
      <c r="CG437">
        <v>1</v>
      </c>
      <c r="CH437">
        <v>0</v>
      </c>
      <c r="CI437">
        <v>0</v>
      </c>
      <c r="CJ437">
        <v>0</v>
      </c>
      <c r="CK437">
        <v>0</v>
      </c>
      <c r="CL437">
        <v>0</v>
      </c>
      <c r="CM437">
        <v>0</v>
      </c>
      <c r="CN437" s="18">
        <v>0</v>
      </c>
      <c r="CO437">
        <v>2.3E-2</v>
      </c>
      <c r="CP437">
        <v>97</v>
      </c>
      <c r="CQ437">
        <v>1</v>
      </c>
      <c r="CR437">
        <v>0</v>
      </c>
      <c r="CS437">
        <v>13</v>
      </c>
      <c r="CY437" s="34"/>
    </row>
    <row r="438" spans="1:103" x14ac:dyDescent="0.25">
      <c r="A438">
        <v>437</v>
      </c>
      <c r="B438">
        <v>28</v>
      </c>
      <c r="C438" s="25" t="s">
        <v>275</v>
      </c>
      <c r="D438" s="12">
        <v>9.745977902720405</v>
      </c>
      <c r="E438" s="14">
        <v>1.0097873494184411</v>
      </c>
      <c r="F438" s="7">
        <v>9.6515151515151505</v>
      </c>
      <c r="G438" s="7">
        <f t="shared" si="91"/>
        <v>8.736190553301963</v>
      </c>
      <c r="H438" s="16">
        <f t="shared" si="92"/>
        <v>10.755765252138847</v>
      </c>
      <c r="I438" s="11">
        <f t="shared" si="96"/>
        <v>0.23817098554182045</v>
      </c>
      <c r="J438" s="33">
        <f t="shared" si="97"/>
        <v>2.467705658675063E-2</v>
      </c>
      <c r="K438" s="33">
        <f t="shared" si="98"/>
        <v>40.523471528484905</v>
      </c>
      <c r="L438" s="8">
        <v>1</v>
      </c>
      <c r="M438" s="9">
        <v>0</v>
      </c>
      <c r="N438" s="8">
        <v>0</v>
      </c>
      <c r="O438" s="9">
        <v>0</v>
      </c>
      <c r="P438" s="9">
        <v>0</v>
      </c>
      <c r="Q438" s="9">
        <v>0</v>
      </c>
      <c r="R438" s="9">
        <v>1</v>
      </c>
      <c r="S438" s="8">
        <v>1556</v>
      </c>
      <c r="T438" s="9">
        <v>6</v>
      </c>
      <c r="U438" s="9">
        <f t="shared" si="93"/>
        <v>1549</v>
      </c>
      <c r="V438" s="9">
        <f t="shared" si="94"/>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102"/>
        <v>0.77629999999999999</v>
      </c>
      <c r="AT438" s="40">
        <v>0.22370000000000001</v>
      </c>
      <c r="AU438">
        <v>0</v>
      </c>
      <c r="AV438" s="18">
        <v>1</v>
      </c>
      <c r="AW438">
        <v>0</v>
      </c>
      <c r="AX438" s="18">
        <v>1</v>
      </c>
      <c r="AY438" s="18" t="s">
        <v>29</v>
      </c>
      <c r="AZ438">
        <v>0</v>
      </c>
      <c r="BA438">
        <v>0</v>
      </c>
      <c r="BB438">
        <v>1</v>
      </c>
      <c r="BC438">
        <v>0</v>
      </c>
      <c r="BD438">
        <v>0</v>
      </c>
      <c r="BE438">
        <v>0</v>
      </c>
      <c r="BF438" s="18">
        <v>0</v>
      </c>
      <c r="BG438">
        <v>0</v>
      </c>
      <c r="BH438">
        <v>1</v>
      </c>
      <c r="BI438" s="18">
        <v>0</v>
      </c>
      <c r="BJ438">
        <v>3276</v>
      </c>
      <c r="BK438" t="s">
        <v>98</v>
      </c>
      <c r="BL438" s="25">
        <v>33.72</v>
      </c>
      <c r="BM438">
        <v>1</v>
      </c>
      <c r="BN438">
        <v>0</v>
      </c>
      <c r="BO438">
        <v>0</v>
      </c>
      <c r="BP438">
        <v>0</v>
      </c>
      <c r="BQ438">
        <v>0</v>
      </c>
      <c r="BR438">
        <v>0</v>
      </c>
      <c r="BS438">
        <v>0</v>
      </c>
      <c r="BT438" s="18">
        <v>0</v>
      </c>
      <c r="BU438">
        <v>0</v>
      </c>
      <c r="BV438">
        <v>0</v>
      </c>
      <c r="BW438">
        <v>1</v>
      </c>
      <c r="BX438" s="18">
        <v>0</v>
      </c>
      <c r="BY438">
        <v>0</v>
      </c>
      <c r="BZ438">
        <v>0</v>
      </c>
      <c r="CA438">
        <v>0</v>
      </c>
      <c r="CB438">
        <v>0</v>
      </c>
      <c r="CC438" s="18">
        <v>0</v>
      </c>
      <c r="CD438">
        <v>0</v>
      </c>
      <c r="CE438">
        <v>0</v>
      </c>
      <c r="CF438">
        <v>1</v>
      </c>
      <c r="CG438">
        <v>1</v>
      </c>
      <c r="CH438">
        <v>0</v>
      </c>
      <c r="CI438">
        <v>0</v>
      </c>
      <c r="CJ438">
        <v>0</v>
      </c>
      <c r="CK438">
        <v>0</v>
      </c>
      <c r="CL438">
        <v>0</v>
      </c>
      <c r="CM438">
        <v>0</v>
      </c>
      <c r="CN438" s="18">
        <v>0</v>
      </c>
      <c r="CO438">
        <v>2.3E-2</v>
      </c>
      <c r="CP438">
        <v>97</v>
      </c>
      <c r="CQ438">
        <v>1</v>
      </c>
      <c r="CR438">
        <v>0</v>
      </c>
      <c r="CS438">
        <v>13</v>
      </c>
      <c r="CY438" s="34"/>
    </row>
    <row r="439" spans="1:103" x14ac:dyDescent="0.25">
      <c r="A439">
        <v>438</v>
      </c>
      <c r="B439">
        <v>28</v>
      </c>
      <c r="C439" s="25" t="s">
        <v>275</v>
      </c>
      <c r="D439" s="12">
        <v>4.6140978438483859</v>
      </c>
      <c r="E439" s="14">
        <v>1.0577773713170211</v>
      </c>
      <c r="F439" s="7">
        <v>4.3620689655172411</v>
      </c>
      <c r="G439" s="7">
        <f t="shared" si="91"/>
        <v>3.5563204725313646</v>
      </c>
      <c r="H439" s="16">
        <f t="shared" si="92"/>
        <v>5.6718752151654073</v>
      </c>
      <c r="I439" s="11">
        <f t="shared" si="96"/>
        <v>9.4205733875260531E-2</v>
      </c>
      <c r="J439" s="33">
        <f t="shared" si="97"/>
        <v>2.1596571402233637E-2</v>
      </c>
      <c r="K439" s="33">
        <f t="shared" si="98"/>
        <v>46.303646137857534</v>
      </c>
      <c r="L439" s="8">
        <v>1</v>
      </c>
      <c r="M439" s="9">
        <v>0</v>
      </c>
      <c r="N439" s="8">
        <v>0</v>
      </c>
      <c r="O439" s="9">
        <v>0</v>
      </c>
      <c r="P439" s="9">
        <v>0</v>
      </c>
      <c r="Q439" s="9">
        <v>0</v>
      </c>
      <c r="R439" s="9">
        <v>1</v>
      </c>
      <c r="S439" s="8">
        <v>2132</v>
      </c>
      <c r="T439" s="9">
        <v>6</v>
      </c>
      <c r="U439" s="9">
        <f t="shared" si="93"/>
        <v>2125</v>
      </c>
      <c r="V439" s="9">
        <f t="shared" si="94"/>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102"/>
        <v>0.80569999999999997</v>
      </c>
      <c r="AT439" s="40">
        <v>0.1943</v>
      </c>
      <c r="AU439">
        <v>0</v>
      </c>
      <c r="AV439" s="18">
        <v>1</v>
      </c>
      <c r="AW439">
        <v>0</v>
      </c>
      <c r="AX439" s="18">
        <v>1</v>
      </c>
      <c r="AY439" s="18" t="s">
        <v>29</v>
      </c>
      <c r="AZ439">
        <v>0</v>
      </c>
      <c r="BA439">
        <v>0</v>
      </c>
      <c r="BB439">
        <v>1</v>
      </c>
      <c r="BC439">
        <v>0</v>
      </c>
      <c r="BD439">
        <v>0</v>
      </c>
      <c r="BE439">
        <v>0</v>
      </c>
      <c r="BF439" s="18">
        <v>0</v>
      </c>
      <c r="BG439">
        <v>0</v>
      </c>
      <c r="BH439">
        <v>1</v>
      </c>
      <c r="BI439" s="18">
        <v>0</v>
      </c>
      <c r="BJ439">
        <v>3855</v>
      </c>
      <c r="BK439">
        <v>5927</v>
      </c>
      <c r="BL439" s="25">
        <v>34.79</v>
      </c>
      <c r="BM439">
        <v>1</v>
      </c>
      <c r="BN439">
        <v>0</v>
      </c>
      <c r="BO439">
        <v>0</v>
      </c>
      <c r="BP439">
        <v>0</v>
      </c>
      <c r="BQ439">
        <v>0</v>
      </c>
      <c r="BR439">
        <v>0</v>
      </c>
      <c r="BS439">
        <v>0</v>
      </c>
      <c r="BT439" s="18">
        <v>0</v>
      </c>
      <c r="BU439">
        <v>0</v>
      </c>
      <c r="BV439">
        <v>0</v>
      </c>
      <c r="BW439">
        <v>1</v>
      </c>
      <c r="BX439" s="18">
        <v>0</v>
      </c>
      <c r="BY439">
        <v>0</v>
      </c>
      <c r="BZ439">
        <v>0</v>
      </c>
      <c r="CA439">
        <v>0</v>
      </c>
      <c r="CB439">
        <v>0</v>
      </c>
      <c r="CC439" s="18">
        <v>0</v>
      </c>
      <c r="CD439">
        <v>0</v>
      </c>
      <c r="CE439">
        <v>0</v>
      </c>
      <c r="CF439">
        <v>1</v>
      </c>
      <c r="CG439">
        <v>1</v>
      </c>
      <c r="CH439">
        <v>0</v>
      </c>
      <c r="CI439">
        <v>0</v>
      </c>
      <c r="CJ439">
        <v>0</v>
      </c>
      <c r="CK439">
        <v>0</v>
      </c>
      <c r="CL439">
        <v>0</v>
      </c>
      <c r="CM439">
        <v>0</v>
      </c>
      <c r="CN439" s="18">
        <v>0</v>
      </c>
      <c r="CO439">
        <v>2.3E-2</v>
      </c>
      <c r="CP439">
        <v>97</v>
      </c>
      <c r="CQ439">
        <v>1</v>
      </c>
      <c r="CR439">
        <v>0</v>
      </c>
      <c r="CS439">
        <v>13</v>
      </c>
      <c r="CY439" s="34"/>
    </row>
    <row r="440" spans="1:103" x14ac:dyDescent="0.25">
      <c r="A440">
        <v>439</v>
      </c>
      <c r="B440">
        <v>28</v>
      </c>
      <c r="C440" s="25" t="s">
        <v>275</v>
      </c>
      <c r="D440" s="12">
        <v>6.4739236902311426</v>
      </c>
      <c r="E440" s="14">
        <v>0.59268315473947086</v>
      </c>
      <c r="F440" s="7">
        <v>10.92307692307692</v>
      </c>
      <c r="G440" s="7">
        <f t="shared" si="91"/>
        <v>5.8812405354916715</v>
      </c>
      <c r="H440" s="16">
        <f t="shared" si="92"/>
        <v>7.0666068449706136</v>
      </c>
      <c r="I440" s="11">
        <f t="shared" si="96"/>
        <v>0.23057022351054177</v>
      </c>
      <c r="J440" s="33">
        <f t="shared" si="97"/>
        <v>2.1108541588993265E-2</v>
      </c>
      <c r="K440" s="33">
        <f t="shared" si="98"/>
        <v>47.374187164187369</v>
      </c>
      <c r="L440" s="8">
        <v>1</v>
      </c>
      <c r="M440" s="9">
        <v>0</v>
      </c>
      <c r="N440" s="8">
        <v>0</v>
      </c>
      <c r="O440" s="9">
        <v>0</v>
      </c>
      <c r="P440" s="9">
        <v>0</v>
      </c>
      <c r="Q440" s="9">
        <v>0</v>
      </c>
      <c r="R440" s="9">
        <v>1</v>
      </c>
      <c r="S440" s="8">
        <v>2132</v>
      </c>
      <c r="T440" s="9">
        <v>6</v>
      </c>
      <c r="U440" s="9">
        <f t="shared" si="93"/>
        <v>2125</v>
      </c>
      <c r="V440" s="9">
        <f t="shared" si="94"/>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102"/>
        <v>0.80569999999999997</v>
      </c>
      <c r="AT440" s="40">
        <v>0.1943</v>
      </c>
      <c r="AU440">
        <v>0</v>
      </c>
      <c r="AV440" s="18">
        <v>1</v>
      </c>
      <c r="AW440">
        <v>0</v>
      </c>
      <c r="AX440" s="18">
        <v>1</v>
      </c>
      <c r="AY440" s="18" t="s">
        <v>29</v>
      </c>
      <c r="AZ440">
        <v>0</v>
      </c>
      <c r="BA440">
        <v>0</v>
      </c>
      <c r="BB440">
        <v>1</v>
      </c>
      <c r="BC440">
        <v>0</v>
      </c>
      <c r="BD440">
        <v>0</v>
      </c>
      <c r="BE440">
        <v>0</v>
      </c>
      <c r="BF440" s="18">
        <v>0</v>
      </c>
      <c r="BG440">
        <v>0</v>
      </c>
      <c r="BH440">
        <v>1</v>
      </c>
      <c r="BI440" s="18">
        <v>0</v>
      </c>
      <c r="BJ440">
        <v>3855</v>
      </c>
      <c r="BK440">
        <v>5927</v>
      </c>
      <c r="BL440" s="25">
        <v>34.79</v>
      </c>
      <c r="BM440">
        <v>1</v>
      </c>
      <c r="BN440">
        <v>0</v>
      </c>
      <c r="BO440">
        <v>0</v>
      </c>
      <c r="BP440">
        <v>0</v>
      </c>
      <c r="BQ440">
        <v>0</v>
      </c>
      <c r="BR440">
        <v>0</v>
      </c>
      <c r="BS440">
        <v>0</v>
      </c>
      <c r="BT440" s="18">
        <v>0</v>
      </c>
      <c r="BU440">
        <v>0</v>
      </c>
      <c r="BV440">
        <v>0</v>
      </c>
      <c r="BW440">
        <v>1</v>
      </c>
      <c r="BX440" s="18">
        <v>0</v>
      </c>
      <c r="BY440">
        <v>0</v>
      </c>
      <c r="BZ440">
        <v>0</v>
      </c>
      <c r="CA440">
        <v>0</v>
      </c>
      <c r="CB440">
        <v>0</v>
      </c>
      <c r="CC440" s="18">
        <v>0</v>
      </c>
      <c r="CD440">
        <v>0</v>
      </c>
      <c r="CE440">
        <v>0</v>
      </c>
      <c r="CF440">
        <v>1</v>
      </c>
      <c r="CG440">
        <v>1</v>
      </c>
      <c r="CH440">
        <v>0</v>
      </c>
      <c r="CI440">
        <v>0</v>
      </c>
      <c r="CJ440">
        <v>0</v>
      </c>
      <c r="CK440">
        <v>0</v>
      </c>
      <c r="CL440">
        <v>0</v>
      </c>
      <c r="CM440">
        <v>0</v>
      </c>
      <c r="CN440" s="18">
        <v>0</v>
      </c>
      <c r="CO440">
        <v>2.3E-2</v>
      </c>
      <c r="CP440">
        <v>97</v>
      </c>
      <c r="CQ440">
        <v>1</v>
      </c>
      <c r="CR440">
        <v>0</v>
      </c>
      <c r="CS440">
        <v>13</v>
      </c>
      <c r="CY440" s="34"/>
    </row>
    <row r="441" spans="1:103" x14ac:dyDescent="0.25">
      <c r="A441">
        <v>440</v>
      </c>
      <c r="B441">
        <v>28</v>
      </c>
      <c r="C441" s="25" t="s">
        <v>275</v>
      </c>
      <c r="D441" s="12">
        <v>8.490521329106592</v>
      </c>
      <c r="E441" s="14">
        <v>0.92394791050459202</v>
      </c>
      <c r="F441" s="7">
        <v>9.1893939393939394</v>
      </c>
      <c r="G441" s="7">
        <f t="shared" si="91"/>
        <v>7.5665734186020002</v>
      </c>
      <c r="H441" s="16">
        <f t="shared" si="92"/>
        <v>9.4144692396111846</v>
      </c>
      <c r="I441" s="11">
        <f t="shared" si="96"/>
        <v>0.19549933117032514</v>
      </c>
      <c r="J441" s="33">
        <f t="shared" si="97"/>
        <v>2.127445318588864E-2</v>
      </c>
      <c r="K441" s="33">
        <f t="shared" si="98"/>
        <v>47.004733389025517</v>
      </c>
      <c r="L441" s="8">
        <v>1</v>
      </c>
      <c r="M441" s="9">
        <v>0</v>
      </c>
      <c r="N441" s="8">
        <v>0</v>
      </c>
      <c r="O441" s="9">
        <v>0</v>
      </c>
      <c r="P441" s="9">
        <v>0</v>
      </c>
      <c r="Q441" s="9">
        <v>0</v>
      </c>
      <c r="R441" s="9">
        <v>1</v>
      </c>
      <c r="S441" s="8">
        <v>2132</v>
      </c>
      <c r="T441" s="9">
        <v>6</v>
      </c>
      <c r="U441" s="9">
        <f t="shared" si="93"/>
        <v>2125</v>
      </c>
      <c r="V441" s="9">
        <f t="shared" si="94"/>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102"/>
        <v>0.80569999999999997</v>
      </c>
      <c r="AT441" s="40">
        <v>0.1943</v>
      </c>
      <c r="AU441">
        <v>0</v>
      </c>
      <c r="AV441" s="18">
        <v>1</v>
      </c>
      <c r="AW441">
        <v>0</v>
      </c>
      <c r="AX441" s="18">
        <v>1</v>
      </c>
      <c r="AY441" s="18" t="s">
        <v>29</v>
      </c>
      <c r="AZ441">
        <v>0</v>
      </c>
      <c r="BA441">
        <v>0</v>
      </c>
      <c r="BB441">
        <v>1</v>
      </c>
      <c r="BC441">
        <v>0</v>
      </c>
      <c r="BD441">
        <v>0</v>
      </c>
      <c r="BE441">
        <v>0</v>
      </c>
      <c r="BF441" s="18">
        <v>0</v>
      </c>
      <c r="BG441">
        <v>0</v>
      </c>
      <c r="BH441">
        <v>1</v>
      </c>
      <c r="BI441" s="18">
        <v>0</v>
      </c>
      <c r="BJ441">
        <v>3855</v>
      </c>
      <c r="BK441">
        <v>5927</v>
      </c>
      <c r="BL441" s="25">
        <v>34.79</v>
      </c>
      <c r="BM441">
        <v>1</v>
      </c>
      <c r="BN441">
        <v>0</v>
      </c>
      <c r="BO441">
        <v>0</v>
      </c>
      <c r="BP441">
        <v>0</v>
      </c>
      <c r="BQ441">
        <v>0</v>
      </c>
      <c r="BR441">
        <v>0</v>
      </c>
      <c r="BS441">
        <v>0</v>
      </c>
      <c r="BT441" s="18">
        <v>0</v>
      </c>
      <c r="BU441">
        <v>0</v>
      </c>
      <c r="BV441">
        <v>0</v>
      </c>
      <c r="BW441">
        <v>1</v>
      </c>
      <c r="BX441" s="18">
        <v>0</v>
      </c>
      <c r="BY441">
        <v>0</v>
      </c>
      <c r="BZ441">
        <v>0</v>
      </c>
      <c r="CA441">
        <v>0</v>
      </c>
      <c r="CB441">
        <v>0</v>
      </c>
      <c r="CC441" s="18">
        <v>0</v>
      </c>
      <c r="CD441">
        <v>0</v>
      </c>
      <c r="CE441">
        <v>0</v>
      </c>
      <c r="CF441">
        <v>1</v>
      </c>
      <c r="CG441">
        <v>1</v>
      </c>
      <c r="CH441">
        <v>0</v>
      </c>
      <c r="CI441">
        <v>0</v>
      </c>
      <c r="CJ441">
        <v>0</v>
      </c>
      <c r="CK441">
        <v>0</v>
      </c>
      <c r="CL441">
        <v>0</v>
      </c>
      <c r="CM441">
        <v>0</v>
      </c>
      <c r="CN441" s="18">
        <v>0</v>
      </c>
      <c r="CO441">
        <v>2.3E-2</v>
      </c>
      <c r="CP441">
        <v>97</v>
      </c>
      <c r="CQ441">
        <v>1</v>
      </c>
      <c r="CR441">
        <v>0</v>
      </c>
      <c r="CS441">
        <v>13</v>
      </c>
      <c r="CY441" s="34"/>
    </row>
    <row r="442" spans="1:103" x14ac:dyDescent="0.25">
      <c r="A442">
        <v>441</v>
      </c>
      <c r="B442">
        <v>28</v>
      </c>
      <c r="C442" s="25" t="s">
        <v>275</v>
      </c>
      <c r="D442" s="12">
        <v>2.9595585437330869</v>
      </c>
      <c r="E442" s="14">
        <v>0.52781935811800285</v>
      </c>
      <c r="F442" s="7">
        <v>5.6071428571428568</v>
      </c>
      <c r="G442" s="7">
        <f t="shared" si="91"/>
        <v>2.4317391856150841</v>
      </c>
      <c r="H442" s="16">
        <f t="shared" si="92"/>
        <v>3.4873779018510898</v>
      </c>
      <c r="I442" s="11">
        <f t="shared" si="96"/>
        <v>6.5039308263637657E-2</v>
      </c>
      <c r="J442" s="33">
        <f t="shared" si="97"/>
        <v>1.1599367078865316E-2</v>
      </c>
      <c r="K442" s="33">
        <f t="shared" si="98"/>
        <v>86.211600443446173</v>
      </c>
      <c r="L442" s="8">
        <v>1</v>
      </c>
      <c r="M442" s="9">
        <v>0</v>
      </c>
      <c r="N442" s="8">
        <v>0</v>
      </c>
      <c r="O442" s="9">
        <v>0</v>
      </c>
      <c r="P442" s="9">
        <v>0</v>
      </c>
      <c r="Q442" s="9">
        <v>0</v>
      </c>
      <c r="R442" s="9">
        <v>1</v>
      </c>
      <c r="S442" s="8">
        <v>7408</v>
      </c>
      <c r="T442" s="9">
        <v>6</v>
      </c>
      <c r="U442" s="9">
        <f t="shared" si="93"/>
        <v>7401</v>
      </c>
      <c r="V442" s="9">
        <f t="shared" si="94"/>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102"/>
        <v>0.72070000000000001</v>
      </c>
      <c r="AT442" s="40">
        <v>0.27929999999999999</v>
      </c>
      <c r="AU442">
        <v>0</v>
      </c>
      <c r="AV442" s="18">
        <v>1</v>
      </c>
      <c r="AW442">
        <v>0</v>
      </c>
      <c r="AX442" s="18">
        <v>1</v>
      </c>
      <c r="AY442" s="18" t="s">
        <v>29</v>
      </c>
      <c r="AZ442">
        <v>0</v>
      </c>
      <c r="BA442">
        <v>0</v>
      </c>
      <c r="BB442">
        <v>1</v>
      </c>
      <c r="BC442">
        <v>0</v>
      </c>
      <c r="BD442">
        <v>0</v>
      </c>
      <c r="BE442">
        <v>0</v>
      </c>
      <c r="BF442" s="18">
        <v>0</v>
      </c>
      <c r="BG442">
        <v>0</v>
      </c>
      <c r="BH442">
        <v>1</v>
      </c>
      <c r="BI442" s="18">
        <v>0</v>
      </c>
      <c r="BJ442">
        <v>4893</v>
      </c>
      <c r="BK442">
        <v>9111</v>
      </c>
      <c r="BL442" s="25">
        <v>35.299999999999997</v>
      </c>
      <c r="BM442">
        <v>1</v>
      </c>
      <c r="BN442">
        <v>0</v>
      </c>
      <c r="BO442">
        <v>0</v>
      </c>
      <c r="BP442">
        <v>0</v>
      </c>
      <c r="BQ442">
        <v>0</v>
      </c>
      <c r="BR442">
        <v>0</v>
      </c>
      <c r="BS442">
        <v>0</v>
      </c>
      <c r="BT442" s="18">
        <v>0</v>
      </c>
      <c r="BU442">
        <v>0</v>
      </c>
      <c r="BV442">
        <v>0</v>
      </c>
      <c r="BW442">
        <v>1</v>
      </c>
      <c r="BX442" s="18">
        <v>0</v>
      </c>
      <c r="BY442">
        <v>0</v>
      </c>
      <c r="BZ442">
        <v>0</v>
      </c>
      <c r="CA442">
        <v>0</v>
      </c>
      <c r="CB442">
        <v>0</v>
      </c>
      <c r="CC442" s="18">
        <v>0</v>
      </c>
      <c r="CD442">
        <v>0</v>
      </c>
      <c r="CE442">
        <v>0</v>
      </c>
      <c r="CF442">
        <v>1</v>
      </c>
      <c r="CG442">
        <v>1</v>
      </c>
      <c r="CH442">
        <v>0</v>
      </c>
      <c r="CI442">
        <v>0</v>
      </c>
      <c r="CJ442">
        <v>0</v>
      </c>
      <c r="CK442">
        <v>0</v>
      </c>
      <c r="CL442">
        <v>0</v>
      </c>
      <c r="CM442">
        <v>0</v>
      </c>
      <c r="CN442" s="18">
        <v>0</v>
      </c>
      <c r="CO442">
        <v>2.3E-2</v>
      </c>
      <c r="CP442">
        <v>97</v>
      </c>
      <c r="CQ442">
        <v>1</v>
      </c>
      <c r="CR442">
        <v>0</v>
      </c>
      <c r="CS442">
        <v>13</v>
      </c>
      <c r="CY442" s="34"/>
    </row>
    <row r="443" spans="1:103" x14ac:dyDescent="0.25">
      <c r="A443">
        <v>442</v>
      </c>
      <c r="B443">
        <v>28</v>
      </c>
      <c r="C443" s="25" t="s">
        <v>275</v>
      </c>
      <c r="D443" s="12">
        <v>5.9686029727814338</v>
      </c>
      <c r="E443" s="14">
        <v>0.3333251223891901</v>
      </c>
      <c r="F443" s="7">
        <v>17.90625</v>
      </c>
      <c r="G443" s="7">
        <f t="shared" si="91"/>
        <v>5.635277850392244</v>
      </c>
      <c r="H443" s="16">
        <f t="shared" si="92"/>
        <v>6.3019280951706236</v>
      </c>
      <c r="I443" s="11">
        <f t="shared" si="96"/>
        <v>0.20377459718790986</v>
      </c>
      <c r="J443" s="33">
        <f t="shared" si="97"/>
        <v>1.1380082216427776E-2</v>
      </c>
      <c r="K443" s="33">
        <f t="shared" si="98"/>
        <v>87.872827364677988</v>
      </c>
      <c r="L443" s="8">
        <v>1</v>
      </c>
      <c r="M443" s="9">
        <v>0</v>
      </c>
      <c r="N443" s="8">
        <v>0</v>
      </c>
      <c r="O443" s="9">
        <v>0</v>
      </c>
      <c r="P443" s="9">
        <v>0</v>
      </c>
      <c r="Q443" s="9">
        <v>0</v>
      </c>
      <c r="R443" s="9">
        <v>1</v>
      </c>
      <c r="S443" s="8">
        <v>7408</v>
      </c>
      <c r="T443" s="9">
        <v>6</v>
      </c>
      <c r="U443" s="9">
        <f t="shared" si="93"/>
        <v>7401</v>
      </c>
      <c r="V443" s="9">
        <f t="shared" si="94"/>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102"/>
        <v>0.72070000000000001</v>
      </c>
      <c r="AT443" s="40">
        <v>0.27929999999999999</v>
      </c>
      <c r="AU443">
        <v>0</v>
      </c>
      <c r="AV443" s="18">
        <v>1</v>
      </c>
      <c r="AW443">
        <v>0</v>
      </c>
      <c r="AX443" s="18">
        <v>1</v>
      </c>
      <c r="AY443" s="18" t="s">
        <v>29</v>
      </c>
      <c r="AZ443">
        <v>0</v>
      </c>
      <c r="BA443">
        <v>0</v>
      </c>
      <c r="BB443">
        <v>1</v>
      </c>
      <c r="BC443">
        <v>0</v>
      </c>
      <c r="BD443">
        <v>0</v>
      </c>
      <c r="BE443">
        <v>0</v>
      </c>
      <c r="BF443" s="18">
        <v>0</v>
      </c>
      <c r="BG443">
        <v>0</v>
      </c>
      <c r="BH443">
        <v>1</v>
      </c>
      <c r="BI443" s="18">
        <v>0</v>
      </c>
      <c r="BJ443">
        <v>4893</v>
      </c>
      <c r="BK443">
        <v>9111</v>
      </c>
      <c r="BL443" s="25">
        <v>35.299999999999997</v>
      </c>
      <c r="BM443">
        <v>1</v>
      </c>
      <c r="BN443">
        <v>0</v>
      </c>
      <c r="BO443">
        <v>0</v>
      </c>
      <c r="BP443">
        <v>0</v>
      </c>
      <c r="BQ443">
        <v>0</v>
      </c>
      <c r="BR443">
        <v>0</v>
      </c>
      <c r="BS443">
        <v>0</v>
      </c>
      <c r="BT443" s="18">
        <v>0</v>
      </c>
      <c r="BU443">
        <v>0</v>
      </c>
      <c r="BV443">
        <v>0</v>
      </c>
      <c r="BW443">
        <v>1</v>
      </c>
      <c r="BX443" s="18">
        <v>0</v>
      </c>
      <c r="BY443">
        <v>0</v>
      </c>
      <c r="BZ443">
        <v>0</v>
      </c>
      <c r="CA443">
        <v>0</v>
      </c>
      <c r="CB443">
        <v>0</v>
      </c>
      <c r="CC443" s="18">
        <v>0</v>
      </c>
      <c r="CD443">
        <v>0</v>
      </c>
      <c r="CE443">
        <v>0</v>
      </c>
      <c r="CF443">
        <v>1</v>
      </c>
      <c r="CG443">
        <v>1</v>
      </c>
      <c r="CH443">
        <v>0</v>
      </c>
      <c r="CI443">
        <v>0</v>
      </c>
      <c r="CJ443">
        <v>0</v>
      </c>
      <c r="CK443">
        <v>0</v>
      </c>
      <c r="CL443">
        <v>0</v>
      </c>
      <c r="CM443">
        <v>0</v>
      </c>
      <c r="CN443" s="18">
        <v>0</v>
      </c>
      <c r="CO443">
        <v>2.3E-2</v>
      </c>
      <c r="CP443">
        <v>97</v>
      </c>
      <c r="CQ443">
        <v>1</v>
      </c>
      <c r="CR443">
        <v>0</v>
      </c>
      <c r="CS443">
        <v>13</v>
      </c>
      <c r="CY443" s="34"/>
    </row>
    <row r="444" spans="1:103" s="51" customFormat="1" x14ac:dyDescent="0.25">
      <c r="A444" s="51">
        <v>443</v>
      </c>
      <c r="B444" s="51">
        <v>28</v>
      </c>
      <c r="C444" s="52" t="s">
        <v>275</v>
      </c>
      <c r="D444" s="53">
        <v>8.6632090658934402</v>
      </c>
      <c r="E444" s="54">
        <v>0.28665029997441532</v>
      </c>
      <c r="F444" s="55">
        <v>30.222222222222221</v>
      </c>
      <c r="G444" s="55">
        <f t="shared" si="91"/>
        <v>8.3765587659190253</v>
      </c>
      <c r="H444" s="56">
        <f t="shared" si="92"/>
        <v>8.9498593658678551</v>
      </c>
      <c r="I444" s="11">
        <f t="shared" si="96"/>
        <v>0.33144493664839791</v>
      </c>
      <c r="J444" s="33">
        <f t="shared" si="97"/>
        <v>1.0966928050866107E-2</v>
      </c>
      <c r="K444" s="33">
        <f t="shared" si="98"/>
        <v>91.183237034278307</v>
      </c>
      <c r="L444" s="59">
        <v>1</v>
      </c>
      <c r="M444" s="60">
        <v>0</v>
      </c>
      <c r="N444" s="59">
        <v>0</v>
      </c>
      <c r="O444" s="60">
        <v>0</v>
      </c>
      <c r="P444" s="60">
        <v>0</v>
      </c>
      <c r="Q444" s="60">
        <v>0</v>
      </c>
      <c r="R444" s="60">
        <v>1</v>
      </c>
      <c r="S444" s="59">
        <v>7408</v>
      </c>
      <c r="T444" s="60">
        <v>6</v>
      </c>
      <c r="U444" s="60">
        <f t="shared" si="93"/>
        <v>7401</v>
      </c>
      <c r="V444" s="60">
        <f t="shared" si="94"/>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102"/>
        <v>0.72070000000000001</v>
      </c>
      <c r="AT444" s="66">
        <v>0.27929999999999999</v>
      </c>
      <c r="AU444">
        <v>0</v>
      </c>
      <c r="AV444" s="65">
        <v>1</v>
      </c>
      <c r="AW444" s="51">
        <v>0</v>
      </c>
      <c r="AX444" s="65">
        <v>1</v>
      </c>
      <c r="AY444" s="65" t="s">
        <v>29</v>
      </c>
      <c r="AZ444">
        <v>0</v>
      </c>
      <c r="BA444">
        <v>0</v>
      </c>
      <c r="BB444">
        <v>1</v>
      </c>
      <c r="BC444">
        <v>0</v>
      </c>
      <c r="BD444">
        <v>0</v>
      </c>
      <c r="BE444">
        <v>0</v>
      </c>
      <c r="BF444" s="65">
        <v>0</v>
      </c>
      <c r="BG444">
        <v>0</v>
      </c>
      <c r="BH444">
        <v>1</v>
      </c>
      <c r="BI444" s="65">
        <v>0</v>
      </c>
      <c r="BJ444">
        <v>4893</v>
      </c>
      <c r="BK444">
        <v>9111</v>
      </c>
      <c r="BL444" s="52">
        <v>35.299999999999997</v>
      </c>
      <c r="BM444" s="51">
        <v>1</v>
      </c>
      <c r="BN444" s="51">
        <v>0</v>
      </c>
      <c r="BO444" s="51">
        <v>0</v>
      </c>
      <c r="BP444" s="51">
        <v>0</v>
      </c>
      <c r="BQ444" s="51">
        <v>0</v>
      </c>
      <c r="BR444" s="51">
        <v>0</v>
      </c>
      <c r="BS444" s="51">
        <v>0</v>
      </c>
      <c r="BT444" s="65">
        <v>0</v>
      </c>
      <c r="BU444" s="51">
        <v>0</v>
      </c>
      <c r="BV444" s="51">
        <v>0</v>
      </c>
      <c r="BW444" s="51">
        <v>1</v>
      </c>
      <c r="BX444" s="65">
        <v>0</v>
      </c>
      <c r="BY444" s="51">
        <v>0</v>
      </c>
      <c r="BZ444" s="51">
        <v>0</v>
      </c>
      <c r="CA444" s="51">
        <v>0</v>
      </c>
      <c r="CB444" s="51">
        <v>0</v>
      </c>
      <c r="CC444" s="65">
        <v>0</v>
      </c>
      <c r="CD444" s="51">
        <v>0</v>
      </c>
      <c r="CE444" s="51">
        <v>0</v>
      </c>
      <c r="CF444" s="51">
        <v>1</v>
      </c>
      <c r="CG444" s="51">
        <v>1</v>
      </c>
      <c r="CH444" s="51">
        <v>0</v>
      </c>
      <c r="CI444" s="51">
        <v>0</v>
      </c>
      <c r="CJ444" s="51">
        <v>0</v>
      </c>
      <c r="CK444" s="51">
        <v>0</v>
      </c>
      <c r="CL444" s="51">
        <v>0</v>
      </c>
      <c r="CM444" s="51">
        <v>0</v>
      </c>
      <c r="CN444" s="65">
        <v>0</v>
      </c>
      <c r="CO444">
        <v>2.3E-2</v>
      </c>
      <c r="CP444">
        <v>97</v>
      </c>
      <c r="CQ444">
        <v>1</v>
      </c>
      <c r="CR444">
        <v>0</v>
      </c>
      <c r="CS444">
        <v>13</v>
      </c>
      <c r="CT444" s="67"/>
      <c r="CY444" s="67"/>
    </row>
    <row r="445" spans="1:103" x14ac:dyDescent="0.25">
      <c r="A445">
        <v>444</v>
      </c>
      <c r="B445">
        <v>29</v>
      </c>
      <c r="C445" s="25" t="s">
        <v>9</v>
      </c>
      <c r="D445" s="12">
        <v>6.94</v>
      </c>
      <c r="E445" s="14">
        <v>0.59</v>
      </c>
      <c r="F445" s="7">
        <f t="shared" ref="F445:F454" si="103">D445/E445</f>
        <v>11.76271186440678</v>
      </c>
      <c r="G445" s="7">
        <f t="shared" si="91"/>
        <v>6.3500000000000005</v>
      </c>
      <c r="H445" s="16">
        <f t="shared" si="92"/>
        <v>7.53</v>
      </c>
      <c r="I445" s="11">
        <f t="shared" si="96"/>
        <v>0.23963844097900014</v>
      </c>
      <c r="J445" s="33">
        <f t="shared" si="97"/>
        <v>2.037272048668733E-2</v>
      </c>
      <c r="K445" s="33">
        <f t="shared" si="98"/>
        <v>49.08524615813856</v>
      </c>
      <c r="L445" s="8">
        <v>0</v>
      </c>
      <c r="M445" s="9">
        <v>1</v>
      </c>
      <c r="N445" s="8">
        <v>0</v>
      </c>
      <c r="O445" s="9">
        <v>0</v>
      </c>
      <c r="P445" s="9">
        <v>1</v>
      </c>
      <c r="Q445" s="9">
        <v>0</v>
      </c>
      <c r="R445" s="9">
        <v>0</v>
      </c>
      <c r="S445" s="8">
        <v>2276</v>
      </c>
      <c r="T445" s="9">
        <v>4</v>
      </c>
      <c r="U445" s="9">
        <f t="shared" si="93"/>
        <v>2271</v>
      </c>
      <c r="V445" s="9">
        <f t="shared" si="94"/>
        <v>10</v>
      </c>
      <c r="W445" s="7">
        <v>13.2</v>
      </c>
      <c r="X445" s="7">
        <f t="shared" ref="X445:X454" si="104">BL354-W354-6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105">1-AK445-AL445-AN445</f>
        <v>0.59399999999999997</v>
      </c>
      <c r="AN445" s="43">
        <v>0.39900000000000002</v>
      </c>
      <c r="AO445" s="42">
        <v>1</v>
      </c>
      <c r="AP445" s="18">
        <v>0</v>
      </c>
      <c r="AQ445">
        <v>0.59599999999999997</v>
      </c>
      <c r="AR445" s="40">
        <f>1-AQ445</f>
        <v>0.40400000000000003</v>
      </c>
      <c r="AS445" s="39">
        <f t="shared" si="102"/>
        <v>0.64400000000000002</v>
      </c>
      <c r="AT445" s="40">
        <v>0.35599999999999998</v>
      </c>
      <c r="AU445">
        <v>1</v>
      </c>
      <c r="AV445" s="18">
        <v>0</v>
      </c>
      <c r="AW445" t="s">
        <v>98</v>
      </c>
      <c r="AX445" s="18" t="s">
        <v>98</v>
      </c>
      <c r="AY445" s="18" t="s">
        <v>8</v>
      </c>
      <c r="AZ445">
        <v>0</v>
      </c>
      <c r="BA445">
        <v>0</v>
      </c>
      <c r="BB445">
        <v>1</v>
      </c>
      <c r="BC445">
        <v>0</v>
      </c>
      <c r="BD445">
        <v>0</v>
      </c>
      <c r="BE445">
        <v>0</v>
      </c>
      <c r="BF445" s="18">
        <v>0</v>
      </c>
      <c r="BG445">
        <v>0</v>
      </c>
      <c r="BH445">
        <v>1</v>
      </c>
      <c r="BI445" s="18">
        <v>0</v>
      </c>
      <c r="BJ445" t="s">
        <v>98</v>
      </c>
      <c r="BK445">
        <v>51</v>
      </c>
      <c r="BL445" s="25">
        <v>41.8</v>
      </c>
      <c r="BM445">
        <v>1</v>
      </c>
      <c r="BN445">
        <v>0</v>
      </c>
      <c r="BO445">
        <v>0</v>
      </c>
      <c r="BP445">
        <v>0</v>
      </c>
      <c r="BQ445">
        <v>0</v>
      </c>
      <c r="BR445">
        <v>0</v>
      </c>
      <c r="BS445">
        <v>0</v>
      </c>
      <c r="BT445" s="18">
        <v>0</v>
      </c>
      <c r="BU445">
        <v>0</v>
      </c>
      <c r="BV445">
        <v>0</v>
      </c>
      <c r="BW445">
        <v>1</v>
      </c>
      <c r="BX445" s="18">
        <v>0</v>
      </c>
      <c r="BY445">
        <v>0</v>
      </c>
      <c r="BZ445">
        <v>0</v>
      </c>
      <c r="CA445">
        <v>0</v>
      </c>
      <c r="CB445">
        <v>0</v>
      </c>
      <c r="CC445" s="18">
        <v>0</v>
      </c>
      <c r="CD445">
        <v>1</v>
      </c>
      <c r="CE445">
        <v>1</v>
      </c>
      <c r="CF445">
        <v>0</v>
      </c>
      <c r="CG445">
        <v>0</v>
      </c>
      <c r="CH445">
        <v>0</v>
      </c>
      <c r="CI445">
        <v>0</v>
      </c>
      <c r="CJ445">
        <v>1</v>
      </c>
      <c r="CK445">
        <v>0</v>
      </c>
      <c r="CL445">
        <v>0</v>
      </c>
      <c r="CM445">
        <v>0</v>
      </c>
      <c r="CN445" s="18">
        <v>0</v>
      </c>
      <c r="CO445">
        <v>0.14599999999999999</v>
      </c>
      <c r="CP445">
        <v>3</v>
      </c>
      <c r="CQ445">
        <v>0</v>
      </c>
      <c r="CR445">
        <v>1</v>
      </c>
      <c r="CS445">
        <v>11</v>
      </c>
      <c r="CY445" s="34"/>
    </row>
    <row r="446" spans="1:103" x14ac:dyDescent="0.25">
      <c r="A446">
        <v>445</v>
      </c>
      <c r="B446">
        <v>29</v>
      </c>
      <c r="C446" s="25" t="s">
        <v>9</v>
      </c>
      <c r="D446" s="12">
        <v>8.19</v>
      </c>
      <c r="E446" s="14">
        <v>0.77</v>
      </c>
      <c r="F446" s="7">
        <f t="shared" si="103"/>
        <v>10.636363636363635</v>
      </c>
      <c r="G446" s="7">
        <f t="shared" si="91"/>
        <v>7.42</v>
      </c>
      <c r="H446" s="16">
        <f t="shared" si="92"/>
        <v>8.9599999999999991</v>
      </c>
      <c r="I446" s="11">
        <f t="shared" si="96"/>
        <v>0.27778360252890461</v>
      </c>
      <c r="J446" s="33">
        <f t="shared" si="97"/>
        <v>2.6116407075367106E-2</v>
      </c>
      <c r="K446" s="33">
        <f t="shared" si="98"/>
        <v>38.290106181688223</v>
      </c>
      <c r="L446" s="8">
        <v>0</v>
      </c>
      <c r="M446" s="9">
        <v>1</v>
      </c>
      <c r="N446" s="8">
        <v>0</v>
      </c>
      <c r="O446" s="9">
        <v>0</v>
      </c>
      <c r="P446" s="9">
        <v>1</v>
      </c>
      <c r="Q446" s="9">
        <v>0</v>
      </c>
      <c r="R446" s="9">
        <v>0</v>
      </c>
      <c r="S446" s="8">
        <v>1357</v>
      </c>
      <c r="T446" s="9">
        <v>3</v>
      </c>
      <c r="U446" s="9">
        <f t="shared" si="93"/>
        <v>1353</v>
      </c>
      <c r="V446" s="9">
        <f t="shared" si="94"/>
        <v>10</v>
      </c>
      <c r="W446" s="7">
        <v>12.9</v>
      </c>
      <c r="X446" s="7">
        <f t="shared" si="104"/>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105"/>
        <v>0.65100000000000002</v>
      </c>
      <c r="AN446" s="43">
        <v>0.34200000000000003</v>
      </c>
      <c r="AO446" s="42">
        <v>1</v>
      </c>
      <c r="AP446" s="18">
        <v>0</v>
      </c>
      <c r="AQ446">
        <v>1</v>
      </c>
      <c r="AR446" s="40">
        <v>0</v>
      </c>
      <c r="AS446" s="39">
        <f t="shared" si="102"/>
        <v>0.64400000000000002</v>
      </c>
      <c r="AT446" s="40">
        <v>0.35599999999999998</v>
      </c>
      <c r="AU446">
        <v>1</v>
      </c>
      <c r="AV446" s="18">
        <v>0</v>
      </c>
      <c r="AW446" t="s">
        <v>98</v>
      </c>
      <c r="AX446" s="18" t="s">
        <v>98</v>
      </c>
      <c r="AY446" s="18" t="s">
        <v>8</v>
      </c>
      <c r="AZ446">
        <v>0</v>
      </c>
      <c r="BA446">
        <v>0</v>
      </c>
      <c r="BB446">
        <v>1</v>
      </c>
      <c r="BC446">
        <v>0</v>
      </c>
      <c r="BD446">
        <v>0</v>
      </c>
      <c r="BE446">
        <v>0</v>
      </c>
      <c r="BF446" s="18">
        <v>0</v>
      </c>
      <c r="BG446">
        <v>0</v>
      </c>
      <c r="BH446">
        <v>1</v>
      </c>
      <c r="BI446" s="18">
        <v>0</v>
      </c>
      <c r="BJ446" t="s">
        <v>98</v>
      </c>
      <c r="BK446">
        <v>51</v>
      </c>
      <c r="BL446" s="25">
        <v>41.6</v>
      </c>
      <c r="BM446">
        <v>1</v>
      </c>
      <c r="BN446">
        <v>0</v>
      </c>
      <c r="BO446">
        <v>0</v>
      </c>
      <c r="BP446">
        <v>0</v>
      </c>
      <c r="BQ446">
        <v>0</v>
      </c>
      <c r="BR446">
        <v>0</v>
      </c>
      <c r="BS446">
        <v>0</v>
      </c>
      <c r="BT446" s="18">
        <v>0</v>
      </c>
      <c r="BU446">
        <v>0</v>
      </c>
      <c r="BV446">
        <v>0</v>
      </c>
      <c r="BW446">
        <v>1</v>
      </c>
      <c r="BX446" s="18">
        <v>0</v>
      </c>
      <c r="BY446">
        <v>0</v>
      </c>
      <c r="BZ446">
        <v>0</v>
      </c>
      <c r="CA446">
        <v>0</v>
      </c>
      <c r="CB446">
        <v>0</v>
      </c>
      <c r="CC446" s="18">
        <v>0</v>
      </c>
      <c r="CD446">
        <v>1</v>
      </c>
      <c r="CE446">
        <v>1</v>
      </c>
      <c r="CF446">
        <v>0</v>
      </c>
      <c r="CG446">
        <v>0</v>
      </c>
      <c r="CH446">
        <v>0</v>
      </c>
      <c r="CI446">
        <v>0</v>
      </c>
      <c r="CJ446">
        <v>0</v>
      </c>
      <c r="CK446">
        <v>0</v>
      </c>
      <c r="CL446">
        <v>0</v>
      </c>
      <c r="CM446">
        <v>0</v>
      </c>
      <c r="CN446" s="18">
        <v>0</v>
      </c>
      <c r="CO446">
        <v>0.14599999999999999</v>
      </c>
      <c r="CP446">
        <v>3</v>
      </c>
      <c r="CQ446">
        <v>0</v>
      </c>
      <c r="CR446">
        <v>1</v>
      </c>
      <c r="CS446">
        <v>11</v>
      </c>
      <c r="CY446" s="34"/>
    </row>
    <row r="447" spans="1:103" x14ac:dyDescent="0.25">
      <c r="A447">
        <v>446</v>
      </c>
      <c r="B447">
        <v>29</v>
      </c>
      <c r="C447" s="25" t="s">
        <v>9</v>
      </c>
      <c r="D447" s="12">
        <v>5.09</v>
      </c>
      <c r="E447" s="14">
        <v>0.88</v>
      </c>
      <c r="F447" s="7">
        <f t="shared" si="103"/>
        <v>5.7840909090909092</v>
      </c>
      <c r="G447" s="7">
        <f t="shared" si="91"/>
        <v>4.21</v>
      </c>
      <c r="H447" s="16">
        <f t="shared" si="92"/>
        <v>5.97</v>
      </c>
      <c r="I447" s="11">
        <f t="shared" si="96"/>
        <v>0.1878134035333307</v>
      </c>
      <c r="J447" s="33">
        <f t="shared" si="97"/>
        <v>3.2470686661951083E-2</v>
      </c>
      <c r="K447" s="33">
        <f t="shared" si="98"/>
        <v>30.797008095667803</v>
      </c>
      <c r="L447" s="8">
        <v>0</v>
      </c>
      <c r="M447" s="9">
        <v>1</v>
      </c>
      <c r="N447" s="8">
        <v>0</v>
      </c>
      <c r="O447" s="9">
        <v>0</v>
      </c>
      <c r="P447" s="9">
        <v>1</v>
      </c>
      <c r="Q447" s="9">
        <v>0</v>
      </c>
      <c r="R447" s="9">
        <v>0</v>
      </c>
      <c r="S447" s="8">
        <v>919</v>
      </c>
      <c r="T447" s="9">
        <v>3</v>
      </c>
      <c r="U447" s="9">
        <f t="shared" si="93"/>
        <v>915</v>
      </c>
      <c r="V447" s="9">
        <f t="shared" si="94"/>
        <v>10</v>
      </c>
      <c r="W447" s="7">
        <v>13.6</v>
      </c>
      <c r="X447" s="7">
        <f t="shared" si="104"/>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105"/>
        <v>0.51200000000000001</v>
      </c>
      <c r="AN447" s="43">
        <v>0.48299999999999998</v>
      </c>
      <c r="AO447" s="42">
        <v>1</v>
      </c>
      <c r="AP447" s="18">
        <v>0</v>
      </c>
      <c r="AQ447">
        <v>0</v>
      </c>
      <c r="AR447" s="40">
        <v>1</v>
      </c>
      <c r="AS447" s="39">
        <f t="shared" si="102"/>
        <v>0.64400000000000002</v>
      </c>
      <c r="AT447" s="40">
        <v>0.35599999999999998</v>
      </c>
      <c r="AU447">
        <v>1</v>
      </c>
      <c r="AV447" s="18">
        <v>0</v>
      </c>
      <c r="AW447" t="s">
        <v>98</v>
      </c>
      <c r="AX447" s="18" t="s">
        <v>98</v>
      </c>
      <c r="AY447" s="18" t="s">
        <v>8</v>
      </c>
      <c r="AZ447">
        <v>0</v>
      </c>
      <c r="BA447">
        <v>0</v>
      </c>
      <c r="BB447">
        <v>1</v>
      </c>
      <c r="BC447">
        <v>0</v>
      </c>
      <c r="BD447">
        <v>0</v>
      </c>
      <c r="BE447">
        <v>0</v>
      </c>
      <c r="BF447" s="18">
        <v>0</v>
      </c>
      <c r="BG447">
        <v>0</v>
      </c>
      <c r="BH447">
        <v>1</v>
      </c>
      <c r="BI447" s="18">
        <v>0</v>
      </c>
      <c r="BJ447" t="s">
        <v>98</v>
      </c>
      <c r="BK447">
        <v>51</v>
      </c>
      <c r="BL447" s="25">
        <v>42.2</v>
      </c>
      <c r="BM447">
        <v>1</v>
      </c>
      <c r="BN447">
        <v>0</v>
      </c>
      <c r="BO447">
        <v>0</v>
      </c>
      <c r="BP447">
        <v>0</v>
      </c>
      <c r="BQ447">
        <v>0</v>
      </c>
      <c r="BR447">
        <v>0</v>
      </c>
      <c r="BS447">
        <v>0</v>
      </c>
      <c r="BT447" s="18">
        <v>0</v>
      </c>
      <c r="BU447">
        <v>0</v>
      </c>
      <c r="BV447">
        <v>0</v>
      </c>
      <c r="BW447">
        <v>1</v>
      </c>
      <c r="BX447" s="18">
        <v>0</v>
      </c>
      <c r="BY447">
        <v>0</v>
      </c>
      <c r="BZ447">
        <v>0</v>
      </c>
      <c r="CA447">
        <v>0</v>
      </c>
      <c r="CB447">
        <v>0</v>
      </c>
      <c r="CC447" s="18">
        <v>0</v>
      </c>
      <c r="CD447">
        <v>1</v>
      </c>
      <c r="CE447">
        <v>1</v>
      </c>
      <c r="CF447">
        <v>0</v>
      </c>
      <c r="CG447">
        <v>0</v>
      </c>
      <c r="CH447">
        <v>0</v>
      </c>
      <c r="CI447">
        <v>0</v>
      </c>
      <c r="CJ447">
        <v>0</v>
      </c>
      <c r="CK447">
        <v>0</v>
      </c>
      <c r="CL447">
        <v>0</v>
      </c>
      <c r="CM447">
        <v>0</v>
      </c>
      <c r="CN447" s="18">
        <v>0</v>
      </c>
      <c r="CO447">
        <v>0.14599999999999999</v>
      </c>
      <c r="CP447">
        <v>3</v>
      </c>
      <c r="CQ447">
        <v>0</v>
      </c>
      <c r="CR447">
        <v>1</v>
      </c>
      <c r="CS447">
        <v>11</v>
      </c>
      <c r="CY447" s="34"/>
    </row>
    <row r="448" spans="1:103" x14ac:dyDescent="0.25">
      <c r="A448">
        <v>447</v>
      </c>
      <c r="B448">
        <v>29</v>
      </c>
      <c r="C448" s="25" t="s">
        <v>9</v>
      </c>
      <c r="D448" s="12">
        <v>6.8</v>
      </c>
      <c r="E448" s="14">
        <v>0.6</v>
      </c>
      <c r="F448" s="7">
        <f t="shared" si="103"/>
        <v>11.333333333333334</v>
      </c>
      <c r="G448" s="7">
        <f t="shared" si="91"/>
        <v>6.2</v>
      </c>
      <c r="H448" s="16">
        <f t="shared" si="92"/>
        <v>7.3999999999999995</v>
      </c>
      <c r="I448" s="11">
        <f t="shared" si="96"/>
        <v>0.23189964848373007</v>
      </c>
      <c r="J448" s="33">
        <f t="shared" si="97"/>
        <v>2.0461733689740885E-2</v>
      </c>
      <c r="K448" s="33">
        <f t="shared" si="98"/>
        <v>48.87171415496335</v>
      </c>
      <c r="L448" s="8">
        <v>0</v>
      </c>
      <c r="M448" s="9">
        <v>1</v>
      </c>
      <c r="N448" s="8">
        <v>0</v>
      </c>
      <c r="O448" s="9">
        <v>0</v>
      </c>
      <c r="P448" s="9">
        <v>1</v>
      </c>
      <c r="Q448" s="9">
        <v>0</v>
      </c>
      <c r="R448" s="9">
        <v>0</v>
      </c>
      <c r="S448" s="8">
        <v>2276</v>
      </c>
      <c r="T448" s="9">
        <v>15</v>
      </c>
      <c r="U448" s="9">
        <f t="shared" si="93"/>
        <v>2260</v>
      </c>
      <c r="V448" s="9">
        <f t="shared" si="94"/>
        <v>10</v>
      </c>
      <c r="W448" s="7">
        <v>13.2</v>
      </c>
      <c r="X448" s="7">
        <f t="shared" si="104"/>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105"/>
        <v>0.59399999999999997</v>
      </c>
      <c r="AN448" s="43">
        <v>0.39900000000000002</v>
      </c>
      <c r="AO448" s="42">
        <v>1</v>
      </c>
      <c r="AP448" s="18">
        <v>0</v>
      </c>
      <c r="AQ448">
        <v>0.59599999999999997</v>
      </c>
      <c r="AR448" s="40">
        <f>1-AQ448</f>
        <v>0.40400000000000003</v>
      </c>
      <c r="AS448" s="39">
        <f t="shared" si="102"/>
        <v>0.64400000000000002</v>
      </c>
      <c r="AT448" s="40">
        <v>0.35599999999999998</v>
      </c>
      <c r="AU448">
        <v>1</v>
      </c>
      <c r="AV448" s="18">
        <v>0</v>
      </c>
      <c r="AW448" t="s">
        <v>98</v>
      </c>
      <c r="AX448" s="18" t="s">
        <v>98</v>
      </c>
      <c r="AY448" s="18" t="s">
        <v>8</v>
      </c>
      <c r="AZ448">
        <v>0</v>
      </c>
      <c r="BA448">
        <v>0</v>
      </c>
      <c r="BB448">
        <v>1</v>
      </c>
      <c r="BC448">
        <v>0</v>
      </c>
      <c r="BD448">
        <v>0</v>
      </c>
      <c r="BE448">
        <v>0</v>
      </c>
      <c r="BF448" s="18">
        <v>0</v>
      </c>
      <c r="BG448">
        <v>0</v>
      </c>
      <c r="BH448">
        <v>1</v>
      </c>
      <c r="BI448" s="18">
        <v>0</v>
      </c>
      <c r="BJ448" t="s">
        <v>98</v>
      </c>
      <c r="BK448">
        <v>51</v>
      </c>
      <c r="BL448" s="25">
        <v>41.8</v>
      </c>
      <c r="BM448">
        <v>1</v>
      </c>
      <c r="BN448">
        <v>0</v>
      </c>
      <c r="BO448">
        <v>0</v>
      </c>
      <c r="BP448">
        <v>0</v>
      </c>
      <c r="BQ448">
        <v>0</v>
      </c>
      <c r="BR448">
        <v>0</v>
      </c>
      <c r="BS448">
        <v>0</v>
      </c>
      <c r="BT448" s="18">
        <v>0</v>
      </c>
      <c r="BU448">
        <v>0</v>
      </c>
      <c r="BV448">
        <v>0</v>
      </c>
      <c r="BW448">
        <v>1</v>
      </c>
      <c r="BX448" s="18">
        <v>0</v>
      </c>
      <c r="BY448">
        <v>0</v>
      </c>
      <c r="BZ448">
        <v>0</v>
      </c>
      <c r="CA448">
        <v>0</v>
      </c>
      <c r="CB448">
        <v>0</v>
      </c>
      <c r="CC448" s="18">
        <v>0</v>
      </c>
      <c r="CD448">
        <v>1</v>
      </c>
      <c r="CE448">
        <v>1</v>
      </c>
      <c r="CF448">
        <v>0</v>
      </c>
      <c r="CG448">
        <v>0</v>
      </c>
      <c r="CH448">
        <v>0</v>
      </c>
      <c r="CI448">
        <v>0</v>
      </c>
      <c r="CJ448">
        <v>0</v>
      </c>
      <c r="CK448">
        <v>1</v>
      </c>
      <c r="CL448">
        <v>0</v>
      </c>
      <c r="CM448">
        <v>0</v>
      </c>
      <c r="CN448" s="18">
        <v>1</v>
      </c>
      <c r="CO448">
        <v>0.14599999999999999</v>
      </c>
      <c r="CP448">
        <v>3</v>
      </c>
      <c r="CQ448">
        <v>0</v>
      </c>
      <c r="CR448">
        <v>1</v>
      </c>
      <c r="CS448">
        <v>11</v>
      </c>
      <c r="CY448" s="34"/>
    </row>
    <row r="449" spans="1:103" x14ac:dyDescent="0.25">
      <c r="A449">
        <v>448</v>
      </c>
      <c r="B449">
        <v>29</v>
      </c>
      <c r="C449" s="25" t="s">
        <v>9</v>
      </c>
      <c r="D449" s="12">
        <v>7.06</v>
      </c>
      <c r="E449" s="14">
        <v>0.78</v>
      </c>
      <c r="F449" s="7">
        <f t="shared" si="103"/>
        <v>9.0512820512820511</v>
      </c>
      <c r="G449" s="7">
        <f t="shared" si="91"/>
        <v>6.2799999999999994</v>
      </c>
      <c r="H449" s="16">
        <f t="shared" si="92"/>
        <v>7.84</v>
      </c>
      <c r="I449" s="11">
        <f t="shared" si="96"/>
        <v>0.23986475186127454</v>
      </c>
      <c r="J449" s="33">
        <f t="shared" si="97"/>
        <v>2.6500638307619565E-2</v>
      </c>
      <c r="K449" s="33">
        <f t="shared" si="98"/>
        <v>37.734940132082635</v>
      </c>
      <c r="L449" s="8">
        <v>0</v>
      </c>
      <c r="M449" s="9">
        <v>1</v>
      </c>
      <c r="N449" s="8">
        <v>0</v>
      </c>
      <c r="O449" s="9">
        <v>0</v>
      </c>
      <c r="P449" s="9">
        <v>1</v>
      </c>
      <c r="Q449" s="9">
        <v>0</v>
      </c>
      <c r="R449" s="9">
        <v>0</v>
      </c>
      <c r="S449" s="8">
        <v>1357</v>
      </c>
      <c r="T449" s="9">
        <v>14</v>
      </c>
      <c r="U449" s="9">
        <f t="shared" si="93"/>
        <v>1342</v>
      </c>
      <c r="V449" s="9">
        <f t="shared" si="94"/>
        <v>10</v>
      </c>
      <c r="W449" s="7">
        <v>12.9</v>
      </c>
      <c r="X449" s="7">
        <f t="shared" si="104"/>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105"/>
        <v>0.65100000000000002</v>
      </c>
      <c r="AN449" s="43">
        <v>0.34200000000000003</v>
      </c>
      <c r="AO449" s="42">
        <v>1</v>
      </c>
      <c r="AP449" s="18">
        <v>0</v>
      </c>
      <c r="AQ449">
        <v>1</v>
      </c>
      <c r="AR449" s="40">
        <v>0</v>
      </c>
      <c r="AS449" s="39">
        <f t="shared" si="102"/>
        <v>0.64400000000000002</v>
      </c>
      <c r="AT449" s="40">
        <v>0.35599999999999998</v>
      </c>
      <c r="AU449">
        <v>1</v>
      </c>
      <c r="AV449" s="18">
        <v>0</v>
      </c>
      <c r="AW449" t="s">
        <v>98</v>
      </c>
      <c r="AX449" s="18" t="s">
        <v>98</v>
      </c>
      <c r="AY449" s="18" t="s">
        <v>8</v>
      </c>
      <c r="AZ449">
        <v>0</v>
      </c>
      <c r="BA449">
        <v>0</v>
      </c>
      <c r="BB449">
        <v>1</v>
      </c>
      <c r="BC449">
        <v>0</v>
      </c>
      <c r="BD449">
        <v>0</v>
      </c>
      <c r="BE449">
        <v>0</v>
      </c>
      <c r="BF449" s="18">
        <v>0</v>
      </c>
      <c r="BG449">
        <v>0</v>
      </c>
      <c r="BH449">
        <v>1</v>
      </c>
      <c r="BI449" s="18">
        <v>0</v>
      </c>
      <c r="BJ449" t="s">
        <v>98</v>
      </c>
      <c r="BK449">
        <v>51</v>
      </c>
      <c r="BL449" s="25">
        <v>41.6</v>
      </c>
      <c r="BM449">
        <v>1</v>
      </c>
      <c r="BN449">
        <v>0</v>
      </c>
      <c r="BO449">
        <v>0</v>
      </c>
      <c r="BP449">
        <v>0</v>
      </c>
      <c r="BQ449">
        <v>0</v>
      </c>
      <c r="BR449">
        <v>0</v>
      </c>
      <c r="BS449">
        <v>0</v>
      </c>
      <c r="BT449" s="18">
        <v>0</v>
      </c>
      <c r="BU449">
        <v>0</v>
      </c>
      <c r="BV449">
        <v>0</v>
      </c>
      <c r="BW449">
        <v>1</v>
      </c>
      <c r="BX449" s="18">
        <v>0</v>
      </c>
      <c r="BY449">
        <v>0</v>
      </c>
      <c r="BZ449">
        <v>0</v>
      </c>
      <c r="CA449">
        <v>0</v>
      </c>
      <c r="CB449">
        <v>0</v>
      </c>
      <c r="CC449" s="18">
        <v>0</v>
      </c>
      <c r="CD449">
        <v>1</v>
      </c>
      <c r="CE449">
        <v>1</v>
      </c>
      <c r="CF449">
        <v>0</v>
      </c>
      <c r="CG449">
        <v>0</v>
      </c>
      <c r="CH449">
        <v>0</v>
      </c>
      <c r="CI449">
        <v>0</v>
      </c>
      <c r="CJ449">
        <v>0</v>
      </c>
      <c r="CK449">
        <v>1</v>
      </c>
      <c r="CL449">
        <v>0</v>
      </c>
      <c r="CM449">
        <v>0</v>
      </c>
      <c r="CN449" s="18">
        <v>1</v>
      </c>
      <c r="CO449">
        <v>0.14599999999999999</v>
      </c>
      <c r="CP449">
        <v>3</v>
      </c>
      <c r="CQ449">
        <v>0</v>
      </c>
      <c r="CR449">
        <v>1</v>
      </c>
      <c r="CS449">
        <v>11</v>
      </c>
      <c r="CY449" s="34"/>
    </row>
    <row r="450" spans="1:103" x14ac:dyDescent="0.25">
      <c r="A450">
        <v>449</v>
      </c>
      <c r="B450">
        <v>29</v>
      </c>
      <c r="C450" s="25" t="s">
        <v>9</v>
      </c>
      <c r="D450" s="12">
        <v>6.21</v>
      </c>
      <c r="E450" s="14">
        <v>0.94</v>
      </c>
      <c r="F450" s="7">
        <f t="shared" si="103"/>
        <v>6.6063829787234045</v>
      </c>
      <c r="G450" s="7">
        <f t="shared" ref="G450:G513" si="106">D450-E450</f>
        <v>5.27</v>
      </c>
      <c r="H450" s="16">
        <f t="shared" ref="H450:H513" si="107">D450+E450</f>
        <v>7.15</v>
      </c>
      <c r="I450" s="11">
        <f t="shared" si="96"/>
        <v>0.21460560973649845</v>
      </c>
      <c r="J450" s="33">
        <f t="shared" si="97"/>
        <v>3.2484585048680924E-2</v>
      </c>
      <c r="K450" s="33">
        <f t="shared" si="98"/>
        <v>30.783831731309316</v>
      </c>
      <c r="L450" s="8">
        <v>0</v>
      </c>
      <c r="M450" s="9">
        <v>1</v>
      </c>
      <c r="N450" s="8">
        <v>0</v>
      </c>
      <c r="O450" s="9">
        <v>0</v>
      </c>
      <c r="P450" s="9">
        <v>1</v>
      </c>
      <c r="Q450" s="9">
        <v>0</v>
      </c>
      <c r="R450" s="9">
        <v>0</v>
      </c>
      <c r="S450" s="8">
        <v>919</v>
      </c>
      <c r="T450" s="9">
        <v>14</v>
      </c>
      <c r="U450" s="9">
        <f t="shared" ref="U450:U513" si="108">S450-T450-1</f>
        <v>904</v>
      </c>
      <c r="V450" s="9">
        <f t="shared" ref="V450:V513" si="109">COUNTIF(B:B,B450)</f>
        <v>10</v>
      </c>
      <c r="W450" s="7">
        <v>13.6</v>
      </c>
      <c r="X450" s="7">
        <f t="shared" si="104"/>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105"/>
        <v>0.51200000000000001</v>
      </c>
      <c r="AN450" s="43">
        <v>0.48299999999999998</v>
      </c>
      <c r="AO450" s="42">
        <v>1</v>
      </c>
      <c r="AP450" s="18">
        <v>0</v>
      </c>
      <c r="AQ450">
        <v>0</v>
      </c>
      <c r="AR450" s="40">
        <v>1</v>
      </c>
      <c r="AS450" s="39">
        <f t="shared" si="102"/>
        <v>0.64400000000000002</v>
      </c>
      <c r="AT450" s="40">
        <v>0.35599999999999998</v>
      </c>
      <c r="AU450">
        <v>1</v>
      </c>
      <c r="AV450" s="18">
        <v>0</v>
      </c>
      <c r="AW450" t="s">
        <v>98</v>
      </c>
      <c r="AX450" s="18" t="s">
        <v>98</v>
      </c>
      <c r="AY450" s="18" t="s">
        <v>8</v>
      </c>
      <c r="AZ450">
        <v>0</v>
      </c>
      <c r="BA450">
        <v>0</v>
      </c>
      <c r="BB450">
        <v>1</v>
      </c>
      <c r="BC450">
        <v>0</v>
      </c>
      <c r="BD450">
        <v>0</v>
      </c>
      <c r="BE450">
        <v>0</v>
      </c>
      <c r="BF450" s="18">
        <v>0</v>
      </c>
      <c r="BG450">
        <v>0</v>
      </c>
      <c r="BH450">
        <v>1</v>
      </c>
      <c r="BI450" s="18">
        <v>0</v>
      </c>
      <c r="BJ450" t="s">
        <v>98</v>
      </c>
      <c r="BK450">
        <v>51</v>
      </c>
      <c r="BL450" s="25">
        <v>42.2</v>
      </c>
      <c r="BM450">
        <v>1</v>
      </c>
      <c r="BN450">
        <v>0</v>
      </c>
      <c r="BO450">
        <v>0</v>
      </c>
      <c r="BP450">
        <v>0</v>
      </c>
      <c r="BQ450">
        <v>0</v>
      </c>
      <c r="BR450">
        <v>0</v>
      </c>
      <c r="BS450">
        <v>0</v>
      </c>
      <c r="BT450" s="18">
        <v>0</v>
      </c>
      <c r="BU450">
        <v>0</v>
      </c>
      <c r="BV450">
        <v>0</v>
      </c>
      <c r="BW450">
        <v>1</v>
      </c>
      <c r="BX450" s="18">
        <v>0</v>
      </c>
      <c r="BY450">
        <v>0</v>
      </c>
      <c r="BZ450">
        <v>0</v>
      </c>
      <c r="CA450">
        <v>0</v>
      </c>
      <c r="CB450">
        <v>0</v>
      </c>
      <c r="CC450" s="18">
        <v>0</v>
      </c>
      <c r="CD450">
        <v>1</v>
      </c>
      <c r="CE450">
        <v>1</v>
      </c>
      <c r="CF450">
        <v>0</v>
      </c>
      <c r="CG450">
        <v>0</v>
      </c>
      <c r="CH450">
        <v>0</v>
      </c>
      <c r="CI450">
        <v>0</v>
      </c>
      <c r="CJ450">
        <v>0</v>
      </c>
      <c r="CK450">
        <v>1</v>
      </c>
      <c r="CL450">
        <v>0</v>
      </c>
      <c r="CM450">
        <v>0</v>
      </c>
      <c r="CN450" s="18">
        <v>1</v>
      </c>
      <c r="CO450">
        <v>0.14599999999999999</v>
      </c>
      <c r="CP450">
        <v>3</v>
      </c>
      <c r="CQ450">
        <v>0</v>
      </c>
      <c r="CR450">
        <v>1</v>
      </c>
      <c r="CS450">
        <v>11</v>
      </c>
      <c r="CY450" s="34"/>
    </row>
    <row r="451" spans="1:103" x14ac:dyDescent="0.25">
      <c r="A451">
        <v>450</v>
      </c>
      <c r="B451">
        <v>29</v>
      </c>
      <c r="C451" s="25" t="s">
        <v>9</v>
      </c>
      <c r="D451" s="12">
        <v>6.16</v>
      </c>
      <c r="E451" s="14">
        <v>0.86</v>
      </c>
      <c r="F451" s="7">
        <f t="shared" si="103"/>
        <v>7.1627906976744189</v>
      </c>
      <c r="G451" s="7">
        <f t="shared" si="106"/>
        <v>5.3</v>
      </c>
      <c r="H451" s="16">
        <f t="shared" si="107"/>
        <v>7.0200000000000005</v>
      </c>
      <c r="I451" s="11">
        <f t="shared" si="96"/>
        <v>0.19189297421546586</v>
      </c>
      <c r="J451" s="33">
        <f t="shared" si="97"/>
        <v>2.6790252893717639E-2</v>
      </c>
      <c r="K451" s="33">
        <f t="shared" si="98"/>
        <v>37.327008594028676</v>
      </c>
      <c r="L451" s="8">
        <v>0</v>
      </c>
      <c r="M451" s="9">
        <v>1</v>
      </c>
      <c r="N451" s="8">
        <v>0</v>
      </c>
      <c r="O451" s="9">
        <v>0</v>
      </c>
      <c r="P451" s="9">
        <v>1</v>
      </c>
      <c r="Q451" s="9">
        <v>0</v>
      </c>
      <c r="R451" s="9">
        <v>0</v>
      </c>
      <c r="S451" s="8">
        <v>1357</v>
      </c>
      <c r="T451" s="9">
        <v>14</v>
      </c>
      <c r="U451" s="9">
        <f t="shared" si="108"/>
        <v>1342</v>
      </c>
      <c r="V451" s="9">
        <f t="shared" si="109"/>
        <v>10</v>
      </c>
      <c r="W451" s="7">
        <v>12.9</v>
      </c>
      <c r="X451" s="7">
        <f t="shared" si="104"/>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105"/>
        <v>0.65100000000000002</v>
      </c>
      <c r="AN451" s="43">
        <v>0.34200000000000003</v>
      </c>
      <c r="AO451" s="42">
        <v>1</v>
      </c>
      <c r="AP451" s="18">
        <v>0</v>
      </c>
      <c r="AQ451">
        <v>1</v>
      </c>
      <c r="AR451" s="40">
        <v>0</v>
      </c>
      <c r="AS451" s="39">
        <f t="shared" si="102"/>
        <v>0.64400000000000002</v>
      </c>
      <c r="AT451" s="40">
        <v>0.35599999999999998</v>
      </c>
      <c r="AU451">
        <v>1</v>
      </c>
      <c r="AV451" s="18">
        <v>0</v>
      </c>
      <c r="AW451" t="s">
        <v>98</v>
      </c>
      <c r="AX451" s="18" t="s">
        <v>98</v>
      </c>
      <c r="AY451" s="18" t="s">
        <v>8</v>
      </c>
      <c r="AZ451">
        <v>0</v>
      </c>
      <c r="BA451">
        <v>0</v>
      </c>
      <c r="BB451">
        <v>1</v>
      </c>
      <c r="BC451">
        <v>0</v>
      </c>
      <c r="BD451">
        <v>0</v>
      </c>
      <c r="BE451">
        <v>0</v>
      </c>
      <c r="BF451" s="18">
        <v>0</v>
      </c>
      <c r="BG451">
        <v>0</v>
      </c>
      <c r="BH451">
        <v>1</v>
      </c>
      <c r="BI451" s="18">
        <v>0</v>
      </c>
      <c r="BJ451" t="s">
        <v>98</v>
      </c>
      <c r="BK451">
        <v>51</v>
      </c>
      <c r="BL451" s="25">
        <v>41.6</v>
      </c>
      <c r="BM451">
        <v>0</v>
      </c>
      <c r="BN451">
        <v>0</v>
      </c>
      <c r="BO451">
        <v>0</v>
      </c>
      <c r="BP451">
        <v>0</v>
      </c>
      <c r="BQ451">
        <v>0</v>
      </c>
      <c r="BR451">
        <v>1</v>
      </c>
      <c r="BS451">
        <v>0</v>
      </c>
      <c r="BT451" s="18">
        <v>0</v>
      </c>
      <c r="BU451">
        <v>0</v>
      </c>
      <c r="BV451">
        <v>0</v>
      </c>
      <c r="BW451">
        <v>1</v>
      </c>
      <c r="BX451" s="18">
        <v>0</v>
      </c>
      <c r="BY451">
        <v>0</v>
      </c>
      <c r="BZ451">
        <v>0</v>
      </c>
      <c r="CA451">
        <v>0</v>
      </c>
      <c r="CB451">
        <v>0</v>
      </c>
      <c r="CC451" s="18">
        <v>0</v>
      </c>
      <c r="CD451">
        <v>1</v>
      </c>
      <c r="CE451">
        <v>1</v>
      </c>
      <c r="CF451">
        <v>0</v>
      </c>
      <c r="CG451">
        <v>0</v>
      </c>
      <c r="CH451">
        <v>0</v>
      </c>
      <c r="CI451">
        <v>0</v>
      </c>
      <c r="CJ451">
        <v>0</v>
      </c>
      <c r="CK451">
        <v>1</v>
      </c>
      <c r="CL451">
        <v>0</v>
      </c>
      <c r="CM451">
        <v>0</v>
      </c>
      <c r="CN451" s="18">
        <v>1</v>
      </c>
      <c r="CO451">
        <v>0.14599999999999999</v>
      </c>
      <c r="CP451">
        <v>3</v>
      </c>
      <c r="CQ451">
        <v>0</v>
      </c>
      <c r="CR451">
        <v>1</v>
      </c>
      <c r="CS451">
        <v>11</v>
      </c>
      <c r="CY451" s="34"/>
    </row>
    <row r="452" spans="1:103" x14ac:dyDescent="0.25">
      <c r="A452">
        <v>451</v>
      </c>
      <c r="B452">
        <v>29</v>
      </c>
      <c r="C452" s="25" t="s">
        <v>9</v>
      </c>
      <c r="D452" s="12">
        <v>5.48</v>
      </c>
      <c r="E452" s="14">
        <v>1.3</v>
      </c>
      <c r="F452" s="7">
        <f t="shared" si="103"/>
        <v>4.2153846153846155</v>
      </c>
      <c r="G452" s="7">
        <f t="shared" si="106"/>
        <v>4.1800000000000006</v>
      </c>
      <c r="H452" s="16">
        <f t="shared" si="107"/>
        <v>6.78</v>
      </c>
      <c r="I452" s="11">
        <f t="shared" si="96"/>
        <v>0.13884365792453493</v>
      </c>
      <c r="J452" s="33">
        <f t="shared" si="97"/>
        <v>3.2937364106185293E-2</v>
      </c>
      <c r="K452" s="33">
        <f t="shared" si="98"/>
        <v>30.360656571550315</v>
      </c>
      <c r="L452" s="8">
        <v>0</v>
      </c>
      <c r="M452" s="9">
        <v>1</v>
      </c>
      <c r="N452" s="8">
        <v>0</v>
      </c>
      <c r="O452" s="9">
        <v>0</v>
      </c>
      <c r="P452" s="9">
        <v>1</v>
      </c>
      <c r="Q452" s="9">
        <v>0</v>
      </c>
      <c r="R452" s="9">
        <v>0</v>
      </c>
      <c r="S452" s="8">
        <v>919</v>
      </c>
      <c r="T452" s="9">
        <v>14</v>
      </c>
      <c r="U452" s="9">
        <f t="shared" si="108"/>
        <v>904</v>
      </c>
      <c r="V452" s="9">
        <f t="shared" si="109"/>
        <v>10</v>
      </c>
      <c r="W452" s="7">
        <v>13.6</v>
      </c>
      <c r="X452" s="7">
        <f t="shared" si="104"/>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105"/>
        <v>0.51200000000000001</v>
      </c>
      <c r="AN452" s="43">
        <v>0.48299999999999998</v>
      </c>
      <c r="AO452" s="42">
        <v>1</v>
      </c>
      <c r="AP452" s="18">
        <v>0</v>
      </c>
      <c r="AQ452">
        <v>0</v>
      </c>
      <c r="AR452" s="40">
        <v>1</v>
      </c>
      <c r="AS452" s="39">
        <f t="shared" si="102"/>
        <v>0.64400000000000002</v>
      </c>
      <c r="AT452" s="40">
        <v>0.35599999999999998</v>
      </c>
      <c r="AU452">
        <v>1</v>
      </c>
      <c r="AV452" s="18">
        <v>0</v>
      </c>
      <c r="AW452" t="s">
        <v>98</v>
      </c>
      <c r="AX452" s="18" t="s">
        <v>98</v>
      </c>
      <c r="AY452" s="18" t="s">
        <v>8</v>
      </c>
      <c r="AZ452">
        <v>0</v>
      </c>
      <c r="BA452">
        <v>0</v>
      </c>
      <c r="BB452">
        <v>1</v>
      </c>
      <c r="BC452">
        <v>0</v>
      </c>
      <c r="BD452">
        <v>0</v>
      </c>
      <c r="BE452">
        <v>0</v>
      </c>
      <c r="BF452" s="18">
        <v>0</v>
      </c>
      <c r="BG452">
        <v>0</v>
      </c>
      <c r="BH452">
        <v>1</v>
      </c>
      <c r="BI452" s="18">
        <v>0</v>
      </c>
      <c r="BJ452" t="s">
        <v>98</v>
      </c>
      <c r="BK452">
        <v>51</v>
      </c>
      <c r="BL452" s="25">
        <v>42.2</v>
      </c>
      <c r="BM452">
        <v>0</v>
      </c>
      <c r="BN452">
        <v>0</v>
      </c>
      <c r="BO452">
        <v>0</v>
      </c>
      <c r="BP452">
        <v>0</v>
      </c>
      <c r="BQ452">
        <v>0</v>
      </c>
      <c r="BR452">
        <v>1</v>
      </c>
      <c r="BS452">
        <v>0</v>
      </c>
      <c r="BT452" s="18">
        <v>0</v>
      </c>
      <c r="BU452">
        <v>0</v>
      </c>
      <c r="BV452">
        <v>0</v>
      </c>
      <c r="BW452">
        <v>1</v>
      </c>
      <c r="BX452" s="18">
        <v>0</v>
      </c>
      <c r="BY452">
        <v>0</v>
      </c>
      <c r="BZ452">
        <v>0</v>
      </c>
      <c r="CA452">
        <v>0</v>
      </c>
      <c r="CB452">
        <v>0</v>
      </c>
      <c r="CC452" s="18">
        <v>0</v>
      </c>
      <c r="CD452">
        <v>1</v>
      </c>
      <c r="CE452">
        <v>1</v>
      </c>
      <c r="CF452">
        <v>0</v>
      </c>
      <c r="CG452">
        <v>0</v>
      </c>
      <c r="CH452">
        <v>0</v>
      </c>
      <c r="CI452">
        <v>0</v>
      </c>
      <c r="CJ452">
        <v>0</v>
      </c>
      <c r="CK452">
        <v>1</v>
      </c>
      <c r="CL452">
        <v>0</v>
      </c>
      <c r="CM452">
        <v>0</v>
      </c>
      <c r="CN452" s="18">
        <v>1</v>
      </c>
      <c r="CO452">
        <v>0.14599999999999999</v>
      </c>
      <c r="CP452">
        <v>3</v>
      </c>
      <c r="CQ452">
        <v>0</v>
      </c>
      <c r="CR452">
        <v>1</v>
      </c>
      <c r="CS452">
        <v>11</v>
      </c>
      <c r="CY452" s="34"/>
    </row>
    <row r="453" spans="1:103" x14ac:dyDescent="0.25">
      <c r="A453">
        <v>452</v>
      </c>
      <c r="B453">
        <v>29</v>
      </c>
      <c r="C453" s="25" t="s">
        <v>9</v>
      </c>
      <c r="D453" s="12">
        <v>6</v>
      </c>
      <c r="E453" s="14">
        <v>1.2</v>
      </c>
      <c r="F453" s="7">
        <f t="shared" si="103"/>
        <v>5</v>
      </c>
      <c r="G453" s="7">
        <f t="shared" si="106"/>
        <v>4.8</v>
      </c>
      <c r="H453" s="16">
        <f t="shared" si="107"/>
        <v>7.2</v>
      </c>
      <c r="I453" s="11">
        <f t="shared" si="96"/>
        <v>0.16602227504272984</v>
      </c>
      <c r="J453" s="33">
        <f t="shared" si="97"/>
        <v>3.320445500854597E-2</v>
      </c>
      <c r="K453" s="33">
        <f t="shared" si="98"/>
        <v>30.116440692751194</v>
      </c>
      <c r="L453" s="8">
        <v>0</v>
      </c>
      <c r="M453" s="9">
        <v>1</v>
      </c>
      <c r="N453" s="8">
        <v>0</v>
      </c>
      <c r="O453" s="9">
        <v>0</v>
      </c>
      <c r="P453" s="9">
        <v>1</v>
      </c>
      <c r="Q453" s="9">
        <v>0</v>
      </c>
      <c r="R453" s="9">
        <v>0</v>
      </c>
      <c r="S453" s="8">
        <v>897</v>
      </c>
      <c r="T453" s="9">
        <v>14</v>
      </c>
      <c r="U453" s="9">
        <f t="shared" si="108"/>
        <v>882</v>
      </c>
      <c r="V453" s="9">
        <f t="shared" si="109"/>
        <v>10</v>
      </c>
      <c r="W453" s="7">
        <v>13.3</v>
      </c>
      <c r="X453" s="7">
        <f t="shared" si="104"/>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105"/>
        <v>0.56800000000000006</v>
      </c>
      <c r="AN453" s="43">
        <v>0.42399999999999999</v>
      </c>
      <c r="AO453" s="42">
        <v>1</v>
      </c>
      <c r="AP453" s="18">
        <v>0</v>
      </c>
      <c r="AQ453">
        <v>1</v>
      </c>
      <c r="AR453" s="40">
        <v>0</v>
      </c>
      <c r="AS453" s="39">
        <f t="shared" si="102"/>
        <v>0.64400000000000002</v>
      </c>
      <c r="AT453" s="40">
        <v>0.35599999999999998</v>
      </c>
      <c r="AU453">
        <v>1</v>
      </c>
      <c r="AV453" s="18">
        <v>0</v>
      </c>
      <c r="AW453" t="s">
        <v>98</v>
      </c>
      <c r="AX453" s="18" t="s">
        <v>98</v>
      </c>
      <c r="AY453" s="18" t="s">
        <v>8</v>
      </c>
      <c r="AZ453">
        <v>0</v>
      </c>
      <c r="BA453">
        <v>0</v>
      </c>
      <c r="BB453">
        <v>1</v>
      </c>
      <c r="BC453">
        <v>0</v>
      </c>
      <c r="BD453">
        <v>0</v>
      </c>
      <c r="BE453">
        <v>0</v>
      </c>
      <c r="BF453" s="18">
        <v>0</v>
      </c>
      <c r="BG453">
        <v>0</v>
      </c>
      <c r="BH453">
        <v>1</v>
      </c>
      <c r="BI453" s="18">
        <v>0</v>
      </c>
      <c r="BJ453" t="s">
        <v>98</v>
      </c>
      <c r="BK453">
        <v>51</v>
      </c>
      <c r="BL453" s="25">
        <v>41.2</v>
      </c>
      <c r="BM453">
        <v>0</v>
      </c>
      <c r="BN453">
        <v>0</v>
      </c>
      <c r="BO453">
        <v>0</v>
      </c>
      <c r="BP453">
        <v>0</v>
      </c>
      <c r="BQ453">
        <v>0</v>
      </c>
      <c r="BR453">
        <v>1</v>
      </c>
      <c r="BS453">
        <v>0</v>
      </c>
      <c r="BT453" s="18">
        <v>0</v>
      </c>
      <c r="BU453">
        <v>0</v>
      </c>
      <c r="BV453">
        <v>0</v>
      </c>
      <c r="BW453">
        <v>1</v>
      </c>
      <c r="BX453" s="18">
        <v>0</v>
      </c>
      <c r="BY453">
        <v>0</v>
      </c>
      <c r="BZ453">
        <v>0</v>
      </c>
      <c r="CA453">
        <v>0</v>
      </c>
      <c r="CB453">
        <v>0</v>
      </c>
      <c r="CC453" s="18">
        <v>0</v>
      </c>
      <c r="CD453">
        <v>1</v>
      </c>
      <c r="CE453">
        <v>1</v>
      </c>
      <c r="CF453">
        <v>0</v>
      </c>
      <c r="CG453">
        <v>0</v>
      </c>
      <c r="CH453">
        <v>0</v>
      </c>
      <c r="CI453">
        <v>0</v>
      </c>
      <c r="CJ453">
        <v>0</v>
      </c>
      <c r="CK453">
        <v>1</v>
      </c>
      <c r="CL453">
        <v>0</v>
      </c>
      <c r="CM453">
        <v>0</v>
      </c>
      <c r="CN453" s="18">
        <v>1</v>
      </c>
      <c r="CO453">
        <v>0.14599999999999999</v>
      </c>
      <c r="CP453">
        <v>3</v>
      </c>
      <c r="CQ453">
        <v>0</v>
      </c>
      <c r="CR453">
        <v>1</v>
      </c>
      <c r="CS453">
        <v>11</v>
      </c>
      <c r="CY453" s="34"/>
    </row>
    <row r="454" spans="1:103" s="51" customFormat="1" x14ac:dyDescent="0.25">
      <c r="A454" s="51">
        <v>453</v>
      </c>
      <c r="B454" s="51">
        <v>29</v>
      </c>
      <c r="C454" s="52" t="s">
        <v>9</v>
      </c>
      <c r="D454" s="53">
        <v>6.29</v>
      </c>
      <c r="E454" s="54">
        <v>1.6</v>
      </c>
      <c r="F454" s="55">
        <f t="shared" si="103"/>
        <v>3.9312499999999999</v>
      </c>
      <c r="G454" s="55">
        <f t="shared" si="106"/>
        <v>4.6899999999999995</v>
      </c>
      <c r="H454" s="56">
        <f t="shared" si="107"/>
        <v>7.8900000000000006</v>
      </c>
      <c r="I454" s="11">
        <f t="shared" si="96"/>
        <v>0.14555646222812504</v>
      </c>
      <c r="J454" s="33">
        <f t="shared" si="97"/>
        <v>3.7025491186804461E-2</v>
      </c>
      <c r="K454" s="33">
        <f t="shared" si="98"/>
        <v>27.008419549512706</v>
      </c>
      <c r="L454" s="59">
        <v>0</v>
      </c>
      <c r="M454" s="60">
        <v>1</v>
      </c>
      <c r="N454" s="59">
        <v>0</v>
      </c>
      <c r="O454" s="60">
        <v>0</v>
      </c>
      <c r="P454" s="60">
        <v>1</v>
      </c>
      <c r="Q454" s="60">
        <v>0</v>
      </c>
      <c r="R454" s="60">
        <v>0</v>
      </c>
      <c r="S454" s="59">
        <v>729</v>
      </c>
      <c r="T454" s="60">
        <v>14</v>
      </c>
      <c r="U454" s="60">
        <f t="shared" si="108"/>
        <v>714</v>
      </c>
      <c r="V454" s="60">
        <f t="shared" si="109"/>
        <v>10</v>
      </c>
      <c r="W454" s="55">
        <v>14</v>
      </c>
      <c r="X454" s="55">
        <f t="shared" si="104"/>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105"/>
        <v>0.43899999999999995</v>
      </c>
      <c r="AN454" s="63">
        <v>0.55800000000000005</v>
      </c>
      <c r="AO454" s="64">
        <v>1</v>
      </c>
      <c r="AP454" s="65">
        <v>0</v>
      </c>
      <c r="AQ454" s="51">
        <v>0</v>
      </c>
      <c r="AR454" s="66">
        <v>1</v>
      </c>
      <c r="AS454" s="68">
        <f t="shared" si="102"/>
        <v>0.64400000000000002</v>
      </c>
      <c r="AT454" s="66">
        <v>0.35599999999999998</v>
      </c>
      <c r="AU454">
        <v>1</v>
      </c>
      <c r="AV454" s="65">
        <v>0</v>
      </c>
      <c r="AW454" s="51" t="s">
        <v>98</v>
      </c>
      <c r="AX454" s="65" t="s">
        <v>98</v>
      </c>
      <c r="AY454" s="65" t="s">
        <v>8</v>
      </c>
      <c r="AZ454">
        <v>0</v>
      </c>
      <c r="BA454">
        <v>0</v>
      </c>
      <c r="BB454">
        <v>1</v>
      </c>
      <c r="BC454">
        <v>0</v>
      </c>
      <c r="BD454">
        <v>0</v>
      </c>
      <c r="BE454">
        <v>0</v>
      </c>
      <c r="BF454" s="65">
        <v>0</v>
      </c>
      <c r="BG454">
        <v>0</v>
      </c>
      <c r="BH454">
        <v>1</v>
      </c>
      <c r="BI454" s="65">
        <v>0</v>
      </c>
      <c r="BJ454" t="s">
        <v>98</v>
      </c>
      <c r="BK454">
        <v>51</v>
      </c>
      <c r="BL454" s="52">
        <v>42.1</v>
      </c>
      <c r="BM454" s="51">
        <v>0</v>
      </c>
      <c r="BN454" s="51">
        <v>0</v>
      </c>
      <c r="BO454" s="51">
        <v>0</v>
      </c>
      <c r="BP454" s="51">
        <v>0</v>
      </c>
      <c r="BQ454" s="51">
        <v>0</v>
      </c>
      <c r="BR454" s="51">
        <v>1</v>
      </c>
      <c r="BS454" s="51">
        <v>0</v>
      </c>
      <c r="BT454" s="65">
        <v>0</v>
      </c>
      <c r="BU454" s="51">
        <v>0</v>
      </c>
      <c r="BV454" s="51">
        <v>0</v>
      </c>
      <c r="BW454" s="51">
        <v>1</v>
      </c>
      <c r="BX454" s="65">
        <v>0</v>
      </c>
      <c r="BY454" s="51">
        <v>0</v>
      </c>
      <c r="BZ454" s="51">
        <v>0</v>
      </c>
      <c r="CA454" s="51">
        <v>0</v>
      </c>
      <c r="CB454" s="51">
        <v>0</v>
      </c>
      <c r="CC454" s="65">
        <v>0</v>
      </c>
      <c r="CD454" s="51">
        <v>1</v>
      </c>
      <c r="CE454" s="51">
        <v>1</v>
      </c>
      <c r="CF454" s="51">
        <v>0</v>
      </c>
      <c r="CG454" s="51">
        <v>0</v>
      </c>
      <c r="CH454" s="51">
        <v>0</v>
      </c>
      <c r="CI454" s="51">
        <v>0</v>
      </c>
      <c r="CJ454" s="51">
        <v>0</v>
      </c>
      <c r="CK454" s="51">
        <v>1</v>
      </c>
      <c r="CL454" s="51">
        <v>0</v>
      </c>
      <c r="CM454" s="51">
        <v>0</v>
      </c>
      <c r="CN454" s="65">
        <v>1</v>
      </c>
      <c r="CO454">
        <v>0.14599999999999999</v>
      </c>
      <c r="CP454">
        <v>3</v>
      </c>
      <c r="CQ454">
        <v>0</v>
      </c>
      <c r="CR454">
        <v>1</v>
      </c>
      <c r="CS454">
        <v>11</v>
      </c>
      <c r="CT454" s="67"/>
      <c r="CY454" s="67"/>
    </row>
    <row r="455" spans="1:103" x14ac:dyDescent="0.25">
      <c r="A455">
        <v>454</v>
      </c>
      <c r="B455">
        <v>30</v>
      </c>
      <c r="C455" s="25" t="s">
        <v>312</v>
      </c>
      <c r="D455" s="12">
        <v>14.7</v>
      </c>
      <c r="E455" s="14">
        <f t="shared" ref="E455:E482" si="110">D455/F455</f>
        <v>0.8207705192629815</v>
      </c>
      <c r="F455" s="7">
        <v>17.91</v>
      </c>
      <c r="G455" s="7">
        <f t="shared" si="106"/>
        <v>13.879229480737017</v>
      </c>
      <c r="H455" s="16">
        <f t="shared" si="107"/>
        <v>15.520770519262982</v>
      </c>
      <c r="I455" s="11">
        <f t="shared" si="96"/>
        <v>0.42346601809461165</v>
      </c>
      <c r="J455" s="33">
        <f t="shared" si="97"/>
        <v>2.3644110446376973E-2</v>
      </c>
      <c r="K455" s="33">
        <f t="shared" si="98"/>
        <v>42.2938305193559</v>
      </c>
      <c r="L455" s="8">
        <v>0</v>
      </c>
      <c r="M455" s="9">
        <v>1</v>
      </c>
      <c r="N455" s="8">
        <v>0</v>
      </c>
      <c r="O455" s="9">
        <v>1</v>
      </c>
      <c r="P455" s="9">
        <v>0</v>
      </c>
      <c r="Q455" s="9">
        <v>0</v>
      </c>
      <c r="R455" s="9">
        <v>0</v>
      </c>
      <c r="S455" s="8">
        <v>1476</v>
      </c>
      <c r="T455" s="9">
        <v>7</v>
      </c>
      <c r="U455" s="9">
        <f t="shared" si="108"/>
        <v>1468</v>
      </c>
      <c r="V455" s="9">
        <f t="shared" si="109"/>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11">1-AR455</f>
        <v>0.63200000000000001</v>
      </c>
      <c r="AR455" s="40">
        <v>0.36799999999999999</v>
      </c>
      <c r="AS455" s="39">
        <f t="shared" si="102"/>
        <v>0.371</v>
      </c>
      <c r="AT455" s="40">
        <v>0.629</v>
      </c>
      <c r="AU455">
        <v>0</v>
      </c>
      <c r="AV455" s="18">
        <v>1</v>
      </c>
      <c r="AW455">
        <v>0</v>
      </c>
      <c r="AX455" s="18">
        <v>1</v>
      </c>
      <c r="AY455" s="18" t="s">
        <v>7</v>
      </c>
      <c r="AZ455">
        <v>0</v>
      </c>
      <c r="BA455">
        <v>0</v>
      </c>
      <c r="BB455">
        <v>0</v>
      </c>
      <c r="BC455">
        <v>0</v>
      </c>
      <c r="BD455">
        <v>0</v>
      </c>
      <c r="BE455">
        <v>0</v>
      </c>
      <c r="BF455" s="18">
        <v>1</v>
      </c>
      <c r="BG455">
        <v>0</v>
      </c>
      <c r="BH455">
        <v>0</v>
      </c>
      <c r="BI455" s="18">
        <v>1</v>
      </c>
      <c r="BJ455" t="s">
        <v>98</v>
      </c>
      <c r="BK455" t="s">
        <v>98</v>
      </c>
      <c r="BL455" s="25">
        <v>37</v>
      </c>
      <c r="BM455">
        <v>0</v>
      </c>
      <c r="BN455">
        <v>0</v>
      </c>
      <c r="BO455">
        <v>0</v>
      </c>
      <c r="BP455">
        <v>1</v>
      </c>
      <c r="BQ455">
        <v>0</v>
      </c>
      <c r="BR455">
        <v>0</v>
      </c>
      <c r="BS455">
        <v>0</v>
      </c>
      <c r="BT455" s="18">
        <v>0</v>
      </c>
      <c r="BU455">
        <v>0</v>
      </c>
      <c r="BV455">
        <v>0</v>
      </c>
      <c r="BW455">
        <f>1</f>
        <v>1</v>
      </c>
      <c r="BX455" s="18">
        <v>0</v>
      </c>
      <c r="BY455">
        <v>0</v>
      </c>
      <c r="BZ455">
        <v>0</v>
      </c>
      <c r="CA455">
        <v>0</v>
      </c>
      <c r="CB455">
        <v>0</v>
      </c>
      <c r="CC455" s="18">
        <v>0</v>
      </c>
      <c r="CD455">
        <v>0</v>
      </c>
      <c r="CE455">
        <v>0</v>
      </c>
      <c r="CF455">
        <v>1</v>
      </c>
      <c r="CG455">
        <v>1</v>
      </c>
      <c r="CH455">
        <v>1</v>
      </c>
      <c r="CI455">
        <v>0</v>
      </c>
      <c r="CJ455">
        <v>1</v>
      </c>
      <c r="CK455">
        <v>0</v>
      </c>
      <c r="CL455">
        <v>0</v>
      </c>
      <c r="CM455">
        <v>1</v>
      </c>
      <c r="CN455" s="18">
        <v>0</v>
      </c>
      <c r="CO455">
        <v>0.13900000000000001</v>
      </c>
      <c r="CP455">
        <v>46</v>
      </c>
      <c r="CQ455">
        <v>1</v>
      </c>
      <c r="CR455">
        <v>0</v>
      </c>
      <c r="CS455">
        <v>9</v>
      </c>
      <c r="CY455" s="34"/>
    </row>
    <row r="456" spans="1:103" x14ac:dyDescent="0.25">
      <c r="A456">
        <v>455</v>
      </c>
      <c r="B456">
        <v>30</v>
      </c>
      <c r="C456" s="25" t="s">
        <v>312</v>
      </c>
      <c r="D456" s="12">
        <v>19.3</v>
      </c>
      <c r="E456" s="14">
        <f t="shared" si="110"/>
        <v>1.2363869314541962</v>
      </c>
      <c r="F456" s="7">
        <v>15.61</v>
      </c>
      <c r="G456" s="7">
        <f t="shared" si="106"/>
        <v>18.063613068545806</v>
      </c>
      <c r="H456" s="16">
        <f t="shared" si="107"/>
        <v>20.536386931454196</v>
      </c>
      <c r="I456" s="11">
        <f t="shared" ref="I456:I519" si="112">IFERROR(F456/SQRT(F456^2+U456), "X")</f>
        <v>0.37730504926893033</v>
      </c>
      <c r="J456" s="33">
        <f t="shared" ref="J456:J519" si="113">IFERROR(SQRT((1-I456^2)/U456), "X")</f>
        <v>2.4170727051180674E-2</v>
      </c>
      <c r="K456" s="33">
        <f t="shared" ref="K456:K519" si="114">IFERROR(1/J456, "X")</f>
        <v>41.372359130221227</v>
      </c>
      <c r="L456" s="8">
        <v>0</v>
      </c>
      <c r="M456" s="9">
        <v>1</v>
      </c>
      <c r="N456" s="8">
        <v>0</v>
      </c>
      <c r="O456" s="9">
        <v>1</v>
      </c>
      <c r="P456" s="9">
        <v>0</v>
      </c>
      <c r="Q456" s="9">
        <v>0</v>
      </c>
      <c r="R456" s="9">
        <v>0</v>
      </c>
      <c r="S456" s="8">
        <v>1476</v>
      </c>
      <c r="T456" s="9">
        <v>7</v>
      </c>
      <c r="U456" s="9">
        <f t="shared" si="108"/>
        <v>1468</v>
      </c>
      <c r="V456" s="9">
        <f t="shared" si="109"/>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11"/>
        <v>0.63200000000000001</v>
      </c>
      <c r="AR456" s="40">
        <v>0.36799999999999999</v>
      </c>
      <c r="AS456" s="39">
        <f t="shared" si="102"/>
        <v>0.371</v>
      </c>
      <c r="AT456" s="40">
        <v>0.629</v>
      </c>
      <c r="AU456">
        <v>0</v>
      </c>
      <c r="AV456" s="18">
        <v>1</v>
      </c>
      <c r="AW456">
        <v>0</v>
      </c>
      <c r="AX456" s="18">
        <v>1</v>
      </c>
      <c r="AY456" s="18" t="s">
        <v>7</v>
      </c>
      <c r="AZ456">
        <v>0</v>
      </c>
      <c r="BA456">
        <v>0</v>
      </c>
      <c r="BB456">
        <v>0</v>
      </c>
      <c r="BC456">
        <v>0</v>
      </c>
      <c r="BD456">
        <v>0</v>
      </c>
      <c r="BE456">
        <v>0</v>
      </c>
      <c r="BF456" s="18">
        <v>1</v>
      </c>
      <c r="BG456">
        <v>0</v>
      </c>
      <c r="BH456">
        <v>0</v>
      </c>
      <c r="BI456" s="18">
        <v>1</v>
      </c>
      <c r="BJ456" t="s">
        <v>98</v>
      </c>
      <c r="BK456" t="s">
        <v>98</v>
      </c>
      <c r="BL456" s="25">
        <v>37</v>
      </c>
      <c r="BM456">
        <v>0</v>
      </c>
      <c r="BN456">
        <v>0</v>
      </c>
      <c r="BO456">
        <v>0</v>
      </c>
      <c r="BP456">
        <v>1</v>
      </c>
      <c r="BQ456">
        <v>0</v>
      </c>
      <c r="BR456">
        <v>0</v>
      </c>
      <c r="BS456">
        <v>0</v>
      </c>
      <c r="BT456" s="18">
        <v>0</v>
      </c>
      <c r="BU456">
        <v>0</v>
      </c>
      <c r="BV456">
        <v>0</v>
      </c>
      <c r="BW456">
        <f>1</f>
        <v>1</v>
      </c>
      <c r="BX456" s="18">
        <v>0</v>
      </c>
      <c r="BY456">
        <v>0</v>
      </c>
      <c r="BZ456">
        <v>0</v>
      </c>
      <c r="CA456">
        <v>0</v>
      </c>
      <c r="CB456">
        <v>0</v>
      </c>
      <c r="CC456" s="18">
        <v>0</v>
      </c>
      <c r="CD456">
        <v>0</v>
      </c>
      <c r="CE456">
        <v>0</v>
      </c>
      <c r="CF456">
        <v>1</v>
      </c>
      <c r="CG456">
        <v>1</v>
      </c>
      <c r="CH456">
        <v>1</v>
      </c>
      <c r="CI456">
        <v>0</v>
      </c>
      <c r="CJ456">
        <v>1</v>
      </c>
      <c r="CK456">
        <v>0</v>
      </c>
      <c r="CL456">
        <v>0</v>
      </c>
      <c r="CM456">
        <v>1</v>
      </c>
      <c r="CN456" s="18">
        <v>0</v>
      </c>
      <c r="CO456">
        <v>0.13900000000000001</v>
      </c>
      <c r="CP456">
        <v>46</v>
      </c>
      <c r="CQ456">
        <v>1</v>
      </c>
      <c r="CR456">
        <v>0</v>
      </c>
      <c r="CS456">
        <v>9</v>
      </c>
      <c r="CY456" s="34"/>
    </row>
    <row r="457" spans="1:103" x14ac:dyDescent="0.25">
      <c r="A457">
        <v>456</v>
      </c>
      <c r="B457">
        <v>30</v>
      </c>
      <c r="C457" s="25" t="s">
        <v>312</v>
      </c>
      <c r="D457" s="12">
        <v>18.899999999999999</v>
      </c>
      <c r="E457" s="14">
        <f t="shared" si="110"/>
        <v>0.84074733096085397</v>
      </c>
      <c r="F457" s="7">
        <v>22.48</v>
      </c>
      <c r="G457" s="7">
        <f t="shared" si="106"/>
        <v>18.059252669039143</v>
      </c>
      <c r="H457" s="16">
        <f t="shared" si="107"/>
        <v>19.740747330960854</v>
      </c>
      <c r="I457" s="11">
        <f t="shared" si="112"/>
        <v>0.50605090150970966</v>
      </c>
      <c r="J457" s="33">
        <f t="shared" si="113"/>
        <v>2.2511161099186373E-2</v>
      </c>
      <c r="K457" s="33">
        <f t="shared" si="114"/>
        <v>44.42240875954387</v>
      </c>
      <c r="L457" s="8">
        <v>0</v>
      </c>
      <c r="M457" s="9">
        <v>1</v>
      </c>
      <c r="N457" s="8">
        <v>0</v>
      </c>
      <c r="O457" s="9">
        <v>1</v>
      </c>
      <c r="P457" s="9">
        <v>0</v>
      </c>
      <c r="Q457" s="9">
        <v>0</v>
      </c>
      <c r="R457" s="9">
        <v>0</v>
      </c>
      <c r="S457" s="8">
        <v>1476</v>
      </c>
      <c r="T457" s="9">
        <v>7</v>
      </c>
      <c r="U457" s="9">
        <f t="shared" si="108"/>
        <v>1468</v>
      </c>
      <c r="V457" s="9">
        <f t="shared" si="109"/>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11"/>
        <v>0.63200000000000001</v>
      </c>
      <c r="AR457" s="40">
        <v>0.36799999999999999</v>
      </c>
      <c r="AS457" s="39">
        <f t="shared" si="102"/>
        <v>0.371</v>
      </c>
      <c r="AT457" s="40">
        <v>0.629</v>
      </c>
      <c r="AU457">
        <v>0</v>
      </c>
      <c r="AV457" s="18">
        <v>1</v>
      </c>
      <c r="AW457">
        <v>0</v>
      </c>
      <c r="AX457" s="18">
        <v>1</v>
      </c>
      <c r="AY457" s="18" t="s">
        <v>7</v>
      </c>
      <c r="AZ457">
        <v>0</v>
      </c>
      <c r="BA457">
        <v>0</v>
      </c>
      <c r="BB457">
        <v>0</v>
      </c>
      <c r="BC457">
        <v>0</v>
      </c>
      <c r="BD457">
        <v>0</v>
      </c>
      <c r="BE457">
        <v>0</v>
      </c>
      <c r="BF457" s="18">
        <v>1</v>
      </c>
      <c r="BG457">
        <v>0</v>
      </c>
      <c r="BH457">
        <v>0</v>
      </c>
      <c r="BI457" s="18">
        <v>1</v>
      </c>
      <c r="BJ457" t="s">
        <v>98</v>
      </c>
      <c r="BK457" t="s">
        <v>98</v>
      </c>
      <c r="BL457" s="25">
        <v>37</v>
      </c>
      <c r="BM457">
        <v>0</v>
      </c>
      <c r="BN457">
        <v>0</v>
      </c>
      <c r="BO457">
        <v>0</v>
      </c>
      <c r="BP457">
        <v>1</v>
      </c>
      <c r="BQ457">
        <v>0</v>
      </c>
      <c r="BR457">
        <v>0</v>
      </c>
      <c r="BS457">
        <v>0</v>
      </c>
      <c r="BT457" s="18">
        <v>0</v>
      </c>
      <c r="BU457">
        <v>0</v>
      </c>
      <c r="BV457">
        <v>0</v>
      </c>
      <c r="BW457">
        <f>1</f>
        <v>1</v>
      </c>
      <c r="BX457" s="18">
        <v>0</v>
      </c>
      <c r="BY457">
        <v>0</v>
      </c>
      <c r="BZ457">
        <v>0</v>
      </c>
      <c r="CA457">
        <v>0</v>
      </c>
      <c r="CB457">
        <v>0</v>
      </c>
      <c r="CC457" s="18">
        <v>0</v>
      </c>
      <c r="CD457">
        <v>0</v>
      </c>
      <c r="CE457">
        <v>0</v>
      </c>
      <c r="CF457">
        <v>1</v>
      </c>
      <c r="CG457">
        <v>1</v>
      </c>
      <c r="CH457">
        <v>1</v>
      </c>
      <c r="CI457">
        <v>0</v>
      </c>
      <c r="CJ457">
        <v>1</v>
      </c>
      <c r="CK457">
        <v>0</v>
      </c>
      <c r="CL457">
        <v>0</v>
      </c>
      <c r="CM457">
        <v>1</v>
      </c>
      <c r="CN457" s="18">
        <v>0</v>
      </c>
      <c r="CO457">
        <v>0.13900000000000001</v>
      </c>
      <c r="CP457">
        <v>46</v>
      </c>
      <c r="CQ457">
        <v>1</v>
      </c>
      <c r="CR457">
        <v>0</v>
      </c>
      <c r="CS457">
        <v>9</v>
      </c>
      <c r="CY457" s="34"/>
    </row>
    <row r="458" spans="1:103" x14ac:dyDescent="0.25">
      <c r="A458">
        <v>457</v>
      </c>
      <c r="B458">
        <v>30</v>
      </c>
      <c r="C458" s="25" t="s">
        <v>312</v>
      </c>
      <c r="D458" s="12">
        <v>15.2</v>
      </c>
      <c r="E458" s="14">
        <f t="shared" si="110"/>
        <v>0.58800773694390707</v>
      </c>
      <c r="F458" s="7">
        <v>25.85</v>
      </c>
      <c r="G458" s="7">
        <f t="shared" si="106"/>
        <v>14.611992263056091</v>
      </c>
      <c r="H458" s="16">
        <f t="shared" si="107"/>
        <v>15.788007736943907</v>
      </c>
      <c r="I458" s="11">
        <f t="shared" si="112"/>
        <v>0.55929032276646651</v>
      </c>
      <c r="J458" s="33">
        <f t="shared" si="113"/>
        <v>2.1635989275298514E-2</v>
      </c>
      <c r="K458" s="33">
        <f t="shared" si="114"/>
        <v>46.219287099651368</v>
      </c>
      <c r="L458" s="8">
        <v>0</v>
      </c>
      <c r="M458" s="9">
        <v>1</v>
      </c>
      <c r="N458" s="8">
        <v>0</v>
      </c>
      <c r="O458" s="9">
        <v>1</v>
      </c>
      <c r="P458" s="9">
        <v>0</v>
      </c>
      <c r="Q458" s="9">
        <v>0</v>
      </c>
      <c r="R458" s="9">
        <v>0</v>
      </c>
      <c r="S458" s="8">
        <v>1476</v>
      </c>
      <c r="T458" s="9">
        <v>7</v>
      </c>
      <c r="U458" s="9">
        <f t="shared" si="108"/>
        <v>1468</v>
      </c>
      <c r="V458" s="9">
        <f t="shared" si="109"/>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11"/>
        <v>0.63200000000000001</v>
      </c>
      <c r="AR458" s="40">
        <v>0.36799999999999999</v>
      </c>
      <c r="AS458" s="39">
        <f t="shared" si="102"/>
        <v>0.371</v>
      </c>
      <c r="AT458" s="40">
        <v>0.629</v>
      </c>
      <c r="AU458">
        <v>0</v>
      </c>
      <c r="AV458" s="18">
        <v>1</v>
      </c>
      <c r="AW458">
        <v>0</v>
      </c>
      <c r="AX458" s="18">
        <v>1</v>
      </c>
      <c r="AY458" s="18" t="s">
        <v>7</v>
      </c>
      <c r="AZ458">
        <v>0</v>
      </c>
      <c r="BA458">
        <v>0</v>
      </c>
      <c r="BB458">
        <v>0</v>
      </c>
      <c r="BC458">
        <v>0</v>
      </c>
      <c r="BD458">
        <v>0</v>
      </c>
      <c r="BE458">
        <v>0</v>
      </c>
      <c r="BF458" s="18">
        <v>1</v>
      </c>
      <c r="BG458">
        <v>0</v>
      </c>
      <c r="BH458">
        <v>0</v>
      </c>
      <c r="BI458" s="18">
        <v>1</v>
      </c>
      <c r="BJ458" t="s">
        <v>98</v>
      </c>
      <c r="BK458" t="s">
        <v>98</v>
      </c>
      <c r="BL458" s="25">
        <v>37</v>
      </c>
      <c r="BM458">
        <v>0</v>
      </c>
      <c r="BN458">
        <v>0</v>
      </c>
      <c r="BO458">
        <v>0</v>
      </c>
      <c r="BP458">
        <v>1</v>
      </c>
      <c r="BQ458">
        <v>0</v>
      </c>
      <c r="BR458">
        <v>0</v>
      </c>
      <c r="BS458">
        <v>0</v>
      </c>
      <c r="BT458" s="18">
        <v>0</v>
      </c>
      <c r="BU458">
        <v>0</v>
      </c>
      <c r="BV458">
        <v>0</v>
      </c>
      <c r="BW458">
        <f>1</f>
        <v>1</v>
      </c>
      <c r="BX458" s="18">
        <v>0</v>
      </c>
      <c r="BY458">
        <v>0</v>
      </c>
      <c r="BZ458">
        <v>0</v>
      </c>
      <c r="CA458">
        <v>0</v>
      </c>
      <c r="CB458">
        <v>0</v>
      </c>
      <c r="CC458" s="18">
        <v>0</v>
      </c>
      <c r="CD458">
        <v>0</v>
      </c>
      <c r="CE458">
        <v>0</v>
      </c>
      <c r="CF458">
        <v>1</v>
      </c>
      <c r="CG458">
        <v>1</v>
      </c>
      <c r="CH458">
        <v>1</v>
      </c>
      <c r="CI458">
        <v>0</v>
      </c>
      <c r="CJ458">
        <v>1</v>
      </c>
      <c r="CK458">
        <v>0</v>
      </c>
      <c r="CL458">
        <v>0</v>
      </c>
      <c r="CM458">
        <v>1</v>
      </c>
      <c r="CN458" s="18">
        <v>0</v>
      </c>
      <c r="CO458">
        <v>0.13900000000000001</v>
      </c>
      <c r="CP458">
        <v>46</v>
      </c>
      <c r="CQ458">
        <v>1</v>
      </c>
      <c r="CR458">
        <v>0</v>
      </c>
      <c r="CS458">
        <v>9</v>
      </c>
      <c r="CY458" s="34"/>
    </row>
    <row r="459" spans="1:103" x14ac:dyDescent="0.25">
      <c r="A459">
        <v>458</v>
      </c>
      <c r="B459">
        <v>30</v>
      </c>
      <c r="C459" s="25" t="s">
        <v>312</v>
      </c>
      <c r="D459" s="12">
        <v>12.1</v>
      </c>
      <c r="E459" s="14">
        <f t="shared" si="110"/>
        <v>0.57318806252960686</v>
      </c>
      <c r="F459" s="7">
        <v>21.11</v>
      </c>
      <c r="G459" s="7">
        <f t="shared" si="106"/>
        <v>11.526811937470393</v>
      </c>
      <c r="H459" s="16">
        <f t="shared" si="107"/>
        <v>12.673188062529606</v>
      </c>
      <c r="I459" s="11">
        <f t="shared" si="112"/>
        <v>0.48256854443850716</v>
      </c>
      <c r="J459" s="33">
        <f t="shared" si="113"/>
        <v>2.2859713142515736E-2</v>
      </c>
      <c r="K459" s="33">
        <f t="shared" si="114"/>
        <v>43.745080866309983</v>
      </c>
      <c r="L459" s="8">
        <v>0</v>
      </c>
      <c r="M459" s="9">
        <v>1</v>
      </c>
      <c r="N459" s="8">
        <v>0</v>
      </c>
      <c r="O459" s="9">
        <v>1</v>
      </c>
      <c r="P459" s="9">
        <v>0</v>
      </c>
      <c r="Q459" s="9">
        <v>0</v>
      </c>
      <c r="R459" s="9">
        <v>0</v>
      </c>
      <c r="S459" s="8">
        <v>1476</v>
      </c>
      <c r="T459" s="9">
        <v>7</v>
      </c>
      <c r="U459" s="9">
        <f t="shared" si="108"/>
        <v>1468</v>
      </c>
      <c r="V459" s="9">
        <f t="shared" si="109"/>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11"/>
        <v>0.63200000000000001</v>
      </c>
      <c r="AR459" s="40">
        <v>0.36799999999999999</v>
      </c>
      <c r="AS459" s="39">
        <f t="shared" si="102"/>
        <v>0.371</v>
      </c>
      <c r="AT459" s="40">
        <v>0.629</v>
      </c>
      <c r="AU459">
        <v>0</v>
      </c>
      <c r="AV459" s="18">
        <v>1</v>
      </c>
      <c r="AW459">
        <v>0</v>
      </c>
      <c r="AX459" s="18">
        <v>1</v>
      </c>
      <c r="AY459" s="18" t="s">
        <v>7</v>
      </c>
      <c r="AZ459">
        <v>0</v>
      </c>
      <c r="BA459">
        <v>0</v>
      </c>
      <c r="BB459">
        <v>0</v>
      </c>
      <c r="BC459">
        <v>0</v>
      </c>
      <c r="BD459">
        <v>0</v>
      </c>
      <c r="BE459">
        <v>0</v>
      </c>
      <c r="BF459" s="18">
        <v>1</v>
      </c>
      <c r="BG459">
        <v>0</v>
      </c>
      <c r="BH459">
        <v>0</v>
      </c>
      <c r="BI459" s="18">
        <v>1</v>
      </c>
      <c r="BJ459" t="s">
        <v>98</v>
      </c>
      <c r="BK459" t="s">
        <v>98</v>
      </c>
      <c r="BL459" s="25">
        <v>37</v>
      </c>
      <c r="BM459">
        <v>0</v>
      </c>
      <c r="BN459">
        <v>0</v>
      </c>
      <c r="BO459">
        <v>0</v>
      </c>
      <c r="BP459">
        <v>1</v>
      </c>
      <c r="BQ459">
        <v>0</v>
      </c>
      <c r="BR459">
        <v>0</v>
      </c>
      <c r="BS459">
        <v>0</v>
      </c>
      <c r="BT459" s="18">
        <v>0</v>
      </c>
      <c r="BU459">
        <v>0</v>
      </c>
      <c r="BV459">
        <v>0</v>
      </c>
      <c r="BW459">
        <f>1</f>
        <v>1</v>
      </c>
      <c r="BX459" s="18">
        <v>0</v>
      </c>
      <c r="BY459">
        <v>0</v>
      </c>
      <c r="BZ459">
        <v>0</v>
      </c>
      <c r="CA459">
        <v>0</v>
      </c>
      <c r="CB459">
        <v>0</v>
      </c>
      <c r="CC459" s="18">
        <v>0</v>
      </c>
      <c r="CD459">
        <v>0</v>
      </c>
      <c r="CE459">
        <v>0</v>
      </c>
      <c r="CF459">
        <v>1</v>
      </c>
      <c r="CG459">
        <v>1</v>
      </c>
      <c r="CH459">
        <v>1</v>
      </c>
      <c r="CI459">
        <v>0</v>
      </c>
      <c r="CJ459">
        <v>1</v>
      </c>
      <c r="CK459">
        <v>0</v>
      </c>
      <c r="CL459">
        <v>0</v>
      </c>
      <c r="CM459">
        <v>1</v>
      </c>
      <c r="CN459" s="18">
        <v>0</v>
      </c>
      <c r="CO459">
        <v>0.13900000000000001</v>
      </c>
      <c r="CP459">
        <v>46</v>
      </c>
      <c r="CQ459">
        <v>1</v>
      </c>
      <c r="CR459">
        <v>0</v>
      </c>
      <c r="CS459">
        <v>9</v>
      </c>
      <c r="CY459" s="34"/>
    </row>
    <row r="460" spans="1:103" x14ac:dyDescent="0.25">
      <c r="A460">
        <v>459</v>
      </c>
      <c r="B460">
        <v>30</v>
      </c>
      <c r="C460" s="25" t="s">
        <v>312</v>
      </c>
      <c r="D460" s="12">
        <v>10.9</v>
      </c>
      <c r="E460" s="14">
        <f t="shared" si="110"/>
        <v>1.0976837865055389</v>
      </c>
      <c r="F460" s="7">
        <v>9.93</v>
      </c>
      <c r="G460" s="7">
        <f t="shared" si="106"/>
        <v>9.8023162134944606</v>
      </c>
      <c r="H460" s="16">
        <f t="shared" si="107"/>
        <v>11.99768378650554</v>
      </c>
      <c r="I460" s="11">
        <f t="shared" si="112"/>
        <v>0.25088200291266882</v>
      </c>
      <c r="J460" s="33">
        <f t="shared" si="113"/>
        <v>2.5265055681034123E-2</v>
      </c>
      <c r="K460" s="33">
        <f t="shared" si="114"/>
        <v>39.580360028680886</v>
      </c>
      <c r="L460" s="8">
        <v>0</v>
      </c>
      <c r="M460" s="9">
        <v>1</v>
      </c>
      <c r="N460" s="8">
        <v>0</v>
      </c>
      <c r="O460" s="9">
        <v>1</v>
      </c>
      <c r="P460" s="9">
        <v>0</v>
      </c>
      <c r="Q460" s="9">
        <v>0</v>
      </c>
      <c r="R460" s="9">
        <v>0</v>
      </c>
      <c r="S460" s="8">
        <v>1476</v>
      </c>
      <c r="T460" s="9">
        <v>7</v>
      </c>
      <c r="U460" s="9">
        <f t="shared" si="108"/>
        <v>1468</v>
      </c>
      <c r="V460" s="9">
        <f t="shared" si="109"/>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11"/>
        <v>0.63200000000000001</v>
      </c>
      <c r="AR460" s="40">
        <v>0.36799999999999999</v>
      </c>
      <c r="AS460" s="39">
        <f t="shared" si="102"/>
        <v>0.371</v>
      </c>
      <c r="AT460" s="40">
        <v>0.629</v>
      </c>
      <c r="AU460">
        <v>0</v>
      </c>
      <c r="AV460" s="18">
        <v>1</v>
      </c>
      <c r="AW460">
        <v>0</v>
      </c>
      <c r="AX460" s="18">
        <v>1</v>
      </c>
      <c r="AY460" s="18" t="s">
        <v>7</v>
      </c>
      <c r="AZ460">
        <v>0</v>
      </c>
      <c r="BA460">
        <v>0</v>
      </c>
      <c r="BB460">
        <v>0</v>
      </c>
      <c r="BC460">
        <v>0</v>
      </c>
      <c r="BD460">
        <v>0</v>
      </c>
      <c r="BE460">
        <v>0</v>
      </c>
      <c r="BF460" s="18">
        <v>1</v>
      </c>
      <c r="BG460">
        <v>0</v>
      </c>
      <c r="BH460">
        <v>0</v>
      </c>
      <c r="BI460" s="18">
        <v>1</v>
      </c>
      <c r="BJ460" t="s">
        <v>98</v>
      </c>
      <c r="BK460" t="s">
        <v>98</v>
      </c>
      <c r="BL460" s="25">
        <v>37</v>
      </c>
      <c r="BM460">
        <v>0</v>
      </c>
      <c r="BN460">
        <v>0</v>
      </c>
      <c r="BO460">
        <v>0</v>
      </c>
      <c r="BP460">
        <v>1</v>
      </c>
      <c r="BQ460">
        <v>0</v>
      </c>
      <c r="BR460">
        <v>0</v>
      </c>
      <c r="BS460">
        <v>0</v>
      </c>
      <c r="BT460" s="18">
        <v>0</v>
      </c>
      <c r="BU460">
        <v>0</v>
      </c>
      <c r="BV460">
        <v>0</v>
      </c>
      <c r="BW460">
        <f>1</f>
        <v>1</v>
      </c>
      <c r="BX460" s="18">
        <v>0</v>
      </c>
      <c r="BY460">
        <v>0</v>
      </c>
      <c r="BZ460">
        <v>0</v>
      </c>
      <c r="CA460">
        <v>0</v>
      </c>
      <c r="CB460">
        <v>0</v>
      </c>
      <c r="CC460" s="18">
        <v>0</v>
      </c>
      <c r="CD460">
        <v>0</v>
      </c>
      <c r="CE460">
        <v>0</v>
      </c>
      <c r="CF460">
        <v>1</v>
      </c>
      <c r="CG460">
        <v>1</v>
      </c>
      <c r="CH460">
        <v>1</v>
      </c>
      <c r="CI460">
        <v>0</v>
      </c>
      <c r="CJ460">
        <v>1</v>
      </c>
      <c r="CK460">
        <v>0</v>
      </c>
      <c r="CL460">
        <v>0</v>
      </c>
      <c r="CM460">
        <v>1</v>
      </c>
      <c r="CN460" s="18">
        <v>0</v>
      </c>
      <c r="CO460">
        <v>0.13900000000000001</v>
      </c>
      <c r="CP460">
        <v>46</v>
      </c>
      <c r="CQ460">
        <v>1</v>
      </c>
      <c r="CR460">
        <v>0</v>
      </c>
      <c r="CS460">
        <v>9</v>
      </c>
      <c r="CY460" s="34"/>
    </row>
    <row r="461" spans="1:103" x14ac:dyDescent="0.25">
      <c r="A461">
        <v>460</v>
      </c>
      <c r="B461">
        <v>30</v>
      </c>
      <c r="C461" s="25" t="s">
        <v>312</v>
      </c>
      <c r="D461" s="12">
        <v>13.7</v>
      </c>
      <c r="E461" s="14">
        <f t="shared" si="110"/>
        <v>3.3171912832929782</v>
      </c>
      <c r="F461" s="7">
        <v>4.13</v>
      </c>
      <c r="G461" s="7">
        <f t="shared" si="106"/>
        <v>10.382808716707022</v>
      </c>
      <c r="H461" s="16">
        <f t="shared" si="107"/>
        <v>17.017191283292977</v>
      </c>
      <c r="I461" s="11">
        <f t="shared" si="112"/>
        <v>0.10717130145140812</v>
      </c>
      <c r="J461" s="33">
        <f t="shared" si="113"/>
        <v>2.5949467663779209E-2</v>
      </c>
      <c r="K461" s="33">
        <f t="shared" si="114"/>
        <v>38.536436005422189</v>
      </c>
      <c r="L461" s="8">
        <v>0</v>
      </c>
      <c r="M461" s="9">
        <v>1</v>
      </c>
      <c r="N461" s="8">
        <v>0</v>
      </c>
      <c r="O461" s="9">
        <v>1</v>
      </c>
      <c r="P461" s="9">
        <v>0</v>
      </c>
      <c r="Q461" s="9">
        <v>0</v>
      </c>
      <c r="R461" s="9">
        <v>0</v>
      </c>
      <c r="S461" s="8">
        <v>1476</v>
      </c>
      <c r="T461" s="9">
        <v>7</v>
      </c>
      <c r="U461" s="9">
        <f t="shared" si="108"/>
        <v>1468</v>
      </c>
      <c r="V461" s="9">
        <f t="shared" si="109"/>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11"/>
        <v>0.63200000000000001</v>
      </c>
      <c r="AR461" s="40">
        <v>0.36799999999999999</v>
      </c>
      <c r="AS461" s="39">
        <f t="shared" si="102"/>
        <v>0.371</v>
      </c>
      <c r="AT461" s="40">
        <v>0.629</v>
      </c>
      <c r="AU461">
        <v>0</v>
      </c>
      <c r="AV461" s="18">
        <v>1</v>
      </c>
      <c r="AW461">
        <v>0</v>
      </c>
      <c r="AX461" s="18">
        <v>1</v>
      </c>
      <c r="AY461" s="18" t="s">
        <v>7</v>
      </c>
      <c r="AZ461">
        <v>0</v>
      </c>
      <c r="BA461">
        <v>0</v>
      </c>
      <c r="BB461">
        <v>0</v>
      </c>
      <c r="BC461">
        <v>0</v>
      </c>
      <c r="BD461">
        <v>0</v>
      </c>
      <c r="BE461">
        <v>0</v>
      </c>
      <c r="BF461" s="18">
        <v>1</v>
      </c>
      <c r="BG461">
        <v>0</v>
      </c>
      <c r="BH461">
        <v>0</v>
      </c>
      <c r="BI461" s="18">
        <v>1</v>
      </c>
      <c r="BJ461" t="s">
        <v>98</v>
      </c>
      <c r="BK461" t="s">
        <v>98</v>
      </c>
      <c r="BL461" s="25">
        <v>37</v>
      </c>
      <c r="BM461">
        <v>0</v>
      </c>
      <c r="BN461">
        <v>0</v>
      </c>
      <c r="BO461">
        <v>0</v>
      </c>
      <c r="BP461">
        <v>0</v>
      </c>
      <c r="BQ461">
        <v>0</v>
      </c>
      <c r="BR461">
        <v>0</v>
      </c>
      <c r="BS461">
        <v>0</v>
      </c>
      <c r="BT461" s="18">
        <v>1</v>
      </c>
      <c r="BU461">
        <v>0</v>
      </c>
      <c r="BV461">
        <v>1</v>
      </c>
      <c r="BW461">
        <v>0</v>
      </c>
      <c r="BX461" s="18">
        <v>0</v>
      </c>
      <c r="BY461">
        <v>1</v>
      </c>
      <c r="BZ461">
        <v>0</v>
      </c>
      <c r="CA461">
        <v>0</v>
      </c>
      <c r="CB461">
        <v>0</v>
      </c>
      <c r="CC461" s="18">
        <v>0</v>
      </c>
      <c r="CD461">
        <v>0</v>
      </c>
      <c r="CE461">
        <v>0</v>
      </c>
      <c r="CF461">
        <v>1</v>
      </c>
      <c r="CG461">
        <v>1</v>
      </c>
      <c r="CH461">
        <v>1</v>
      </c>
      <c r="CI461">
        <v>0</v>
      </c>
      <c r="CJ461">
        <v>1</v>
      </c>
      <c r="CK461">
        <v>0</v>
      </c>
      <c r="CL461">
        <v>0</v>
      </c>
      <c r="CM461">
        <v>1</v>
      </c>
      <c r="CN461" s="18">
        <v>0</v>
      </c>
      <c r="CO461">
        <v>0.13900000000000001</v>
      </c>
      <c r="CP461">
        <v>46</v>
      </c>
      <c r="CQ461">
        <v>1</v>
      </c>
      <c r="CR461">
        <v>0</v>
      </c>
      <c r="CS461">
        <v>9</v>
      </c>
      <c r="CY461" s="34"/>
    </row>
    <row r="462" spans="1:103" x14ac:dyDescent="0.25">
      <c r="A462">
        <v>461</v>
      </c>
      <c r="B462">
        <v>30</v>
      </c>
      <c r="C462" s="25" t="s">
        <v>312</v>
      </c>
      <c r="D462" s="12">
        <v>12.6</v>
      </c>
      <c r="E462" s="14">
        <f t="shared" si="110"/>
        <v>5.25</v>
      </c>
      <c r="F462" s="7">
        <v>2.4</v>
      </c>
      <c r="G462" s="7">
        <f t="shared" si="106"/>
        <v>7.35</v>
      </c>
      <c r="H462" s="16">
        <f t="shared" si="107"/>
        <v>17.850000000000001</v>
      </c>
      <c r="I462" s="11">
        <f t="shared" si="112"/>
        <v>6.2516961111875644E-2</v>
      </c>
      <c r="J462" s="33">
        <f t="shared" si="113"/>
        <v>2.6048733796614851E-2</v>
      </c>
      <c r="K462" s="33">
        <f t="shared" si="114"/>
        <v>38.389581920099104</v>
      </c>
      <c r="L462" s="8">
        <v>0</v>
      </c>
      <c r="M462" s="9">
        <v>1</v>
      </c>
      <c r="N462" s="8">
        <v>0</v>
      </c>
      <c r="O462" s="9">
        <v>1</v>
      </c>
      <c r="P462" s="9">
        <v>0</v>
      </c>
      <c r="Q462" s="9">
        <v>0</v>
      </c>
      <c r="R462" s="9">
        <v>0</v>
      </c>
      <c r="S462" s="8">
        <v>1476</v>
      </c>
      <c r="T462" s="9">
        <v>7</v>
      </c>
      <c r="U462" s="9">
        <f t="shared" si="108"/>
        <v>1468</v>
      </c>
      <c r="V462" s="9">
        <f t="shared" si="109"/>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11"/>
        <v>0.63200000000000001</v>
      </c>
      <c r="AR462" s="40">
        <v>0.36799999999999999</v>
      </c>
      <c r="AS462" s="39">
        <f t="shared" si="102"/>
        <v>0.371</v>
      </c>
      <c r="AT462" s="40">
        <v>0.629</v>
      </c>
      <c r="AU462">
        <v>0</v>
      </c>
      <c r="AV462" s="18">
        <v>1</v>
      </c>
      <c r="AW462">
        <v>0</v>
      </c>
      <c r="AX462" s="18">
        <v>1</v>
      </c>
      <c r="AY462" s="18" t="s">
        <v>7</v>
      </c>
      <c r="AZ462">
        <v>0</v>
      </c>
      <c r="BA462">
        <v>0</v>
      </c>
      <c r="BB462">
        <v>0</v>
      </c>
      <c r="BC462">
        <v>0</v>
      </c>
      <c r="BD462">
        <v>0</v>
      </c>
      <c r="BE462">
        <v>0</v>
      </c>
      <c r="BF462" s="18">
        <v>1</v>
      </c>
      <c r="BG462">
        <v>0</v>
      </c>
      <c r="BH462">
        <v>0</v>
      </c>
      <c r="BI462" s="18">
        <v>1</v>
      </c>
      <c r="BJ462" t="s">
        <v>98</v>
      </c>
      <c r="BK462" t="s">
        <v>98</v>
      </c>
      <c r="BL462" s="25">
        <v>37</v>
      </c>
      <c r="BM462">
        <v>0</v>
      </c>
      <c r="BN462">
        <v>0</v>
      </c>
      <c r="BO462">
        <v>0</v>
      </c>
      <c r="BP462">
        <v>0</v>
      </c>
      <c r="BQ462">
        <v>0</v>
      </c>
      <c r="BR462">
        <v>0</v>
      </c>
      <c r="BS462">
        <v>0</v>
      </c>
      <c r="BT462" s="18">
        <v>1</v>
      </c>
      <c r="BU462">
        <v>0</v>
      </c>
      <c r="BV462">
        <v>1</v>
      </c>
      <c r="BW462">
        <v>0</v>
      </c>
      <c r="BX462" s="18">
        <v>0</v>
      </c>
      <c r="BY462">
        <v>1</v>
      </c>
      <c r="BZ462">
        <v>0</v>
      </c>
      <c r="CA462">
        <v>0</v>
      </c>
      <c r="CB462">
        <v>0</v>
      </c>
      <c r="CC462" s="18">
        <v>0</v>
      </c>
      <c r="CD462">
        <v>0</v>
      </c>
      <c r="CE462">
        <v>0</v>
      </c>
      <c r="CF462">
        <v>1</v>
      </c>
      <c r="CG462">
        <v>1</v>
      </c>
      <c r="CH462">
        <v>1</v>
      </c>
      <c r="CI462">
        <v>0</v>
      </c>
      <c r="CJ462">
        <v>1</v>
      </c>
      <c r="CK462">
        <v>0</v>
      </c>
      <c r="CL462">
        <v>0</v>
      </c>
      <c r="CM462">
        <v>1</v>
      </c>
      <c r="CN462" s="18">
        <v>0</v>
      </c>
      <c r="CO462">
        <v>0.13900000000000001</v>
      </c>
      <c r="CP462">
        <v>46</v>
      </c>
      <c r="CQ462">
        <v>1</v>
      </c>
      <c r="CR462">
        <v>0</v>
      </c>
      <c r="CS462">
        <v>9</v>
      </c>
      <c r="CY462" s="34"/>
    </row>
    <row r="463" spans="1:103" x14ac:dyDescent="0.25">
      <c r="A463">
        <v>462</v>
      </c>
      <c r="B463">
        <v>30</v>
      </c>
      <c r="C463" s="25" t="s">
        <v>312</v>
      </c>
      <c r="D463" s="12">
        <v>19.600000000000001</v>
      </c>
      <c r="E463" s="14">
        <f t="shared" si="110"/>
        <v>2.5000000000000004</v>
      </c>
      <c r="F463" s="7">
        <v>7.84</v>
      </c>
      <c r="G463" s="7">
        <f t="shared" si="106"/>
        <v>17.100000000000001</v>
      </c>
      <c r="H463" s="16">
        <f t="shared" si="107"/>
        <v>22.1</v>
      </c>
      <c r="I463" s="11">
        <f t="shared" si="112"/>
        <v>0.20046853007196822</v>
      </c>
      <c r="J463" s="33">
        <f t="shared" si="113"/>
        <v>2.5569965570404109E-2</v>
      </c>
      <c r="K463" s="33">
        <f t="shared" si="114"/>
        <v>39.108382733117459</v>
      </c>
      <c r="L463" s="8">
        <v>0</v>
      </c>
      <c r="M463" s="9">
        <v>1</v>
      </c>
      <c r="N463" s="8">
        <v>0</v>
      </c>
      <c r="O463" s="9">
        <v>1</v>
      </c>
      <c r="P463" s="9">
        <v>0</v>
      </c>
      <c r="Q463" s="9">
        <v>0</v>
      </c>
      <c r="R463" s="9">
        <v>0</v>
      </c>
      <c r="S463" s="8">
        <v>1476</v>
      </c>
      <c r="T463" s="9">
        <v>7</v>
      </c>
      <c r="U463" s="9">
        <f t="shared" si="108"/>
        <v>1468</v>
      </c>
      <c r="V463" s="9">
        <f t="shared" si="109"/>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11"/>
        <v>0.63200000000000001</v>
      </c>
      <c r="AR463" s="40">
        <v>0.36799999999999999</v>
      </c>
      <c r="AS463" s="39">
        <f t="shared" si="102"/>
        <v>0.371</v>
      </c>
      <c r="AT463" s="40">
        <v>0.629</v>
      </c>
      <c r="AU463">
        <v>0</v>
      </c>
      <c r="AV463" s="18">
        <v>1</v>
      </c>
      <c r="AW463">
        <v>0</v>
      </c>
      <c r="AX463" s="18">
        <v>1</v>
      </c>
      <c r="AY463" s="18" t="s">
        <v>7</v>
      </c>
      <c r="AZ463">
        <v>0</v>
      </c>
      <c r="BA463">
        <v>0</v>
      </c>
      <c r="BB463">
        <v>0</v>
      </c>
      <c r="BC463">
        <v>0</v>
      </c>
      <c r="BD463">
        <v>0</v>
      </c>
      <c r="BE463">
        <v>0</v>
      </c>
      <c r="BF463" s="18">
        <v>1</v>
      </c>
      <c r="BG463">
        <v>0</v>
      </c>
      <c r="BH463">
        <v>0</v>
      </c>
      <c r="BI463" s="18">
        <v>1</v>
      </c>
      <c r="BJ463" t="s">
        <v>98</v>
      </c>
      <c r="BK463" t="s">
        <v>98</v>
      </c>
      <c r="BL463" s="25">
        <v>37</v>
      </c>
      <c r="BM463">
        <v>0</v>
      </c>
      <c r="BN463">
        <v>0</v>
      </c>
      <c r="BO463">
        <v>0</v>
      </c>
      <c r="BP463">
        <v>0</v>
      </c>
      <c r="BQ463">
        <v>0</v>
      </c>
      <c r="BR463">
        <v>0</v>
      </c>
      <c r="BS463">
        <v>0</v>
      </c>
      <c r="BT463" s="18">
        <v>1</v>
      </c>
      <c r="BU463">
        <v>0</v>
      </c>
      <c r="BV463">
        <v>1</v>
      </c>
      <c r="BW463">
        <v>0</v>
      </c>
      <c r="BX463" s="18">
        <v>0</v>
      </c>
      <c r="BY463">
        <v>1</v>
      </c>
      <c r="BZ463">
        <v>0</v>
      </c>
      <c r="CA463">
        <v>0</v>
      </c>
      <c r="CB463">
        <v>0</v>
      </c>
      <c r="CC463" s="18">
        <v>0</v>
      </c>
      <c r="CD463">
        <v>0</v>
      </c>
      <c r="CE463">
        <v>0</v>
      </c>
      <c r="CF463">
        <v>1</v>
      </c>
      <c r="CG463">
        <v>1</v>
      </c>
      <c r="CH463">
        <v>1</v>
      </c>
      <c r="CI463">
        <v>0</v>
      </c>
      <c r="CJ463">
        <v>1</v>
      </c>
      <c r="CK463">
        <v>0</v>
      </c>
      <c r="CL463">
        <v>0</v>
      </c>
      <c r="CM463">
        <v>1</v>
      </c>
      <c r="CN463" s="18">
        <v>0</v>
      </c>
      <c r="CO463">
        <v>0.13900000000000001</v>
      </c>
      <c r="CP463">
        <v>46</v>
      </c>
      <c r="CQ463">
        <v>1</v>
      </c>
      <c r="CR463">
        <v>0</v>
      </c>
      <c r="CS463">
        <v>9</v>
      </c>
      <c r="CY463" s="34"/>
    </row>
    <row r="464" spans="1:103" x14ac:dyDescent="0.25">
      <c r="A464">
        <v>463</v>
      </c>
      <c r="B464">
        <v>30</v>
      </c>
      <c r="C464" s="25" t="s">
        <v>312</v>
      </c>
      <c r="D464" s="12">
        <v>18.600000000000001</v>
      </c>
      <c r="E464" s="14">
        <f t="shared" si="110"/>
        <v>2.4281984334203655</v>
      </c>
      <c r="F464" s="7">
        <v>7.66</v>
      </c>
      <c r="G464" s="7">
        <f t="shared" si="106"/>
        <v>16.171801566579635</v>
      </c>
      <c r="H464" s="16">
        <f t="shared" si="107"/>
        <v>21.028198433420368</v>
      </c>
      <c r="I464" s="11">
        <f t="shared" si="112"/>
        <v>0.19604482709698576</v>
      </c>
      <c r="J464" s="33">
        <f t="shared" si="113"/>
        <v>2.5593319464358451E-2</v>
      </c>
      <c r="K464" s="33">
        <f t="shared" si="114"/>
        <v>39.072696349241113</v>
      </c>
      <c r="L464" s="8">
        <v>0</v>
      </c>
      <c r="M464" s="9">
        <v>1</v>
      </c>
      <c r="N464" s="8">
        <v>0</v>
      </c>
      <c r="O464" s="9">
        <v>1</v>
      </c>
      <c r="P464" s="9">
        <v>0</v>
      </c>
      <c r="Q464" s="9">
        <v>0</v>
      </c>
      <c r="R464" s="9">
        <v>0</v>
      </c>
      <c r="S464" s="8">
        <v>1476</v>
      </c>
      <c r="T464" s="9">
        <v>7</v>
      </c>
      <c r="U464" s="9">
        <f t="shared" si="108"/>
        <v>1468</v>
      </c>
      <c r="V464" s="9">
        <f t="shared" si="109"/>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11"/>
        <v>0.63200000000000001</v>
      </c>
      <c r="AR464" s="40">
        <v>0.36799999999999999</v>
      </c>
      <c r="AS464" s="39">
        <f t="shared" si="102"/>
        <v>0.371</v>
      </c>
      <c r="AT464" s="40">
        <v>0.629</v>
      </c>
      <c r="AU464">
        <v>0</v>
      </c>
      <c r="AV464" s="18">
        <v>1</v>
      </c>
      <c r="AW464">
        <v>0</v>
      </c>
      <c r="AX464" s="18">
        <v>1</v>
      </c>
      <c r="AY464" s="18" t="s">
        <v>7</v>
      </c>
      <c r="AZ464">
        <v>0</v>
      </c>
      <c r="BA464">
        <v>0</v>
      </c>
      <c r="BB464">
        <v>0</v>
      </c>
      <c r="BC464">
        <v>0</v>
      </c>
      <c r="BD464">
        <v>0</v>
      </c>
      <c r="BE464">
        <v>0</v>
      </c>
      <c r="BF464" s="18">
        <v>1</v>
      </c>
      <c r="BG464">
        <v>0</v>
      </c>
      <c r="BH464">
        <v>0</v>
      </c>
      <c r="BI464" s="18">
        <v>1</v>
      </c>
      <c r="BJ464" t="s">
        <v>98</v>
      </c>
      <c r="BK464" t="s">
        <v>98</v>
      </c>
      <c r="BL464" s="25">
        <v>37</v>
      </c>
      <c r="BM464">
        <v>0</v>
      </c>
      <c r="BN464">
        <v>0</v>
      </c>
      <c r="BO464">
        <v>0</v>
      </c>
      <c r="BP464">
        <v>0</v>
      </c>
      <c r="BQ464">
        <v>0</v>
      </c>
      <c r="BR464">
        <v>0</v>
      </c>
      <c r="BS464">
        <v>0</v>
      </c>
      <c r="BT464" s="18">
        <v>1</v>
      </c>
      <c r="BU464">
        <v>0</v>
      </c>
      <c r="BV464">
        <v>1</v>
      </c>
      <c r="BW464">
        <v>0</v>
      </c>
      <c r="BX464" s="18">
        <v>0</v>
      </c>
      <c r="BY464">
        <v>1</v>
      </c>
      <c r="BZ464">
        <v>0</v>
      </c>
      <c r="CA464">
        <v>0</v>
      </c>
      <c r="CB464">
        <v>0</v>
      </c>
      <c r="CC464" s="18">
        <v>0</v>
      </c>
      <c r="CD464">
        <v>0</v>
      </c>
      <c r="CE464">
        <v>0</v>
      </c>
      <c r="CF464">
        <v>1</v>
      </c>
      <c r="CG464">
        <v>1</v>
      </c>
      <c r="CH464">
        <v>1</v>
      </c>
      <c r="CI464">
        <v>0</v>
      </c>
      <c r="CJ464">
        <v>1</v>
      </c>
      <c r="CK464">
        <v>0</v>
      </c>
      <c r="CL464">
        <v>0</v>
      </c>
      <c r="CM464">
        <v>1</v>
      </c>
      <c r="CN464" s="18">
        <v>0</v>
      </c>
      <c r="CO464">
        <v>0.13900000000000001</v>
      </c>
      <c r="CP464">
        <v>46</v>
      </c>
      <c r="CQ464">
        <v>1</v>
      </c>
      <c r="CR464">
        <v>0</v>
      </c>
      <c r="CS464">
        <v>9</v>
      </c>
      <c r="CY464" s="34"/>
    </row>
    <row r="465" spans="1:103" x14ac:dyDescent="0.25">
      <c r="A465">
        <v>464</v>
      </c>
      <c r="B465">
        <v>30</v>
      </c>
      <c r="C465" s="25" t="s">
        <v>312</v>
      </c>
      <c r="D465" s="12">
        <v>10.7</v>
      </c>
      <c r="E465" s="14">
        <f t="shared" si="110"/>
        <v>1.9814814814814812</v>
      </c>
      <c r="F465" s="7">
        <v>5.4</v>
      </c>
      <c r="G465" s="7">
        <f t="shared" si="106"/>
        <v>8.7185185185185183</v>
      </c>
      <c r="H465" s="16">
        <f t="shared" si="107"/>
        <v>12.68148148148148</v>
      </c>
      <c r="I465" s="11">
        <f t="shared" si="112"/>
        <v>0.13955957945972247</v>
      </c>
      <c r="J465" s="33">
        <f t="shared" si="113"/>
        <v>2.5844366566615273E-2</v>
      </c>
      <c r="K465" s="33">
        <f t="shared" si="114"/>
        <v>38.693151848873725</v>
      </c>
      <c r="L465" s="8">
        <v>0</v>
      </c>
      <c r="M465" s="9">
        <v>1</v>
      </c>
      <c r="N465" s="8">
        <v>0</v>
      </c>
      <c r="O465" s="9">
        <v>1</v>
      </c>
      <c r="P465" s="9">
        <v>0</v>
      </c>
      <c r="Q465" s="9">
        <v>0</v>
      </c>
      <c r="R465" s="9">
        <v>0</v>
      </c>
      <c r="S465" s="8">
        <v>1476</v>
      </c>
      <c r="T465" s="9">
        <v>7</v>
      </c>
      <c r="U465" s="9">
        <f t="shared" si="108"/>
        <v>1468</v>
      </c>
      <c r="V465" s="9">
        <f t="shared" si="109"/>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11"/>
        <v>0.63200000000000001</v>
      </c>
      <c r="AR465" s="40">
        <v>0.36799999999999999</v>
      </c>
      <c r="AS465" s="39">
        <f t="shared" si="102"/>
        <v>0.371</v>
      </c>
      <c r="AT465" s="40">
        <v>0.629</v>
      </c>
      <c r="AU465">
        <v>0</v>
      </c>
      <c r="AV465" s="18">
        <v>1</v>
      </c>
      <c r="AW465">
        <v>0</v>
      </c>
      <c r="AX465" s="18">
        <v>1</v>
      </c>
      <c r="AY465" s="18" t="s">
        <v>7</v>
      </c>
      <c r="AZ465">
        <v>0</v>
      </c>
      <c r="BA465">
        <v>0</v>
      </c>
      <c r="BB465">
        <v>0</v>
      </c>
      <c r="BC465">
        <v>0</v>
      </c>
      <c r="BD465">
        <v>0</v>
      </c>
      <c r="BE465">
        <v>0</v>
      </c>
      <c r="BF465" s="18">
        <v>1</v>
      </c>
      <c r="BG465">
        <v>0</v>
      </c>
      <c r="BH465">
        <v>0</v>
      </c>
      <c r="BI465" s="18">
        <v>1</v>
      </c>
      <c r="BJ465" t="s">
        <v>98</v>
      </c>
      <c r="BK465" t="s">
        <v>98</v>
      </c>
      <c r="BL465" s="25">
        <v>37</v>
      </c>
      <c r="BM465">
        <v>0</v>
      </c>
      <c r="BN465">
        <v>0</v>
      </c>
      <c r="BO465">
        <v>0</v>
      </c>
      <c r="BP465">
        <v>0</v>
      </c>
      <c r="BQ465">
        <v>0</v>
      </c>
      <c r="BR465">
        <v>0</v>
      </c>
      <c r="BS465">
        <v>0</v>
      </c>
      <c r="BT465" s="18">
        <v>1</v>
      </c>
      <c r="BU465">
        <v>0</v>
      </c>
      <c r="BV465">
        <v>1</v>
      </c>
      <c r="BW465">
        <v>0</v>
      </c>
      <c r="BX465" s="18">
        <v>0</v>
      </c>
      <c r="BY465">
        <v>1</v>
      </c>
      <c r="BZ465">
        <v>0</v>
      </c>
      <c r="CA465">
        <v>0</v>
      </c>
      <c r="CB465">
        <v>0</v>
      </c>
      <c r="CC465" s="18">
        <v>0</v>
      </c>
      <c r="CD465">
        <v>0</v>
      </c>
      <c r="CE465">
        <v>0</v>
      </c>
      <c r="CF465">
        <v>1</v>
      </c>
      <c r="CG465">
        <v>1</v>
      </c>
      <c r="CH465">
        <v>1</v>
      </c>
      <c r="CI465">
        <v>0</v>
      </c>
      <c r="CJ465">
        <v>1</v>
      </c>
      <c r="CK465">
        <v>0</v>
      </c>
      <c r="CL465">
        <v>0</v>
      </c>
      <c r="CM465">
        <v>1</v>
      </c>
      <c r="CN465" s="18">
        <v>0</v>
      </c>
      <c r="CO465">
        <v>0.13900000000000001</v>
      </c>
      <c r="CP465">
        <v>46</v>
      </c>
      <c r="CQ465">
        <v>1</v>
      </c>
      <c r="CR465">
        <v>0</v>
      </c>
      <c r="CS465">
        <v>9</v>
      </c>
      <c r="CY465" s="34"/>
    </row>
    <row r="466" spans="1:103" s="51" customFormat="1" x14ac:dyDescent="0.25">
      <c r="A466" s="51">
        <v>465</v>
      </c>
      <c r="B466" s="51">
        <v>30</v>
      </c>
      <c r="C466" s="52" t="s">
        <v>312</v>
      </c>
      <c r="D466" s="53">
        <v>9.1999999999999993</v>
      </c>
      <c r="E466" s="54">
        <f t="shared" si="110"/>
        <v>4.7179487179487181</v>
      </c>
      <c r="F466" s="55">
        <v>1.95</v>
      </c>
      <c r="G466" s="55">
        <f t="shared" si="106"/>
        <v>4.4820512820512812</v>
      </c>
      <c r="H466" s="56">
        <f t="shared" si="107"/>
        <v>13.917948717948718</v>
      </c>
      <c r="I466" s="11">
        <f t="shared" si="112"/>
        <v>5.0828798421125441E-2</v>
      </c>
      <c r="J466" s="33">
        <f t="shared" si="113"/>
        <v>2.606605047237202E-2</v>
      </c>
      <c r="K466" s="33">
        <f t="shared" si="114"/>
        <v>38.36407825036332</v>
      </c>
      <c r="L466" s="59">
        <v>0</v>
      </c>
      <c r="M466" s="60">
        <v>1</v>
      </c>
      <c r="N466" s="59">
        <v>0</v>
      </c>
      <c r="O466" s="60">
        <v>1</v>
      </c>
      <c r="P466" s="60">
        <v>0</v>
      </c>
      <c r="Q466" s="60">
        <v>0</v>
      </c>
      <c r="R466" s="60">
        <v>0</v>
      </c>
      <c r="S466" s="59">
        <v>1476</v>
      </c>
      <c r="T466" s="60">
        <v>7</v>
      </c>
      <c r="U466" s="60">
        <f t="shared" si="108"/>
        <v>1468</v>
      </c>
      <c r="V466" s="60">
        <f t="shared" si="109"/>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11"/>
        <v>0.63200000000000001</v>
      </c>
      <c r="AR466" s="66">
        <v>0.36799999999999999</v>
      </c>
      <c r="AS466" s="68">
        <f t="shared" si="102"/>
        <v>0.371</v>
      </c>
      <c r="AT466" s="66">
        <v>0.629</v>
      </c>
      <c r="AU466">
        <v>0</v>
      </c>
      <c r="AV466" s="65">
        <v>1</v>
      </c>
      <c r="AW466" s="51">
        <v>0</v>
      </c>
      <c r="AX466" s="65">
        <v>1</v>
      </c>
      <c r="AY466" s="65" t="s">
        <v>7</v>
      </c>
      <c r="AZ466">
        <v>0</v>
      </c>
      <c r="BA466">
        <v>0</v>
      </c>
      <c r="BB466">
        <v>0</v>
      </c>
      <c r="BC466">
        <v>0</v>
      </c>
      <c r="BD466">
        <v>0</v>
      </c>
      <c r="BE466">
        <v>0</v>
      </c>
      <c r="BF466" s="65">
        <v>1</v>
      </c>
      <c r="BG466">
        <v>0</v>
      </c>
      <c r="BH466">
        <v>0</v>
      </c>
      <c r="BI466" s="65">
        <v>1</v>
      </c>
      <c r="BJ466" t="s">
        <v>98</v>
      </c>
      <c r="BK466" t="s">
        <v>98</v>
      </c>
      <c r="BL466" s="52">
        <v>37</v>
      </c>
      <c r="BM466" s="51">
        <v>0</v>
      </c>
      <c r="BN466" s="51">
        <v>0</v>
      </c>
      <c r="BO466" s="51">
        <v>0</v>
      </c>
      <c r="BP466" s="51">
        <v>0</v>
      </c>
      <c r="BQ466" s="51">
        <v>0</v>
      </c>
      <c r="BR466" s="51">
        <v>0</v>
      </c>
      <c r="BS466" s="51">
        <v>0</v>
      </c>
      <c r="BT466" s="65">
        <v>1</v>
      </c>
      <c r="BU466" s="51">
        <v>0</v>
      </c>
      <c r="BV466" s="51">
        <v>1</v>
      </c>
      <c r="BW466" s="51">
        <v>0</v>
      </c>
      <c r="BX466" s="65">
        <v>0</v>
      </c>
      <c r="BY466" s="51">
        <v>1</v>
      </c>
      <c r="BZ466" s="51">
        <v>0</v>
      </c>
      <c r="CA466" s="51">
        <v>0</v>
      </c>
      <c r="CB466" s="51">
        <v>0</v>
      </c>
      <c r="CC466" s="65">
        <v>0</v>
      </c>
      <c r="CD466" s="51">
        <v>0</v>
      </c>
      <c r="CE466" s="51">
        <v>0</v>
      </c>
      <c r="CF466" s="51">
        <v>1</v>
      </c>
      <c r="CG466" s="51">
        <v>1</v>
      </c>
      <c r="CH466" s="51">
        <v>1</v>
      </c>
      <c r="CI466" s="51">
        <v>0</v>
      </c>
      <c r="CJ466" s="51">
        <v>1</v>
      </c>
      <c r="CK466" s="51">
        <v>0</v>
      </c>
      <c r="CL466" s="51">
        <v>0</v>
      </c>
      <c r="CM466" s="51">
        <v>1</v>
      </c>
      <c r="CN466" s="65">
        <v>0</v>
      </c>
      <c r="CO466">
        <v>0.13900000000000001</v>
      </c>
      <c r="CP466">
        <v>46</v>
      </c>
      <c r="CQ466">
        <v>1</v>
      </c>
      <c r="CR466">
        <v>0</v>
      </c>
      <c r="CS466">
        <v>9</v>
      </c>
      <c r="CT466" s="67"/>
      <c r="CY466" s="67"/>
    </row>
    <row r="467" spans="1:103" x14ac:dyDescent="0.25">
      <c r="A467">
        <v>466</v>
      </c>
      <c r="B467">
        <v>31</v>
      </c>
      <c r="C467" s="25" t="s">
        <v>311</v>
      </c>
      <c r="D467" s="12">
        <v>6.3</v>
      </c>
      <c r="E467" s="14">
        <f t="shared" si="110"/>
        <v>0.83776595744680848</v>
      </c>
      <c r="F467" s="7">
        <v>7.52</v>
      </c>
      <c r="G467" s="7">
        <f t="shared" si="106"/>
        <v>5.4622340425531917</v>
      </c>
      <c r="H467" s="16">
        <f t="shared" si="107"/>
        <v>7.137765957446808</v>
      </c>
      <c r="I467" s="11">
        <f t="shared" si="112"/>
        <v>0.22951264688149664</v>
      </c>
      <c r="J467" s="33">
        <f t="shared" si="113"/>
        <v>3.0520298787433064E-2</v>
      </c>
      <c r="K467" s="33">
        <f t="shared" si="114"/>
        <v>32.765078971368283</v>
      </c>
      <c r="L467" s="8">
        <v>1</v>
      </c>
      <c r="M467" s="9">
        <v>0</v>
      </c>
      <c r="N467" s="8">
        <v>1</v>
      </c>
      <c r="O467" s="9">
        <v>0</v>
      </c>
      <c r="P467" s="9">
        <v>0</v>
      </c>
      <c r="Q467" s="9">
        <v>0</v>
      </c>
      <c r="R467" s="9">
        <v>0</v>
      </c>
      <c r="S467" s="8">
        <v>1023</v>
      </c>
      <c r="T467" s="9">
        <v>5</v>
      </c>
      <c r="U467" s="9">
        <f t="shared" si="108"/>
        <v>1017</v>
      </c>
      <c r="V467" s="9">
        <f t="shared" si="109"/>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v>0</v>
      </c>
      <c r="BF467" s="18">
        <v>0</v>
      </c>
      <c r="BG467">
        <v>0</v>
      </c>
      <c r="BH467">
        <v>1</v>
      </c>
      <c r="BI467" s="18">
        <v>0</v>
      </c>
      <c r="BJ467">
        <v>818</v>
      </c>
      <c r="BK467">
        <v>95</v>
      </c>
      <c r="BL467" s="25">
        <v>35</v>
      </c>
      <c r="BM467">
        <v>0</v>
      </c>
      <c r="BN467">
        <v>0</v>
      </c>
      <c r="BO467">
        <v>0</v>
      </c>
      <c r="BP467">
        <v>0</v>
      </c>
      <c r="BQ467">
        <v>0</v>
      </c>
      <c r="BR467">
        <v>1</v>
      </c>
      <c r="BS467">
        <v>0</v>
      </c>
      <c r="BT467" s="18">
        <v>0</v>
      </c>
      <c r="BU467">
        <v>0</v>
      </c>
      <c r="BV467">
        <v>0</v>
      </c>
      <c r="BW467">
        <v>1</v>
      </c>
      <c r="BX467" s="18">
        <v>0</v>
      </c>
      <c r="BY467">
        <v>0</v>
      </c>
      <c r="BZ467">
        <v>0</v>
      </c>
      <c r="CA467">
        <v>0</v>
      </c>
      <c r="CB467">
        <v>0</v>
      </c>
      <c r="CC467" s="18">
        <v>0</v>
      </c>
      <c r="CD467">
        <v>0</v>
      </c>
      <c r="CE467">
        <v>0</v>
      </c>
      <c r="CF467">
        <v>1</v>
      </c>
      <c r="CG467">
        <v>1</v>
      </c>
      <c r="CH467">
        <v>0</v>
      </c>
      <c r="CI467">
        <v>0</v>
      </c>
      <c r="CJ467">
        <v>1</v>
      </c>
      <c r="CK467">
        <v>1</v>
      </c>
      <c r="CL467">
        <v>0</v>
      </c>
      <c r="CM467">
        <v>0</v>
      </c>
      <c r="CN467" s="18">
        <v>0</v>
      </c>
      <c r="CO467">
        <v>0.123</v>
      </c>
      <c r="CP467">
        <v>226</v>
      </c>
      <c r="CQ467">
        <v>1</v>
      </c>
      <c r="CR467">
        <v>0</v>
      </c>
      <c r="CS467">
        <v>12</v>
      </c>
      <c r="CY467" s="34"/>
    </row>
    <row r="468" spans="1:103" x14ac:dyDescent="0.25">
      <c r="A468">
        <v>467</v>
      </c>
      <c r="B468">
        <v>31</v>
      </c>
      <c r="C468" t="s">
        <v>311</v>
      </c>
      <c r="D468" s="12">
        <v>6.1</v>
      </c>
      <c r="E468" s="14">
        <f t="shared" si="110"/>
        <v>0.8276797829036634</v>
      </c>
      <c r="F468" s="7">
        <v>7.37</v>
      </c>
      <c r="G468" s="7">
        <f t="shared" si="106"/>
        <v>5.2723202170963361</v>
      </c>
      <c r="H468" s="16">
        <f t="shared" si="107"/>
        <v>6.9276797829036632</v>
      </c>
      <c r="I468" s="11">
        <f t="shared" si="112"/>
        <v>0.2252741171820597</v>
      </c>
      <c r="J468" s="33">
        <f t="shared" si="113"/>
        <v>3.0566365967715021E-2</v>
      </c>
      <c r="K468" s="33">
        <f t="shared" si="114"/>
        <v>32.715698066830242</v>
      </c>
      <c r="L468" s="8">
        <v>1</v>
      </c>
      <c r="M468" s="9">
        <v>0</v>
      </c>
      <c r="N468" s="8">
        <v>1</v>
      </c>
      <c r="O468" s="9">
        <v>0</v>
      </c>
      <c r="P468" s="9">
        <v>0</v>
      </c>
      <c r="Q468" s="9">
        <v>0</v>
      </c>
      <c r="R468" s="9">
        <v>0</v>
      </c>
      <c r="S468" s="8">
        <v>1023</v>
      </c>
      <c r="T468" s="9">
        <v>6</v>
      </c>
      <c r="U468" s="9">
        <f t="shared" si="108"/>
        <v>1016</v>
      </c>
      <c r="V468" s="9">
        <f t="shared" si="109"/>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v>0</v>
      </c>
      <c r="BF468" s="18">
        <v>0</v>
      </c>
      <c r="BG468">
        <v>0</v>
      </c>
      <c r="BH468">
        <v>1</v>
      </c>
      <c r="BI468" s="18">
        <v>0</v>
      </c>
      <c r="BJ468">
        <v>818</v>
      </c>
      <c r="BK468">
        <v>95</v>
      </c>
      <c r="BL468" s="25">
        <v>35</v>
      </c>
      <c r="BM468">
        <v>0</v>
      </c>
      <c r="BN468">
        <v>0</v>
      </c>
      <c r="BO468">
        <v>0</v>
      </c>
      <c r="BP468">
        <v>0</v>
      </c>
      <c r="BQ468">
        <v>0</v>
      </c>
      <c r="BR468">
        <v>1</v>
      </c>
      <c r="BS468">
        <v>0</v>
      </c>
      <c r="BT468" s="18">
        <v>0</v>
      </c>
      <c r="BU468">
        <v>0</v>
      </c>
      <c r="BV468">
        <v>0</v>
      </c>
      <c r="BW468">
        <v>1</v>
      </c>
      <c r="BX468" s="18">
        <v>0</v>
      </c>
      <c r="BY468">
        <v>0</v>
      </c>
      <c r="BZ468">
        <v>0</v>
      </c>
      <c r="CA468">
        <v>0</v>
      </c>
      <c r="CB468">
        <v>0</v>
      </c>
      <c r="CC468" s="18">
        <v>0</v>
      </c>
      <c r="CD468">
        <v>0</v>
      </c>
      <c r="CE468">
        <v>0</v>
      </c>
      <c r="CF468">
        <v>1</v>
      </c>
      <c r="CG468">
        <v>1</v>
      </c>
      <c r="CH468">
        <v>0</v>
      </c>
      <c r="CI468">
        <v>0</v>
      </c>
      <c r="CJ468">
        <v>1</v>
      </c>
      <c r="CK468">
        <v>1</v>
      </c>
      <c r="CL468">
        <v>0</v>
      </c>
      <c r="CM468">
        <v>0</v>
      </c>
      <c r="CN468" s="18">
        <v>0</v>
      </c>
      <c r="CO468">
        <v>0.123</v>
      </c>
      <c r="CP468">
        <v>226</v>
      </c>
      <c r="CQ468">
        <v>1</v>
      </c>
      <c r="CR468">
        <v>0</v>
      </c>
      <c r="CS468">
        <v>12</v>
      </c>
      <c r="CY468" s="34"/>
    </row>
    <row r="469" spans="1:103" x14ac:dyDescent="0.25">
      <c r="A469">
        <v>468</v>
      </c>
      <c r="B469">
        <v>31</v>
      </c>
      <c r="C469" s="25" t="s">
        <v>311</v>
      </c>
      <c r="D469" s="12">
        <v>6.5</v>
      </c>
      <c r="E469" s="14">
        <f t="shared" si="110"/>
        <v>0.8904109589041096</v>
      </c>
      <c r="F469" s="7">
        <v>7.3</v>
      </c>
      <c r="G469" s="7">
        <f t="shared" si="106"/>
        <v>5.6095890410958908</v>
      </c>
      <c r="H469" s="16">
        <f t="shared" si="107"/>
        <v>7.3904109589041092</v>
      </c>
      <c r="I469" s="11">
        <f t="shared" si="112"/>
        <v>0.22742757354036125</v>
      </c>
      <c r="J469" s="33">
        <f t="shared" si="113"/>
        <v>3.1154462128816611E-2</v>
      </c>
      <c r="K469" s="33">
        <f t="shared" si="114"/>
        <v>32.098130786698469</v>
      </c>
      <c r="L469" s="8">
        <v>1</v>
      </c>
      <c r="M469" s="9">
        <v>0</v>
      </c>
      <c r="N469" s="8">
        <v>1</v>
      </c>
      <c r="O469" s="9">
        <v>0</v>
      </c>
      <c r="P469" s="9">
        <v>0</v>
      </c>
      <c r="Q469" s="9">
        <v>0</v>
      </c>
      <c r="R469" s="9">
        <v>0</v>
      </c>
      <c r="S469" s="8">
        <v>986</v>
      </c>
      <c r="T469" s="9">
        <v>8</v>
      </c>
      <c r="U469" s="9">
        <f t="shared" si="108"/>
        <v>977</v>
      </c>
      <c r="V469" s="9">
        <f t="shared" si="109"/>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v>0</v>
      </c>
      <c r="BF469" s="18">
        <v>0</v>
      </c>
      <c r="BG469">
        <v>0</v>
      </c>
      <c r="BH469">
        <v>1</v>
      </c>
      <c r="BI469" s="18">
        <v>0</v>
      </c>
      <c r="BJ469">
        <v>818</v>
      </c>
      <c r="BK469">
        <v>95</v>
      </c>
      <c r="BL469" s="25">
        <v>35</v>
      </c>
      <c r="BM469">
        <v>0</v>
      </c>
      <c r="BN469">
        <v>0</v>
      </c>
      <c r="BO469">
        <v>0</v>
      </c>
      <c r="BP469">
        <v>0</v>
      </c>
      <c r="BQ469">
        <v>0</v>
      </c>
      <c r="BR469">
        <v>1</v>
      </c>
      <c r="BS469">
        <v>0</v>
      </c>
      <c r="BT469" s="18">
        <v>0</v>
      </c>
      <c r="BU469">
        <v>0</v>
      </c>
      <c r="BV469">
        <v>1</v>
      </c>
      <c r="BW469">
        <v>0</v>
      </c>
      <c r="BX469" s="18">
        <v>0</v>
      </c>
      <c r="BY469">
        <v>1</v>
      </c>
      <c r="BZ469">
        <v>0</v>
      </c>
      <c r="CA469">
        <v>0</v>
      </c>
      <c r="CB469">
        <v>0</v>
      </c>
      <c r="CC469" s="18">
        <v>0</v>
      </c>
      <c r="CD469">
        <v>0</v>
      </c>
      <c r="CE469">
        <v>0</v>
      </c>
      <c r="CF469">
        <v>1</v>
      </c>
      <c r="CG469">
        <v>1</v>
      </c>
      <c r="CH469">
        <v>0</v>
      </c>
      <c r="CI469">
        <v>0</v>
      </c>
      <c r="CJ469">
        <v>1</v>
      </c>
      <c r="CK469">
        <v>1</v>
      </c>
      <c r="CL469">
        <v>0</v>
      </c>
      <c r="CM469">
        <v>0</v>
      </c>
      <c r="CN469" s="18">
        <v>0</v>
      </c>
      <c r="CO469">
        <v>0.123</v>
      </c>
      <c r="CP469">
        <v>226</v>
      </c>
      <c r="CQ469">
        <v>1</v>
      </c>
      <c r="CR469">
        <v>0</v>
      </c>
      <c r="CS469">
        <v>12</v>
      </c>
      <c r="CY469" s="34"/>
    </row>
    <row r="470" spans="1:103" x14ac:dyDescent="0.25">
      <c r="A470">
        <v>469</v>
      </c>
      <c r="B470">
        <v>31</v>
      </c>
      <c r="C470" s="25" t="s">
        <v>311</v>
      </c>
      <c r="D470" s="12">
        <v>6.4</v>
      </c>
      <c r="E470" s="14">
        <f t="shared" si="110"/>
        <v>0.86838534599728634</v>
      </c>
      <c r="F470" s="7">
        <v>7.37</v>
      </c>
      <c r="G470" s="7">
        <f t="shared" si="106"/>
        <v>5.5316146540027145</v>
      </c>
      <c r="H470" s="16">
        <f t="shared" si="107"/>
        <v>7.2683853459972863</v>
      </c>
      <c r="I470" s="11">
        <f t="shared" si="112"/>
        <v>0.12618462893964844</v>
      </c>
      <c r="J470" s="33">
        <f t="shared" si="113"/>
        <v>1.7121387915827468E-2</v>
      </c>
      <c r="K470" s="33">
        <f t="shared" si="114"/>
        <v>58.406479948718022</v>
      </c>
      <c r="L470" s="8">
        <v>1</v>
      </c>
      <c r="M470" s="9">
        <v>0</v>
      </c>
      <c r="N470" s="8">
        <v>1</v>
      </c>
      <c r="O470" s="9">
        <v>0</v>
      </c>
      <c r="P470" s="9">
        <v>0</v>
      </c>
      <c r="Q470" s="9">
        <v>0</v>
      </c>
      <c r="R470" s="9">
        <v>0</v>
      </c>
      <c r="S470" s="8">
        <v>3364</v>
      </c>
      <c r="T470" s="9">
        <v>6</v>
      </c>
      <c r="U470" s="9">
        <f t="shared" si="108"/>
        <v>3357</v>
      </c>
      <c r="V470" s="9">
        <f t="shared" si="109"/>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v>0</v>
      </c>
      <c r="BF470" s="18">
        <v>0</v>
      </c>
      <c r="BG470">
        <v>0</v>
      </c>
      <c r="BH470">
        <v>1</v>
      </c>
      <c r="BI470" s="18">
        <v>0</v>
      </c>
      <c r="BJ470">
        <v>818</v>
      </c>
      <c r="BK470">
        <v>95</v>
      </c>
      <c r="BL470" s="25">
        <v>35</v>
      </c>
      <c r="BM470">
        <v>0</v>
      </c>
      <c r="BN470">
        <v>0</v>
      </c>
      <c r="BO470">
        <v>0</v>
      </c>
      <c r="BP470">
        <v>0</v>
      </c>
      <c r="BQ470">
        <v>0</v>
      </c>
      <c r="BR470">
        <v>1</v>
      </c>
      <c r="BS470">
        <v>0</v>
      </c>
      <c r="BT470" s="18">
        <v>0</v>
      </c>
      <c r="BU470">
        <v>0</v>
      </c>
      <c r="BV470">
        <v>0</v>
      </c>
      <c r="BW470">
        <v>1</v>
      </c>
      <c r="BX470" s="18">
        <v>0</v>
      </c>
      <c r="BY470">
        <v>0</v>
      </c>
      <c r="BZ470">
        <v>0</v>
      </c>
      <c r="CA470">
        <v>0</v>
      </c>
      <c r="CB470">
        <v>0</v>
      </c>
      <c r="CC470" s="18">
        <v>0</v>
      </c>
      <c r="CD470">
        <v>0</v>
      </c>
      <c r="CE470">
        <v>0</v>
      </c>
      <c r="CF470">
        <v>1</v>
      </c>
      <c r="CG470">
        <v>1</v>
      </c>
      <c r="CH470">
        <v>0</v>
      </c>
      <c r="CI470">
        <v>0</v>
      </c>
      <c r="CJ470">
        <v>1</v>
      </c>
      <c r="CK470">
        <v>1</v>
      </c>
      <c r="CL470">
        <v>0</v>
      </c>
      <c r="CM470">
        <v>0</v>
      </c>
      <c r="CN470" s="18">
        <v>0</v>
      </c>
      <c r="CO470">
        <v>0.123</v>
      </c>
      <c r="CP470">
        <v>226</v>
      </c>
      <c r="CQ470">
        <v>1</v>
      </c>
      <c r="CR470">
        <v>0</v>
      </c>
      <c r="CS470">
        <v>12</v>
      </c>
      <c r="CY470" s="34"/>
    </row>
    <row r="471" spans="1:103" x14ac:dyDescent="0.25">
      <c r="A471">
        <v>470</v>
      </c>
      <c r="B471">
        <v>31</v>
      </c>
      <c r="C471" s="25" t="s">
        <v>311</v>
      </c>
      <c r="D471" s="12">
        <v>4.3</v>
      </c>
      <c r="E471" s="14">
        <f t="shared" si="110"/>
        <v>1.4625850340136055</v>
      </c>
      <c r="F471" s="7">
        <v>2.94</v>
      </c>
      <c r="G471" s="7">
        <f t="shared" si="106"/>
        <v>2.8374149659863943</v>
      </c>
      <c r="H471" s="16">
        <f t="shared" si="107"/>
        <v>5.7625850340136058</v>
      </c>
      <c r="I471" s="11">
        <f t="shared" si="112"/>
        <v>5.0677276605177769E-2</v>
      </c>
      <c r="J471" s="33">
        <f t="shared" si="113"/>
        <v>1.7237168913325773E-2</v>
      </c>
      <c r="K471" s="33">
        <f t="shared" si="114"/>
        <v>58.014167235253836</v>
      </c>
      <c r="L471" s="8">
        <v>1</v>
      </c>
      <c r="M471" s="9">
        <v>0</v>
      </c>
      <c r="N471" s="8">
        <v>1</v>
      </c>
      <c r="O471" s="9">
        <v>0</v>
      </c>
      <c r="P471" s="9">
        <v>0</v>
      </c>
      <c r="Q471" s="9">
        <v>0</v>
      </c>
      <c r="R471" s="9">
        <v>0</v>
      </c>
      <c r="S471" s="8">
        <v>3364</v>
      </c>
      <c r="T471" s="9">
        <v>6</v>
      </c>
      <c r="U471" s="9">
        <f t="shared" si="108"/>
        <v>3357</v>
      </c>
      <c r="V471" s="9">
        <f t="shared" si="109"/>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v>0</v>
      </c>
      <c r="BF471" s="18">
        <v>0</v>
      </c>
      <c r="BG471">
        <v>0</v>
      </c>
      <c r="BH471">
        <v>1</v>
      </c>
      <c r="BI471" s="18">
        <v>0</v>
      </c>
      <c r="BJ471">
        <v>818</v>
      </c>
      <c r="BK471">
        <v>95</v>
      </c>
      <c r="BL471" s="25">
        <v>35</v>
      </c>
      <c r="BM471">
        <v>0</v>
      </c>
      <c r="BN471">
        <v>0</v>
      </c>
      <c r="BO471">
        <v>0</v>
      </c>
      <c r="BP471">
        <v>0</v>
      </c>
      <c r="BQ471">
        <v>0</v>
      </c>
      <c r="BR471">
        <v>1</v>
      </c>
      <c r="BS471">
        <v>0</v>
      </c>
      <c r="BT471" s="18">
        <v>0</v>
      </c>
      <c r="BU471">
        <v>0</v>
      </c>
      <c r="BV471">
        <v>0</v>
      </c>
      <c r="BW471">
        <v>1</v>
      </c>
      <c r="BX471" s="18">
        <v>0</v>
      </c>
      <c r="BY471">
        <v>0</v>
      </c>
      <c r="BZ471">
        <v>0</v>
      </c>
      <c r="CA471">
        <v>0</v>
      </c>
      <c r="CB471">
        <v>0</v>
      </c>
      <c r="CC471" s="18">
        <v>0</v>
      </c>
      <c r="CD471">
        <v>0</v>
      </c>
      <c r="CE471">
        <v>0</v>
      </c>
      <c r="CF471">
        <v>1</v>
      </c>
      <c r="CG471">
        <v>1</v>
      </c>
      <c r="CH471">
        <v>0</v>
      </c>
      <c r="CI471">
        <v>0</v>
      </c>
      <c r="CJ471">
        <v>1</v>
      </c>
      <c r="CK471">
        <v>1</v>
      </c>
      <c r="CL471">
        <v>0</v>
      </c>
      <c r="CM471">
        <v>0</v>
      </c>
      <c r="CN471" s="18">
        <v>0</v>
      </c>
      <c r="CO471">
        <v>0.123</v>
      </c>
      <c r="CP471">
        <v>226</v>
      </c>
      <c r="CQ471">
        <v>1</v>
      </c>
      <c r="CR471">
        <v>0</v>
      </c>
      <c r="CS471">
        <v>12</v>
      </c>
      <c r="CY471" s="34"/>
    </row>
    <row r="472" spans="1:103" x14ac:dyDescent="0.25">
      <c r="A472">
        <v>471</v>
      </c>
      <c r="B472">
        <v>31</v>
      </c>
      <c r="C472" s="25" t="s">
        <v>311</v>
      </c>
      <c r="D472" s="12">
        <v>7.8</v>
      </c>
      <c r="E472" s="14">
        <f t="shared" si="110"/>
        <v>1.1854103343465046</v>
      </c>
      <c r="F472" s="7">
        <v>6.58</v>
      </c>
      <c r="G472" s="7">
        <f t="shared" si="106"/>
        <v>6.6145896656534955</v>
      </c>
      <c r="H472" s="16">
        <f t="shared" si="107"/>
        <v>8.9854103343465042</v>
      </c>
      <c r="I472" s="11">
        <f t="shared" si="112"/>
        <v>0.112841150584339</v>
      </c>
      <c r="J472" s="33">
        <f t="shared" si="113"/>
        <v>1.714911103105456E-2</v>
      </c>
      <c r="K472" s="33">
        <f t="shared" si="114"/>
        <v>58.3120605020951</v>
      </c>
      <c r="L472" s="8">
        <v>1</v>
      </c>
      <c r="M472" s="9">
        <v>0</v>
      </c>
      <c r="N472" s="8">
        <v>1</v>
      </c>
      <c r="O472" s="9">
        <v>0</v>
      </c>
      <c r="P472" s="9">
        <v>0</v>
      </c>
      <c r="Q472" s="9">
        <v>0</v>
      </c>
      <c r="R472" s="9">
        <v>0</v>
      </c>
      <c r="S472" s="8">
        <v>3364</v>
      </c>
      <c r="T472" s="9">
        <v>6</v>
      </c>
      <c r="U472" s="9">
        <f t="shared" si="108"/>
        <v>3357</v>
      </c>
      <c r="V472" s="9">
        <f t="shared" si="109"/>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v>0</v>
      </c>
      <c r="BF472" s="18">
        <v>0</v>
      </c>
      <c r="BG472">
        <v>0</v>
      </c>
      <c r="BH472">
        <v>1</v>
      </c>
      <c r="BI472" s="18">
        <v>0</v>
      </c>
      <c r="BJ472">
        <v>818</v>
      </c>
      <c r="BK472">
        <v>95</v>
      </c>
      <c r="BL472" s="25">
        <v>35</v>
      </c>
      <c r="BM472">
        <v>0</v>
      </c>
      <c r="BN472">
        <v>0</v>
      </c>
      <c r="BO472">
        <v>0</v>
      </c>
      <c r="BP472">
        <v>0</v>
      </c>
      <c r="BQ472">
        <v>0</v>
      </c>
      <c r="BR472">
        <v>1</v>
      </c>
      <c r="BS472">
        <v>0</v>
      </c>
      <c r="BT472" s="18">
        <v>0</v>
      </c>
      <c r="BU472">
        <v>0</v>
      </c>
      <c r="BV472">
        <v>0</v>
      </c>
      <c r="BW472">
        <v>1</v>
      </c>
      <c r="BX472" s="18">
        <v>0</v>
      </c>
      <c r="BY472">
        <v>0</v>
      </c>
      <c r="BZ472">
        <v>0</v>
      </c>
      <c r="CA472">
        <v>0</v>
      </c>
      <c r="CB472">
        <v>0</v>
      </c>
      <c r="CC472" s="18">
        <v>0</v>
      </c>
      <c r="CD472">
        <v>0</v>
      </c>
      <c r="CE472">
        <v>0</v>
      </c>
      <c r="CF472">
        <v>1</v>
      </c>
      <c r="CG472">
        <v>1</v>
      </c>
      <c r="CH472">
        <v>0</v>
      </c>
      <c r="CI472">
        <v>0</v>
      </c>
      <c r="CJ472">
        <v>1</v>
      </c>
      <c r="CK472">
        <v>1</v>
      </c>
      <c r="CL472">
        <v>0</v>
      </c>
      <c r="CM472">
        <v>0</v>
      </c>
      <c r="CN472" s="18">
        <v>0</v>
      </c>
      <c r="CO472">
        <v>0.123</v>
      </c>
      <c r="CP472">
        <v>226</v>
      </c>
      <c r="CQ472">
        <v>1</v>
      </c>
      <c r="CR472">
        <v>0</v>
      </c>
      <c r="CS472">
        <v>12</v>
      </c>
      <c r="CY472" s="34"/>
    </row>
    <row r="473" spans="1:103" x14ac:dyDescent="0.25">
      <c r="A473">
        <v>472</v>
      </c>
      <c r="B473">
        <v>31</v>
      </c>
      <c r="C473" s="25" t="s">
        <v>311</v>
      </c>
      <c r="D473" s="12">
        <v>10.5</v>
      </c>
      <c r="E473" s="14">
        <f t="shared" si="110"/>
        <v>1.2804878048780488</v>
      </c>
      <c r="F473" s="7">
        <v>8.1999999999999993</v>
      </c>
      <c r="G473" s="7">
        <f t="shared" si="106"/>
        <v>9.2195121951219505</v>
      </c>
      <c r="H473" s="16">
        <f t="shared" si="107"/>
        <v>11.780487804878049</v>
      </c>
      <c r="I473" s="11">
        <f t="shared" si="112"/>
        <v>0.20660483785702163</v>
      </c>
      <c r="J473" s="33">
        <f t="shared" si="113"/>
        <v>2.5195711933783126E-2</v>
      </c>
      <c r="K473" s="33">
        <f t="shared" si="114"/>
        <v>39.689293266572541</v>
      </c>
      <c r="L473" s="8">
        <v>1</v>
      </c>
      <c r="M473" s="9">
        <v>0</v>
      </c>
      <c r="N473" s="8">
        <v>1</v>
      </c>
      <c r="O473" s="9">
        <v>0</v>
      </c>
      <c r="P473" s="9">
        <v>0</v>
      </c>
      <c r="Q473" s="9">
        <v>0</v>
      </c>
      <c r="R473" s="9">
        <v>0</v>
      </c>
      <c r="S473" s="8">
        <v>1515</v>
      </c>
      <c r="T473" s="9">
        <v>6</v>
      </c>
      <c r="U473" s="9">
        <f t="shared" si="108"/>
        <v>1508</v>
      </c>
      <c r="V473" s="9">
        <f t="shared" si="109"/>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v>0</v>
      </c>
      <c r="BF473" s="18">
        <v>0</v>
      </c>
      <c r="BG473">
        <v>0</v>
      </c>
      <c r="BH473">
        <v>1</v>
      </c>
      <c r="BI473" s="18">
        <v>0</v>
      </c>
      <c r="BJ473">
        <v>818</v>
      </c>
      <c r="BK473">
        <v>95</v>
      </c>
      <c r="BL473" s="25">
        <v>35</v>
      </c>
      <c r="BM473">
        <v>0</v>
      </c>
      <c r="BN473">
        <v>0</v>
      </c>
      <c r="BO473">
        <v>0</v>
      </c>
      <c r="BP473">
        <v>0</v>
      </c>
      <c r="BQ473">
        <v>0</v>
      </c>
      <c r="BR473">
        <v>1</v>
      </c>
      <c r="BS473">
        <v>0</v>
      </c>
      <c r="BT473" s="18">
        <v>0</v>
      </c>
      <c r="BU473">
        <v>0</v>
      </c>
      <c r="BV473">
        <v>0</v>
      </c>
      <c r="BW473">
        <v>1</v>
      </c>
      <c r="BX473" s="18">
        <v>0</v>
      </c>
      <c r="BY473">
        <v>0</v>
      </c>
      <c r="BZ473">
        <v>0</v>
      </c>
      <c r="CA473">
        <v>0</v>
      </c>
      <c r="CB473">
        <v>0</v>
      </c>
      <c r="CC473" s="18">
        <v>0</v>
      </c>
      <c r="CD473">
        <v>0</v>
      </c>
      <c r="CE473">
        <v>0</v>
      </c>
      <c r="CF473">
        <v>1</v>
      </c>
      <c r="CG473">
        <v>1</v>
      </c>
      <c r="CH473">
        <v>0</v>
      </c>
      <c r="CI473">
        <v>0</v>
      </c>
      <c r="CJ473">
        <v>1</v>
      </c>
      <c r="CK473">
        <v>1</v>
      </c>
      <c r="CL473">
        <v>0</v>
      </c>
      <c r="CM473">
        <v>0</v>
      </c>
      <c r="CN473" s="18">
        <v>0</v>
      </c>
      <c r="CO473">
        <v>0.123</v>
      </c>
      <c r="CP473">
        <v>226</v>
      </c>
      <c r="CQ473">
        <v>1</v>
      </c>
      <c r="CR473">
        <v>0</v>
      </c>
      <c r="CS473">
        <v>12</v>
      </c>
      <c r="CY473" s="34"/>
    </row>
    <row r="474" spans="1:103" x14ac:dyDescent="0.25">
      <c r="A474">
        <v>473</v>
      </c>
      <c r="B474">
        <v>31</v>
      </c>
      <c r="C474" s="25" t="s">
        <v>311</v>
      </c>
      <c r="D474" s="12">
        <v>8.9</v>
      </c>
      <c r="E474" s="14">
        <f t="shared" si="110"/>
        <v>2.8253968253968256</v>
      </c>
      <c r="F474" s="7">
        <v>3.15</v>
      </c>
      <c r="G474" s="7">
        <f t="shared" si="106"/>
        <v>6.0746031746031743</v>
      </c>
      <c r="H474" s="16">
        <f t="shared" si="107"/>
        <v>11.725396825396826</v>
      </c>
      <c r="I474" s="11">
        <f t="shared" si="112"/>
        <v>8.0851066780717365E-2</v>
      </c>
      <c r="J474" s="33">
        <f t="shared" si="113"/>
        <v>2.5667005327211861E-2</v>
      </c>
      <c r="K474" s="33">
        <f t="shared" si="114"/>
        <v>38.960524893794741</v>
      </c>
      <c r="L474" s="8">
        <v>1</v>
      </c>
      <c r="M474" s="9">
        <v>0</v>
      </c>
      <c r="N474" s="8">
        <v>1</v>
      </c>
      <c r="O474" s="9">
        <v>0</v>
      </c>
      <c r="P474" s="9">
        <v>0</v>
      </c>
      <c r="Q474" s="9">
        <v>0</v>
      </c>
      <c r="R474" s="9">
        <v>0</v>
      </c>
      <c r="S474" s="8">
        <v>1515</v>
      </c>
      <c r="T474" s="9">
        <v>6</v>
      </c>
      <c r="U474" s="9">
        <f t="shared" si="108"/>
        <v>1508</v>
      </c>
      <c r="V474" s="9">
        <f t="shared" si="109"/>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v>0</v>
      </c>
      <c r="BF474" s="18">
        <v>0</v>
      </c>
      <c r="BG474">
        <v>0</v>
      </c>
      <c r="BH474">
        <v>1</v>
      </c>
      <c r="BI474" s="18">
        <v>0</v>
      </c>
      <c r="BJ474">
        <v>818</v>
      </c>
      <c r="BK474">
        <v>95</v>
      </c>
      <c r="BL474" s="25">
        <v>35</v>
      </c>
      <c r="BM474">
        <v>0</v>
      </c>
      <c r="BN474">
        <v>0</v>
      </c>
      <c r="BO474">
        <v>0</v>
      </c>
      <c r="BP474">
        <v>0</v>
      </c>
      <c r="BQ474">
        <v>0</v>
      </c>
      <c r="BR474">
        <v>1</v>
      </c>
      <c r="BS474">
        <v>0</v>
      </c>
      <c r="BT474" s="18">
        <v>0</v>
      </c>
      <c r="BU474">
        <v>0</v>
      </c>
      <c r="BV474">
        <v>0</v>
      </c>
      <c r="BW474">
        <v>1</v>
      </c>
      <c r="BX474" s="18">
        <v>0</v>
      </c>
      <c r="BY474">
        <v>0</v>
      </c>
      <c r="BZ474">
        <v>0</v>
      </c>
      <c r="CA474">
        <v>0</v>
      </c>
      <c r="CB474">
        <v>0</v>
      </c>
      <c r="CC474" s="18">
        <v>0</v>
      </c>
      <c r="CD474">
        <v>0</v>
      </c>
      <c r="CE474">
        <v>0</v>
      </c>
      <c r="CF474">
        <v>1</v>
      </c>
      <c r="CG474">
        <v>1</v>
      </c>
      <c r="CH474">
        <v>0</v>
      </c>
      <c r="CI474">
        <v>0</v>
      </c>
      <c r="CJ474">
        <v>1</v>
      </c>
      <c r="CK474">
        <v>1</v>
      </c>
      <c r="CL474">
        <v>0</v>
      </c>
      <c r="CM474">
        <v>0</v>
      </c>
      <c r="CN474" s="18">
        <v>0</v>
      </c>
      <c r="CO474">
        <v>0.123</v>
      </c>
      <c r="CP474">
        <v>226</v>
      </c>
      <c r="CQ474">
        <v>1</v>
      </c>
      <c r="CR474">
        <v>0</v>
      </c>
      <c r="CS474">
        <v>12</v>
      </c>
      <c r="CY474" s="34"/>
    </row>
    <row r="475" spans="1:103" x14ac:dyDescent="0.25">
      <c r="A475">
        <v>474</v>
      </c>
      <c r="B475">
        <v>31</v>
      </c>
      <c r="C475" s="25" t="s">
        <v>311</v>
      </c>
      <c r="D475" s="12">
        <v>11.7</v>
      </c>
      <c r="E475" s="14">
        <f t="shared" si="110"/>
        <v>1.4516129032258063</v>
      </c>
      <c r="F475" s="7">
        <v>8.06</v>
      </c>
      <c r="G475" s="7">
        <f t="shared" si="106"/>
        <v>10.248387096774193</v>
      </c>
      <c r="H475" s="16">
        <f t="shared" si="107"/>
        <v>13.151612903225805</v>
      </c>
      <c r="I475" s="11">
        <f t="shared" si="112"/>
        <v>0.20322433235021214</v>
      </c>
      <c r="J475" s="33">
        <f t="shared" si="113"/>
        <v>2.5213937016155347E-2</v>
      </c>
      <c r="K475" s="33">
        <f t="shared" si="114"/>
        <v>39.66060513910498</v>
      </c>
      <c r="L475" s="8">
        <v>1</v>
      </c>
      <c r="M475" s="9">
        <v>0</v>
      </c>
      <c r="N475" s="8">
        <v>1</v>
      </c>
      <c r="O475" s="9">
        <v>0</v>
      </c>
      <c r="P475" s="9">
        <v>0</v>
      </c>
      <c r="Q475" s="9">
        <v>0</v>
      </c>
      <c r="R475" s="9">
        <v>0</v>
      </c>
      <c r="S475" s="8">
        <v>1515</v>
      </c>
      <c r="T475" s="9">
        <v>6</v>
      </c>
      <c r="U475" s="9">
        <f t="shared" si="108"/>
        <v>1508</v>
      </c>
      <c r="V475" s="9">
        <f t="shared" si="109"/>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v>0</v>
      </c>
      <c r="BF475" s="18">
        <v>0</v>
      </c>
      <c r="BG475">
        <v>0</v>
      </c>
      <c r="BH475">
        <v>1</v>
      </c>
      <c r="BI475" s="18">
        <v>0</v>
      </c>
      <c r="BJ475">
        <v>818</v>
      </c>
      <c r="BK475">
        <v>95</v>
      </c>
      <c r="BL475" s="25">
        <v>35</v>
      </c>
      <c r="BM475">
        <v>0</v>
      </c>
      <c r="BN475">
        <v>0</v>
      </c>
      <c r="BO475">
        <v>0</v>
      </c>
      <c r="BP475">
        <v>0</v>
      </c>
      <c r="BQ475">
        <v>0</v>
      </c>
      <c r="BR475">
        <v>1</v>
      </c>
      <c r="BS475">
        <v>0</v>
      </c>
      <c r="BT475" s="18">
        <v>0</v>
      </c>
      <c r="BU475">
        <v>0</v>
      </c>
      <c r="BV475">
        <v>0</v>
      </c>
      <c r="BW475">
        <v>1</v>
      </c>
      <c r="BX475" s="18">
        <v>0</v>
      </c>
      <c r="BY475">
        <v>0</v>
      </c>
      <c r="BZ475">
        <v>0</v>
      </c>
      <c r="CA475">
        <v>0</v>
      </c>
      <c r="CB475">
        <v>0</v>
      </c>
      <c r="CC475" s="18">
        <v>0</v>
      </c>
      <c r="CD475">
        <v>0</v>
      </c>
      <c r="CE475">
        <v>0</v>
      </c>
      <c r="CF475">
        <v>1</v>
      </c>
      <c r="CG475">
        <v>1</v>
      </c>
      <c r="CH475">
        <v>0</v>
      </c>
      <c r="CI475">
        <v>0</v>
      </c>
      <c r="CJ475">
        <v>1</v>
      </c>
      <c r="CK475">
        <v>1</v>
      </c>
      <c r="CL475">
        <v>0</v>
      </c>
      <c r="CM475">
        <v>0</v>
      </c>
      <c r="CN475" s="18">
        <v>0</v>
      </c>
      <c r="CO475">
        <v>0.123</v>
      </c>
      <c r="CP475">
        <v>226</v>
      </c>
      <c r="CQ475">
        <v>1</v>
      </c>
      <c r="CR475">
        <v>0</v>
      </c>
      <c r="CS475">
        <v>12</v>
      </c>
      <c r="CY475" s="34"/>
    </row>
    <row r="476" spans="1:103" x14ac:dyDescent="0.25">
      <c r="A476">
        <v>475</v>
      </c>
      <c r="B476">
        <v>31</v>
      </c>
      <c r="C476" s="25" t="s">
        <v>311</v>
      </c>
      <c r="D476" s="12">
        <v>2.9</v>
      </c>
      <c r="E476" s="14">
        <f t="shared" si="110"/>
        <v>1.5025906735751295</v>
      </c>
      <c r="F476" s="7">
        <v>1.93</v>
      </c>
      <c r="G476" s="7">
        <f t="shared" si="106"/>
        <v>1.3974093264248704</v>
      </c>
      <c r="H476" s="16">
        <f t="shared" si="107"/>
        <v>4.4025906735751299</v>
      </c>
      <c r="I476" s="11">
        <f t="shared" si="112"/>
        <v>4.4245520473194209E-2</v>
      </c>
      <c r="J476" s="33">
        <f t="shared" si="113"/>
        <v>2.2925140141551403E-2</v>
      </c>
      <c r="K476" s="33">
        <f t="shared" si="114"/>
        <v>43.620234983319385</v>
      </c>
      <c r="L476" s="8">
        <v>1</v>
      </c>
      <c r="M476" s="9">
        <v>0</v>
      </c>
      <c r="N476" s="8">
        <v>1</v>
      </c>
      <c r="O476" s="9">
        <v>0</v>
      </c>
      <c r="P476" s="9">
        <v>0</v>
      </c>
      <c r="Q476" s="9">
        <v>0</v>
      </c>
      <c r="R476" s="9">
        <v>0</v>
      </c>
      <c r="S476" s="8">
        <v>1906</v>
      </c>
      <c r="T476" s="9">
        <v>6</v>
      </c>
      <c r="U476" s="9">
        <f t="shared" si="108"/>
        <v>1899</v>
      </c>
      <c r="V476" s="9">
        <f t="shared" si="109"/>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v>0</v>
      </c>
      <c r="BF476" s="18">
        <v>0</v>
      </c>
      <c r="BG476">
        <v>0</v>
      </c>
      <c r="BH476">
        <v>1</v>
      </c>
      <c r="BI476" s="18">
        <v>0</v>
      </c>
      <c r="BJ476">
        <v>818</v>
      </c>
      <c r="BK476">
        <v>95</v>
      </c>
      <c r="BL476" s="25">
        <v>35</v>
      </c>
      <c r="BM476">
        <v>0</v>
      </c>
      <c r="BN476">
        <v>0</v>
      </c>
      <c r="BO476">
        <v>0</v>
      </c>
      <c r="BP476">
        <v>0</v>
      </c>
      <c r="BQ476">
        <v>0</v>
      </c>
      <c r="BR476">
        <v>1</v>
      </c>
      <c r="BS476">
        <v>0</v>
      </c>
      <c r="BT476" s="18">
        <v>0</v>
      </c>
      <c r="BU476">
        <v>0</v>
      </c>
      <c r="BV476">
        <v>0</v>
      </c>
      <c r="BW476">
        <v>1</v>
      </c>
      <c r="BX476" s="18">
        <v>0</v>
      </c>
      <c r="BY476">
        <v>0</v>
      </c>
      <c r="BZ476">
        <v>0</v>
      </c>
      <c r="CA476">
        <v>0</v>
      </c>
      <c r="CB476">
        <v>0</v>
      </c>
      <c r="CC476" s="18">
        <v>0</v>
      </c>
      <c r="CD476">
        <v>0</v>
      </c>
      <c r="CE476">
        <v>0</v>
      </c>
      <c r="CF476">
        <v>1</v>
      </c>
      <c r="CG476">
        <v>1</v>
      </c>
      <c r="CH476">
        <v>0</v>
      </c>
      <c r="CI476">
        <v>0</v>
      </c>
      <c r="CJ476">
        <v>1</v>
      </c>
      <c r="CK476">
        <v>1</v>
      </c>
      <c r="CL476">
        <v>0</v>
      </c>
      <c r="CM476">
        <v>0</v>
      </c>
      <c r="CN476" s="18">
        <v>0</v>
      </c>
      <c r="CO476">
        <v>0.123</v>
      </c>
      <c r="CP476">
        <v>226</v>
      </c>
      <c r="CQ476">
        <v>1</v>
      </c>
      <c r="CR476">
        <v>0</v>
      </c>
      <c r="CS476">
        <v>12</v>
      </c>
      <c r="CY476" s="34"/>
    </row>
    <row r="477" spans="1:103" x14ac:dyDescent="0.25">
      <c r="A477">
        <v>476</v>
      </c>
      <c r="B477">
        <v>31</v>
      </c>
      <c r="C477" s="25" t="s">
        <v>311</v>
      </c>
      <c r="D477" s="12">
        <v>2.6</v>
      </c>
      <c r="E477" s="14">
        <f t="shared" si="110"/>
        <v>1.8978102189781021</v>
      </c>
      <c r="F477" s="7">
        <v>1.37</v>
      </c>
      <c r="G477" s="7">
        <f t="shared" si="106"/>
        <v>0.702189781021898</v>
      </c>
      <c r="H477" s="16">
        <f t="shared" si="107"/>
        <v>4.4978102189781026</v>
      </c>
      <c r="I477" s="11">
        <f t="shared" si="112"/>
        <v>3.1422705174053607E-2</v>
      </c>
      <c r="J477" s="33">
        <f t="shared" si="113"/>
        <v>2.2936281148944235E-2</v>
      </c>
      <c r="K477" s="33">
        <f t="shared" si="114"/>
        <v>43.599047007933557</v>
      </c>
      <c r="L477" s="8">
        <v>1</v>
      </c>
      <c r="M477" s="9">
        <v>0</v>
      </c>
      <c r="N477" s="8">
        <v>1</v>
      </c>
      <c r="O477" s="9">
        <v>0</v>
      </c>
      <c r="P477" s="9">
        <v>0</v>
      </c>
      <c r="Q477" s="9">
        <v>0</v>
      </c>
      <c r="R477" s="9">
        <v>0</v>
      </c>
      <c r="S477" s="8">
        <v>1906</v>
      </c>
      <c r="T477" s="9">
        <v>6</v>
      </c>
      <c r="U477" s="9">
        <f t="shared" si="108"/>
        <v>1899</v>
      </c>
      <c r="V477" s="9">
        <f t="shared" si="109"/>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v>0</v>
      </c>
      <c r="BF477" s="18">
        <v>0</v>
      </c>
      <c r="BG477">
        <v>0</v>
      </c>
      <c r="BH477">
        <v>1</v>
      </c>
      <c r="BI477" s="18">
        <v>0</v>
      </c>
      <c r="BJ477">
        <v>818</v>
      </c>
      <c r="BK477">
        <v>95</v>
      </c>
      <c r="BL477" s="25">
        <v>35</v>
      </c>
      <c r="BM477">
        <v>0</v>
      </c>
      <c r="BN477">
        <v>0</v>
      </c>
      <c r="BO477">
        <v>0</v>
      </c>
      <c r="BP477">
        <v>0</v>
      </c>
      <c r="BQ477">
        <v>0</v>
      </c>
      <c r="BR477">
        <v>1</v>
      </c>
      <c r="BS477">
        <v>0</v>
      </c>
      <c r="BT477" s="18">
        <v>0</v>
      </c>
      <c r="BU477">
        <v>0</v>
      </c>
      <c r="BV477">
        <v>0</v>
      </c>
      <c r="BW477">
        <v>1</v>
      </c>
      <c r="BX477" s="18">
        <v>0</v>
      </c>
      <c r="BY477">
        <v>0</v>
      </c>
      <c r="BZ477">
        <v>0</v>
      </c>
      <c r="CA477">
        <v>0</v>
      </c>
      <c r="CB477">
        <v>0</v>
      </c>
      <c r="CC477" s="18">
        <v>0</v>
      </c>
      <c r="CD477">
        <v>0</v>
      </c>
      <c r="CE477">
        <v>0</v>
      </c>
      <c r="CF477">
        <v>1</v>
      </c>
      <c r="CG477">
        <v>1</v>
      </c>
      <c r="CH477">
        <v>0</v>
      </c>
      <c r="CI477">
        <v>0</v>
      </c>
      <c r="CJ477">
        <v>1</v>
      </c>
      <c r="CK477">
        <v>1</v>
      </c>
      <c r="CL477">
        <v>0</v>
      </c>
      <c r="CM477">
        <v>0</v>
      </c>
      <c r="CN477" s="18">
        <v>0</v>
      </c>
      <c r="CO477">
        <v>0.123</v>
      </c>
      <c r="CP477">
        <v>226</v>
      </c>
      <c r="CQ477">
        <v>1</v>
      </c>
      <c r="CR477">
        <v>0</v>
      </c>
      <c r="CS477">
        <v>12</v>
      </c>
      <c r="CY477" s="34"/>
    </row>
    <row r="478" spans="1:103" x14ac:dyDescent="0.25">
      <c r="A478">
        <v>477</v>
      </c>
      <c r="B478">
        <v>31</v>
      </c>
      <c r="C478" s="25" t="s">
        <v>311</v>
      </c>
      <c r="D478" s="12">
        <v>-1</v>
      </c>
      <c r="E478" s="14">
        <f t="shared" si="110"/>
        <v>3.8461538461538458</v>
      </c>
      <c r="F478" s="7">
        <v>-0.26</v>
      </c>
      <c r="G478" s="7">
        <f t="shared" si="106"/>
        <v>-4.8461538461538458</v>
      </c>
      <c r="H478" s="16">
        <f t="shared" si="107"/>
        <v>2.8461538461538458</v>
      </c>
      <c r="I478" s="11">
        <f t="shared" si="112"/>
        <v>-5.966273195313905E-3</v>
      </c>
      <c r="J478" s="33">
        <f t="shared" si="113"/>
        <v>2.294720459736117E-2</v>
      </c>
      <c r="K478" s="33">
        <f t="shared" si="114"/>
        <v>43.578292761419654</v>
      </c>
      <c r="L478" s="8">
        <v>1</v>
      </c>
      <c r="M478" s="9">
        <v>0</v>
      </c>
      <c r="N478" s="8">
        <v>1</v>
      </c>
      <c r="O478" s="9">
        <v>0</v>
      </c>
      <c r="P478" s="9">
        <v>0</v>
      </c>
      <c r="Q478" s="9">
        <v>0</v>
      </c>
      <c r="R478" s="9">
        <v>0</v>
      </c>
      <c r="S478" s="8">
        <v>1906</v>
      </c>
      <c r="T478" s="9">
        <v>6</v>
      </c>
      <c r="U478" s="9">
        <f t="shared" si="108"/>
        <v>1899</v>
      </c>
      <c r="V478" s="9">
        <f t="shared" si="109"/>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v>0</v>
      </c>
      <c r="BF478" s="18">
        <v>0</v>
      </c>
      <c r="BG478">
        <v>0</v>
      </c>
      <c r="BH478">
        <v>1</v>
      </c>
      <c r="BI478" s="18">
        <v>0</v>
      </c>
      <c r="BJ478">
        <v>818</v>
      </c>
      <c r="BK478">
        <v>95</v>
      </c>
      <c r="BL478" s="25">
        <v>35</v>
      </c>
      <c r="BM478">
        <v>0</v>
      </c>
      <c r="BN478">
        <v>0</v>
      </c>
      <c r="BO478">
        <v>0</v>
      </c>
      <c r="BP478">
        <v>0</v>
      </c>
      <c r="BQ478">
        <v>0</v>
      </c>
      <c r="BR478">
        <v>1</v>
      </c>
      <c r="BS478">
        <v>0</v>
      </c>
      <c r="BT478" s="18">
        <v>0</v>
      </c>
      <c r="BU478">
        <v>0</v>
      </c>
      <c r="BV478">
        <v>0</v>
      </c>
      <c r="BW478">
        <v>1</v>
      </c>
      <c r="BX478" s="18">
        <v>0</v>
      </c>
      <c r="BY478">
        <v>0</v>
      </c>
      <c r="BZ478">
        <v>0</v>
      </c>
      <c r="CA478">
        <v>0</v>
      </c>
      <c r="CB478">
        <v>0</v>
      </c>
      <c r="CC478" s="18">
        <v>0</v>
      </c>
      <c r="CD478">
        <v>0</v>
      </c>
      <c r="CE478">
        <v>0</v>
      </c>
      <c r="CF478">
        <v>1</v>
      </c>
      <c r="CG478">
        <v>1</v>
      </c>
      <c r="CH478">
        <v>0</v>
      </c>
      <c r="CI478">
        <v>0</v>
      </c>
      <c r="CJ478">
        <v>1</v>
      </c>
      <c r="CK478">
        <v>1</v>
      </c>
      <c r="CL478">
        <v>0</v>
      </c>
      <c r="CM478">
        <v>0</v>
      </c>
      <c r="CN478" s="18">
        <v>0</v>
      </c>
      <c r="CO478">
        <v>0.123</v>
      </c>
      <c r="CP478">
        <v>226</v>
      </c>
      <c r="CQ478">
        <v>1</v>
      </c>
      <c r="CR478">
        <v>0</v>
      </c>
      <c r="CS478">
        <v>12</v>
      </c>
      <c r="CY478" s="34"/>
    </row>
    <row r="479" spans="1:103" x14ac:dyDescent="0.25">
      <c r="A479">
        <v>478</v>
      </c>
      <c r="B479">
        <v>31</v>
      </c>
      <c r="C479" s="25" t="s">
        <v>311</v>
      </c>
      <c r="D479" s="12">
        <v>3.9</v>
      </c>
      <c r="E479" s="14">
        <f t="shared" si="110"/>
        <v>1.9509754877438719</v>
      </c>
      <c r="F479" s="7">
        <v>1.9990000000000001</v>
      </c>
      <c r="G479" s="7">
        <f t="shared" si="106"/>
        <v>1.949024512256128</v>
      </c>
      <c r="H479" s="16">
        <f t="shared" si="107"/>
        <v>5.850975487743872</v>
      </c>
      <c r="I479" s="11">
        <f t="shared" si="112"/>
        <v>6.2621945271200061E-2</v>
      </c>
      <c r="J479" s="33">
        <f t="shared" si="113"/>
        <v>3.132663595357682E-2</v>
      </c>
      <c r="K479" s="33">
        <f t="shared" si="114"/>
        <v>31.921716761477601</v>
      </c>
      <c r="L479" s="8">
        <v>1</v>
      </c>
      <c r="M479" s="9">
        <v>0</v>
      </c>
      <c r="N479" s="8">
        <v>1</v>
      </c>
      <c r="O479" s="9">
        <v>0</v>
      </c>
      <c r="P479" s="9">
        <v>0</v>
      </c>
      <c r="Q479" s="9">
        <v>0</v>
      </c>
      <c r="R479" s="9">
        <v>0</v>
      </c>
      <c r="S479" s="8">
        <v>1023</v>
      </c>
      <c r="T479" s="9">
        <v>7</v>
      </c>
      <c r="U479" s="9">
        <f t="shared" si="108"/>
        <v>1015</v>
      </c>
      <c r="V479" s="9">
        <f t="shared" si="109"/>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v>0</v>
      </c>
      <c r="BF479" s="18">
        <v>0</v>
      </c>
      <c r="BG479">
        <v>0</v>
      </c>
      <c r="BH479">
        <v>1</v>
      </c>
      <c r="BI479" s="18">
        <v>0</v>
      </c>
      <c r="BJ479">
        <v>818</v>
      </c>
      <c r="BK479">
        <v>95</v>
      </c>
      <c r="BL479" s="25">
        <v>35</v>
      </c>
      <c r="BM479">
        <v>0</v>
      </c>
      <c r="BN479">
        <v>0</v>
      </c>
      <c r="BO479">
        <v>0</v>
      </c>
      <c r="BP479">
        <v>0</v>
      </c>
      <c r="BQ479">
        <v>0</v>
      </c>
      <c r="BR479">
        <v>1</v>
      </c>
      <c r="BS479">
        <v>0</v>
      </c>
      <c r="BT479" s="18">
        <v>0</v>
      </c>
      <c r="BU479">
        <v>0</v>
      </c>
      <c r="BV479">
        <v>0</v>
      </c>
      <c r="BW479">
        <v>1</v>
      </c>
      <c r="BX479" s="18">
        <v>0</v>
      </c>
      <c r="BY479">
        <v>0</v>
      </c>
      <c r="BZ479">
        <v>0</v>
      </c>
      <c r="CA479">
        <v>0</v>
      </c>
      <c r="CB479">
        <v>0</v>
      </c>
      <c r="CC479" s="18">
        <v>0</v>
      </c>
      <c r="CD479">
        <v>0</v>
      </c>
      <c r="CE479">
        <v>0</v>
      </c>
      <c r="CF479">
        <v>1</v>
      </c>
      <c r="CG479">
        <v>1</v>
      </c>
      <c r="CH479">
        <v>0</v>
      </c>
      <c r="CI479">
        <v>0</v>
      </c>
      <c r="CJ479">
        <v>1</v>
      </c>
      <c r="CK479">
        <v>1</v>
      </c>
      <c r="CL479">
        <v>0</v>
      </c>
      <c r="CM479">
        <v>0</v>
      </c>
      <c r="CN479" s="18">
        <v>0</v>
      </c>
      <c r="CO479">
        <v>0.123</v>
      </c>
      <c r="CP479">
        <v>226</v>
      </c>
      <c r="CQ479">
        <v>1</v>
      </c>
      <c r="CR479">
        <v>0</v>
      </c>
      <c r="CS479">
        <v>12</v>
      </c>
      <c r="CY479" s="34"/>
    </row>
    <row r="480" spans="1:103" x14ac:dyDescent="0.25">
      <c r="A480">
        <v>479</v>
      </c>
      <c r="B480">
        <v>31</v>
      </c>
      <c r="C480" s="25" t="s">
        <v>311</v>
      </c>
      <c r="D480" s="12">
        <v>7.4</v>
      </c>
      <c r="E480" s="14">
        <f t="shared" si="110"/>
        <v>1.1297709923664123</v>
      </c>
      <c r="F480" s="7">
        <v>6.55</v>
      </c>
      <c r="G480" s="7">
        <f t="shared" si="106"/>
        <v>6.2702290076335885</v>
      </c>
      <c r="H480" s="16">
        <f t="shared" si="107"/>
        <v>8.5297709923664122</v>
      </c>
      <c r="I480" s="11">
        <f t="shared" si="112"/>
        <v>0.20138099312014243</v>
      </c>
      <c r="J480" s="33">
        <f t="shared" si="113"/>
        <v>3.0745189789334722E-2</v>
      </c>
      <c r="K480" s="33">
        <f t="shared" si="114"/>
        <v>32.52541314111167</v>
      </c>
      <c r="L480" s="8">
        <v>1</v>
      </c>
      <c r="M480" s="9">
        <v>0</v>
      </c>
      <c r="N480" s="8">
        <v>1</v>
      </c>
      <c r="O480" s="9">
        <v>0</v>
      </c>
      <c r="P480" s="9">
        <v>0</v>
      </c>
      <c r="Q480" s="9">
        <v>0</v>
      </c>
      <c r="R480" s="9">
        <v>0</v>
      </c>
      <c r="S480" s="8">
        <v>1023</v>
      </c>
      <c r="T480" s="9">
        <v>7</v>
      </c>
      <c r="U480" s="9">
        <f t="shared" si="108"/>
        <v>1015</v>
      </c>
      <c r="V480" s="9">
        <f t="shared" si="109"/>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v>0</v>
      </c>
      <c r="BF480" s="18">
        <v>0</v>
      </c>
      <c r="BG480">
        <v>0</v>
      </c>
      <c r="BH480">
        <v>1</v>
      </c>
      <c r="BI480" s="18">
        <v>0</v>
      </c>
      <c r="BJ480">
        <v>818</v>
      </c>
      <c r="BK480">
        <v>95</v>
      </c>
      <c r="BL480" s="25">
        <v>35</v>
      </c>
      <c r="BM480">
        <v>0</v>
      </c>
      <c r="BN480">
        <v>0</v>
      </c>
      <c r="BO480">
        <v>0</v>
      </c>
      <c r="BP480">
        <v>0</v>
      </c>
      <c r="BQ480">
        <v>0</v>
      </c>
      <c r="BR480">
        <v>1</v>
      </c>
      <c r="BS480">
        <v>0</v>
      </c>
      <c r="BT480" s="18">
        <v>0</v>
      </c>
      <c r="BU480">
        <v>0</v>
      </c>
      <c r="BV480">
        <v>0</v>
      </c>
      <c r="BW480">
        <v>1</v>
      </c>
      <c r="BX480" s="18">
        <v>0</v>
      </c>
      <c r="BY480">
        <v>0</v>
      </c>
      <c r="BZ480">
        <v>0</v>
      </c>
      <c r="CA480">
        <v>0</v>
      </c>
      <c r="CB480">
        <v>0</v>
      </c>
      <c r="CC480" s="18">
        <v>0</v>
      </c>
      <c r="CD480">
        <v>0</v>
      </c>
      <c r="CE480">
        <v>0</v>
      </c>
      <c r="CF480">
        <v>1</v>
      </c>
      <c r="CG480">
        <v>1</v>
      </c>
      <c r="CH480">
        <v>0</v>
      </c>
      <c r="CI480">
        <v>0</v>
      </c>
      <c r="CJ480">
        <v>1</v>
      </c>
      <c r="CK480">
        <v>1</v>
      </c>
      <c r="CL480">
        <v>0</v>
      </c>
      <c r="CM480">
        <v>0</v>
      </c>
      <c r="CN480" s="18">
        <v>0</v>
      </c>
      <c r="CO480">
        <v>0.123</v>
      </c>
      <c r="CP480">
        <v>226</v>
      </c>
      <c r="CQ480">
        <v>1</v>
      </c>
      <c r="CR480">
        <v>0</v>
      </c>
      <c r="CS480">
        <v>12</v>
      </c>
      <c r="CY480" s="34"/>
    </row>
    <row r="481" spans="1:103" x14ac:dyDescent="0.25">
      <c r="A481">
        <v>480</v>
      </c>
      <c r="B481">
        <v>31</v>
      </c>
      <c r="C481" s="25" t="s">
        <v>311</v>
      </c>
      <c r="D481" s="12">
        <v>6</v>
      </c>
      <c r="E481" s="14">
        <f t="shared" si="110"/>
        <v>3.333333333333333</v>
      </c>
      <c r="F481" s="7">
        <v>1.8</v>
      </c>
      <c r="G481" s="7">
        <f t="shared" si="106"/>
        <v>2.666666666666667</v>
      </c>
      <c r="H481" s="16">
        <f t="shared" si="107"/>
        <v>9.3333333333333321</v>
      </c>
      <c r="I481" s="11">
        <f t="shared" si="112"/>
        <v>6.9683742661882223E-2</v>
      </c>
      <c r="J481" s="33">
        <f t="shared" si="113"/>
        <v>3.8713190367712341E-2</v>
      </c>
      <c r="K481" s="33">
        <f t="shared" si="114"/>
        <v>25.830989140952386</v>
      </c>
      <c r="L481" s="8">
        <v>1</v>
      </c>
      <c r="M481" s="9">
        <v>0</v>
      </c>
      <c r="N481" s="8">
        <v>1</v>
      </c>
      <c r="O481" s="9">
        <v>0</v>
      </c>
      <c r="P481" s="9">
        <v>0</v>
      </c>
      <c r="Q481" s="9">
        <v>0</v>
      </c>
      <c r="R481" s="9">
        <v>0</v>
      </c>
      <c r="S481" s="8">
        <v>672</v>
      </c>
      <c r="T481" s="9">
        <v>7</v>
      </c>
      <c r="U481" s="9">
        <f t="shared" si="108"/>
        <v>664</v>
      </c>
      <c r="V481" s="9">
        <f t="shared" si="109"/>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v>0</v>
      </c>
      <c r="BF481" s="18">
        <v>0</v>
      </c>
      <c r="BG481">
        <v>0</v>
      </c>
      <c r="BH481">
        <v>1</v>
      </c>
      <c r="BI481" s="18">
        <v>0</v>
      </c>
      <c r="BJ481">
        <v>818</v>
      </c>
      <c r="BK481">
        <v>95</v>
      </c>
      <c r="BL481" s="25">
        <v>35</v>
      </c>
      <c r="BM481">
        <v>0</v>
      </c>
      <c r="BN481">
        <v>0</v>
      </c>
      <c r="BO481">
        <v>0</v>
      </c>
      <c r="BP481">
        <v>0</v>
      </c>
      <c r="BQ481">
        <v>0</v>
      </c>
      <c r="BR481">
        <v>1</v>
      </c>
      <c r="BS481">
        <v>0</v>
      </c>
      <c r="BT481" s="18">
        <v>0</v>
      </c>
      <c r="BU481">
        <v>0</v>
      </c>
      <c r="BV481">
        <v>0</v>
      </c>
      <c r="BW481">
        <v>1</v>
      </c>
      <c r="BX481" s="18">
        <v>0</v>
      </c>
      <c r="BY481">
        <v>0</v>
      </c>
      <c r="BZ481">
        <v>0</v>
      </c>
      <c r="CA481">
        <v>0</v>
      </c>
      <c r="CB481">
        <v>0</v>
      </c>
      <c r="CC481" s="18">
        <v>0</v>
      </c>
      <c r="CD481">
        <v>0</v>
      </c>
      <c r="CE481">
        <v>0</v>
      </c>
      <c r="CF481">
        <v>1</v>
      </c>
      <c r="CG481">
        <v>1</v>
      </c>
      <c r="CH481">
        <v>0</v>
      </c>
      <c r="CI481">
        <v>0</v>
      </c>
      <c r="CJ481">
        <v>1</v>
      </c>
      <c r="CK481">
        <v>1</v>
      </c>
      <c r="CL481">
        <v>0</v>
      </c>
      <c r="CM481">
        <v>0</v>
      </c>
      <c r="CN481" s="18">
        <v>0</v>
      </c>
      <c r="CO481">
        <v>0.123</v>
      </c>
      <c r="CP481">
        <v>226</v>
      </c>
      <c r="CQ481">
        <v>1</v>
      </c>
      <c r="CR481">
        <v>0</v>
      </c>
      <c r="CS481">
        <v>12</v>
      </c>
      <c r="CY481" s="34"/>
    </row>
    <row r="482" spans="1:103" s="51" customFormat="1" x14ac:dyDescent="0.25">
      <c r="A482" s="51">
        <v>481</v>
      </c>
      <c r="B482" s="51">
        <v>31</v>
      </c>
      <c r="C482" s="52" t="s">
        <v>311</v>
      </c>
      <c r="D482" s="53">
        <v>11.5</v>
      </c>
      <c r="E482" s="54">
        <f t="shared" si="110"/>
        <v>1.4631043256997456</v>
      </c>
      <c r="F482" s="55">
        <v>7.86</v>
      </c>
      <c r="G482" s="55">
        <f t="shared" si="106"/>
        <v>10.036895674300254</v>
      </c>
      <c r="H482" s="56">
        <f t="shared" si="107"/>
        <v>12.963104325699746</v>
      </c>
      <c r="I482" s="11">
        <f t="shared" si="112"/>
        <v>0.29175624950447748</v>
      </c>
      <c r="J482" s="33">
        <f t="shared" si="113"/>
        <v>3.7119115713037845E-2</v>
      </c>
      <c r="K482" s="33">
        <f t="shared" si="114"/>
        <v>26.940296954562324</v>
      </c>
      <c r="L482" s="59">
        <v>1</v>
      </c>
      <c r="M482" s="60">
        <v>0</v>
      </c>
      <c r="N482" s="59">
        <v>1</v>
      </c>
      <c r="O482" s="60">
        <v>0</v>
      </c>
      <c r="P482" s="60">
        <v>0</v>
      </c>
      <c r="Q482" s="60">
        <v>0</v>
      </c>
      <c r="R482" s="60">
        <v>0</v>
      </c>
      <c r="S482" s="59">
        <v>672</v>
      </c>
      <c r="T482" s="60">
        <v>7</v>
      </c>
      <c r="U482" s="60">
        <f t="shared" si="108"/>
        <v>664</v>
      </c>
      <c r="V482" s="60">
        <f t="shared" si="109"/>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v>0</v>
      </c>
      <c r="BF482" s="65">
        <v>0</v>
      </c>
      <c r="BG482">
        <v>0</v>
      </c>
      <c r="BH482">
        <v>1</v>
      </c>
      <c r="BI482" s="65">
        <v>0</v>
      </c>
      <c r="BJ482">
        <v>818</v>
      </c>
      <c r="BK482">
        <v>95</v>
      </c>
      <c r="BL482" s="52">
        <v>35</v>
      </c>
      <c r="BM482" s="51">
        <v>0</v>
      </c>
      <c r="BN482" s="51">
        <v>0</v>
      </c>
      <c r="BO482" s="51">
        <v>0</v>
      </c>
      <c r="BP482" s="51">
        <v>0</v>
      </c>
      <c r="BQ482" s="51">
        <v>0</v>
      </c>
      <c r="BR482" s="51">
        <v>1</v>
      </c>
      <c r="BS482" s="51">
        <v>0</v>
      </c>
      <c r="BT482" s="65">
        <v>0</v>
      </c>
      <c r="BU482" s="51">
        <v>0</v>
      </c>
      <c r="BV482" s="51">
        <v>0</v>
      </c>
      <c r="BW482" s="51">
        <v>1</v>
      </c>
      <c r="BX482" s="65">
        <v>0</v>
      </c>
      <c r="BY482" s="51">
        <v>0</v>
      </c>
      <c r="BZ482" s="51">
        <v>0</v>
      </c>
      <c r="CA482" s="51">
        <v>0</v>
      </c>
      <c r="CB482" s="51">
        <v>0</v>
      </c>
      <c r="CC482" s="65">
        <v>0</v>
      </c>
      <c r="CD482" s="51">
        <v>0</v>
      </c>
      <c r="CE482" s="51">
        <v>0</v>
      </c>
      <c r="CF482" s="51">
        <v>1</v>
      </c>
      <c r="CG482" s="51">
        <v>1</v>
      </c>
      <c r="CH482" s="51">
        <v>0</v>
      </c>
      <c r="CI482" s="51">
        <v>0</v>
      </c>
      <c r="CJ482" s="51">
        <v>1</v>
      </c>
      <c r="CK482" s="51">
        <v>1</v>
      </c>
      <c r="CL482" s="51">
        <v>0</v>
      </c>
      <c r="CM482" s="51">
        <v>0</v>
      </c>
      <c r="CN482" s="65">
        <v>0</v>
      </c>
      <c r="CO482">
        <v>0.123</v>
      </c>
      <c r="CP482">
        <v>226</v>
      </c>
      <c r="CQ482">
        <v>1</v>
      </c>
      <c r="CR482">
        <v>0</v>
      </c>
      <c r="CS482">
        <v>12</v>
      </c>
      <c r="CT482" s="67"/>
      <c r="CY482" s="67"/>
    </row>
    <row r="483" spans="1:103" x14ac:dyDescent="0.25">
      <c r="A483">
        <v>482</v>
      </c>
      <c r="B483">
        <v>32</v>
      </c>
      <c r="C483" s="25" t="s">
        <v>313</v>
      </c>
      <c r="D483" s="12">
        <v>6.62</v>
      </c>
      <c r="E483" s="14">
        <v>0.39</v>
      </c>
      <c r="F483" s="7">
        <f t="shared" ref="F483:F488" si="115">D483/E483</f>
        <v>16.974358974358974</v>
      </c>
      <c r="G483" s="7">
        <f t="shared" si="106"/>
        <v>6.23</v>
      </c>
      <c r="H483" s="16">
        <f t="shared" si="107"/>
        <v>7.01</v>
      </c>
      <c r="I483" s="11">
        <f t="shared" si="112"/>
        <v>0.7442826674266283</v>
      </c>
      <c r="J483" s="33">
        <f t="shared" si="113"/>
        <v>4.3847468322716771E-2</v>
      </c>
      <c r="K483" s="33">
        <f t="shared" si="114"/>
        <v>22.806333826163318</v>
      </c>
      <c r="L483" s="8">
        <v>1</v>
      </c>
      <c r="M483" s="9">
        <v>0</v>
      </c>
      <c r="N483" s="8">
        <v>1</v>
      </c>
      <c r="O483" s="9">
        <v>0</v>
      </c>
      <c r="P483" s="9">
        <v>0</v>
      </c>
      <c r="Q483" s="9">
        <v>0</v>
      </c>
      <c r="R483" s="9">
        <v>0</v>
      </c>
      <c r="S483" s="8">
        <v>237</v>
      </c>
      <c r="T483" s="9">
        <v>4</v>
      </c>
      <c r="U483" s="9">
        <f t="shared" si="108"/>
        <v>232</v>
      </c>
      <c r="V483" s="9">
        <f t="shared" si="109"/>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16">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v>0</v>
      </c>
      <c r="BF483" s="18">
        <v>0</v>
      </c>
      <c r="BG483">
        <v>1</v>
      </c>
      <c r="BH483">
        <v>0</v>
      </c>
      <c r="BI483" s="18">
        <v>0</v>
      </c>
      <c r="BJ483">
        <v>12659</v>
      </c>
      <c r="BK483">
        <v>13107</v>
      </c>
      <c r="BL483" s="25">
        <v>40.193300000000001</v>
      </c>
      <c r="BM483">
        <v>1</v>
      </c>
      <c r="BN483">
        <v>0</v>
      </c>
      <c r="BO483">
        <v>0</v>
      </c>
      <c r="BP483">
        <v>0</v>
      </c>
      <c r="BQ483">
        <v>0</v>
      </c>
      <c r="BR483">
        <v>0</v>
      </c>
      <c r="BS483">
        <v>0</v>
      </c>
      <c r="BT483" s="18">
        <v>0</v>
      </c>
      <c r="BU483">
        <v>0</v>
      </c>
      <c r="BV483">
        <v>0</v>
      </c>
      <c r="BW483">
        <v>1</v>
      </c>
      <c r="BX483" s="18">
        <v>0</v>
      </c>
      <c r="BY483">
        <v>0</v>
      </c>
      <c r="BZ483">
        <v>0</v>
      </c>
      <c r="CA483">
        <v>0</v>
      </c>
      <c r="CB483">
        <v>0</v>
      </c>
      <c r="CC483" s="18">
        <v>0</v>
      </c>
      <c r="CD483">
        <v>0</v>
      </c>
      <c r="CE483">
        <v>0</v>
      </c>
      <c r="CF483">
        <v>1</v>
      </c>
      <c r="CG483">
        <v>1</v>
      </c>
      <c r="CH483">
        <v>0</v>
      </c>
      <c r="CI483">
        <v>0</v>
      </c>
      <c r="CJ483">
        <v>1</v>
      </c>
      <c r="CK483">
        <v>0</v>
      </c>
      <c r="CL483">
        <v>0</v>
      </c>
      <c r="CM483">
        <v>0</v>
      </c>
      <c r="CN483" s="18">
        <v>0</v>
      </c>
      <c r="CO483">
        <v>1.35</v>
      </c>
      <c r="CP483">
        <v>0</v>
      </c>
      <c r="CQ483">
        <v>1</v>
      </c>
      <c r="CR483">
        <v>0</v>
      </c>
      <c r="CS483">
        <v>25</v>
      </c>
      <c r="CY483" s="34"/>
    </row>
    <row r="484" spans="1:103" x14ac:dyDescent="0.25">
      <c r="A484">
        <v>483</v>
      </c>
      <c r="B484">
        <v>32</v>
      </c>
      <c r="C484" s="25" t="s">
        <v>313</v>
      </c>
      <c r="D484" s="12">
        <v>9.9700000000000006</v>
      </c>
      <c r="E484" s="14">
        <v>1.1100000000000001</v>
      </c>
      <c r="F484" s="7">
        <f t="shared" si="115"/>
        <v>8.9819819819819813</v>
      </c>
      <c r="G484" s="7">
        <f t="shared" si="106"/>
        <v>8.8600000000000012</v>
      </c>
      <c r="H484" s="16">
        <f t="shared" si="107"/>
        <v>11.08</v>
      </c>
      <c r="I484" s="11">
        <f t="shared" si="112"/>
        <v>0.51040909554348857</v>
      </c>
      <c r="J484" s="33">
        <f t="shared" si="113"/>
        <v>5.6825887267128616E-2</v>
      </c>
      <c r="K484" s="33">
        <f t="shared" si="114"/>
        <v>17.597613483783789</v>
      </c>
      <c r="L484" s="8">
        <v>1</v>
      </c>
      <c r="M484" s="9">
        <v>0</v>
      </c>
      <c r="N484" s="8">
        <v>1</v>
      </c>
      <c r="O484" s="9">
        <v>0</v>
      </c>
      <c r="P484" s="9">
        <v>0</v>
      </c>
      <c r="Q484" s="9">
        <v>0</v>
      </c>
      <c r="R484" s="9">
        <v>0</v>
      </c>
      <c r="S484" s="8">
        <v>237</v>
      </c>
      <c r="T484" s="9">
        <v>7</v>
      </c>
      <c r="U484" s="9">
        <f t="shared" si="108"/>
        <v>229</v>
      </c>
      <c r="V484" s="9">
        <f t="shared" si="109"/>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16"/>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v>0</v>
      </c>
      <c r="BF484" s="18">
        <v>0</v>
      </c>
      <c r="BG484">
        <v>1</v>
      </c>
      <c r="BH484">
        <v>0</v>
      </c>
      <c r="BI484" s="18">
        <v>0</v>
      </c>
      <c r="BJ484">
        <v>12659</v>
      </c>
      <c r="BK484">
        <v>13107</v>
      </c>
      <c r="BL484" s="25">
        <v>40.193300000000001</v>
      </c>
      <c r="BM484">
        <v>0</v>
      </c>
      <c r="BN484">
        <v>0</v>
      </c>
      <c r="BO484">
        <v>0</v>
      </c>
      <c r="BP484">
        <v>0</v>
      </c>
      <c r="BQ484">
        <v>1</v>
      </c>
      <c r="BR484">
        <v>0</v>
      </c>
      <c r="BS484">
        <v>0</v>
      </c>
      <c r="BT484" s="18">
        <v>0</v>
      </c>
      <c r="BU484">
        <v>1</v>
      </c>
      <c r="BV484">
        <v>0</v>
      </c>
      <c r="BW484">
        <v>0</v>
      </c>
      <c r="BX484" s="18">
        <v>0</v>
      </c>
      <c r="BY484">
        <v>0</v>
      </c>
      <c r="BZ484">
        <v>0</v>
      </c>
      <c r="CA484">
        <v>0</v>
      </c>
      <c r="CB484">
        <v>1</v>
      </c>
      <c r="CC484" s="18">
        <v>0</v>
      </c>
      <c r="CD484">
        <v>0</v>
      </c>
      <c r="CE484">
        <v>0</v>
      </c>
      <c r="CF484">
        <v>1</v>
      </c>
      <c r="CG484">
        <v>1</v>
      </c>
      <c r="CH484">
        <v>0</v>
      </c>
      <c r="CI484">
        <v>0</v>
      </c>
      <c r="CJ484">
        <v>1</v>
      </c>
      <c r="CK484">
        <v>0</v>
      </c>
      <c r="CL484">
        <v>0</v>
      </c>
      <c r="CM484">
        <v>0</v>
      </c>
      <c r="CN484" s="18">
        <v>0</v>
      </c>
      <c r="CO484">
        <v>1.35</v>
      </c>
      <c r="CP484">
        <v>0</v>
      </c>
      <c r="CQ484">
        <v>1</v>
      </c>
      <c r="CR484">
        <v>0</v>
      </c>
      <c r="CS484">
        <v>25</v>
      </c>
      <c r="CY484" s="34"/>
    </row>
    <row r="485" spans="1:103" x14ac:dyDescent="0.25">
      <c r="A485">
        <v>484</v>
      </c>
      <c r="B485">
        <v>32</v>
      </c>
      <c r="C485" s="25" t="s">
        <v>313</v>
      </c>
      <c r="D485" s="12">
        <v>5.72</v>
      </c>
      <c r="E485" s="14">
        <v>0.67</v>
      </c>
      <c r="F485" s="7">
        <f t="shared" si="115"/>
        <v>8.5373134328358198</v>
      </c>
      <c r="G485" s="7">
        <f t="shared" si="106"/>
        <v>5.05</v>
      </c>
      <c r="H485" s="16">
        <f t="shared" si="107"/>
        <v>6.39</v>
      </c>
      <c r="I485" s="11">
        <f t="shared" si="112"/>
        <v>0.49217600558469293</v>
      </c>
      <c r="J485" s="33">
        <f t="shared" si="113"/>
        <v>5.7649986668137115E-2</v>
      </c>
      <c r="K485" s="33">
        <f t="shared" si="114"/>
        <v>17.346057784132938</v>
      </c>
      <c r="L485" s="8">
        <v>1</v>
      </c>
      <c r="M485" s="9">
        <v>0</v>
      </c>
      <c r="N485" s="8">
        <v>1</v>
      </c>
      <c r="O485" s="9">
        <v>0</v>
      </c>
      <c r="P485" s="9">
        <v>0</v>
      </c>
      <c r="Q485" s="9">
        <v>0</v>
      </c>
      <c r="R485" s="9">
        <v>0</v>
      </c>
      <c r="S485" s="8">
        <v>237</v>
      </c>
      <c r="T485" s="9">
        <v>8</v>
      </c>
      <c r="U485" s="9">
        <f t="shared" si="108"/>
        <v>228</v>
      </c>
      <c r="V485" s="9">
        <f t="shared" si="109"/>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16"/>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v>0</v>
      </c>
      <c r="BF485" s="18">
        <v>0</v>
      </c>
      <c r="BG485">
        <v>1</v>
      </c>
      <c r="BH485">
        <v>0</v>
      </c>
      <c r="BI485" s="18">
        <v>0</v>
      </c>
      <c r="BJ485">
        <v>12659</v>
      </c>
      <c r="BK485">
        <v>13107</v>
      </c>
      <c r="BL485" s="25">
        <v>40.193300000000001</v>
      </c>
      <c r="BM485">
        <v>0</v>
      </c>
      <c r="BN485">
        <v>0</v>
      </c>
      <c r="BO485">
        <v>0</v>
      </c>
      <c r="BP485">
        <v>0</v>
      </c>
      <c r="BQ485">
        <v>0</v>
      </c>
      <c r="BR485">
        <v>0</v>
      </c>
      <c r="BS485">
        <v>1</v>
      </c>
      <c r="BT485" s="18">
        <v>0</v>
      </c>
      <c r="BU485">
        <v>0</v>
      </c>
      <c r="BV485">
        <v>1</v>
      </c>
      <c r="BW485">
        <v>0</v>
      </c>
      <c r="BX485" s="18">
        <v>0</v>
      </c>
      <c r="BY485">
        <v>0</v>
      </c>
      <c r="BZ485">
        <v>0</v>
      </c>
      <c r="CA485">
        <v>0</v>
      </c>
      <c r="CB485">
        <v>1</v>
      </c>
      <c r="CC485" s="18">
        <v>0</v>
      </c>
      <c r="CD485">
        <v>0</v>
      </c>
      <c r="CE485">
        <v>0</v>
      </c>
      <c r="CF485">
        <v>1</v>
      </c>
      <c r="CG485">
        <v>1</v>
      </c>
      <c r="CH485">
        <v>0</v>
      </c>
      <c r="CI485">
        <v>0</v>
      </c>
      <c r="CJ485">
        <v>1</v>
      </c>
      <c r="CK485">
        <v>0</v>
      </c>
      <c r="CL485">
        <v>0</v>
      </c>
      <c r="CM485">
        <v>0</v>
      </c>
      <c r="CN485" s="18">
        <v>0</v>
      </c>
      <c r="CO485">
        <v>1.35</v>
      </c>
      <c r="CP485">
        <v>0</v>
      </c>
      <c r="CQ485">
        <v>1</v>
      </c>
      <c r="CR485">
        <v>0</v>
      </c>
      <c r="CS485">
        <v>25</v>
      </c>
      <c r="CY485" s="34"/>
    </row>
    <row r="486" spans="1:103" x14ac:dyDescent="0.25">
      <c r="A486">
        <v>485</v>
      </c>
      <c r="B486">
        <v>32</v>
      </c>
      <c r="C486" s="25" t="s">
        <v>313</v>
      </c>
      <c r="D486" s="12">
        <v>5.28</v>
      </c>
      <c r="E486" s="14">
        <v>0.7</v>
      </c>
      <c r="F486" s="7">
        <f t="shared" si="115"/>
        <v>7.5428571428571436</v>
      </c>
      <c r="G486" s="7">
        <f t="shared" si="106"/>
        <v>4.58</v>
      </c>
      <c r="H486" s="16">
        <f t="shared" si="107"/>
        <v>5.98</v>
      </c>
      <c r="I486" s="11">
        <f t="shared" si="112"/>
        <v>0.44688286452391052</v>
      </c>
      <c r="J486" s="33">
        <f t="shared" si="113"/>
        <v>5.924583431188208E-2</v>
      </c>
      <c r="K486" s="33">
        <f t="shared" si="114"/>
        <v>16.87882382980375</v>
      </c>
      <c r="L486" s="8">
        <v>1</v>
      </c>
      <c r="M486" s="9">
        <v>0</v>
      </c>
      <c r="N486" s="8">
        <v>1</v>
      </c>
      <c r="O486" s="9">
        <v>0</v>
      </c>
      <c r="P486" s="9">
        <v>0</v>
      </c>
      <c r="Q486" s="9">
        <v>0</v>
      </c>
      <c r="R486" s="9">
        <v>0</v>
      </c>
      <c r="S486" s="8">
        <v>237</v>
      </c>
      <c r="T486" s="9">
        <v>8</v>
      </c>
      <c r="U486" s="9">
        <f t="shared" si="108"/>
        <v>228</v>
      </c>
      <c r="V486" s="9">
        <f t="shared" si="109"/>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16"/>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v>0</v>
      </c>
      <c r="BF486" s="18">
        <v>0</v>
      </c>
      <c r="BG486">
        <v>1</v>
      </c>
      <c r="BH486">
        <v>0</v>
      </c>
      <c r="BI486" s="18">
        <v>0</v>
      </c>
      <c r="BJ486">
        <v>12659</v>
      </c>
      <c r="BK486">
        <v>13107</v>
      </c>
      <c r="BL486" s="25">
        <v>40.193300000000001</v>
      </c>
      <c r="BM486">
        <v>0</v>
      </c>
      <c r="BN486">
        <v>0</v>
      </c>
      <c r="BO486">
        <v>0</v>
      </c>
      <c r="BP486">
        <v>0</v>
      </c>
      <c r="BQ486">
        <v>1</v>
      </c>
      <c r="BR486">
        <v>0</v>
      </c>
      <c r="BS486">
        <v>0</v>
      </c>
      <c r="BT486" s="18">
        <v>0</v>
      </c>
      <c r="BU486">
        <v>0</v>
      </c>
      <c r="BV486">
        <v>1</v>
      </c>
      <c r="BW486">
        <v>0</v>
      </c>
      <c r="BX486" s="18">
        <v>0</v>
      </c>
      <c r="BY486">
        <v>0</v>
      </c>
      <c r="BZ486">
        <v>0</v>
      </c>
      <c r="CA486">
        <v>0</v>
      </c>
      <c r="CB486">
        <v>1</v>
      </c>
      <c r="CC486" s="18">
        <v>0</v>
      </c>
      <c r="CD486">
        <v>0</v>
      </c>
      <c r="CE486">
        <v>0</v>
      </c>
      <c r="CF486">
        <v>1</v>
      </c>
      <c r="CG486">
        <v>1</v>
      </c>
      <c r="CH486">
        <v>0</v>
      </c>
      <c r="CI486">
        <v>0</v>
      </c>
      <c r="CJ486">
        <v>1</v>
      </c>
      <c r="CK486">
        <v>0</v>
      </c>
      <c r="CL486">
        <v>0</v>
      </c>
      <c r="CM486">
        <v>0</v>
      </c>
      <c r="CN486" s="18">
        <v>0</v>
      </c>
      <c r="CO486">
        <v>1.35</v>
      </c>
      <c r="CP486">
        <v>0</v>
      </c>
      <c r="CQ486">
        <v>1</v>
      </c>
      <c r="CR486">
        <v>0</v>
      </c>
      <c r="CS486">
        <v>25</v>
      </c>
      <c r="CY486" s="34"/>
    </row>
    <row r="487" spans="1:103" x14ac:dyDescent="0.25">
      <c r="A487">
        <v>486</v>
      </c>
      <c r="B487">
        <v>32</v>
      </c>
      <c r="C487" s="25" t="s">
        <v>313</v>
      </c>
      <c r="D487" s="12">
        <v>8.99</v>
      </c>
      <c r="E487" s="14">
        <v>1.39</v>
      </c>
      <c r="F487" s="7">
        <f t="shared" si="115"/>
        <v>6.4676258992805762</v>
      </c>
      <c r="G487" s="7">
        <f t="shared" si="106"/>
        <v>7.6000000000000005</v>
      </c>
      <c r="H487" s="16">
        <f t="shared" si="107"/>
        <v>10.38</v>
      </c>
      <c r="I487" s="11">
        <f t="shared" si="112"/>
        <v>0.39373101472301469</v>
      </c>
      <c r="J487" s="33">
        <f t="shared" si="113"/>
        <v>6.0877209172968898E-2</v>
      </c>
      <c r="K487" s="33">
        <f t="shared" si="114"/>
        <v>16.426508599609502</v>
      </c>
      <c r="L487" s="8">
        <v>1</v>
      </c>
      <c r="M487" s="9">
        <v>0</v>
      </c>
      <c r="N487" s="8">
        <v>1</v>
      </c>
      <c r="O487" s="9">
        <v>0</v>
      </c>
      <c r="P487" s="9">
        <v>0</v>
      </c>
      <c r="Q487" s="9">
        <v>0</v>
      </c>
      <c r="R487" s="9">
        <v>0</v>
      </c>
      <c r="S487" s="8">
        <v>237</v>
      </c>
      <c r="T487" s="9">
        <v>8</v>
      </c>
      <c r="U487" s="9">
        <f t="shared" si="108"/>
        <v>228</v>
      </c>
      <c r="V487" s="9">
        <f t="shared" si="109"/>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16"/>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v>0</v>
      </c>
      <c r="BF487" s="18">
        <v>0</v>
      </c>
      <c r="BG487">
        <v>1</v>
      </c>
      <c r="BH487">
        <v>0</v>
      </c>
      <c r="BI487" s="18">
        <v>0</v>
      </c>
      <c r="BJ487">
        <v>12659</v>
      </c>
      <c r="BK487">
        <v>13107</v>
      </c>
      <c r="BL487" s="25">
        <v>40.193300000000001</v>
      </c>
      <c r="BM487">
        <v>0</v>
      </c>
      <c r="BN487">
        <v>0</v>
      </c>
      <c r="BO487">
        <v>0</v>
      </c>
      <c r="BP487">
        <v>0</v>
      </c>
      <c r="BQ487">
        <v>0</v>
      </c>
      <c r="BR487">
        <v>0</v>
      </c>
      <c r="BS487">
        <v>1</v>
      </c>
      <c r="BT487" s="18">
        <v>0</v>
      </c>
      <c r="BU487">
        <v>0</v>
      </c>
      <c r="BV487">
        <v>1</v>
      </c>
      <c r="BW487">
        <v>0</v>
      </c>
      <c r="BX487" s="18">
        <v>0</v>
      </c>
      <c r="BY487">
        <v>0</v>
      </c>
      <c r="BZ487">
        <v>0</v>
      </c>
      <c r="CA487">
        <v>0</v>
      </c>
      <c r="CB487">
        <v>1</v>
      </c>
      <c r="CC487" s="18">
        <v>0</v>
      </c>
      <c r="CD487">
        <v>0</v>
      </c>
      <c r="CE487">
        <v>0</v>
      </c>
      <c r="CF487">
        <v>1</v>
      </c>
      <c r="CG487">
        <v>1</v>
      </c>
      <c r="CH487">
        <v>0</v>
      </c>
      <c r="CI487">
        <v>0</v>
      </c>
      <c r="CJ487">
        <v>1</v>
      </c>
      <c r="CK487">
        <v>0</v>
      </c>
      <c r="CL487">
        <v>0</v>
      </c>
      <c r="CM487">
        <v>0</v>
      </c>
      <c r="CN487" s="18">
        <v>0</v>
      </c>
      <c r="CO487">
        <v>1.35</v>
      </c>
      <c r="CP487">
        <v>0</v>
      </c>
      <c r="CQ487">
        <v>1</v>
      </c>
      <c r="CR487">
        <v>0</v>
      </c>
      <c r="CS487">
        <v>25</v>
      </c>
      <c r="CY487" s="34"/>
    </row>
    <row r="488" spans="1:103" s="51" customFormat="1" x14ac:dyDescent="0.25">
      <c r="A488" s="51">
        <v>487</v>
      </c>
      <c r="B488" s="51">
        <v>32</v>
      </c>
      <c r="C488" s="52" t="s">
        <v>313</v>
      </c>
      <c r="D488" s="53">
        <v>7.98</v>
      </c>
      <c r="E488" s="54">
        <v>1.8</v>
      </c>
      <c r="F488" s="55">
        <f t="shared" si="115"/>
        <v>4.4333333333333336</v>
      </c>
      <c r="G488" s="55">
        <f t="shared" si="106"/>
        <v>6.1800000000000006</v>
      </c>
      <c r="H488" s="56">
        <f t="shared" si="107"/>
        <v>9.7800000000000011</v>
      </c>
      <c r="I488" s="11">
        <f t="shared" si="112"/>
        <v>0.28171328190061568</v>
      </c>
      <c r="J488" s="33">
        <f t="shared" si="113"/>
        <v>6.3544349300890743E-2</v>
      </c>
      <c r="K488" s="33">
        <f t="shared" si="114"/>
        <v>15.737040523695823</v>
      </c>
      <c r="L488" s="59">
        <v>1</v>
      </c>
      <c r="M488" s="60">
        <v>0</v>
      </c>
      <c r="N488" s="59">
        <v>1</v>
      </c>
      <c r="O488" s="60">
        <v>0</v>
      </c>
      <c r="P488" s="60">
        <v>0</v>
      </c>
      <c r="Q488" s="60">
        <v>0</v>
      </c>
      <c r="R488" s="60">
        <v>0</v>
      </c>
      <c r="S488" s="59">
        <v>237</v>
      </c>
      <c r="T488" s="60">
        <v>8</v>
      </c>
      <c r="U488" s="60">
        <f t="shared" si="108"/>
        <v>228</v>
      </c>
      <c r="V488" s="60">
        <f t="shared" si="109"/>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16"/>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v>0</v>
      </c>
      <c r="BF488" s="65">
        <v>0</v>
      </c>
      <c r="BG488">
        <v>1</v>
      </c>
      <c r="BH488">
        <v>0</v>
      </c>
      <c r="BI488" s="65">
        <v>0</v>
      </c>
      <c r="BJ488">
        <v>12659</v>
      </c>
      <c r="BK488">
        <v>13107</v>
      </c>
      <c r="BL488" s="52">
        <v>40.193300000000001</v>
      </c>
      <c r="BM488" s="51">
        <v>0</v>
      </c>
      <c r="BN488" s="51">
        <v>0</v>
      </c>
      <c r="BO488" s="51">
        <v>0</v>
      </c>
      <c r="BP488" s="51">
        <v>0</v>
      </c>
      <c r="BQ488" s="51">
        <v>1</v>
      </c>
      <c r="BR488" s="51">
        <v>0</v>
      </c>
      <c r="BS488" s="51">
        <v>0</v>
      </c>
      <c r="BT488" s="65">
        <v>0</v>
      </c>
      <c r="BU488" s="51">
        <v>0</v>
      </c>
      <c r="BV488" s="51">
        <v>1</v>
      </c>
      <c r="BW488" s="51">
        <v>0</v>
      </c>
      <c r="BX488" s="65">
        <v>0</v>
      </c>
      <c r="BY488" s="51">
        <v>0</v>
      </c>
      <c r="BZ488" s="51">
        <v>0</v>
      </c>
      <c r="CA488" s="51">
        <v>0</v>
      </c>
      <c r="CB488" s="51">
        <v>1</v>
      </c>
      <c r="CC488" s="65">
        <v>0</v>
      </c>
      <c r="CD488" s="51">
        <v>0</v>
      </c>
      <c r="CE488" s="51">
        <v>0</v>
      </c>
      <c r="CF488" s="51">
        <v>1</v>
      </c>
      <c r="CG488" s="51">
        <v>1</v>
      </c>
      <c r="CH488" s="51">
        <v>0</v>
      </c>
      <c r="CI488" s="51">
        <v>0</v>
      </c>
      <c r="CJ488" s="51">
        <v>1</v>
      </c>
      <c r="CK488" s="51">
        <v>0</v>
      </c>
      <c r="CL488" s="51">
        <v>0</v>
      </c>
      <c r="CM488" s="51">
        <v>0</v>
      </c>
      <c r="CN488" s="65">
        <v>0</v>
      </c>
      <c r="CO488">
        <v>1.35</v>
      </c>
      <c r="CP488">
        <v>0</v>
      </c>
      <c r="CQ488">
        <v>1</v>
      </c>
      <c r="CR488">
        <v>0</v>
      </c>
      <c r="CS488">
        <v>25</v>
      </c>
      <c r="CT488" s="67"/>
      <c r="CY488" s="67"/>
    </row>
    <row r="489" spans="1:103" x14ac:dyDescent="0.25">
      <c r="A489">
        <v>488</v>
      </c>
      <c r="B489">
        <v>33</v>
      </c>
      <c r="C489" s="25" t="s">
        <v>320</v>
      </c>
      <c r="D489" s="12">
        <v>7.9902948865804291</v>
      </c>
      <c r="E489" s="14">
        <v>0.1997573721645107</v>
      </c>
      <c r="F489" s="7">
        <v>40</v>
      </c>
      <c r="G489" s="7">
        <f t="shared" si="106"/>
        <v>7.7905375144159184</v>
      </c>
      <c r="H489" s="16">
        <f t="shared" si="107"/>
        <v>8.1900522587449398</v>
      </c>
      <c r="I489" s="11">
        <f t="shared" si="112"/>
        <v>0.18815249919273908</v>
      </c>
      <c r="J489" s="33">
        <f t="shared" si="113"/>
        <v>4.7038124798184765E-3</v>
      </c>
      <c r="K489" s="33">
        <f t="shared" si="114"/>
        <v>212.59350883787585</v>
      </c>
      <c r="L489" s="8">
        <v>0</v>
      </c>
      <c r="M489" s="9">
        <v>1</v>
      </c>
      <c r="N489" s="8">
        <v>0</v>
      </c>
      <c r="O489" s="9">
        <v>0</v>
      </c>
      <c r="P489" s="9">
        <v>1</v>
      </c>
      <c r="Q489" s="9">
        <v>0</v>
      </c>
      <c r="R489" s="9">
        <v>0</v>
      </c>
      <c r="S489" s="8">
        <v>43611</v>
      </c>
      <c r="T489" s="9">
        <v>14</v>
      </c>
      <c r="U489" s="9">
        <f t="shared" si="108"/>
        <v>43596</v>
      </c>
      <c r="V489" s="9">
        <f t="shared" si="109"/>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17">1-AR489</f>
        <v>0.42900000000000005</v>
      </c>
      <c r="AR489" s="40">
        <v>0.57099999999999995</v>
      </c>
      <c r="AS489">
        <v>0.61499999999999999</v>
      </c>
      <c r="AT489" s="40">
        <f t="shared" ref="AT489:AT504" si="118">1-AS489</f>
        <v>0.38500000000000001</v>
      </c>
      <c r="AU489">
        <v>0</v>
      </c>
      <c r="AV489" s="18">
        <v>1</v>
      </c>
      <c r="AW489">
        <f t="shared" ref="AW489:AW504" si="119">1-AX489</f>
        <v>0.47399999999999998</v>
      </c>
      <c r="AX489" s="18">
        <v>0.52600000000000002</v>
      </c>
      <c r="AY489" s="18" t="s">
        <v>28</v>
      </c>
      <c r="AZ489">
        <v>0</v>
      </c>
      <c r="BA489">
        <v>1</v>
      </c>
      <c r="BB489">
        <v>0</v>
      </c>
      <c r="BC489">
        <v>0</v>
      </c>
      <c r="BD489">
        <v>0</v>
      </c>
      <c r="BE489">
        <v>0</v>
      </c>
      <c r="BF489" s="18">
        <v>0</v>
      </c>
      <c r="BG489">
        <v>0</v>
      </c>
      <c r="BH489">
        <v>1</v>
      </c>
      <c r="BI489" s="18">
        <v>0</v>
      </c>
      <c r="BJ489">
        <v>2572</v>
      </c>
      <c r="BK489">
        <v>214</v>
      </c>
      <c r="BL489" s="25">
        <v>37.829000000000001</v>
      </c>
      <c r="BM489">
        <v>1</v>
      </c>
      <c r="BN489">
        <v>0</v>
      </c>
      <c r="BO489">
        <v>0</v>
      </c>
      <c r="BP489">
        <v>0</v>
      </c>
      <c r="BQ489">
        <v>0</v>
      </c>
      <c r="BR489">
        <v>0</v>
      </c>
      <c r="BS489">
        <v>0</v>
      </c>
      <c r="BT489" s="18">
        <v>0</v>
      </c>
      <c r="BU489">
        <v>0</v>
      </c>
      <c r="BV489">
        <v>0</v>
      </c>
      <c r="BW489">
        <v>1</v>
      </c>
      <c r="BX489" s="18">
        <v>0</v>
      </c>
      <c r="BY489">
        <v>0</v>
      </c>
      <c r="BZ489">
        <v>0</v>
      </c>
      <c r="CA489">
        <v>0</v>
      </c>
      <c r="CB489">
        <v>0</v>
      </c>
      <c r="CC489" s="18">
        <v>0</v>
      </c>
      <c r="CD489">
        <v>1</v>
      </c>
      <c r="CE489">
        <v>1</v>
      </c>
      <c r="CF489">
        <v>0</v>
      </c>
      <c r="CG489">
        <v>0</v>
      </c>
      <c r="CH489">
        <v>0</v>
      </c>
      <c r="CI489">
        <v>0</v>
      </c>
      <c r="CJ489">
        <v>1</v>
      </c>
      <c r="CK489">
        <v>1</v>
      </c>
      <c r="CL489">
        <v>0</v>
      </c>
      <c r="CM489">
        <v>1</v>
      </c>
      <c r="CN489" s="18">
        <v>1</v>
      </c>
      <c r="CO489">
        <v>1.232</v>
      </c>
      <c r="CP489">
        <v>2</v>
      </c>
      <c r="CQ489">
        <v>1</v>
      </c>
      <c r="CR489">
        <v>0</v>
      </c>
      <c r="CS489">
        <v>19</v>
      </c>
      <c r="CY489" s="34"/>
    </row>
    <row r="490" spans="1:103" x14ac:dyDescent="0.25">
      <c r="A490">
        <v>489</v>
      </c>
      <c r="B490">
        <v>33</v>
      </c>
      <c r="C490" s="25" t="s">
        <v>320</v>
      </c>
      <c r="D490" s="12">
        <v>14.89125293076059</v>
      </c>
      <c r="E490" s="14">
        <v>0.28468571779395241</v>
      </c>
      <c r="F490" s="7">
        <v>52.307692307692307</v>
      </c>
      <c r="G490" s="7">
        <f t="shared" si="106"/>
        <v>14.606567212966638</v>
      </c>
      <c r="H490" s="16">
        <f t="shared" si="107"/>
        <v>15.175938648554542</v>
      </c>
      <c r="I490" s="11">
        <f t="shared" si="112"/>
        <v>0.24301025035175566</v>
      </c>
      <c r="J490" s="33">
        <f t="shared" si="113"/>
        <v>4.6457841979012111E-3</v>
      </c>
      <c r="K490" s="33">
        <f t="shared" si="114"/>
        <v>215.24891329471612</v>
      </c>
      <c r="L490" s="8">
        <v>0</v>
      </c>
      <c r="M490" s="9">
        <v>1</v>
      </c>
      <c r="N490" s="8">
        <v>0</v>
      </c>
      <c r="O490" s="9">
        <v>0</v>
      </c>
      <c r="P490" s="9">
        <v>1</v>
      </c>
      <c r="Q490" s="9">
        <v>0</v>
      </c>
      <c r="R490" s="9">
        <v>0</v>
      </c>
      <c r="S490" s="8">
        <v>43611</v>
      </c>
      <c r="T490" s="9">
        <v>14</v>
      </c>
      <c r="U490" s="9">
        <f t="shared" si="108"/>
        <v>43596</v>
      </c>
      <c r="V490" s="9">
        <f t="shared" si="109"/>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17"/>
        <v>0.42900000000000005</v>
      </c>
      <c r="AR490" s="40">
        <v>0.57099999999999995</v>
      </c>
      <c r="AS490">
        <v>0.61499999999999999</v>
      </c>
      <c r="AT490" s="40">
        <f t="shared" si="118"/>
        <v>0.38500000000000001</v>
      </c>
      <c r="AU490">
        <v>0</v>
      </c>
      <c r="AV490" s="18">
        <v>1</v>
      </c>
      <c r="AW490">
        <f t="shared" si="119"/>
        <v>0.47399999999999998</v>
      </c>
      <c r="AX490" s="18">
        <v>0.52600000000000002</v>
      </c>
      <c r="AY490" s="18" t="s">
        <v>28</v>
      </c>
      <c r="AZ490">
        <v>0</v>
      </c>
      <c r="BA490">
        <v>1</v>
      </c>
      <c r="BB490">
        <v>0</v>
      </c>
      <c r="BC490">
        <v>0</v>
      </c>
      <c r="BD490">
        <v>0</v>
      </c>
      <c r="BE490">
        <v>0</v>
      </c>
      <c r="BF490" s="18">
        <v>0</v>
      </c>
      <c r="BG490">
        <v>0</v>
      </c>
      <c r="BH490">
        <v>1</v>
      </c>
      <c r="BI490" s="18">
        <v>0</v>
      </c>
      <c r="BJ490">
        <v>2572</v>
      </c>
      <c r="BK490">
        <v>214</v>
      </c>
      <c r="BL490" s="25">
        <v>37.829000000000001</v>
      </c>
      <c r="BM490">
        <v>1</v>
      </c>
      <c r="BN490">
        <v>0</v>
      </c>
      <c r="BO490">
        <v>0</v>
      </c>
      <c r="BP490">
        <v>0</v>
      </c>
      <c r="BQ490">
        <v>0</v>
      </c>
      <c r="BR490">
        <v>0</v>
      </c>
      <c r="BS490">
        <v>0</v>
      </c>
      <c r="BT490" s="18">
        <v>0</v>
      </c>
      <c r="BU490">
        <v>0</v>
      </c>
      <c r="BV490">
        <v>0</v>
      </c>
      <c r="BW490">
        <v>1</v>
      </c>
      <c r="BX490" s="18">
        <v>0</v>
      </c>
      <c r="BY490">
        <v>0</v>
      </c>
      <c r="BZ490">
        <v>0</v>
      </c>
      <c r="CA490">
        <v>0</v>
      </c>
      <c r="CB490">
        <v>0</v>
      </c>
      <c r="CC490" s="18">
        <v>0</v>
      </c>
      <c r="CD490">
        <v>1</v>
      </c>
      <c r="CE490">
        <v>1</v>
      </c>
      <c r="CF490">
        <v>0</v>
      </c>
      <c r="CG490">
        <v>0</v>
      </c>
      <c r="CH490">
        <v>0</v>
      </c>
      <c r="CI490">
        <v>0</v>
      </c>
      <c r="CJ490">
        <v>1</v>
      </c>
      <c r="CK490">
        <v>1</v>
      </c>
      <c r="CL490">
        <v>0</v>
      </c>
      <c r="CM490">
        <v>1</v>
      </c>
      <c r="CN490" s="18">
        <v>1</v>
      </c>
      <c r="CO490">
        <v>1.232</v>
      </c>
      <c r="CP490">
        <v>2</v>
      </c>
      <c r="CQ490">
        <v>1</v>
      </c>
      <c r="CR490">
        <v>0</v>
      </c>
      <c r="CS490">
        <v>19</v>
      </c>
      <c r="CY490" s="34"/>
    </row>
    <row r="491" spans="1:103" x14ac:dyDescent="0.25">
      <c r="A491">
        <v>490</v>
      </c>
      <c r="B491">
        <v>33</v>
      </c>
      <c r="C491" s="25" t="s">
        <v>320</v>
      </c>
      <c r="D491" s="12">
        <v>8.1882614275672125</v>
      </c>
      <c r="E491" s="14">
        <v>0.1327826177443332</v>
      </c>
      <c r="F491" s="7">
        <v>61.666666666666657</v>
      </c>
      <c r="G491" s="7">
        <f t="shared" si="106"/>
        <v>8.0554788098228798</v>
      </c>
      <c r="H491" s="16">
        <f t="shared" si="107"/>
        <v>8.3210440453115453</v>
      </c>
      <c r="I491" s="11">
        <f t="shared" si="112"/>
        <v>0.28325102065209717</v>
      </c>
      <c r="J491" s="33">
        <f t="shared" si="113"/>
        <v>4.5932597943583323E-3</v>
      </c>
      <c r="K491" s="33">
        <f t="shared" si="114"/>
        <v>217.71030700859751</v>
      </c>
      <c r="L491" s="8">
        <v>0</v>
      </c>
      <c r="M491" s="9">
        <v>1</v>
      </c>
      <c r="N491" s="8">
        <v>0</v>
      </c>
      <c r="O491" s="9">
        <v>0</v>
      </c>
      <c r="P491" s="9">
        <v>1</v>
      </c>
      <c r="Q491" s="9">
        <v>0</v>
      </c>
      <c r="R491" s="9">
        <v>0</v>
      </c>
      <c r="S491" s="8">
        <v>43611</v>
      </c>
      <c r="T491" s="9">
        <v>15</v>
      </c>
      <c r="U491" s="9">
        <f t="shared" si="108"/>
        <v>43595</v>
      </c>
      <c r="V491" s="9">
        <f t="shared" si="109"/>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17"/>
        <v>0.42900000000000005</v>
      </c>
      <c r="AR491" s="40">
        <v>0.57099999999999995</v>
      </c>
      <c r="AS491">
        <v>0.61499999999999999</v>
      </c>
      <c r="AT491" s="40">
        <f t="shared" si="118"/>
        <v>0.38500000000000001</v>
      </c>
      <c r="AU491">
        <v>0</v>
      </c>
      <c r="AV491" s="18">
        <v>1</v>
      </c>
      <c r="AW491">
        <f t="shared" si="119"/>
        <v>0.47399999999999998</v>
      </c>
      <c r="AX491" s="18">
        <v>0.52600000000000002</v>
      </c>
      <c r="AY491" s="18" t="s">
        <v>28</v>
      </c>
      <c r="AZ491">
        <v>0</v>
      </c>
      <c r="BA491">
        <v>1</v>
      </c>
      <c r="BB491">
        <v>0</v>
      </c>
      <c r="BC491">
        <v>0</v>
      </c>
      <c r="BD491">
        <v>0</v>
      </c>
      <c r="BE491">
        <v>0</v>
      </c>
      <c r="BF491" s="18">
        <v>0</v>
      </c>
      <c r="BG491">
        <v>0</v>
      </c>
      <c r="BH491">
        <v>1</v>
      </c>
      <c r="BI491" s="18">
        <v>0</v>
      </c>
      <c r="BJ491">
        <v>2572</v>
      </c>
      <c r="BK491">
        <v>214</v>
      </c>
      <c r="BL491" s="25">
        <v>37.829000000000001</v>
      </c>
      <c r="BM491">
        <v>1</v>
      </c>
      <c r="BN491">
        <v>0</v>
      </c>
      <c r="BO491">
        <v>0</v>
      </c>
      <c r="BP491">
        <v>0</v>
      </c>
      <c r="BQ491">
        <v>0</v>
      </c>
      <c r="BR491">
        <v>0</v>
      </c>
      <c r="BS491">
        <v>0</v>
      </c>
      <c r="BT491" s="18">
        <v>0</v>
      </c>
      <c r="BU491">
        <v>0</v>
      </c>
      <c r="BV491">
        <v>0</v>
      </c>
      <c r="BW491">
        <v>1</v>
      </c>
      <c r="BX491" s="18">
        <v>0</v>
      </c>
      <c r="BY491">
        <v>0</v>
      </c>
      <c r="BZ491">
        <v>0</v>
      </c>
      <c r="CA491">
        <v>0</v>
      </c>
      <c r="CB491">
        <v>0</v>
      </c>
      <c r="CC491" s="18">
        <v>0</v>
      </c>
      <c r="CD491">
        <v>1</v>
      </c>
      <c r="CE491">
        <v>1</v>
      </c>
      <c r="CF491">
        <v>0</v>
      </c>
      <c r="CG491">
        <v>0</v>
      </c>
      <c r="CH491">
        <v>0</v>
      </c>
      <c r="CI491">
        <v>0</v>
      </c>
      <c r="CJ491">
        <v>1</v>
      </c>
      <c r="CK491">
        <v>1</v>
      </c>
      <c r="CL491">
        <v>0</v>
      </c>
      <c r="CM491">
        <v>1</v>
      </c>
      <c r="CN491" s="18">
        <v>1</v>
      </c>
      <c r="CO491">
        <v>1.232</v>
      </c>
      <c r="CP491">
        <v>2</v>
      </c>
      <c r="CQ491">
        <v>1</v>
      </c>
      <c r="CR491">
        <v>0</v>
      </c>
      <c r="CS491">
        <v>19</v>
      </c>
      <c r="CY491" s="34"/>
    </row>
    <row r="492" spans="1:103" x14ac:dyDescent="0.25">
      <c r="A492">
        <v>491</v>
      </c>
      <c r="B492">
        <v>33</v>
      </c>
      <c r="C492" s="25" t="s">
        <v>320</v>
      </c>
      <c r="D492" s="12">
        <v>14.891252930760571</v>
      </c>
      <c r="E492" s="14">
        <v>0.1942337338794857</v>
      </c>
      <c r="F492" s="7">
        <v>76.666666666666671</v>
      </c>
      <c r="G492" s="7">
        <f t="shared" si="106"/>
        <v>14.697019196881085</v>
      </c>
      <c r="H492" s="16">
        <f t="shared" si="107"/>
        <v>15.085486664640056</v>
      </c>
      <c r="I492" s="11">
        <f t="shared" si="112"/>
        <v>0.34468583278159914</v>
      </c>
      <c r="J492" s="33">
        <f t="shared" si="113"/>
        <v>4.4959021667165108E-3</v>
      </c>
      <c r="K492" s="33">
        <f t="shared" si="114"/>
        <v>222.42476880459552</v>
      </c>
      <c r="L492" s="8">
        <v>0</v>
      </c>
      <c r="M492" s="9">
        <v>1</v>
      </c>
      <c r="N492" s="8">
        <v>0</v>
      </c>
      <c r="O492" s="9">
        <v>0</v>
      </c>
      <c r="P492" s="9">
        <v>1</v>
      </c>
      <c r="Q492" s="9">
        <v>0</v>
      </c>
      <c r="R492" s="9">
        <v>0</v>
      </c>
      <c r="S492" s="8">
        <v>43611</v>
      </c>
      <c r="T492" s="9">
        <v>15</v>
      </c>
      <c r="U492" s="9">
        <f t="shared" si="108"/>
        <v>43595</v>
      </c>
      <c r="V492" s="9">
        <f t="shared" si="109"/>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17"/>
        <v>0.42900000000000005</v>
      </c>
      <c r="AR492" s="40">
        <v>0.57099999999999995</v>
      </c>
      <c r="AS492">
        <v>0.61499999999999999</v>
      </c>
      <c r="AT492" s="40">
        <f t="shared" si="118"/>
        <v>0.38500000000000001</v>
      </c>
      <c r="AU492">
        <v>0</v>
      </c>
      <c r="AV492" s="18">
        <v>1</v>
      </c>
      <c r="AW492">
        <f t="shared" si="119"/>
        <v>0.47399999999999998</v>
      </c>
      <c r="AX492" s="18">
        <v>0.52600000000000002</v>
      </c>
      <c r="AY492" s="18" t="s">
        <v>28</v>
      </c>
      <c r="AZ492">
        <v>0</v>
      </c>
      <c r="BA492">
        <v>1</v>
      </c>
      <c r="BB492">
        <v>0</v>
      </c>
      <c r="BC492">
        <v>0</v>
      </c>
      <c r="BD492">
        <v>0</v>
      </c>
      <c r="BE492">
        <v>0</v>
      </c>
      <c r="BF492" s="18">
        <v>0</v>
      </c>
      <c r="BG492">
        <v>0</v>
      </c>
      <c r="BH492">
        <v>1</v>
      </c>
      <c r="BI492" s="18">
        <v>0</v>
      </c>
      <c r="BJ492">
        <v>2572</v>
      </c>
      <c r="BK492">
        <v>214</v>
      </c>
      <c r="BL492" s="25">
        <v>37.829000000000001</v>
      </c>
      <c r="BM492">
        <v>1</v>
      </c>
      <c r="BN492">
        <v>0</v>
      </c>
      <c r="BO492">
        <v>0</v>
      </c>
      <c r="BP492">
        <v>0</v>
      </c>
      <c r="BQ492">
        <v>0</v>
      </c>
      <c r="BR492">
        <v>0</v>
      </c>
      <c r="BS492">
        <v>0</v>
      </c>
      <c r="BT492" s="18">
        <v>0</v>
      </c>
      <c r="BU492">
        <v>0</v>
      </c>
      <c r="BV492">
        <v>0</v>
      </c>
      <c r="BW492">
        <v>1</v>
      </c>
      <c r="BX492" s="18">
        <v>0</v>
      </c>
      <c r="BY492">
        <v>0</v>
      </c>
      <c r="BZ492">
        <v>0</v>
      </c>
      <c r="CA492">
        <v>0</v>
      </c>
      <c r="CB492">
        <v>0</v>
      </c>
      <c r="CC492" s="18">
        <v>0</v>
      </c>
      <c r="CD492">
        <v>1</v>
      </c>
      <c r="CE492">
        <v>1</v>
      </c>
      <c r="CF492">
        <v>0</v>
      </c>
      <c r="CG492">
        <v>0</v>
      </c>
      <c r="CH492">
        <v>0</v>
      </c>
      <c r="CI492">
        <v>0</v>
      </c>
      <c r="CJ492">
        <v>1</v>
      </c>
      <c r="CK492">
        <v>1</v>
      </c>
      <c r="CL492">
        <v>0</v>
      </c>
      <c r="CM492">
        <v>1</v>
      </c>
      <c r="CN492" s="18">
        <v>1</v>
      </c>
      <c r="CO492">
        <v>1.232</v>
      </c>
      <c r="CP492">
        <v>2</v>
      </c>
      <c r="CQ492">
        <v>1</v>
      </c>
      <c r="CR492">
        <v>0</v>
      </c>
      <c r="CS492">
        <v>19</v>
      </c>
      <c r="CY492" s="34"/>
    </row>
    <row r="493" spans="1:103" x14ac:dyDescent="0.25">
      <c r="A493">
        <v>492</v>
      </c>
      <c r="B493">
        <v>33</v>
      </c>
      <c r="C493" s="25" t="s">
        <v>320</v>
      </c>
      <c r="D493" s="12">
        <v>7.9902948865804291</v>
      </c>
      <c r="E493" s="14">
        <v>0.13317158144300709</v>
      </c>
      <c r="F493" s="7">
        <v>60</v>
      </c>
      <c r="G493" s="7">
        <f t="shared" si="106"/>
        <v>7.8571233051374216</v>
      </c>
      <c r="H493" s="16">
        <f t="shared" si="107"/>
        <v>8.1234664680234356</v>
      </c>
      <c r="I493" s="11">
        <f t="shared" si="112"/>
        <v>0.2761899403727695</v>
      </c>
      <c r="J493" s="33">
        <f t="shared" si="113"/>
        <v>4.603165672879491E-3</v>
      </c>
      <c r="K493" s="33">
        <f t="shared" si="114"/>
        <v>217.2418007658747</v>
      </c>
      <c r="L493" s="8">
        <v>0</v>
      </c>
      <c r="M493" s="9">
        <v>1</v>
      </c>
      <c r="N493" s="8">
        <v>0</v>
      </c>
      <c r="O493" s="9">
        <v>0</v>
      </c>
      <c r="P493" s="9">
        <v>1</v>
      </c>
      <c r="Q493" s="9">
        <v>0</v>
      </c>
      <c r="R493" s="9">
        <v>0</v>
      </c>
      <c r="S493" s="8">
        <v>43611</v>
      </c>
      <c r="T493" s="9">
        <v>16</v>
      </c>
      <c r="U493" s="9">
        <f t="shared" si="108"/>
        <v>43594</v>
      </c>
      <c r="V493" s="9">
        <f t="shared" si="109"/>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17"/>
        <v>0.42900000000000005</v>
      </c>
      <c r="AR493" s="40">
        <v>0.57099999999999995</v>
      </c>
      <c r="AS493">
        <v>0.61499999999999999</v>
      </c>
      <c r="AT493" s="40">
        <f t="shared" si="118"/>
        <v>0.38500000000000001</v>
      </c>
      <c r="AU493">
        <v>0</v>
      </c>
      <c r="AV493" s="18">
        <v>1</v>
      </c>
      <c r="AW493">
        <f t="shared" si="119"/>
        <v>0.47399999999999998</v>
      </c>
      <c r="AX493" s="18">
        <v>0.52600000000000002</v>
      </c>
      <c r="AY493" s="18" t="s">
        <v>28</v>
      </c>
      <c r="AZ493">
        <v>0</v>
      </c>
      <c r="BA493">
        <v>1</v>
      </c>
      <c r="BB493">
        <v>0</v>
      </c>
      <c r="BC493">
        <v>0</v>
      </c>
      <c r="BD493">
        <v>0</v>
      </c>
      <c r="BE493">
        <v>0</v>
      </c>
      <c r="BF493" s="18">
        <v>0</v>
      </c>
      <c r="BG493">
        <v>0</v>
      </c>
      <c r="BH493">
        <v>1</v>
      </c>
      <c r="BI493" s="18">
        <v>0</v>
      </c>
      <c r="BJ493">
        <v>2572</v>
      </c>
      <c r="BK493">
        <v>214</v>
      </c>
      <c r="BL493" s="25">
        <v>37.829000000000001</v>
      </c>
      <c r="BM493">
        <v>1</v>
      </c>
      <c r="BN493">
        <v>0</v>
      </c>
      <c r="BO493">
        <v>0</v>
      </c>
      <c r="BP493">
        <v>0</v>
      </c>
      <c r="BQ493">
        <v>0</v>
      </c>
      <c r="BR493">
        <v>0</v>
      </c>
      <c r="BS493">
        <v>0</v>
      </c>
      <c r="BT493" s="18">
        <v>0</v>
      </c>
      <c r="BU493">
        <v>0</v>
      </c>
      <c r="BV493">
        <v>0</v>
      </c>
      <c r="BW493">
        <v>1</v>
      </c>
      <c r="BX493" s="18">
        <v>0</v>
      </c>
      <c r="BY493">
        <v>0</v>
      </c>
      <c r="BZ493">
        <v>0</v>
      </c>
      <c r="CA493">
        <v>0</v>
      </c>
      <c r="CB493">
        <v>0</v>
      </c>
      <c r="CC493" s="18">
        <v>0</v>
      </c>
      <c r="CD493">
        <v>1</v>
      </c>
      <c r="CE493">
        <v>1</v>
      </c>
      <c r="CF493">
        <v>0</v>
      </c>
      <c r="CG493">
        <v>0</v>
      </c>
      <c r="CH493">
        <v>0</v>
      </c>
      <c r="CI493">
        <v>0</v>
      </c>
      <c r="CJ493">
        <v>1</v>
      </c>
      <c r="CK493">
        <v>1</v>
      </c>
      <c r="CL493">
        <v>0</v>
      </c>
      <c r="CM493">
        <v>1</v>
      </c>
      <c r="CN493" s="18">
        <v>1</v>
      </c>
      <c r="CO493">
        <v>1.232</v>
      </c>
      <c r="CP493">
        <v>2</v>
      </c>
      <c r="CQ493">
        <v>1</v>
      </c>
      <c r="CR493">
        <v>0</v>
      </c>
      <c r="CS493">
        <v>19</v>
      </c>
      <c r="CY493" s="34"/>
    </row>
    <row r="494" spans="1:103" x14ac:dyDescent="0.25">
      <c r="A494">
        <v>493</v>
      </c>
      <c r="B494">
        <v>33</v>
      </c>
      <c r="C494" s="25" t="s">
        <v>320</v>
      </c>
      <c r="D494" s="12">
        <v>14.89125293076059</v>
      </c>
      <c r="E494" s="14">
        <v>0.19709011231889009</v>
      </c>
      <c r="F494" s="7">
        <v>75.555555555555571</v>
      </c>
      <c r="G494" s="7">
        <f t="shared" si="106"/>
        <v>14.694162818441701</v>
      </c>
      <c r="H494" s="16">
        <f t="shared" si="107"/>
        <v>15.08834304307948</v>
      </c>
      <c r="I494" s="11">
        <f t="shared" si="112"/>
        <v>0.34027599068456138</v>
      </c>
      <c r="J494" s="33">
        <f t="shared" si="113"/>
        <v>4.5036528178838998E-3</v>
      </c>
      <c r="K494" s="33">
        <f t="shared" si="114"/>
        <v>222.04198246121979</v>
      </c>
      <c r="L494" s="8">
        <v>0</v>
      </c>
      <c r="M494" s="9">
        <v>1</v>
      </c>
      <c r="N494" s="8">
        <v>0</v>
      </c>
      <c r="O494" s="9">
        <v>0</v>
      </c>
      <c r="P494" s="9">
        <v>1</v>
      </c>
      <c r="Q494" s="9">
        <v>0</v>
      </c>
      <c r="R494" s="9">
        <v>0</v>
      </c>
      <c r="S494" s="8">
        <v>43611</v>
      </c>
      <c r="T494" s="9">
        <v>16</v>
      </c>
      <c r="U494" s="9">
        <f t="shared" si="108"/>
        <v>43594</v>
      </c>
      <c r="V494" s="9">
        <f t="shared" si="109"/>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17"/>
        <v>0.42900000000000005</v>
      </c>
      <c r="AR494" s="40">
        <v>0.57099999999999995</v>
      </c>
      <c r="AS494">
        <v>0.61499999999999999</v>
      </c>
      <c r="AT494" s="40">
        <f t="shared" si="118"/>
        <v>0.38500000000000001</v>
      </c>
      <c r="AU494">
        <v>0</v>
      </c>
      <c r="AV494" s="18">
        <v>1</v>
      </c>
      <c r="AW494">
        <f t="shared" si="119"/>
        <v>0.47399999999999998</v>
      </c>
      <c r="AX494" s="18">
        <v>0.52600000000000002</v>
      </c>
      <c r="AY494" s="18" t="s">
        <v>28</v>
      </c>
      <c r="AZ494">
        <v>0</v>
      </c>
      <c r="BA494">
        <v>1</v>
      </c>
      <c r="BB494">
        <v>0</v>
      </c>
      <c r="BC494">
        <v>0</v>
      </c>
      <c r="BD494">
        <v>0</v>
      </c>
      <c r="BE494">
        <v>0</v>
      </c>
      <c r="BF494" s="18">
        <v>0</v>
      </c>
      <c r="BG494">
        <v>0</v>
      </c>
      <c r="BH494">
        <v>1</v>
      </c>
      <c r="BI494" s="18">
        <v>0</v>
      </c>
      <c r="BJ494">
        <v>2572</v>
      </c>
      <c r="BK494">
        <v>214</v>
      </c>
      <c r="BL494" s="25">
        <v>37.829000000000001</v>
      </c>
      <c r="BM494">
        <v>1</v>
      </c>
      <c r="BN494">
        <v>0</v>
      </c>
      <c r="BO494">
        <v>0</v>
      </c>
      <c r="BP494">
        <v>0</v>
      </c>
      <c r="BQ494">
        <v>0</v>
      </c>
      <c r="BR494">
        <v>0</v>
      </c>
      <c r="BS494">
        <v>0</v>
      </c>
      <c r="BT494" s="18">
        <v>0</v>
      </c>
      <c r="BU494">
        <v>0</v>
      </c>
      <c r="BV494">
        <v>0</v>
      </c>
      <c r="BW494">
        <v>1</v>
      </c>
      <c r="BX494" s="18">
        <v>0</v>
      </c>
      <c r="BY494">
        <v>0</v>
      </c>
      <c r="BZ494">
        <v>0</v>
      </c>
      <c r="CA494">
        <v>0</v>
      </c>
      <c r="CB494">
        <v>0</v>
      </c>
      <c r="CC494" s="18">
        <v>0</v>
      </c>
      <c r="CD494">
        <v>1</v>
      </c>
      <c r="CE494">
        <v>1</v>
      </c>
      <c r="CF494">
        <v>0</v>
      </c>
      <c r="CG494">
        <v>0</v>
      </c>
      <c r="CH494">
        <v>0</v>
      </c>
      <c r="CI494">
        <v>0</v>
      </c>
      <c r="CJ494">
        <v>1</v>
      </c>
      <c r="CK494">
        <v>1</v>
      </c>
      <c r="CL494">
        <v>0</v>
      </c>
      <c r="CM494">
        <v>1</v>
      </c>
      <c r="CN494" s="18">
        <v>1</v>
      </c>
      <c r="CO494">
        <v>1.232</v>
      </c>
      <c r="CP494">
        <v>2</v>
      </c>
      <c r="CQ494">
        <v>1</v>
      </c>
      <c r="CR494">
        <v>0</v>
      </c>
      <c r="CS494">
        <v>19</v>
      </c>
      <c r="CY494" s="34"/>
    </row>
    <row r="495" spans="1:103" x14ac:dyDescent="0.25">
      <c r="A495">
        <v>494</v>
      </c>
      <c r="B495">
        <v>33</v>
      </c>
      <c r="C495" s="25" t="s">
        <v>320</v>
      </c>
      <c r="D495" s="12">
        <v>7.9902948865804291</v>
      </c>
      <c r="E495" s="14">
        <v>0.13317158144300709</v>
      </c>
      <c r="F495" s="7">
        <v>60</v>
      </c>
      <c r="G495" s="7">
        <f t="shared" si="106"/>
        <v>7.8571233051374216</v>
      </c>
      <c r="H495" s="16">
        <f t="shared" si="107"/>
        <v>8.1234664680234356</v>
      </c>
      <c r="I495" s="11">
        <f t="shared" si="112"/>
        <v>0.27619286653212893</v>
      </c>
      <c r="J495" s="33">
        <f t="shared" si="113"/>
        <v>4.6032144422021486E-3</v>
      </c>
      <c r="K495" s="33">
        <f t="shared" si="114"/>
        <v>217.23949917084599</v>
      </c>
      <c r="L495" s="8">
        <v>0</v>
      </c>
      <c r="M495" s="9">
        <v>1</v>
      </c>
      <c r="N495" s="8">
        <v>0</v>
      </c>
      <c r="O495" s="9">
        <v>0</v>
      </c>
      <c r="P495" s="9">
        <v>1</v>
      </c>
      <c r="Q495" s="9">
        <v>0</v>
      </c>
      <c r="R495" s="9">
        <v>0</v>
      </c>
      <c r="S495" s="8">
        <v>43611</v>
      </c>
      <c r="T495" s="9">
        <v>17</v>
      </c>
      <c r="U495" s="9">
        <f t="shared" si="108"/>
        <v>43593</v>
      </c>
      <c r="V495" s="9">
        <f t="shared" si="109"/>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17"/>
        <v>0.42900000000000005</v>
      </c>
      <c r="AR495" s="40">
        <v>0.57099999999999995</v>
      </c>
      <c r="AS495">
        <v>0.61499999999999999</v>
      </c>
      <c r="AT495" s="40">
        <f t="shared" si="118"/>
        <v>0.38500000000000001</v>
      </c>
      <c r="AU495">
        <v>0</v>
      </c>
      <c r="AV495" s="18">
        <v>1</v>
      </c>
      <c r="AW495">
        <f t="shared" si="119"/>
        <v>0.47399999999999998</v>
      </c>
      <c r="AX495" s="18">
        <v>0.52600000000000002</v>
      </c>
      <c r="AY495" s="18" t="s">
        <v>28</v>
      </c>
      <c r="AZ495">
        <v>0</v>
      </c>
      <c r="BA495">
        <v>1</v>
      </c>
      <c r="BB495">
        <v>0</v>
      </c>
      <c r="BC495">
        <v>0</v>
      </c>
      <c r="BD495">
        <v>0</v>
      </c>
      <c r="BE495">
        <v>0</v>
      </c>
      <c r="BF495" s="18">
        <v>0</v>
      </c>
      <c r="BG495">
        <v>0</v>
      </c>
      <c r="BH495">
        <v>1</v>
      </c>
      <c r="BI495" s="18">
        <v>0</v>
      </c>
      <c r="BJ495">
        <v>2572</v>
      </c>
      <c r="BK495">
        <v>214</v>
      </c>
      <c r="BL495" s="25">
        <v>37.829000000000001</v>
      </c>
      <c r="BM495">
        <v>1</v>
      </c>
      <c r="BN495">
        <v>0</v>
      </c>
      <c r="BO495">
        <v>0</v>
      </c>
      <c r="BP495">
        <v>0</v>
      </c>
      <c r="BQ495">
        <v>0</v>
      </c>
      <c r="BR495">
        <v>0</v>
      </c>
      <c r="BS495">
        <v>0</v>
      </c>
      <c r="BT495" s="18">
        <v>0</v>
      </c>
      <c r="BU495">
        <v>0</v>
      </c>
      <c r="BV495">
        <v>0</v>
      </c>
      <c r="BW495">
        <v>1</v>
      </c>
      <c r="BX495" s="18">
        <v>0</v>
      </c>
      <c r="BY495">
        <v>0</v>
      </c>
      <c r="BZ495">
        <v>0</v>
      </c>
      <c r="CA495">
        <v>0</v>
      </c>
      <c r="CB495">
        <v>0</v>
      </c>
      <c r="CC495" s="18">
        <v>0</v>
      </c>
      <c r="CD495">
        <v>1</v>
      </c>
      <c r="CE495">
        <v>1</v>
      </c>
      <c r="CF495">
        <v>0</v>
      </c>
      <c r="CG495">
        <v>0</v>
      </c>
      <c r="CH495">
        <v>0</v>
      </c>
      <c r="CI495">
        <v>0</v>
      </c>
      <c r="CJ495">
        <v>1</v>
      </c>
      <c r="CK495">
        <v>1</v>
      </c>
      <c r="CL495">
        <v>0</v>
      </c>
      <c r="CM495">
        <v>1</v>
      </c>
      <c r="CN495" s="18">
        <v>1</v>
      </c>
      <c r="CO495">
        <v>1.232</v>
      </c>
      <c r="CP495">
        <v>2</v>
      </c>
      <c r="CQ495">
        <v>1</v>
      </c>
      <c r="CR495">
        <v>0</v>
      </c>
      <c r="CS495">
        <v>19</v>
      </c>
      <c r="CY495" s="34"/>
    </row>
    <row r="496" spans="1:103" x14ac:dyDescent="0.25">
      <c r="A496">
        <v>495</v>
      </c>
      <c r="B496">
        <v>33</v>
      </c>
      <c r="C496" s="25" t="s">
        <v>320</v>
      </c>
      <c r="D496" s="12">
        <v>14.45523142259597</v>
      </c>
      <c r="E496" s="14">
        <v>0.19417475045278171</v>
      </c>
      <c r="F496" s="7">
        <v>74.444444444444457</v>
      </c>
      <c r="G496" s="7">
        <f t="shared" si="106"/>
        <v>14.261056672143189</v>
      </c>
      <c r="H496" s="16">
        <f t="shared" si="107"/>
        <v>14.649406173048751</v>
      </c>
      <c r="I496" s="11">
        <f t="shared" si="112"/>
        <v>0.33584348060361058</v>
      </c>
      <c r="J496" s="33">
        <f t="shared" si="113"/>
        <v>4.5113303364664112E-3</v>
      </c>
      <c r="K496" s="33">
        <f t="shared" si="114"/>
        <v>221.66410469140459</v>
      </c>
      <c r="L496" s="8">
        <v>0</v>
      </c>
      <c r="M496" s="9">
        <v>1</v>
      </c>
      <c r="N496" s="8">
        <v>0</v>
      </c>
      <c r="O496" s="9">
        <v>0</v>
      </c>
      <c r="P496" s="9">
        <v>1</v>
      </c>
      <c r="Q496" s="9">
        <v>0</v>
      </c>
      <c r="R496" s="9">
        <v>0</v>
      </c>
      <c r="S496" s="8">
        <v>43611</v>
      </c>
      <c r="T496" s="9">
        <v>17</v>
      </c>
      <c r="U496" s="9">
        <f t="shared" si="108"/>
        <v>43593</v>
      </c>
      <c r="V496" s="9">
        <f t="shared" si="109"/>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17"/>
        <v>0.42900000000000005</v>
      </c>
      <c r="AR496" s="40">
        <v>0.57099999999999995</v>
      </c>
      <c r="AS496">
        <v>0.61499999999999999</v>
      </c>
      <c r="AT496" s="40">
        <f t="shared" si="118"/>
        <v>0.38500000000000001</v>
      </c>
      <c r="AU496">
        <v>0</v>
      </c>
      <c r="AV496" s="18">
        <v>1</v>
      </c>
      <c r="AW496">
        <f t="shared" si="119"/>
        <v>0.47399999999999998</v>
      </c>
      <c r="AX496" s="18">
        <v>0.52600000000000002</v>
      </c>
      <c r="AY496" s="18" t="s">
        <v>28</v>
      </c>
      <c r="AZ496">
        <v>0</v>
      </c>
      <c r="BA496">
        <v>1</v>
      </c>
      <c r="BB496">
        <v>0</v>
      </c>
      <c r="BC496">
        <v>0</v>
      </c>
      <c r="BD496">
        <v>0</v>
      </c>
      <c r="BE496">
        <v>0</v>
      </c>
      <c r="BF496" s="18">
        <v>0</v>
      </c>
      <c r="BG496">
        <v>0</v>
      </c>
      <c r="BH496">
        <v>1</v>
      </c>
      <c r="BI496" s="18">
        <v>0</v>
      </c>
      <c r="BJ496">
        <v>2572</v>
      </c>
      <c r="BK496">
        <v>214</v>
      </c>
      <c r="BL496" s="25">
        <v>37.829000000000001</v>
      </c>
      <c r="BM496">
        <v>1</v>
      </c>
      <c r="BN496">
        <v>0</v>
      </c>
      <c r="BO496">
        <v>0</v>
      </c>
      <c r="BP496">
        <v>0</v>
      </c>
      <c r="BQ496">
        <v>0</v>
      </c>
      <c r="BR496">
        <v>0</v>
      </c>
      <c r="BS496">
        <v>0</v>
      </c>
      <c r="BT496" s="18">
        <v>0</v>
      </c>
      <c r="BU496">
        <v>0</v>
      </c>
      <c r="BV496">
        <v>0</v>
      </c>
      <c r="BW496">
        <v>1</v>
      </c>
      <c r="BX496" s="18">
        <v>0</v>
      </c>
      <c r="BY496">
        <v>0</v>
      </c>
      <c r="BZ496">
        <v>0</v>
      </c>
      <c r="CA496">
        <v>0</v>
      </c>
      <c r="CB496">
        <v>0</v>
      </c>
      <c r="CC496" s="18">
        <v>0</v>
      </c>
      <c r="CD496">
        <v>1</v>
      </c>
      <c r="CE496">
        <v>1</v>
      </c>
      <c r="CF496">
        <v>0</v>
      </c>
      <c r="CG496">
        <v>0</v>
      </c>
      <c r="CH496">
        <v>0</v>
      </c>
      <c r="CI496">
        <v>0</v>
      </c>
      <c r="CJ496">
        <v>1</v>
      </c>
      <c r="CK496">
        <v>1</v>
      </c>
      <c r="CL496">
        <v>0</v>
      </c>
      <c r="CM496">
        <v>1</v>
      </c>
      <c r="CN496" s="18">
        <v>1</v>
      </c>
      <c r="CO496">
        <v>1.232</v>
      </c>
      <c r="CP496">
        <v>2</v>
      </c>
      <c r="CQ496">
        <v>1</v>
      </c>
      <c r="CR496">
        <v>0</v>
      </c>
      <c r="CS496">
        <v>19</v>
      </c>
      <c r="CY496" s="34"/>
    </row>
    <row r="497" spans="1:103" x14ac:dyDescent="0.25">
      <c r="A497">
        <v>496</v>
      </c>
      <c r="B497">
        <v>33</v>
      </c>
      <c r="C497" s="25" t="s">
        <v>320</v>
      </c>
      <c r="D497" s="12">
        <v>8.5809657470018905</v>
      </c>
      <c r="E497" s="14">
        <v>0.30803466784109351</v>
      </c>
      <c r="F497" s="7">
        <v>27.857142857142861</v>
      </c>
      <c r="G497" s="7">
        <f t="shared" si="106"/>
        <v>8.2729310791607968</v>
      </c>
      <c r="H497" s="16">
        <f t="shared" si="107"/>
        <v>8.8890004148429842</v>
      </c>
      <c r="I497" s="11">
        <f t="shared" si="112"/>
        <v>0.13839588612814366</v>
      </c>
      <c r="J497" s="33">
        <f t="shared" si="113"/>
        <v>4.9680574507538749E-3</v>
      </c>
      <c r="K497" s="33">
        <f t="shared" si="114"/>
        <v>201.28591706367155</v>
      </c>
      <c r="L497" s="8">
        <v>0</v>
      </c>
      <c r="M497" s="9">
        <v>1</v>
      </c>
      <c r="N497" s="8">
        <v>0</v>
      </c>
      <c r="O497" s="9">
        <v>0</v>
      </c>
      <c r="P497" s="9">
        <v>1</v>
      </c>
      <c r="Q497" s="9">
        <v>0</v>
      </c>
      <c r="R497" s="9">
        <v>0</v>
      </c>
      <c r="S497" s="8">
        <v>39756</v>
      </c>
      <c r="T497" s="9">
        <v>15</v>
      </c>
      <c r="U497" s="9">
        <f t="shared" si="108"/>
        <v>39740</v>
      </c>
      <c r="V497" s="9">
        <f t="shared" si="109"/>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17"/>
        <v>0.42900000000000005</v>
      </c>
      <c r="AR497" s="40">
        <v>0.57099999999999995</v>
      </c>
      <c r="AS497">
        <v>0.61499999999999999</v>
      </c>
      <c r="AT497" s="40">
        <f t="shared" si="118"/>
        <v>0.38500000000000001</v>
      </c>
      <c r="AU497">
        <v>0</v>
      </c>
      <c r="AV497" s="18">
        <v>1</v>
      </c>
      <c r="AW497">
        <f t="shared" si="119"/>
        <v>0.47399999999999998</v>
      </c>
      <c r="AX497" s="18">
        <v>0.52600000000000002</v>
      </c>
      <c r="AY497" s="18" t="s">
        <v>28</v>
      </c>
      <c r="AZ497">
        <v>0</v>
      </c>
      <c r="BA497">
        <v>1</v>
      </c>
      <c r="BB497">
        <v>0</v>
      </c>
      <c r="BC497">
        <v>0</v>
      </c>
      <c r="BD497">
        <v>0</v>
      </c>
      <c r="BE497">
        <v>0</v>
      </c>
      <c r="BF497" s="18">
        <v>0</v>
      </c>
      <c r="BG497">
        <v>0</v>
      </c>
      <c r="BH497">
        <v>1</v>
      </c>
      <c r="BI497" s="18">
        <v>0</v>
      </c>
      <c r="BJ497">
        <v>2572</v>
      </c>
      <c r="BK497">
        <v>214</v>
      </c>
      <c r="BL497" s="25">
        <v>37.829000000000001</v>
      </c>
      <c r="BM497">
        <v>0</v>
      </c>
      <c r="BN497">
        <v>0</v>
      </c>
      <c r="BO497">
        <v>0</v>
      </c>
      <c r="BP497">
        <v>0</v>
      </c>
      <c r="BQ497">
        <v>0</v>
      </c>
      <c r="BR497">
        <v>0</v>
      </c>
      <c r="BS497">
        <v>0</v>
      </c>
      <c r="BT497" s="18">
        <v>1</v>
      </c>
      <c r="BU497">
        <v>0</v>
      </c>
      <c r="BV497">
        <v>1</v>
      </c>
      <c r="BW497">
        <v>0</v>
      </c>
      <c r="BX497" s="18">
        <v>0</v>
      </c>
      <c r="BY497">
        <v>0</v>
      </c>
      <c r="BZ497">
        <v>1</v>
      </c>
      <c r="CA497">
        <v>0</v>
      </c>
      <c r="CB497">
        <v>0</v>
      </c>
      <c r="CC497" s="18">
        <v>0</v>
      </c>
      <c r="CD497">
        <v>1</v>
      </c>
      <c r="CE497">
        <v>1</v>
      </c>
      <c r="CF497">
        <v>0</v>
      </c>
      <c r="CG497">
        <v>0</v>
      </c>
      <c r="CH497">
        <v>0</v>
      </c>
      <c r="CI497">
        <v>0</v>
      </c>
      <c r="CJ497">
        <v>1</v>
      </c>
      <c r="CK497">
        <v>1</v>
      </c>
      <c r="CL497">
        <v>0</v>
      </c>
      <c r="CM497">
        <v>1</v>
      </c>
      <c r="CN497" s="18">
        <v>1</v>
      </c>
      <c r="CO497">
        <v>1.232</v>
      </c>
      <c r="CP497">
        <v>2</v>
      </c>
      <c r="CQ497">
        <v>1</v>
      </c>
      <c r="CR497">
        <v>0</v>
      </c>
      <c r="CS497">
        <v>19</v>
      </c>
      <c r="CY497" s="34"/>
    </row>
    <row r="498" spans="1:103" x14ac:dyDescent="0.25">
      <c r="A498">
        <v>497</v>
      </c>
      <c r="B498">
        <v>33</v>
      </c>
      <c r="C498" s="25" t="s">
        <v>320</v>
      </c>
      <c r="D498" s="12">
        <v>14.45523142259597</v>
      </c>
      <c r="E498" s="14">
        <v>0.35105562026304499</v>
      </c>
      <c r="F498" s="7">
        <v>41.17647058823529</v>
      </c>
      <c r="G498" s="7">
        <f t="shared" si="106"/>
        <v>14.104175802332925</v>
      </c>
      <c r="H498" s="16">
        <f t="shared" si="107"/>
        <v>14.806287042859015</v>
      </c>
      <c r="I498" s="11">
        <f t="shared" si="112"/>
        <v>0.20228459842864593</v>
      </c>
      <c r="J498" s="33">
        <f t="shared" si="113"/>
        <v>4.912625961838544E-3</v>
      </c>
      <c r="K498" s="33">
        <f t="shared" si="114"/>
        <v>203.55712154111387</v>
      </c>
      <c r="L498" s="8">
        <v>0</v>
      </c>
      <c r="M498" s="9">
        <v>1</v>
      </c>
      <c r="N498" s="8">
        <v>0</v>
      </c>
      <c r="O498" s="9">
        <v>0</v>
      </c>
      <c r="P498" s="9">
        <v>1</v>
      </c>
      <c r="Q498" s="9">
        <v>0</v>
      </c>
      <c r="R498" s="9">
        <v>0</v>
      </c>
      <c r="S498" s="8">
        <v>39756</v>
      </c>
      <c r="T498" s="9">
        <v>15</v>
      </c>
      <c r="U498" s="9">
        <f t="shared" si="108"/>
        <v>39740</v>
      </c>
      <c r="V498" s="9">
        <f t="shared" si="109"/>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17"/>
        <v>0.42900000000000005</v>
      </c>
      <c r="AR498" s="40">
        <v>0.57099999999999995</v>
      </c>
      <c r="AS498">
        <v>0.61499999999999999</v>
      </c>
      <c r="AT498" s="40">
        <f t="shared" si="118"/>
        <v>0.38500000000000001</v>
      </c>
      <c r="AU498">
        <v>0</v>
      </c>
      <c r="AV498" s="18">
        <v>1</v>
      </c>
      <c r="AW498">
        <f t="shared" si="119"/>
        <v>0.47399999999999998</v>
      </c>
      <c r="AX498" s="18">
        <v>0.52600000000000002</v>
      </c>
      <c r="AY498" s="18" t="s">
        <v>28</v>
      </c>
      <c r="AZ498">
        <v>0</v>
      </c>
      <c r="BA498">
        <v>1</v>
      </c>
      <c r="BB498">
        <v>0</v>
      </c>
      <c r="BC498">
        <v>0</v>
      </c>
      <c r="BD498">
        <v>0</v>
      </c>
      <c r="BE498">
        <v>0</v>
      </c>
      <c r="BF498" s="18">
        <v>0</v>
      </c>
      <c r="BG498">
        <v>0</v>
      </c>
      <c r="BH498">
        <v>1</v>
      </c>
      <c r="BI498" s="18">
        <v>0</v>
      </c>
      <c r="BJ498">
        <v>2572</v>
      </c>
      <c r="BK498">
        <v>214</v>
      </c>
      <c r="BL498" s="25">
        <v>37.829000000000001</v>
      </c>
      <c r="BM498">
        <v>0</v>
      </c>
      <c r="BN498">
        <v>0</v>
      </c>
      <c r="BO498">
        <v>0</v>
      </c>
      <c r="BP498">
        <v>0</v>
      </c>
      <c r="BQ498">
        <v>0</v>
      </c>
      <c r="BR498">
        <v>0</v>
      </c>
      <c r="BS498">
        <v>0</v>
      </c>
      <c r="BT498" s="18">
        <v>1</v>
      </c>
      <c r="BU498">
        <v>0</v>
      </c>
      <c r="BV498">
        <v>1</v>
      </c>
      <c r="BW498">
        <v>0</v>
      </c>
      <c r="BX498" s="18">
        <v>0</v>
      </c>
      <c r="BY498">
        <v>0</v>
      </c>
      <c r="BZ498">
        <v>1</v>
      </c>
      <c r="CA498">
        <v>0</v>
      </c>
      <c r="CB498">
        <v>0</v>
      </c>
      <c r="CC498" s="18">
        <v>0</v>
      </c>
      <c r="CD498">
        <v>1</v>
      </c>
      <c r="CE498">
        <v>1</v>
      </c>
      <c r="CF498">
        <v>0</v>
      </c>
      <c r="CG498">
        <v>0</v>
      </c>
      <c r="CH498">
        <v>0</v>
      </c>
      <c r="CI498">
        <v>0</v>
      </c>
      <c r="CJ498">
        <v>1</v>
      </c>
      <c r="CK498">
        <v>1</v>
      </c>
      <c r="CL498">
        <v>0</v>
      </c>
      <c r="CM498">
        <v>1</v>
      </c>
      <c r="CN498" s="18">
        <v>1</v>
      </c>
      <c r="CO498">
        <v>1.232</v>
      </c>
      <c r="CP498">
        <v>2</v>
      </c>
      <c r="CQ498">
        <v>1</v>
      </c>
      <c r="CR498">
        <v>0</v>
      </c>
      <c r="CS498">
        <v>19</v>
      </c>
      <c r="CY498" s="34"/>
    </row>
    <row r="499" spans="1:103" x14ac:dyDescent="0.25">
      <c r="A499">
        <v>498</v>
      </c>
      <c r="B499">
        <v>33</v>
      </c>
      <c r="C499" s="25" t="s">
        <v>320</v>
      </c>
      <c r="D499" s="12">
        <v>7.59106330355801</v>
      </c>
      <c r="E499" s="14">
        <v>1.160986152308872</v>
      </c>
      <c r="F499" s="7">
        <v>6.5384615384615392</v>
      </c>
      <c r="G499" s="7">
        <f t="shared" si="106"/>
        <v>6.4300771512491384</v>
      </c>
      <c r="H499" s="16">
        <f t="shared" si="107"/>
        <v>8.7520494558668815</v>
      </c>
      <c r="I499" s="11">
        <f t="shared" si="112"/>
        <v>0.10494498983487337</v>
      </c>
      <c r="J499" s="33">
        <f t="shared" si="113"/>
        <v>1.6050410210039456E-2</v>
      </c>
      <c r="K499" s="33">
        <f t="shared" si="114"/>
        <v>62.303703576031019</v>
      </c>
      <c r="L499" s="8">
        <v>0</v>
      </c>
      <c r="M499" s="9">
        <v>1</v>
      </c>
      <c r="N499" s="8">
        <v>0</v>
      </c>
      <c r="O499" s="9">
        <v>0</v>
      </c>
      <c r="P499" s="9">
        <v>1</v>
      </c>
      <c r="Q499" s="9">
        <v>0</v>
      </c>
      <c r="R499" s="9">
        <v>0</v>
      </c>
      <c r="S499" s="8">
        <v>3855</v>
      </c>
      <c r="T499" s="9">
        <v>15</v>
      </c>
      <c r="U499" s="9">
        <f t="shared" si="108"/>
        <v>3839</v>
      </c>
      <c r="V499" s="9">
        <f t="shared" si="109"/>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17"/>
        <v>0.42900000000000005</v>
      </c>
      <c r="AR499" s="40">
        <v>0.57099999999999995</v>
      </c>
      <c r="AS499">
        <v>0.61499999999999999</v>
      </c>
      <c r="AT499" s="40">
        <f t="shared" si="118"/>
        <v>0.38500000000000001</v>
      </c>
      <c r="AU499">
        <v>0</v>
      </c>
      <c r="AV499" s="18">
        <v>1</v>
      </c>
      <c r="AW499">
        <f t="shared" si="119"/>
        <v>0.47399999999999998</v>
      </c>
      <c r="AX499" s="18">
        <v>0.52600000000000002</v>
      </c>
      <c r="AY499" s="18" t="s">
        <v>28</v>
      </c>
      <c r="AZ499">
        <v>0</v>
      </c>
      <c r="BA499">
        <v>1</v>
      </c>
      <c r="BB499">
        <v>0</v>
      </c>
      <c r="BC499">
        <v>0</v>
      </c>
      <c r="BD499">
        <v>0</v>
      </c>
      <c r="BE499">
        <v>0</v>
      </c>
      <c r="BF499" s="18">
        <v>0</v>
      </c>
      <c r="BG499">
        <v>0</v>
      </c>
      <c r="BH499">
        <v>1</v>
      </c>
      <c r="BI499" s="18">
        <v>0</v>
      </c>
      <c r="BJ499">
        <v>2572</v>
      </c>
      <c r="BK499">
        <v>214</v>
      </c>
      <c r="BL499" s="25">
        <v>37.829000000000001</v>
      </c>
      <c r="BM499">
        <v>0</v>
      </c>
      <c r="BN499">
        <v>0</v>
      </c>
      <c r="BO499">
        <v>0</v>
      </c>
      <c r="BP499">
        <v>0</v>
      </c>
      <c r="BQ499">
        <v>0</v>
      </c>
      <c r="BR499">
        <v>0</v>
      </c>
      <c r="BS499">
        <v>0</v>
      </c>
      <c r="BT499" s="18">
        <v>1</v>
      </c>
      <c r="BU499">
        <v>0</v>
      </c>
      <c r="BV499">
        <v>1</v>
      </c>
      <c r="BW499">
        <v>0</v>
      </c>
      <c r="BX499" s="18">
        <v>0</v>
      </c>
      <c r="BY499">
        <v>0</v>
      </c>
      <c r="BZ499">
        <v>1</v>
      </c>
      <c r="CA499">
        <v>0</v>
      </c>
      <c r="CB499">
        <v>0</v>
      </c>
      <c r="CC499" s="18">
        <v>0</v>
      </c>
      <c r="CD499">
        <v>1</v>
      </c>
      <c r="CE499">
        <v>1</v>
      </c>
      <c r="CF499">
        <v>0</v>
      </c>
      <c r="CG499">
        <v>0</v>
      </c>
      <c r="CH499">
        <v>0</v>
      </c>
      <c r="CI499">
        <v>0</v>
      </c>
      <c r="CJ499">
        <v>1</v>
      </c>
      <c r="CK499">
        <v>1</v>
      </c>
      <c r="CL499">
        <v>0</v>
      </c>
      <c r="CM499">
        <v>1</v>
      </c>
      <c r="CN499" s="18">
        <v>1</v>
      </c>
      <c r="CO499">
        <v>1.232</v>
      </c>
      <c r="CP499">
        <v>2</v>
      </c>
      <c r="CQ499">
        <v>1</v>
      </c>
      <c r="CR499">
        <v>0</v>
      </c>
      <c r="CS499">
        <v>19</v>
      </c>
      <c r="CY499" s="34"/>
    </row>
    <row r="500" spans="1:103" x14ac:dyDescent="0.25">
      <c r="A500">
        <v>499</v>
      </c>
      <c r="B500">
        <v>33</v>
      </c>
      <c r="C500" s="25" t="s">
        <v>320</v>
      </c>
      <c r="D500" s="12">
        <v>15.75836902790226</v>
      </c>
      <c r="E500" s="14">
        <v>0.88061473979453819</v>
      </c>
      <c r="F500" s="7">
        <v>17.89473684210526</v>
      </c>
      <c r="G500" s="7">
        <f t="shared" si="106"/>
        <v>14.877754288107722</v>
      </c>
      <c r="H500" s="16">
        <f t="shared" si="107"/>
        <v>16.6389837676968</v>
      </c>
      <c r="I500" s="11">
        <f t="shared" si="112"/>
        <v>0.277472077484269</v>
      </c>
      <c r="J500" s="33">
        <f t="shared" si="113"/>
        <v>1.5505792565297388E-2</v>
      </c>
      <c r="K500" s="33">
        <f t="shared" si="114"/>
        <v>64.492027465789903</v>
      </c>
      <c r="L500" s="8">
        <v>0</v>
      </c>
      <c r="M500" s="9">
        <v>1</v>
      </c>
      <c r="N500" s="8">
        <v>0</v>
      </c>
      <c r="O500" s="9">
        <v>0</v>
      </c>
      <c r="P500" s="9">
        <v>1</v>
      </c>
      <c r="Q500" s="9">
        <v>0</v>
      </c>
      <c r="R500" s="9">
        <v>0</v>
      </c>
      <c r="S500" s="8">
        <v>3855</v>
      </c>
      <c r="T500" s="9">
        <v>15</v>
      </c>
      <c r="U500" s="9">
        <f t="shared" si="108"/>
        <v>3839</v>
      </c>
      <c r="V500" s="9">
        <f t="shared" si="109"/>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17"/>
        <v>0.42900000000000005</v>
      </c>
      <c r="AR500" s="40">
        <v>0.57099999999999995</v>
      </c>
      <c r="AS500">
        <v>0.61499999999999999</v>
      </c>
      <c r="AT500" s="40">
        <f t="shared" si="118"/>
        <v>0.38500000000000001</v>
      </c>
      <c r="AU500">
        <v>0</v>
      </c>
      <c r="AV500" s="18">
        <v>1</v>
      </c>
      <c r="AW500">
        <f t="shared" si="119"/>
        <v>0.47399999999999998</v>
      </c>
      <c r="AX500" s="18">
        <v>0.52600000000000002</v>
      </c>
      <c r="AY500" s="18" t="s">
        <v>28</v>
      </c>
      <c r="AZ500">
        <v>0</v>
      </c>
      <c r="BA500">
        <v>1</v>
      </c>
      <c r="BB500">
        <v>0</v>
      </c>
      <c r="BC500">
        <v>0</v>
      </c>
      <c r="BD500">
        <v>0</v>
      </c>
      <c r="BE500">
        <v>0</v>
      </c>
      <c r="BF500" s="18">
        <v>0</v>
      </c>
      <c r="BG500">
        <v>0</v>
      </c>
      <c r="BH500">
        <v>1</v>
      </c>
      <c r="BI500" s="18">
        <v>0</v>
      </c>
      <c r="BJ500">
        <v>2572</v>
      </c>
      <c r="BK500">
        <v>214</v>
      </c>
      <c r="BL500" s="25">
        <v>37.829000000000001</v>
      </c>
      <c r="BM500">
        <v>0</v>
      </c>
      <c r="BN500">
        <v>0</v>
      </c>
      <c r="BO500">
        <v>0</v>
      </c>
      <c r="BP500">
        <v>0</v>
      </c>
      <c r="BQ500">
        <v>0</v>
      </c>
      <c r="BR500">
        <v>0</v>
      </c>
      <c r="BS500">
        <v>0</v>
      </c>
      <c r="BT500" s="18">
        <v>1</v>
      </c>
      <c r="BU500">
        <v>0</v>
      </c>
      <c r="BV500">
        <v>1</v>
      </c>
      <c r="BW500">
        <v>0</v>
      </c>
      <c r="BX500" s="18">
        <v>0</v>
      </c>
      <c r="BY500">
        <v>0</v>
      </c>
      <c r="BZ500">
        <v>1</v>
      </c>
      <c r="CA500">
        <v>0</v>
      </c>
      <c r="CB500">
        <v>0</v>
      </c>
      <c r="CC500" s="18">
        <v>0</v>
      </c>
      <c r="CD500">
        <v>1</v>
      </c>
      <c r="CE500">
        <v>1</v>
      </c>
      <c r="CF500">
        <v>0</v>
      </c>
      <c r="CG500">
        <v>0</v>
      </c>
      <c r="CH500">
        <v>0</v>
      </c>
      <c r="CI500">
        <v>0</v>
      </c>
      <c r="CJ500">
        <v>1</v>
      </c>
      <c r="CK500">
        <v>1</v>
      </c>
      <c r="CL500">
        <v>0</v>
      </c>
      <c r="CM500">
        <v>1</v>
      </c>
      <c r="CN500" s="18">
        <v>1</v>
      </c>
      <c r="CO500">
        <v>1.232</v>
      </c>
      <c r="CP500">
        <v>2</v>
      </c>
      <c r="CQ500">
        <v>1</v>
      </c>
      <c r="CR500">
        <v>0</v>
      </c>
      <c r="CS500">
        <v>19</v>
      </c>
      <c r="CY500" s="34"/>
    </row>
    <row r="501" spans="1:103" x14ac:dyDescent="0.25">
      <c r="A501">
        <v>500</v>
      </c>
      <c r="B501">
        <v>33</v>
      </c>
      <c r="C501" s="25" t="s">
        <v>320</v>
      </c>
      <c r="D501" s="12">
        <v>7.9902948865804291</v>
      </c>
      <c r="E501" s="14">
        <v>0.1997573721645107</v>
      </c>
      <c r="F501" s="7">
        <v>40</v>
      </c>
      <c r="G501" s="7">
        <f t="shared" si="106"/>
        <v>7.7905375144159184</v>
      </c>
      <c r="H501" s="16">
        <f t="shared" si="107"/>
        <v>8.1900522587449398</v>
      </c>
      <c r="I501" s="11">
        <f t="shared" si="112"/>
        <v>0.28075187769348076</v>
      </c>
      <c r="J501" s="33">
        <f t="shared" si="113"/>
        <v>7.0187969423370199E-3</v>
      </c>
      <c r="K501" s="33">
        <f t="shared" si="114"/>
        <v>142.47455913249917</v>
      </c>
      <c r="L501" s="8">
        <v>0</v>
      </c>
      <c r="M501" s="9">
        <v>1</v>
      </c>
      <c r="N501" s="8">
        <v>0</v>
      </c>
      <c r="O501" s="9">
        <v>0</v>
      </c>
      <c r="P501" s="9">
        <v>1</v>
      </c>
      <c r="Q501" s="9">
        <v>0</v>
      </c>
      <c r="R501" s="9">
        <v>0</v>
      </c>
      <c r="S501" s="8">
        <v>18716</v>
      </c>
      <c r="T501" s="9">
        <v>16</v>
      </c>
      <c r="U501" s="9">
        <f t="shared" si="108"/>
        <v>18699</v>
      </c>
      <c r="V501" s="9">
        <f t="shared" si="109"/>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18"/>
        <v>0.38500000000000001</v>
      </c>
      <c r="AU501">
        <v>0</v>
      </c>
      <c r="AV501" s="18">
        <v>1</v>
      </c>
      <c r="AW501">
        <f t="shared" si="119"/>
        <v>0.47399999999999998</v>
      </c>
      <c r="AX501" s="18">
        <v>0.52600000000000002</v>
      </c>
      <c r="AY501" s="18" t="s">
        <v>28</v>
      </c>
      <c r="AZ501">
        <v>0</v>
      </c>
      <c r="BA501">
        <v>1</v>
      </c>
      <c r="BB501">
        <v>0</v>
      </c>
      <c r="BC501">
        <v>0</v>
      </c>
      <c r="BD501">
        <v>0</v>
      </c>
      <c r="BE501">
        <v>0</v>
      </c>
      <c r="BF501" s="18">
        <v>0</v>
      </c>
      <c r="BG501">
        <v>0</v>
      </c>
      <c r="BH501">
        <v>1</v>
      </c>
      <c r="BI501" s="18">
        <v>0</v>
      </c>
      <c r="BJ501">
        <v>2572</v>
      </c>
      <c r="BK501">
        <v>214</v>
      </c>
      <c r="BL501" s="25">
        <v>37.829000000000001</v>
      </c>
      <c r="BM501">
        <v>1</v>
      </c>
      <c r="BN501">
        <v>0</v>
      </c>
      <c r="BO501">
        <v>0</v>
      </c>
      <c r="BP501">
        <v>0</v>
      </c>
      <c r="BQ501">
        <v>0</v>
      </c>
      <c r="BR501">
        <v>0</v>
      </c>
      <c r="BS501">
        <v>0</v>
      </c>
      <c r="BT501" s="18">
        <v>0</v>
      </c>
      <c r="BU501">
        <v>0</v>
      </c>
      <c r="BV501">
        <v>0</v>
      </c>
      <c r="BW501">
        <v>1</v>
      </c>
      <c r="BX501" s="18">
        <v>0</v>
      </c>
      <c r="BY501">
        <v>0</v>
      </c>
      <c r="BZ501">
        <v>0</v>
      </c>
      <c r="CA501">
        <v>0</v>
      </c>
      <c r="CB501">
        <v>0</v>
      </c>
      <c r="CC501" s="18">
        <v>0</v>
      </c>
      <c r="CD501">
        <v>1</v>
      </c>
      <c r="CE501">
        <v>1</v>
      </c>
      <c r="CF501">
        <v>0</v>
      </c>
      <c r="CG501">
        <v>0</v>
      </c>
      <c r="CH501">
        <v>0</v>
      </c>
      <c r="CI501">
        <v>0</v>
      </c>
      <c r="CJ501">
        <v>0</v>
      </c>
      <c r="CK501">
        <v>1</v>
      </c>
      <c r="CL501">
        <v>0</v>
      </c>
      <c r="CM501">
        <v>1</v>
      </c>
      <c r="CN501" s="18">
        <v>1</v>
      </c>
      <c r="CO501">
        <v>1.232</v>
      </c>
      <c r="CP501">
        <v>2</v>
      </c>
      <c r="CQ501">
        <v>1</v>
      </c>
      <c r="CR501">
        <v>0</v>
      </c>
      <c r="CS501">
        <v>19</v>
      </c>
      <c r="CY501" s="34"/>
    </row>
    <row r="502" spans="1:103" x14ac:dyDescent="0.25">
      <c r="A502">
        <v>501</v>
      </c>
      <c r="B502">
        <v>33</v>
      </c>
      <c r="C502" s="25" t="s">
        <v>320</v>
      </c>
      <c r="D502" s="12">
        <v>14.89125293076059</v>
      </c>
      <c r="E502" s="14">
        <v>0.28468571779395241</v>
      </c>
      <c r="F502" s="7">
        <v>52.307692307692307</v>
      </c>
      <c r="G502" s="7">
        <f t="shared" si="106"/>
        <v>14.606567212966638</v>
      </c>
      <c r="H502" s="16">
        <f t="shared" si="107"/>
        <v>15.175938648554542</v>
      </c>
      <c r="I502" s="11">
        <f t="shared" si="112"/>
        <v>0.35727518878461623</v>
      </c>
      <c r="J502" s="33">
        <f t="shared" si="113"/>
        <v>6.8302609620588409E-3</v>
      </c>
      <c r="K502" s="33">
        <f t="shared" si="114"/>
        <v>146.40729037365662</v>
      </c>
      <c r="L502" s="8">
        <v>0</v>
      </c>
      <c r="M502" s="9">
        <v>1</v>
      </c>
      <c r="N502" s="8">
        <v>0</v>
      </c>
      <c r="O502" s="9">
        <v>0</v>
      </c>
      <c r="P502" s="9">
        <v>1</v>
      </c>
      <c r="Q502" s="9">
        <v>0</v>
      </c>
      <c r="R502" s="9">
        <v>0</v>
      </c>
      <c r="S502" s="8">
        <v>18716</v>
      </c>
      <c r="T502" s="9">
        <v>16</v>
      </c>
      <c r="U502" s="9">
        <f t="shared" si="108"/>
        <v>18699</v>
      </c>
      <c r="V502" s="9">
        <f t="shared" si="109"/>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18"/>
        <v>0.38500000000000001</v>
      </c>
      <c r="AU502">
        <v>0</v>
      </c>
      <c r="AV502" s="18">
        <v>1</v>
      </c>
      <c r="AW502">
        <f t="shared" si="119"/>
        <v>0.47399999999999998</v>
      </c>
      <c r="AX502" s="18">
        <v>0.52600000000000002</v>
      </c>
      <c r="AY502" s="18" t="s">
        <v>28</v>
      </c>
      <c r="AZ502">
        <v>0</v>
      </c>
      <c r="BA502">
        <v>1</v>
      </c>
      <c r="BB502">
        <v>0</v>
      </c>
      <c r="BC502">
        <v>0</v>
      </c>
      <c r="BD502">
        <v>0</v>
      </c>
      <c r="BE502">
        <v>0</v>
      </c>
      <c r="BF502" s="18">
        <v>0</v>
      </c>
      <c r="BG502">
        <v>0</v>
      </c>
      <c r="BH502">
        <v>1</v>
      </c>
      <c r="BI502" s="18">
        <v>0</v>
      </c>
      <c r="BJ502">
        <v>2572</v>
      </c>
      <c r="BK502">
        <v>214</v>
      </c>
      <c r="BL502" s="25">
        <v>37.829000000000001</v>
      </c>
      <c r="BM502">
        <v>1</v>
      </c>
      <c r="BN502">
        <v>0</v>
      </c>
      <c r="BO502">
        <v>0</v>
      </c>
      <c r="BP502">
        <v>0</v>
      </c>
      <c r="BQ502">
        <v>0</v>
      </c>
      <c r="BR502">
        <v>0</v>
      </c>
      <c r="BS502">
        <v>0</v>
      </c>
      <c r="BT502" s="18">
        <v>0</v>
      </c>
      <c r="BU502">
        <v>0</v>
      </c>
      <c r="BV502">
        <v>0</v>
      </c>
      <c r="BW502">
        <v>1</v>
      </c>
      <c r="BX502" s="18">
        <v>0</v>
      </c>
      <c r="BY502">
        <v>0</v>
      </c>
      <c r="BZ502">
        <v>0</v>
      </c>
      <c r="CA502">
        <v>0</v>
      </c>
      <c r="CB502">
        <v>0</v>
      </c>
      <c r="CC502" s="18">
        <v>0</v>
      </c>
      <c r="CD502">
        <v>1</v>
      </c>
      <c r="CE502">
        <v>1</v>
      </c>
      <c r="CF502">
        <v>0</v>
      </c>
      <c r="CG502">
        <v>0</v>
      </c>
      <c r="CH502">
        <v>0</v>
      </c>
      <c r="CI502">
        <v>0</v>
      </c>
      <c r="CJ502">
        <v>0</v>
      </c>
      <c r="CK502">
        <v>1</v>
      </c>
      <c r="CL502">
        <v>0</v>
      </c>
      <c r="CM502">
        <v>1</v>
      </c>
      <c r="CN502" s="18">
        <v>1</v>
      </c>
      <c r="CO502">
        <v>1.232</v>
      </c>
      <c r="CP502">
        <v>2</v>
      </c>
      <c r="CQ502">
        <v>1</v>
      </c>
      <c r="CR502">
        <v>0</v>
      </c>
      <c r="CS502">
        <v>19</v>
      </c>
      <c r="CY502" s="34"/>
    </row>
    <row r="503" spans="1:103" x14ac:dyDescent="0.25">
      <c r="A503">
        <v>502</v>
      </c>
      <c r="B503">
        <v>33</v>
      </c>
      <c r="C503" s="25" t="s">
        <v>320</v>
      </c>
      <c r="D503" s="12">
        <v>8.1882614275672125</v>
      </c>
      <c r="E503" s="14">
        <v>0.1770434903257776</v>
      </c>
      <c r="F503" s="7">
        <v>46.25</v>
      </c>
      <c r="G503" s="7">
        <f t="shared" si="106"/>
        <v>8.0112179372414349</v>
      </c>
      <c r="H503" s="16">
        <f t="shared" si="107"/>
        <v>8.3653049178929901</v>
      </c>
      <c r="I503" s="11">
        <f t="shared" si="112"/>
        <v>0.28136402135764199</v>
      </c>
      <c r="J503" s="33">
        <f t="shared" si="113"/>
        <v>6.0835464077327985E-3</v>
      </c>
      <c r="K503" s="33">
        <f t="shared" si="114"/>
        <v>164.37780415859072</v>
      </c>
      <c r="L503" s="8">
        <v>0</v>
      </c>
      <c r="M503" s="9">
        <v>1</v>
      </c>
      <c r="N503" s="8">
        <v>0</v>
      </c>
      <c r="O503" s="9">
        <v>0</v>
      </c>
      <c r="P503" s="9">
        <v>1</v>
      </c>
      <c r="Q503" s="9">
        <v>0</v>
      </c>
      <c r="R503" s="9">
        <v>0</v>
      </c>
      <c r="S503" s="8">
        <v>24898</v>
      </c>
      <c r="T503" s="9">
        <v>16</v>
      </c>
      <c r="U503" s="9">
        <f t="shared" si="108"/>
        <v>24881</v>
      </c>
      <c r="V503" s="9">
        <f t="shared" si="109"/>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18"/>
        <v>0.38500000000000001</v>
      </c>
      <c r="AU503">
        <v>0</v>
      </c>
      <c r="AV503" s="18">
        <v>1</v>
      </c>
      <c r="AW503">
        <f t="shared" si="119"/>
        <v>0.47399999999999998</v>
      </c>
      <c r="AX503" s="18">
        <v>0.52600000000000002</v>
      </c>
      <c r="AY503" s="18" t="s">
        <v>28</v>
      </c>
      <c r="AZ503">
        <v>0</v>
      </c>
      <c r="BA503">
        <v>1</v>
      </c>
      <c r="BB503">
        <v>0</v>
      </c>
      <c r="BC503">
        <v>0</v>
      </c>
      <c r="BD503">
        <v>0</v>
      </c>
      <c r="BE503">
        <v>0</v>
      </c>
      <c r="BF503" s="18">
        <v>0</v>
      </c>
      <c r="BG503">
        <v>0</v>
      </c>
      <c r="BH503">
        <v>1</v>
      </c>
      <c r="BI503" s="18">
        <v>0</v>
      </c>
      <c r="BJ503">
        <v>2572</v>
      </c>
      <c r="BK503">
        <v>214</v>
      </c>
      <c r="BL503" s="25">
        <v>37.829000000000001</v>
      </c>
      <c r="BM503">
        <v>1</v>
      </c>
      <c r="BN503">
        <v>0</v>
      </c>
      <c r="BO503">
        <v>0</v>
      </c>
      <c r="BP503">
        <v>0</v>
      </c>
      <c r="BQ503">
        <v>0</v>
      </c>
      <c r="BR503">
        <v>0</v>
      </c>
      <c r="BS503">
        <v>0</v>
      </c>
      <c r="BT503" s="18">
        <v>0</v>
      </c>
      <c r="BU503">
        <v>0</v>
      </c>
      <c r="BV503">
        <v>0</v>
      </c>
      <c r="BW503">
        <v>1</v>
      </c>
      <c r="BX503" s="18">
        <v>0</v>
      </c>
      <c r="BY503">
        <v>0</v>
      </c>
      <c r="BZ503">
        <v>0</v>
      </c>
      <c r="CA503">
        <v>0</v>
      </c>
      <c r="CB503">
        <v>0</v>
      </c>
      <c r="CC503" s="18">
        <v>0</v>
      </c>
      <c r="CD503">
        <v>1</v>
      </c>
      <c r="CE503">
        <v>1</v>
      </c>
      <c r="CF503">
        <v>0</v>
      </c>
      <c r="CG503">
        <v>0</v>
      </c>
      <c r="CH503">
        <v>0</v>
      </c>
      <c r="CI503">
        <v>0</v>
      </c>
      <c r="CJ503">
        <v>0</v>
      </c>
      <c r="CK503">
        <v>1</v>
      </c>
      <c r="CL503">
        <v>0</v>
      </c>
      <c r="CM503">
        <v>1</v>
      </c>
      <c r="CN503" s="18">
        <v>1</v>
      </c>
      <c r="CO503">
        <v>1.232</v>
      </c>
      <c r="CP503">
        <v>2</v>
      </c>
      <c r="CQ503">
        <v>1</v>
      </c>
      <c r="CR503">
        <v>0</v>
      </c>
      <c r="CS503">
        <v>19</v>
      </c>
      <c r="CY503" s="34"/>
    </row>
    <row r="504" spans="1:103" x14ac:dyDescent="0.25">
      <c r="A504">
        <v>503</v>
      </c>
      <c r="B504">
        <v>33</v>
      </c>
      <c r="C504" s="25" t="s">
        <v>320</v>
      </c>
      <c r="D504" s="12">
        <v>14.891252930760571</v>
      </c>
      <c r="E504" s="14">
        <v>0.25897831183931419</v>
      </c>
      <c r="F504" s="7">
        <v>57.499999999999993</v>
      </c>
      <c r="G504" s="7">
        <f t="shared" si="106"/>
        <v>14.632274618921256</v>
      </c>
      <c r="H504" s="16">
        <f t="shared" si="107"/>
        <v>15.150231242599885</v>
      </c>
      <c r="I504" s="11">
        <f t="shared" si="112"/>
        <v>0.34248494936346119</v>
      </c>
      <c r="J504" s="33">
        <f t="shared" si="113"/>
        <v>5.9562599889297612E-3</v>
      </c>
      <c r="K504" s="33">
        <f t="shared" si="114"/>
        <v>167.89058937296036</v>
      </c>
      <c r="L504" s="8">
        <v>0</v>
      </c>
      <c r="M504" s="9">
        <v>1</v>
      </c>
      <c r="N504" s="8">
        <v>0</v>
      </c>
      <c r="O504" s="9">
        <v>0</v>
      </c>
      <c r="P504" s="9">
        <v>1</v>
      </c>
      <c r="Q504" s="9">
        <v>0</v>
      </c>
      <c r="R504" s="9">
        <v>0</v>
      </c>
      <c r="S504" s="8">
        <v>24898</v>
      </c>
      <c r="T504" s="9">
        <v>16</v>
      </c>
      <c r="U504" s="9">
        <f t="shared" si="108"/>
        <v>24881</v>
      </c>
      <c r="V504" s="9">
        <f t="shared" si="109"/>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18"/>
        <v>0.38500000000000001</v>
      </c>
      <c r="AU504">
        <v>0</v>
      </c>
      <c r="AV504" s="18">
        <v>1</v>
      </c>
      <c r="AW504">
        <f t="shared" si="119"/>
        <v>0.47399999999999998</v>
      </c>
      <c r="AX504" s="18">
        <v>0.52600000000000002</v>
      </c>
      <c r="AY504" s="18" t="s">
        <v>28</v>
      </c>
      <c r="AZ504">
        <v>0</v>
      </c>
      <c r="BA504">
        <v>1</v>
      </c>
      <c r="BB504">
        <v>0</v>
      </c>
      <c r="BC504">
        <v>0</v>
      </c>
      <c r="BD504">
        <v>0</v>
      </c>
      <c r="BE504">
        <v>0</v>
      </c>
      <c r="BF504" s="18">
        <v>0</v>
      </c>
      <c r="BG504">
        <v>0</v>
      </c>
      <c r="BH504">
        <v>1</v>
      </c>
      <c r="BI504" s="18">
        <v>0</v>
      </c>
      <c r="BJ504">
        <v>2572</v>
      </c>
      <c r="BK504">
        <v>214</v>
      </c>
      <c r="BL504" s="25">
        <v>37.829000000000001</v>
      </c>
      <c r="BM504">
        <v>1</v>
      </c>
      <c r="BN504">
        <v>0</v>
      </c>
      <c r="BO504">
        <v>0</v>
      </c>
      <c r="BP504">
        <v>0</v>
      </c>
      <c r="BQ504">
        <v>0</v>
      </c>
      <c r="BR504">
        <v>0</v>
      </c>
      <c r="BS504">
        <v>0</v>
      </c>
      <c r="BT504" s="18">
        <v>0</v>
      </c>
      <c r="BU504">
        <v>0</v>
      </c>
      <c r="BV504">
        <v>0</v>
      </c>
      <c r="BW504">
        <v>1</v>
      </c>
      <c r="BX504" s="18">
        <v>0</v>
      </c>
      <c r="BY504">
        <v>0</v>
      </c>
      <c r="BZ504">
        <v>0</v>
      </c>
      <c r="CA504">
        <v>0</v>
      </c>
      <c r="CB504">
        <v>0</v>
      </c>
      <c r="CC504" s="18">
        <v>0</v>
      </c>
      <c r="CD504">
        <v>1</v>
      </c>
      <c r="CE504">
        <v>1</v>
      </c>
      <c r="CF504">
        <v>0</v>
      </c>
      <c r="CG504">
        <v>0</v>
      </c>
      <c r="CH504">
        <v>0</v>
      </c>
      <c r="CI504">
        <v>0</v>
      </c>
      <c r="CJ504">
        <v>0</v>
      </c>
      <c r="CK504">
        <v>1</v>
      </c>
      <c r="CL504">
        <v>0</v>
      </c>
      <c r="CM504">
        <v>1</v>
      </c>
      <c r="CN504" s="18">
        <v>1</v>
      </c>
      <c r="CO504">
        <v>1.232</v>
      </c>
      <c r="CP504">
        <v>2</v>
      </c>
      <c r="CQ504">
        <v>1</v>
      </c>
      <c r="CR504">
        <v>0</v>
      </c>
      <c r="CS504">
        <v>19</v>
      </c>
      <c r="CY504" s="34"/>
    </row>
    <row r="505" spans="1:103" s="94" customFormat="1" x14ac:dyDescent="0.25">
      <c r="A505" s="94">
        <v>504</v>
      </c>
      <c r="B505" s="94">
        <v>34</v>
      </c>
      <c r="C505" s="95" t="s">
        <v>321</v>
      </c>
      <c r="D505" s="96">
        <v>8.07</v>
      </c>
      <c r="E505" s="97">
        <v>0.36</v>
      </c>
      <c r="F505" s="98">
        <f t="shared" ref="F505:F528" si="120">D505/E505</f>
        <v>22.416666666666668</v>
      </c>
      <c r="G505" s="98">
        <f t="shared" si="106"/>
        <v>7.71</v>
      </c>
      <c r="H505" s="99">
        <f t="shared" si="107"/>
        <v>8.43</v>
      </c>
      <c r="I505" s="11">
        <f t="shared" si="112"/>
        <v>0.13448371164683043</v>
      </c>
      <c r="J505" s="33">
        <f t="shared" si="113"/>
        <v>5.9992733820147404E-3</v>
      </c>
      <c r="K505" s="33">
        <f t="shared" si="114"/>
        <v>166.68685294420925</v>
      </c>
      <c r="L505" s="101">
        <v>1</v>
      </c>
      <c r="M505" s="102">
        <v>0</v>
      </c>
      <c r="N505" s="101">
        <v>0</v>
      </c>
      <c r="O505" s="102">
        <v>0</v>
      </c>
      <c r="P505" s="102">
        <v>1</v>
      </c>
      <c r="Q505" s="102">
        <v>0</v>
      </c>
      <c r="R505" s="102">
        <v>0</v>
      </c>
      <c r="S505" s="101">
        <v>27356</v>
      </c>
      <c r="T505" s="102">
        <v>73</v>
      </c>
      <c r="U505" s="102">
        <f t="shared" si="108"/>
        <v>27282</v>
      </c>
      <c r="V505" s="102">
        <f t="shared" si="109"/>
        <v>24</v>
      </c>
      <c r="W505" s="98">
        <v>5</v>
      </c>
      <c r="X505" s="98">
        <f t="shared" ref="X505:X528" si="121">BL505-W505-6</f>
        <v>23.878999999999998</v>
      </c>
      <c r="Y505" s="102">
        <v>1</v>
      </c>
      <c r="Z505" s="102">
        <v>0</v>
      </c>
      <c r="AA505" s="102">
        <v>1</v>
      </c>
      <c r="AB505" s="102">
        <v>0</v>
      </c>
      <c r="AC505" s="102">
        <v>0</v>
      </c>
      <c r="AD505" s="102">
        <v>0</v>
      </c>
      <c r="AE505" s="101">
        <v>0</v>
      </c>
      <c r="AF505" s="102">
        <v>1</v>
      </c>
      <c r="AG505" s="103">
        <v>0</v>
      </c>
      <c r="AH505" s="102">
        <v>0</v>
      </c>
      <c r="AI505" s="103">
        <v>1</v>
      </c>
      <c r="AJ505" s="104">
        <v>1983</v>
      </c>
      <c r="AK505" s="100">
        <f t="shared" ref="AK505:AK528" si="122">1-SUM(AL505:AN505)</f>
        <v>0.28200000000000003</v>
      </c>
      <c r="AL505" s="100">
        <v>0.1472</v>
      </c>
      <c r="AM505" s="100">
        <v>0.43049999999999999</v>
      </c>
      <c r="AN505" s="105">
        <v>0.14030000000000001</v>
      </c>
      <c r="AO505" s="106">
        <f t="shared" ref="AO505:AO528" si="123">1-AP505</f>
        <v>0.54134831999999999</v>
      </c>
      <c r="AP505" s="107">
        <f>(0.6116*AW505+0.39*AX505)</f>
        <v>0.45865168000000001</v>
      </c>
      <c r="AQ505" s="94">
        <v>1</v>
      </c>
      <c r="AR505" s="108">
        <v>0</v>
      </c>
      <c r="AS505" s="94" t="s">
        <v>98</v>
      </c>
      <c r="AT505" s="108" t="s">
        <v>98</v>
      </c>
      <c r="AU505">
        <v>0</v>
      </c>
      <c r="AV505" s="107">
        <v>1</v>
      </c>
      <c r="AW505" s="94">
        <v>0.30980000000000002</v>
      </c>
      <c r="AX505" s="107">
        <f t="shared" ref="AX505:AX528" si="124">1-AW505</f>
        <v>0.69019999999999992</v>
      </c>
      <c r="AY505" s="107" t="s">
        <v>12</v>
      </c>
      <c r="AZ505">
        <v>0</v>
      </c>
      <c r="BA505">
        <v>0</v>
      </c>
      <c r="BB505">
        <v>0</v>
      </c>
      <c r="BC505">
        <v>0</v>
      </c>
      <c r="BD505">
        <v>0</v>
      </c>
      <c r="BE505">
        <v>1</v>
      </c>
      <c r="BF505" s="107">
        <v>0</v>
      </c>
      <c r="BG505">
        <v>0</v>
      </c>
      <c r="BH505">
        <v>1</v>
      </c>
      <c r="BI505" s="107">
        <v>0</v>
      </c>
      <c r="BJ505">
        <v>329</v>
      </c>
      <c r="BK505">
        <v>27</v>
      </c>
      <c r="BL505" s="95">
        <v>34.878999999999998</v>
      </c>
      <c r="BM505" s="94">
        <v>0</v>
      </c>
      <c r="BN505" s="94">
        <v>0</v>
      </c>
      <c r="BO505" s="94">
        <v>0</v>
      </c>
      <c r="BP505" s="94">
        <v>0</v>
      </c>
      <c r="BQ505" s="94">
        <v>0</v>
      </c>
      <c r="BR505" s="94">
        <v>0</v>
      </c>
      <c r="BS505" s="94">
        <v>1</v>
      </c>
      <c r="BT505" s="107">
        <v>0</v>
      </c>
      <c r="BU505" s="94">
        <v>0</v>
      </c>
      <c r="BV505" s="94">
        <v>0</v>
      </c>
      <c r="BW505" s="94">
        <v>0</v>
      </c>
      <c r="BX505" s="107">
        <v>1</v>
      </c>
      <c r="BY505" s="94">
        <v>0</v>
      </c>
      <c r="BZ505" s="94">
        <v>0</v>
      </c>
      <c r="CA505" s="94">
        <v>0</v>
      </c>
      <c r="CB505" s="94">
        <v>0</v>
      </c>
      <c r="CC505" s="107">
        <v>0</v>
      </c>
      <c r="CD505" s="94">
        <v>1</v>
      </c>
      <c r="CE505" s="94">
        <v>0</v>
      </c>
      <c r="CF505" s="94">
        <v>0</v>
      </c>
      <c r="CG505" s="94">
        <v>0</v>
      </c>
      <c r="CH505" s="94">
        <v>1</v>
      </c>
      <c r="CI505" s="94">
        <v>0</v>
      </c>
      <c r="CJ505" s="94">
        <v>0</v>
      </c>
      <c r="CK505" s="94">
        <v>0</v>
      </c>
      <c r="CL505" s="94">
        <v>1</v>
      </c>
      <c r="CM505" s="94">
        <v>1</v>
      </c>
      <c r="CN505" s="107">
        <v>1</v>
      </c>
      <c r="CO505">
        <v>0.14599999999999999</v>
      </c>
      <c r="CP505">
        <v>118</v>
      </c>
      <c r="CQ505">
        <v>1</v>
      </c>
      <c r="CR505">
        <v>0</v>
      </c>
      <c r="CS505">
        <v>10</v>
      </c>
      <c r="CT505" s="109"/>
      <c r="CY505" s="109"/>
    </row>
    <row r="506" spans="1:103" x14ac:dyDescent="0.25">
      <c r="A506">
        <v>505</v>
      </c>
      <c r="B506">
        <v>34</v>
      </c>
      <c r="C506" s="25" t="s">
        <v>321</v>
      </c>
      <c r="D506" s="12">
        <v>5.0999999999999996</v>
      </c>
      <c r="E506" s="14">
        <v>0.47</v>
      </c>
      <c r="F506" s="7">
        <f t="shared" si="120"/>
        <v>10.851063829787234</v>
      </c>
      <c r="G506" s="7">
        <f t="shared" si="106"/>
        <v>4.63</v>
      </c>
      <c r="H506" s="16">
        <f t="shared" si="107"/>
        <v>5.5699999999999994</v>
      </c>
      <c r="I506" s="11">
        <f t="shared" si="112"/>
        <v>6.6744826887680936E-2</v>
      </c>
      <c r="J506" s="33">
        <f t="shared" si="113"/>
        <v>6.1509938504333405E-3</v>
      </c>
      <c r="K506" s="33">
        <f t="shared" si="114"/>
        <v>162.5753535633188</v>
      </c>
      <c r="L506" s="8">
        <v>1</v>
      </c>
      <c r="M506" s="9">
        <v>0</v>
      </c>
      <c r="N506" s="8">
        <v>0</v>
      </c>
      <c r="O506" s="9">
        <v>0</v>
      </c>
      <c r="P506" s="9">
        <v>1</v>
      </c>
      <c r="Q506" s="9">
        <v>0</v>
      </c>
      <c r="R506" s="9">
        <v>0</v>
      </c>
      <c r="S506" s="8">
        <v>26387</v>
      </c>
      <c r="T506" s="9">
        <v>73</v>
      </c>
      <c r="U506" s="9">
        <f t="shared" si="108"/>
        <v>26313</v>
      </c>
      <c r="V506" s="9">
        <f t="shared" si="109"/>
        <v>24</v>
      </c>
      <c r="W506" s="7">
        <v>5</v>
      </c>
      <c r="X506" s="7">
        <f t="shared" si="121"/>
        <v>25.769599999999997</v>
      </c>
      <c r="Y506" s="9">
        <v>1</v>
      </c>
      <c r="Z506" s="9">
        <v>0</v>
      </c>
      <c r="AA506" s="9">
        <v>1</v>
      </c>
      <c r="AB506" s="9">
        <v>0</v>
      </c>
      <c r="AC506" s="9">
        <v>0</v>
      </c>
      <c r="AD506" s="9">
        <v>0</v>
      </c>
      <c r="AE506" s="8">
        <v>0</v>
      </c>
      <c r="AF506" s="9">
        <v>1</v>
      </c>
      <c r="AG506" s="30">
        <v>0</v>
      </c>
      <c r="AH506" s="9">
        <v>0</v>
      </c>
      <c r="AI506" s="30">
        <v>1</v>
      </c>
      <c r="AJ506" s="21">
        <v>1993</v>
      </c>
      <c r="AK506" s="33">
        <f t="shared" si="122"/>
        <v>0.19130000000000003</v>
      </c>
      <c r="AL506" s="33">
        <v>0.1027</v>
      </c>
      <c r="AM506" s="33">
        <v>0.4718</v>
      </c>
      <c r="AN506" s="43">
        <v>0.23419999999999999</v>
      </c>
      <c r="AO506" s="42">
        <f t="shared" si="123"/>
        <v>0.52929399999999993</v>
      </c>
      <c r="AP506" s="18">
        <f>(0.622*AW506+0.4104*AX506)</f>
        <v>0.47070600000000001</v>
      </c>
      <c r="AQ506">
        <v>1</v>
      </c>
      <c r="AR506" s="40">
        <v>0</v>
      </c>
      <c r="AS506" t="s">
        <v>98</v>
      </c>
      <c r="AT506" s="40" t="s">
        <v>98</v>
      </c>
      <c r="AU506">
        <v>0</v>
      </c>
      <c r="AV506" s="18">
        <v>1</v>
      </c>
      <c r="AW506">
        <v>0.28499999999999998</v>
      </c>
      <c r="AX506" s="18">
        <f t="shared" si="124"/>
        <v>0.71500000000000008</v>
      </c>
      <c r="AY506" s="18" t="s">
        <v>12</v>
      </c>
      <c r="AZ506">
        <v>0</v>
      </c>
      <c r="BA506">
        <v>0</v>
      </c>
      <c r="BB506">
        <v>0</v>
      </c>
      <c r="BC506">
        <v>0</v>
      </c>
      <c r="BD506">
        <v>0</v>
      </c>
      <c r="BE506">
        <v>1</v>
      </c>
      <c r="BF506" s="18">
        <v>0</v>
      </c>
      <c r="BG506">
        <v>0</v>
      </c>
      <c r="BH506">
        <v>1</v>
      </c>
      <c r="BI506" s="18">
        <v>0</v>
      </c>
      <c r="BJ506">
        <v>386</v>
      </c>
      <c r="BK506">
        <v>221</v>
      </c>
      <c r="BL506" s="25">
        <v>36.769599999999997</v>
      </c>
      <c r="BM506">
        <v>0</v>
      </c>
      <c r="BN506">
        <v>0</v>
      </c>
      <c r="BO506">
        <v>0</v>
      </c>
      <c r="BP506">
        <v>0</v>
      </c>
      <c r="BQ506">
        <v>0</v>
      </c>
      <c r="BR506">
        <v>0</v>
      </c>
      <c r="BS506">
        <v>1</v>
      </c>
      <c r="BT506" s="18">
        <v>0</v>
      </c>
      <c r="BU506">
        <v>0</v>
      </c>
      <c r="BV506">
        <v>0</v>
      </c>
      <c r="BW506">
        <v>0</v>
      </c>
      <c r="BX506" s="18">
        <v>1</v>
      </c>
      <c r="BY506">
        <v>0</v>
      </c>
      <c r="BZ506">
        <v>0</v>
      </c>
      <c r="CA506">
        <v>0</v>
      </c>
      <c r="CB506">
        <v>0</v>
      </c>
      <c r="CC506" s="18">
        <v>0</v>
      </c>
      <c r="CD506">
        <v>1</v>
      </c>
      <c r="CE506">
        <v>0</v>
      </c>
      <c r="CF506">
        <v>0</v>
      </c>
      <c r="CG506">
        <v>0</v>
      </c>
      <c r="CH506">
        <v>1</v>
      </c>
      <c r="CI506">
        <v>0</v>
      </c>
      <c r="CJ506">
        <v>0</v>
      </c>
      <c r="CK506">
        <v>0</v>
      </c>
      <c r="CL506">
        <v>1</v>
      </c>
      <c r="CM506">
        <v>1</v>
      </c>
      <c r="CN506" s="18">
        <v>1</v>
      </c>
      <c r="CO506">
        <v>0.14599999999999999</v>
      </c>
      <c r="CP506">
        <v>118</v>
      </c>
      <c r="CQ506">
        <v>1</v>
      </c>
      <c r="CR506">
        <v>0</v>
      </c>
      <c r="CS506">
        <v>10</v>
      </c>
      <c r="CY506" s="34"/>
    </row>
    <row r="507" spans="1:103" x14ac:dyDescent="0.25">
      <c r="A507">
        <v>506</v>
      </c>
      <c r="B507">
        <v>34</v>
      </c>
      <c r="C507" s="25" t="s">
        <v>321</v>
      </c>
      <c r="D507" s="12">
        <v>5.6</v>
      </c>
      <c r="E507" s="14">
        <v>0.55999999999999994</v>
      </c>
      <c r="F507" s="7">
        <f t="shared" si="120"/>
        <v>10</v>
      </c>
      <c r="G507" s="7">
        <f t="shared" si="106"/>
        <v>5.04</v>
      </c>
      <c r="H507" s="16">
        <f t="shared" si="107"/>
        <v>6.1599999999999993</v>
      </c>
      <c r="I507" s="11">
        <f t="shared" si="112"/>
        <v>6.0499488705856599E-2</v>
      </c>
      <c r="J507" s="33">
        <f t="shared" si="113"/>
        <v>6.0499488705856603E-3</v>
      </c>
      <c r="K507" s="33">
        <f t="shared" si="114"/>
        <v>165.29065309327083</v>
      </c>
      <c r="L507" s="8">
        <v>1</v>
      </c>
      <c r="M507" s="9">
        <v>0</v>
      </c>
      <c r="N507" s="8">
        <v>0</v>
      </c>
      <c r="O507" s="9">
        <v>0</v>
      </c>
      <c r="P507" s="9">
        <v>1</v>
      </c>
      <c r="Q507" s="9">
        <v>0</v>
      </c>
      <c r="R507" s="9">
        <v>0</v>
      </c>
      <c r="S507" s="8">
        <v>27295</v>
      </c>
      <c r="T507" s="9">
        <v>73</v>
      </c>
      <c r="U507" s="9">
        <f t="shared" si="108"/>
        <v>27221</v>
      </c>
      <c r="V507" s="9">
        <f t="shared" si="109"/>
        <v>24</v>
      </c>
      <c r="W507" s="7">
        <v>5</v>
      </c>
      <c r="X507" s="7">
        <f t="shared" si="121"/>
        <v>26.110999999999997</v>
      </c>
      <c r="Y507" s="9">
        <v>1</v>
      </c>
      <c r="Z507" s="9">
        <v>0</v>
      </c>
      <c r="AA507" s="9">
        <v>1</v>
      </c>
      <c r="AB507" s="9">
        <v>0</v>
      </c>
      <c r="AC507" s="9">
        <v>0</v>
      </c>
      <c r="AD507" s="9">
        <v>0</v>
      </c>
      <c r="AE507" s="8">
        <v>0</v>
      </c>
      <c r="AF507" s="9">
        <v>1</v>
      </c>
      <c r="AG507" s="30">
        <v>0</v>
      </c>
      <c r="AH507" s="9">
        <v>0</v>
      </c>
      <c r="AI507" s="30">
        <v>1</v>
      </c>
      <c r="AJ507" s="21">
        <v>1999</v>
      </c>
      <c r="AK507" s="33">
        <f t="shared" si="122"/>
        <v>0.16289999999999993</v>
      </c>
      <c r="AL507" s="33">
        <v>9.69E-2</v>
      </c>
      <c r="AM507" s="33">
        <v>0.49940000000000001</v>
      </c>
      <c r="AN507" s="43">
        <v>0.24079999999999999</v>
      </c>
      <c r="AO507" s="42">
        <f t="shared" si="123"/>
        <v>0.53514991000000001</v>
      </c>
      <c r="AP507" s="18">
        <f>(0.5965*AW507+0.4124*AX507)</f>
        <v>0.46485008999999999</v>
      </c>
      <c r="AQ507">
        <v>1</v>
      </c>
      <c r="AR507" s="40">
        <v>0</v>
      </c>
      <c r="AS507" t="s">
        <v>98</v>
      </c>
      <c r="AT507" s="40" t="s">
        <v>98</v>
      </c>
      <c r="AU507">
        <v>0</v>
      </c>
      <c r="AV507" s="18">
        <v>1</v>
      </c>
      <c r="AW507">
        <v>0.28489999999999999</v>
      </c>
      <c r="AX507" s="18">
        <f t="shared" si="124"/>
        <v>0.71510000000000007</v>
      </c>
      <c r="AY507" s="18" t="s">
        <v>12</v>
      </c>
      <c r="AZ507">
        <v>0</v>
      </c>
      <c r="BA507">
        <v>0</v>
      </c>
      <c r="BB507">
        <v>0</v>
      </c>
      <c r="BC507">
        <v>0</v>
      </c>
      <c r="BD507">
        <v>0</v>
      </c>
      <c r="BE507">
        <v>1</v>
      </c>
      <c r="BF507" s="18">
        <v>0</v>
      </c>
      <c r="BG507">
        <v>0</v>
      </c>
      <c r="BH507">
        <v>1</v>
      </c>
      <c r="BI507" s="18">
        <v>0</v>
      </c>
      <c r="BJ507">
        <v>480</v>
      </c>
      <c r="BK507">
        <v>347</v>
      </c>
      <c r="BL507" s="25">
        <v>37.110999999999997</v>
      </c>
      <c r="BM507">
        <v>0</v>
      </c>
      <c r="BN507">
        <v>0</v>
      </c>
      <c r="BO507">
        <v>0</v>
      </c>
      <c r="BP507">
        <v>0</v>
      </c>
      <c r="BQ507">
        <v>0</v>
      </c>
      <c r="BR507">
        <v>0</v>
      </c>
      <c r="BS507">
        <v>1</v>
      </c>
      <c r="BT507" s="18">
        <v>0</v>
      </c>
      <c r="BU507">
        <v>0</v>
      </c>
      <c r="BV507">
        <v>0</v>
      </c>
      <c r="BW507">
        <v>0</v>
      </c>
      <c r="BX507" s="18">
        <v>1</v>
      </c>
      <c r="BY507">
        <v>0</v>
      </c>
      <c r="BZ507">
        <v>0</v>
      </c>
      <c r="CA507">
        <v>0</v>
      </c>
      <c r="CB507">
        <v>0</v>
      </c>
      <c r="CC507" s="18">
        <v>0</v>
      </c>
      <c r="CD507">
        <v>1</v>
      </c>
      <c r="CE507">
        <v>0</v>
      </c>
      <c r="CF507">
        <v>0</v>
      </c>
      <c r="CG507">
        <v>0</v>
      </c>
      <c r="CH507">
        <v>1</v>
      </c>
      <c r="CI507">
        <v>0</v>
      </c>
      <c r="CJ507">
        <v>0</v>
      </c>
      <c r="CK507">
        <v>0</v>
      </c>
      <c r="CL507">
        <v>1</v>
      </c>
      <c r="CM507">
        <v>1</v>
      </c>
      <c r="CN507" s="18">
        <v>1</v>
      </c>
      <c r="CO507">
        <v>0.14599999999999999</v>
      </c>
      <c r="CP507">
        <v>118</v>
      </c>
      <c r="CQ507">
        <v>1</v>
      </c>
      <c r="CR507">
        <v>0</v>
      </c>
      <c r="CS507">
        <v>10</v>
      </c>
      <c r="CY507" s="34"/>
    </row>
    <row r="508" spans="1:103" x14ac:dyDescent="0.25">
      <c r="A508">
        <v>507</v>
      </c>
      <c r="B508">
        <v>34</v>
      </c>
      <c r="C508" s="25" t="s">
        <v>321</v>
      </c>
      <c r="D508" s="12">
        <v>3.42</v>
      </c>
      <c r="E508" s="14">
        <v>0.26</v>
      </c>
      <c r="F508" s="7">
        <f t="shared" si="120"/>
        <v>13.153846153846153</v>
      </c>
      <c r="G508" s="7">
        <f t="shared" si="106"/>
        <v>3.16</v>
      </c>
      <c r="H508" s="16">
        <f t="shared" si="107"/>
        <v>3.6799999999999997</v>
      </c>
      <c r="I508" s="11">
        <f t="shared" si="112"/>
        <v>7.9385621078379501E-2</v>
      </c>
      <c r="J508" s="33">
        <f t="shared" si="113"/>
        <v>6.0351641755493181E-3</v>
      </c>
      <c r="K508" s="33">
        <f t="shared" si="114"/>
        <v>165.69557528382904</v>
      </c>
      <c r="L508" s="8">
        <v>1</v>
      </c>
      <c r="M508" s="9">
        <v>0</v>
      </c>
      <c r="N508" s="8">
        <v>0</v>
      </c>
      <c r="O508" s="9">
        <v>0</v>
      </c>
      <c r="P508" s="9">
        <v>1</v>
      </c>
      <c r="Q508" s="9">
        <v>0</v>
      </c>
      <c r="R508" s="9">
        <v>0</v>
      </c>
      <c r="S508" s="8">
        <v>27356</v>
      </c>
      <c r="T508" s="9">
        <v>73</v>
      </c>
      <c r="U508" s="9">
        <f t="shared" si="108"/>
        <v>27282</v>
      </c>
      <c r="V508" s="9">
        <f t="shared" si="109"/>
        <v>24</v>
      </c>
      <c r="W508" s="7">
        <v>8</v>
      </c>
      <c r="X508" s="7">
        <f t="shared" si="121"/>
        <v>20.878999999999998</v>
      </c>
      <c r="Y508" s="9">
        <v>1</v>
      </c>
      <c r="Z508" s="9">
        <v>0</v>
      </c>
      <c r="AA508" s="9">
        <v>1</v>
      </c>
      <c r="AB508" s="9">
        <v>0</v>
      </c>
      <c r="AC508" s="9">
        <v>0</v>
      </c>
      <c r="AD508" s="9">
        <v>0</v>
      </c>
      <c r="AE508" s="8">
        <v>0</v>
      </c>
      <c r="AF508" s="9">
        <v>1</v>
      </c>
      <c r="AG508" s="30">
        <v>0</v>
      </c>
      <c r="AH508" s="9">
        <v>0</v>
      </c>
      <c r="AI508" s="30">
        <v>1</v>
      </c>
      <c r="AJ508" s="21">
        <v>1983</v>
      </c>
      <c r="AK508" s="33">
        <f t="shared" si="122"/>
        <v>0.28200000000000003</v>
      </c>
      <c r="AL508" s="33">
        <v>0.1472</v>
      </c>
      <c r="AM508" s="33">
        <v>0.43049999999999999</v>
      </c>
      <c r="AN508" s="43">
        <v>0.14030000000000001</v>
      </c>
      <c r="AO508" s="42">
        <f t="shared" si="123"/>
        <v>0.54134831999999999</v>
      </c>
      <c r="AP508" s="18">
        <v>0.45865168000000001</v>
      </c>
      <c r="AQ508">
        <v>1</v>
      </c>
      <c r="AR508" s="40">
        <v>0</v>
      </c>
      <c r="AS508" t="s">
        <v>98</v>
      </c>
      <c r="AT508" s="40" t="s">
        <v>98</v>
      </c>
      <c r="AU508">
        <v>0</v>
      </c>
      <c r="AV508" s="18">
        <v>1</v>
      </c>
      <c r="AW508">
        <v>0.30980000000000002</v>
      </c>
      <c r="AX508" s="18">
        <f t="shared" si="124"/>
        <v>0.69019999999999992</v>
      </c>
      <c r="AY508" s="18" t="s">
        <v>12</v>
      </c>
      <c r="AZ508">
        <v>0</v>
      </c>
      <c r="BA508">
        <v>0</v>
      </c>
      <c r="BB508">
        <v>0</v>
      </c>
      <c r="BC508">
        <v>0</v>
      </c>
      <c r="BD508">
        <v>0</v>
      </c>
      <c r="BE508">
        <v>1</v>
      </c>
      <c r="BF508" s="18">
        <v>0</v>
      </c>
      <c r="BG508">
        <v>0</v>
      </c>
      <c r="BH508">
        <v>1</v>
      </c>
      <c r="BI508" s="18">
        <v>0</v>
      </c>
      <c r="BJ508">
        <v>329</v>
      </c>
      <c r="BK508">
        <v>27</v>
      </c>
      <c r="BL508" s="25">
        <v>34.878999999999998</v>
      </c>
      <c r="BM508">
        <v>0</v>
      </c>
      <c r="BN508">
        <v>0</v>
      </c>
      <c r="BO508">
        <v>0</v>
      </c>
      <c r="BP508">
        <v>0</v>
      </c>
      <c r="BQ508">
        <v>0</v>
      </c>
      <c r="BR508">
        <v>0</v>
      </c>
      <c r="BS508">
        <v>1</v>
      </c>
      <c r="BT508" s="18">
        <v>0</v>
      </c>
      <c r="BU508">
        <v>0</v>
      </c>
      <c r="BV508">
        <v>0</v>
      </c>
      <c r="BW508">
        <v>0</v>
      </c>
      <c r="BX508" s="18">
        <v>1</v>
      </c>
      <c r="BY508">
        <v>0</v>
      </c>
      <c r="BZ508">
        <v>0</v>
      </c>
      <c r="CA508">
        <v>0</v>
      </c>
      <c r="CB508">
        <v>0</v>
      </c>
      <c r="CC508" s="18">
        <v>0</v>
      </c>
      <c r="CD508">
        <v>1</v>
      </c>
      <c r="CE508">
        <v>0</v>
      </c>
      <c r="CF508">
        <v>0</v>
      </c>
      <c r="CG508">
        <v>0</v>
      </c>
      <c r="CH508">
        <v>1</v>
      </c>
      <c r="CI508">
        <v>0</v>
      </c>
      <c r="CJ508">
        <v>0</v>
      </c>
      <c r="CK508">
        <v>0</v>
      </c>
      <c r="CL508">
        <v>1</v>
      </c>
      <c r="CM508">
        <v>1</v>
      </c>
      <c r="CN508" s="18">
        <v>1</v>
      </c>
      <c r="CO508">
        <v>0.14599999999999999</v>
      </c>
      <c r="CP508">
        <v>118</v>
      </c>
      <c r="CQ508">
        <v>1</v>
      </c>
      <c r="CR508">
        <v>0</v>
      </c>
      <c r="CS508">
        <v>10</v>
      </c>
      <c r="CY508" s="34"/>
    </row>
    <row r="509" spans="1:103" x14ac:dyDescent="0.25">
      <c r="A509">
        <v>508</v>
      </c>
      <c r="B509">
        <v>34</v>
      </c>
      <c r="C509" s="25" t="s">
        <v>321</v>
      </c>
      <c r="D509" s="12">
        <v>3.14</v>
      </c>
      <c r="E509" s="14">
        <v>0.32</v>
      </c>
      <c r="F509" s="7">
        <f t="shared" si="120"/>
        <v>9.8125</v>
      </c>
      <c r="G509" s="7">
        <f t="shared" si="106"/>
        <v>2.8200000000000003</v>
      </c>
      <c r="H509" s="16">
        <f t="shared" si="107"/>
        <v>3.46</v>
      </c>
      <c r="I509" s="11">
        <f t="shared" si="112"/>
        <v>6.0381145354891051E-2</v>
      </c>
      <c r="J509" s="33">
        <f t="shared" si="113"/>
        <v>6.1534925202436745E-3</v>
      </c>
      <c r="K509" s="33">
        <f t="shared" si="114"/>
        <v>162.50933867396668</v>
      </c>
      <c r="L509" s="8">
        <v>1</v>
      </c>
      <c r="M509" s="9">
        <v>0</v>
      </c>
      <c r="N509" s="8">
        <v>0</v>
      </c>
      <c r="O509" s="9">
        <v>0</v>
      </c>
      <c r="P509" s="9">
        <v>1</v>
      </c>
      <c r="Q509" s="9">
        <v>0</v>
      </c>
      <c r="R509" s="9">
        <v>0</v>
      </c>
      <c r="S509" s="8">
        <v>26387</v>
      </c>
      <c r="T509" s="9">
        <v>73</v>
      </c>
      <c r="U509" s="9">
        <f t="shared" si="108"/>
        <v>26313</v>
      </c>
      <c r="V509" s="9">
        <f t="shared" si="109"/>
        <v>24</v>
      </c>
      <c r="W509" s="7">
        <v>8</v>
      </c>
      <c r="X509" s="7">
        <f t="shared" si="121"/>
        <v>22.769599999999997</v>
      </c>
      <c r="Y509" s="9">
        <v>1</v>
      </c>
      <c r="Z509" s="9">
        <v>0</v>
      </c>
      <c r="AA509" s="9">
        <v>1</v>
      </c>
      <c r="AB509" s="9">
        <v>0</v>
      </c>
      <c r="AC509" s="9">
        <v>0</v>
      </c>
      <c r="AD509" s="9">
        <v>0</v>
      </c>
      <c r="AE509" s="8">
        <v>0</v>
      </c>
      <c r="AF509" s="9">
        <v>1</v>
      </c>
      <c r="AG509" s="30">
        <v>0</v>
      </c>
      <c r="AH509" s="9">
        <v>0</v>
      </c>
      <c r="AI509" s="30">
        <v>1</v>
      </c>
      <c r="AJ509" s="21">
        <v>1993</v>
      </c>
      <c r="AK509" s="33">
        <f t="shared" si="122"/>
        <v>0.19130000000000003</v>
      </c>
      <c r="AL509" s="33">
        <v>0.1027</v>
      </c>
      <c r="AM509" s="33">
        <v>0.4718</v>
      </c>
      <c r="AN509" s="43">
        <v>0.23419999999999999</v>
      </c>
      <c r="AO509" s="42">
        <f t="shared" si="123"/>
        <v>0.52929399999999993</v>
      </c>
      <c r="AP509" s="18">
        <v>0.47070600000000001</v>
      </c>
      <c r="AQ509">
        <v>1</v>
      </c>
      <c r="AR509" s="40">
        <v>0</v>
      </c>
      <c r="AS509" t="s">
        <v>98</v>
      </c>
      <c r="AT509" s="40" t="s">
        <v>98</v>
      </c>
      <c r="AU509">
        <v>0</v>
      </c>
      <c r="AV509" s="18">
        <v>1</v>
      </c>
      <c r="AW509">
        <v>0.28499999999999998</v>
      </c>
      <c r="AX509" s="18">
        <f t="shared" si="124"/>
        <v>0.71500000000000008</v>
      </c>
      <c r="AY509" s="18" t="s">
        <v>12</v>
      </c>
      <c r="AZ509">
        <v>0</v>
      </c>
      <c r="BA509">
        <v>0</v>
      </c>
      <c r="BB509">
        <v>0</v>
      </c>
      <c r="BC509">
        <v>0</v>
      </c>
      <c r="BD509">
        <v>0</v>
      </c>
      <c r="BE509">
        <v>1</v>
      </c>
      <c r="BF509" s="18">
        <v>0</v>
      </c>
      <c r="BG509">
        <v>0</v>
      </c>
      <c r="BH509">
        <v>1</v>
      </c>
      <c r="BI509" s="18">
        <v>0</v>
      </c>
      <c r="BJ509">
        <v>386</v>
      </c>
      <c r="BK509">
        <v>221</v>
      </c>
      <c r="BL509" s="25">
        <v>36.769599999999997</v>
      </c>
      <c r="BM509">
        <v>0</v>
      </c>
      <c r="BN509">
        <v>0</v>
      </c>
      <c r="BO509">
        <v>0</v>
      </c>
      <c r="BP509">
        <v>0</v>
      </c>
      <c r="BQ509">
        <v>0</v>
      </c>
      <c r="BR509">
        <v>0</v>
      </c>
      <c r="BS509">
        <v>1</v>
      </c>
      <c r="BT509" s="18">
        <v>0</v>
      </c>
      <c r="BU509">
        <v>0</v>
      </c>
      <c r="BV509">
        <v>0</v>
      </c>
      <c r="BW509">
        <v>0</v>
      </c>
      <c r="BX509" s="18">
        <v>1</v>
      </c>
      <c r="BY509">
        <v>0</v>
      </c>
      <c r="BZ509">
        <v>0</v>
      </c>
      <c r="CA509">
        <v>0</v>
      </c>
      <c r="CB509">
        <v>0</v>
      </c>
      <c r="CC509" s="18">
        <v>0</v>
      </c>
      <c r="CD509">
        <v>1</v>
      </c>
      <c r="CE509">
        <v>0</v>
      </c>
      <c r="CF509">
        <v>0</v>
      </c>
      <c r="CG509">
        <v>0</v>
      </c>
      <c r="CH509">
        <v>1</v>
      </c>
      <c r="CI509">
        <v>0</v>
      </c>
      <c r="CJ509">
        <v>0</v>
      </c>
      <c r="CK509">
        <v>0</v>
      </c>
      <c r="CL509">
        <v>1</v>
      </c>
      <c r="CM509">
        <v>1</v>
      </c>
      <c r="CN509" s="18">
        <v>1</v>
      </c>
      <c r="CO509">
        <v>0.14599999999999999</v>
      </c>
      <c r="CP509">
        <v>118</v>
      </c>
      <c r="CQ509">
        <v>1</v>
      </c>
      <c r="CR509">
        <v>0</v>
      </c>
      <c r="CS509">
        <v>10</v>
      </c>
      <c r="CY509" s="34"/>
    </row>
    <row r="510" spans="1:103" x14ac:dyDescent="0.25">
      <c r="A510">
        <v>509</v>
      </c>
      <c r="B510">
        <v>34</v>
      </c>
      <c r="C510" s="25" t="s">
        <v>321</v>
      </c>
      <c r="D510" s="12">
        <v>3.53</v>
      </c>
      <c r="E510" s="14">
        <v>0.36</v>
      </c>
      <c r="F510" s="7">
        <f t="shared" si="120"/>
        <v>9.8055555555555554</v>
      </c>
      <c r="G510" s="7">
        <f t="shared" si="106"/>
        <v>3.17</v>
      </c>
      <c r="H510" s="16">
        <f t="shared" si="107"/>
        <v>3.8899999999999997</v>
      </c>
      <c r="I510" s="11">
        <f t="shared" si="112"/>
        <v>5.9327291198186465E-2</v>
      </c>
      <c r="J510" s="33">
        <f t="shared" si="113"/>
        <v>6.0503753063306312E-3</v>
      </c>
      <c r="K510" s="33">
        <f t="shared" si="114"/>
        <v>165.27900326343055</v>
      </c>
      <c r="L510" s="8">
        <v>1</v>
      </c>
      <c r="M510" s="9">
        <v>0</v>
      </c>
      <c r="N510" s="8">
        <v>0</v>
      </c>
      <c r="O510" s="9">
        <v>0</v>
      </c>
      <c r="P510" s="9">
        <v>1</v>
      </c>
      <c r="Q510" s="9">
        <v>0</v>
      </c>
      <c r="R510" s="9">
        <v>0</v>
      </c>
      <c r="S510" s="8">
        <v>27295</v>
      </c>
      <c r="T510" s="9">
        <v>73</v>
      </c>
      <c r="U510" s="9">
        <f t="shared" si="108"/>
        <v>27221</v>
      </c>
      <c r="V510" s="9">
        <f t="shared" si="109"/>
        <v>24</v>
      </c>
      <c r="W510" s="7">
        <v>8</v>
      </c>
      <c r="X510" s="7">
        <f t="shared" si="121"/>
        <v>23.110999999999997</v>
      </c>
      <c r="Y510" s="9">
        <v>1</v>
      </c>
      <c r="Z510" s="9">
        <v>0</v>
      </c>
      <c r="AA510" s="9">
        <v>1</v>
      </c>
      <c r="AB510" s="9">
        <v>0</v>
      </c>
      <c r="AC510" s="9">
        <v>0</v>
      </c>
      <c r="AD510" s="9">
        <v>0</v>
      </c>
      <c r="AE510" s="8">
        <v>0</v>
      </c>
      <c r="AF510" s="9">
        <v>1</v>
      </c>
      <c r="AG510" s="30">
        <v>0</v>
      </c>
      <c r="AH510" s="9">
        <v>0</v>
      </c>
      <c r="AI510" s="30">
        <v>1</v>
      </c>
      <c r="AJ510" s="21">
        <v>1999</v>
      </c>
      <c r="AK510" s="33">
        <f t="shared" si="122"/>
        <v>0.16289999999999993</v>
      </c>
      <c r="AL510" s="33">
        <v>9.69E-2</v>
      </c>
      <c r="AM510" s="33">
        <v>0.49940000000000001</v>
      </c>
      <c r="AN510" s="43">
        <v>0.24079999999999999</v>
      </c>
      <c r="AO510" s="42">
        <f t="shared" si="123"/>
        <v>0.53514991000000001</v>
      </c>
      <c r="AP510" s="18">
        <v>0.46485008999999999</v>
      </c>
      <c r="AQ510">
        <v>1</v>
      </c>
      <c r="AR510" s="40">
        <v>0</v>
      </c>
      <c r="AS510" t="s">
        <v>98</v>
      </c>
      <c r="AT510" s="40" t="s">
        <v>98</v>
      </c>
      <c r="AU510">
        <v>0</v>
      </c>
      <c r="AV510" s="18">
        <v>1</v>
      </c>
      <c r="AW510">
        <v>0.28489999999999999</v>
      </c>
      <c r="AX510" s="18">
        <f t="shared" si="124"/>
        <v>0.71510000000000007</v>
      </c>
      <c r="AY510" s="18" t="s">
        <v>12</v>
      </c>
      <c r="AZ510">
        <v>0</v>
      </c>
      <c r="BA510">
        <v>0</v>
      </c>
      <c r="BB510">
        <v>0</v>
      </c>
      <c r="BC510">
        <v>0</v>
      </c>
      <c r="BD510">
        <v>0</v>
      </c>
      <c r="BE510">
        <v>1</v>
      </c>
      <c r="BF510" s="18">
        <v>0</v>
      </c>
      <c r="BG510">
        <v>0</v>
      </c>
      <c r="BH510">
        <v>1</v>
      </c>
      <c r="BI510" s="18">
        <v>0</v>
      </c>
      <c r="BJ510">
        <v>480</v>
      </c>
      <c r="BK510">
        <v>347</v>
      </c>
      <c r="BL510" s="25">
        <v>37.110999999999997</v>
      </c>
      <c r="BM510">
        <v>0</v>
      </c>
      <c r="BN510">
        <v>0</v>
      </c>
      <c r="BO510">
        <v>0</v>
      </c>
      <c r="BP510">
        <v>0</v>
      </c>
      <c r="BQ510">
        <v>0</v>
      </c>
      <c r="BR510">
        <v>0</v>
      </c>
      <c r="BS510">
        <v>1</v>
      </c>
      <c r="BT510" s="18">
        <v>0</v>
      </c>
      <c r="BU510">
        <v>0</v>
      </c>
      <c r="BV510">
        <v>0</v>
      </c>
      <c r="BW510">
        <v>0</v>
      </c>
      <c r="BX510" s="18">
        <v>1</v>
      </c>
      <c r="BY510">
        <v>0</v>
      </c>
      <c r="BZ510">
        <v>0</v>
      </c>
      <c r="CA510">
        <v>0</v>
      </c>
      <c r="CB510">
        <v>0</v>
      </c>
      <c r="CC510" s="18">
        <v>0</v>
      </c>
      <c r="CD510">
        <v>1</v>
      </c>
      <c r="CE510">
        <v>0</v>
      </c>
      <c r="CF510">
        <v>0</v>
      </c>
      <c r="CG510">
        <v>0</v>
      </c>
      <c r="CH510">
        <v>1</v>
      </c>
      <c r="CI510">
        <v>0</v>
      </c>
      <c r="CJ510">
        <v>0</v>
      </c>
      <c r="CK510">
        <v>0</v>
      </c>
      <c r="CL510">
        <v>1</v>
      </c>
      <c r="CM510">
        <v>1</v>
      </c>
      <c r="CN510" s="18">
        <v>1</v>
      </c>
      <c r="CO510">
        <v>0.14599999999999999</v>
      </c>
      <c r="CP510">
        <v>118</v>
      </c>
      <c r="CQ510">
        <v>1</v>
      </c>
      <c r="CR510">
        <v>0</v>
      </c>
      <c r="CS510">
        <v>10</v>
      </c>
      <c r="CY510" s="34"/>
    </row>
    <row r="511" spans="1:103" x14ac:dyDescent="0.25">
      <c r="A511">
        <v>510</v>
      </c>
      <c r="B511">
        <v>34</v>
      </c>
      <c r="C511" s="25" t="s">
        <v>321</v>
      </c>
      <c r="D511" s="12">
        <v>6</v>
      </c>
      <c r="E511" s="14">
        <v>0.18</v>
      </c>
      <c r="F511" s="7">
        <f t="shared" si="120"/>
        <v>33.333333333333336</v>
      </c>
      <c r="G511" s="7">
        <f t="shared" si="106"/>
        <v>5.82</v>
      </c>
      <c r="H511" s="16">
        <f t="shared" si="107"/>
        <v>6.18</v>
      </c>
      <c r="I511" s="11">
        <f t="shared" si="112"/>
        <v>0.1978209368545675</v>
      </c>
      <c r="J511" s="33">
        <f t="shared" si="113"/>
        <v>5.9346281056370243E-3</v>
      </c>
      <c r="K511" s="33">
        <f t="shared" si="114"/>
        <v>168.50255520647485</v>
      </c>
      <c r="L511" s="8">
        <v>1</v>
      </c>
      <c r="M511" s="9">
        <v>0</v>
      </c>
      <c r="N511" s="8">
        <v>0</v>
      </c>
      <c r="O511" s="9">
        <v>0</v>
      </c>
      <c r="P511" s="9">
        <v>1</v>
      </c>
      <c r="Q511" s="9">
        <v>0</v>
      </c>
      <c r="R511" s="9">
        <v>0</v>
      </c>
      <c r="S511" s="8">
        <v>27356</v>
      </c>
      <c r="T511" s="9">
        <v>73</v>
      </c>
      <c r="U511" s="9">
        <f t="shared" si="108"/>
        <v>27282</v>
      </c>
      <c r="V511" s="9">
        <f t="shared" si="109"/>
        <v>24</v>
      </c>
      <c r="W511" s="7">
        <v>12</v>
      </c>
      <c r="X511" s="7">
        <f t="shared" si="121"/>
        <v>16.878999999999998</v>
      </c>
      <c r="Y511" s="9">
        <v>1</v>
      </c>
      <c r="Z511" s="9">
        <v>0</v>
      </c>
      <c r="AA511" s="9">
        <v>1</v>
      </c>
      <c r="AB511" s="9">
        <v>0</v>
      </c>
      <c r="AC511" s="9">
        <v>0</v>
      </c>
      <c r="AD511" s="9">
        <v>0</v>
      </c>
      <c r="AE511" s="8">
        <v>0</v>
      </c>
      <c r="AF511" s="9">
        <v>1</v>
      </c>
      <c r="AG511" s="30">
        <v>0</v>
      </c>
      <c r="AH511" s="9">
        <v>0</v>
      </c>
      <c r="AI511" s="30">
        <v>1</v>
      </c>
      <c r="AJ511" s="21">
        <v>1983</v>
      </c>
      <c r="AK511" s="33">
        <f t="shared" si="122"/>
        <v>0.28200000000000003</v>
      </c>
      <c r="AL511" s="33">
        <v>0.1472</v>
      </c>
      <c r="AM511" s="33">
        <v>0.43049999999999999</v>
      </c>
      <c r="AN511" s="43">
        <v>0.14030000000000001</v>
      </c>
      <c r="AO511" s="42">
        <f t="shared" si="123"/>
        <v>0.54134831999999999</v>
      </c>
      <c r="AP511" s="18">
        <v>0.45865168000000001</v>
      </c>
      <c r="AQ511">
        <v>1</v>
      </c>
      <c r="AR511" s="40">
        <v>0</v>
      </c>
      <c r="AS511" t="s">
        <v>98</v>
      </c>
      <c r="AT511" s="40" t="s">
        <v>98</v>
      </c>
      <c r="AU511">
        <v>0</v>
      </c>
      <c r="AV511" s="18">
        <v>1</v>
      </c>
      <c r="AW511">
        <v>0.30980000000000002</v>
      </c>
      <c r="AX511" s="18">
        <f t="shared" si="124"/>
        <v>0.69019999999999992</v>
      </c>
      <c r="AY511" s="18" t="s">
        <v>12</v>
      </c>
      <c r="AZ511">
        <v>0</v>
      </c>
      <c r="BA511">
        <v>0</v>
      </c>
      <c r="BB511">
        <v>0</v>
      </c>
      <c r="BC511">
        <v>0</v>
      </c>
      <c r="BD511">
        <v>0</v>
      </c>
      <c r="BE511">
        <v>1</v>
      </c>
      <c r="BF511" s="18">
        <v>0</v>
      </c>
      <c r="BG511">
        <v>0</v>
      </c>
      <c r="BH511">
        <v>1</v>
      </c>
      <c r="BI511" s="18">
        <v>0</v>
      </c>
      <c r="BJ511">
        <v>329</v>
      </c>
      <c r="BK511">
        <v>27</v>
      </c>
      <c r="BL511" s="25">
        <v>34.878999999999998</v>
      </c>
      <c r="BM511">
        <v>0</v>
      </c>
      <c r="BN511">
        <v>0</v>
      </c>
      <c r="BO511">
        <v>0</v>
      </c>
      <c r="BP511">
        <v>0</v>
      </c>
      <c r="BQ511">
        <v>0</v>
      </c>
      <c r="BR511">
        <v>0</v>
      </c>
      <c r="BS511">
        <v>1</v>
      </c>
      <c r="BT511" s="18">
        <v>0</v>
      </c>
      <c r="BU511">
        <v>0</v>
      </c>
      <c r="BV511">
        <v>0</v>
      </c>
      <c r="BW511">
        <v>0</v>
      </c>
      <c r="BX511" s="18">
        <v>1</v>
      </c>
      <c r="BY511">
        <v>0</v>
      </c>
      <c r="BZ511">
        <v>0</v>
      </c>
      <c r="CA511">
        <v>0</v>
      </c>
      <c r="CB511">
        <v>0</v>
      </c>
      <c r="CC511" s="18">
        <v>0</v>
      </c>
      <c r="CD511">
        <v>1</v>
      </c>
      <c r="CE511">
        <v>0</v>
      </c>
      <c r="CF511">
        <v>0</v>
      </c>
      <c r="CG511">
        <v>0</v>
      </c>
      <c r="CH511">
        <v>1</v>
      </c>
      <c r="CI511">
        <v>0</v>
      </c>
      <c r="CJ511">
        <v>0</v>
      </c>
      <c r="CK511">
        <v>0</v>
      </c>
      <c r="CL511">
        <v>1</v>
      </c>
      <c r="CM511">
        <v>1</v>
      </c>
      <c r="CN511" s="18">
        <v>1</v>
      </c>
      <c r="CO511">
        <v>0.14599999999999999</v>
      </c>
      <c r="CP511">
        <v>118</v>
      </c>
      <c r="CQ511">
        <v>1</v>
      </c>
      <c r="CR511">
        <v>0</v>
      </c>
      <c r="CS511">
        <v>10</v>
      </c>
      <c r="CY511" s="34"/>
    </row>
    <row r="512" spans="1:103" x14ac:dyDescent="0.25">
      <c r="A512">
        <v>511</v>
      </c>
      <c r="B512">
        <v>34</v>
      </c>
      <c r="C512" s="25" t="s">
        <v>321</v>
      </c>
      <c r="D512" s="12">
        <v>5.37</v>
      </c>
      <c r="E512" s="14">
        <v>0.2</v>
      </c>
      <c r="F512" s="7">
        <f t="shared" si="120"/>
        <v>26.849999999999998</v>
      </c>
      <c r="G512" s="7">
        <f t="shared" si="106"/>
        <v>5.17</v>
      </c>
      <c r="H512" s="16">
        <f t="shared" si="107"/>
        <v>5.57</v>
      </c>
      <c r="I512" s="11">
        <f t="shared" si="112"/>
        <v>0.16330134352703748</v>
      </c>
      <c r="J512" s="33">
        <f t="shared" si="113"/>
        <v>6.0819867235395713E-3</v>
      </c>
      <c r="K512" s="33">
        <f t="shared" si="114"/>
        <v>164.41995773019772</v>
      </c>
      <c r="L512" s="8">
        <v>1</v>
      </c>
      <c r="M512" s="9">
        <v>0</v>
      </c>
      <c r="N512" s="8">
        <v>0</v>
      </c>
      <c r="O512" s="9">
        <v>0</v>
      </c>
      <c r="P512" s="9">
        <v>1</v>
      </c>
      <c r="Q512" s="9">
        <v>0</v>
      </c>
      <c r="R512" s="9">
        <v>0</v>
      </c>
      <c r="S512" s="8">
        <v>26387</v>
      </c>
      <c r="T512" s="9">
        <v>73</v>
      </c>
      <c r="U512" s="9">
        <f t="shared" si="108"/>
        <v>26313</v>
      </c>
      <c r="V512" s="9">
        <f t="shared" si="109"/>
        <v>24</v>
      </c>
      <c r="W512" s="7">
        <v>12</v>
      </c>
      <c r="X512" s="7">
        <f t="shared" si="121"/>
        <v>18.769599999999997</v>
      </c>
      <c r="Y512" s="9">
        <v>1</v>
      </c>
      <c r="Z512" s="9">
        <v>0</v>
      </c>
      <c r="AA512" s="9">
        <v>1</v>
      </c>
      <c r="AB512" s="9">
        <v>0</v>
      </c>
      <c r="AC512" s="9">
        <v>0</v>
      </c>
      <c r="AD512" s="9">
        <v>0</v>
      </c>
      <c r="AE512" s="8">
        <v>0</v>
      </c>
      <c r="AF512" s="9">
        <v>1</v>
      </c>
      <c r="AG512" s="30">
        <v>0</v>
      </c>
      <c r="AH512" s="9">
        <v>0</v>
      </c>
      <c r="AI512" s="30">
        <v>1</v>
      </c>
      <c r="AJ512" s="21">
        <v>1993</v>
      </c>
      <c r="AK512" s="33">
        <f t="shared" si="122"/>
        <v>0.19130000000000003</v>
      </c>
      <c r="AL512" s="33">
        <v>0.1027</v>
      </c>
      <c r="AM512" s="33">
        <v>0.4718</v>
      </c>
      <c r="AN512" s="43">
        <v>0.23419999999999999</v>
      </c>
      <c r="AO512" s="42">
        <f t="shared" si="123"/>
        <v>0.52929399999999993</v>
      </c>
      <c r="AP512" s="18">
        <v>0.47070600000000001</v>
      </c>
      <c r="AQ512">
        <v>1</v>
      </c>
      <c r="AR512" s="40">
        <v>0</v>
      </c>
      <c r="AS512" t="s">
        <v>98</v>
      </c>
      <c r="AT512" s="40" t="s">
        <v>98</v>
      </c>
      <c r="AU512">
        <v>0</v>
      </c>
      <c r="AV512" s="18">
        <v>1</v>
      </c>
      <c r="AW512">
        <v>0.28499999999999998</v>
      </c>
      <c r="AX512" s="18">
        <f t="shared" si="124"/>
        <v>0.71500000000000008</v>
      </c>
      <c r="AY512" s="18" t="s">
        <v>12</v>
      </c>
      <c r="AZ512">
        <v>0</v>
      </c>
      <c r="BA512">
        <v>0</v>
      </c>
      <c r="BB512">
        <v>0</v>
      </c>
      <c r="BC512">
        <v>0</v>
      </c>
      <c r="BD512">
        <v>0</v>
      </c>
      <c r="BE512">
        <v>1</v>
      </c>
      <c r="BF512" s="18">
        <v>0</v>
      </c>
      <c r="BG512">
        <v>0</v>
      </c>
      <c r="BH512">
        <v>1</v>
      </c>
      <c r="BI512" s="18">
        <v>0</v>
      </c>
      <c r="BJ512">
        <v>386</v>
      </c>
      <c r="BK512">
        <v>221</v>
      </c>
      <c r="BL512" s="25">
        <v>36.769599999999997</v>
      </c>
      <c r="BM512">
        <v>0</v>
      </c>
      <c r="BN512">
        <v>0</v>
      </c>
      <c r="BO512">
        <v>0</v>
      </c>
      <c r="BP512">
        <v>0</v>
      </c>
      <c r="BQ512">
        <v>0</v>
      </c>
      <c r="BR512">
        <v>0</v>
      </c>
      <c r="BS512">
        <v>1</v>
      </c>
      <c r="BT512" s="18">
        <v>0</v>
      </c>
      <c r="BU512">
        <v>0</v>
      </c>
      <c r="BV512">
        <v>0</v>
      </c>
      <c r="BW512">
        <v>0</v>
      </c>
      <c r="BX512" s="18">
        <v>1</v>
      </c>
      <c r="BY512">
        <v>0</v>
      </c>
      <c r="BZ512">
        <v>0</v>
      </c>
      <c r="CA512">
        <v>0</v>
      </c>
      <c r="CB512">
        <v>0</v>
      </c>
      <c r="CC512" s="18">
        <v>0</v>
      </c>
      <c r="CD512">
        <v>1</v>
      </c>
      <c r="CE512">
        <v>0</v>
      </c>
      <c r="CF512">
        <v>0</v>
      </c>
      <c r="CG512">
        <v>0</v>
      </c>
      <c r="CH512">
        <v>1</v>
      </c>
      <c r="CI512">
        <v>0</v>
      </c>
      <c r="CJ512">
        <v>0</v>
      </c>
      <c r="CK512">
        <v>0</v>
      </c>
      <c r="CL512">
        <v>1</v>
      </c>
      <c r="CM512">
        <v>1</v>
      </c>
      <c r="CN512" s="18">
        <v>1</v>
      </c>
      <c r="CO512">
        <v>0.14599999999999999</v>
      </c>
      <c r="CP512">
        <v>118</v>
      </c>
      <c r="CQ512">
        <v>1</v>
      </c>
      <c r="CR512">
        <v>0</v>
      </c>
      <c r="CS512">
        <v>10</v>
      </c>
      <c r="CY512" s="34"/>
    </row>
    <row r="513" spans="1:103" x14ac:dyDescent="0.25">
      <c r="A513">
        <v>512</v>
      </c>
      <c r="B513">
        <v>34</v>
      </c>
      <c r="C513" s="25" t="s">
        <v>321</v>
      </c>
      <c r="D513" s="12">
        <v>6.12</v>
      </c>
      <c r="E513" s="14">
        <v>0.21</v>
      </c>
      <c r="F513" s="7">
        <f t="shared" si="120"/>
        <v>29.142857142857146</v>
      </c>
      <c r="G513" s="7">
        <f t="shared" si="106"/>
        <v>5.91</v>
      </c>
      <c r="H513" s="16">
        <f t="shared" si="107"/>
        <v>6.33</v>
      </c>
      <c r="I513" s="11">
        <f t="shared" si="112"/>
        <v>0.17394363957968195</v>
      </c>
      <c r="J513" s="33">
        <f t="shared" si="113"/>
        <v>5.9686542993028112E-3</v>
      </c>
      <c r="K513" s="33">
        <f t="shared" si="114"/>
        <v>167.54195332050114</v>
      </c>
      <c r="L513" s="8">
        <v>1</v>
      </c>
      <c r="M513" s="9">
        <v>0</v>
      </c>
      <c r="N513" s="8">
        <v>0</v>
      </c>
      <c r="O513" s="9">
        <v>0</v>
      </c>
      <c r="P513" s="9">
        <v>1</v>
      </c>
      <c r="Q513" s="9">
        <v>0</v>
      </c>
      <c r="R513" s="9">
        <v>0</v>
      </c>
      <c r="S513" s="8">
        <v>27295</v>
      </c>
      <c r="T513" s="9">
        <v>73</v>
      </c>
      <c r="U513" s="9">
        <f t="shared" si="108"/>
        <v>27221</v>
      </c>
      <c r="V513" s="9">
        <f t="shared" si="109"/>
        <v>24</v>
      </c>
      <c r="W513" s="7">
        <v>12</v>
      </c>
      <c r="X513" s="7">
        <f t="shared" si="121"/>
        <v>19.110999999999997</v>
      </c>
      <c r="Y513" s="9">
        <v>1</v>
      </c>
      <c r="Z513" s="9">
        <v>0</v>
      </c>
      <c r="AA513" s="9">
        <v>1</v>
      </c>
      <c r="AB513" s="9">
        <v>0</v>
      </c>
      <c r="AC513" s="9">
        <v>0</v>
      </c>
      <c r="AD513" s="9">
        <v>0</v>
      </c>
      <c r="AE513" s="8">
        <v>0</v>
      </c>
      <c r="AF513" s="9">
        <v>1</v>
      </c>
      <c r="AG513" s="30">
        <v>0</v>
      </c>
      <c r="AH513" s="9">
        <v>0</v>
      </c>
      <c r="AI513" s="30">
        <v>1</v>
      </c>
      <c r="AJ513" s="21">
        <v>1999</v>
      </c>
      <c r="AK513" s="33">
        <f t="shared" si="122"/>
        <v>0.16289999999999993</v>
      </c>
      <c r="AL513" s="33">
        <v>9.69E-2</v>
      </c>
      <c r="AM513" s="33">
        <v>0.49940000000000001</v>
      </c>
      <c r="AN513" s="43">
        <v>0.24079999999999999</v>
      </c>
      <c r="AO513" s="42">
        <f t="shared" si="123"/>
        <v>0.53514991000000001</v>
      </c>
      <c r="AP513" s="18">
        <v>0.46485008999999999</v>
      </c>
      <c r="AQ513">
        <v>1</v>
      </c>
      <c r="AR513" s="40">
        <v>0</v>
      </c>
      <c r="AS513" t="s">
        <v>98</v>
      </c>
      <c r="AT513" s="40" t="s">
        <v>98</v>
      </c>
      <c r="AU513">
        <v>0</v>
      </c>
      <c r="AV513" s="18">
        <v>1</v>
      </c>
      <c r="AW513">
        <v>0.28489999999999999</v>
      </c>
      <c r="AX513" s="18">
        <f t="shared" si="124"/>
        <v>0.71510000000000007</v>
      </c>
      <c r="AY513" s="18" t="s">
        <v>12</v>
      </c>
      <c r="AZ513">
        <v>0</v>
      </c>
      <c r="BA513">
        <v>0</v>
      </c>
      <c r="BB513">
        <v>0</v>
      </c>
      <c r="BC513">
        <v>0</v>
      </c>
      <c r="BD513">
        <v>0</v>
      </c>
      <c r="BE513">
        <v>1</v>
      </c>
      <c r="BF513" s="18">
        <v>0</v>
      </c>
      <c r="BG513">
        <v>0</v>
      </c>
      <c r="BH513">
        <v>1</v>
      </c>
      <c r="BI513" s="18">
        <v>0</v>
      </c>
      <c r="BJ513">
        <v>480</v>
      </c>
      <c r="BK513">
        <v>347</v>
      </c>
      <c r="BL513" s="25">
        <v>37.110999999999997</v>
      </c>
      <c r="BM513">
        <v>0</v>
      </c>
      <c r="BN513">
        <v>0</v>
      </c>
      <c r="BO513">
        <v>0</v>
      </c>
      <c r="BP513">
        <v>0</v>
      </c>
      <c r="BQ513">
        <v>0</v>
      </c>
      <c r="BR513">
        <v>0</v>
      </c>
      <c r="BS513">
        <v>1</v>
      </c>
      <c r="BT513" s="18">
        <v>0</v>
      </c>
      <c r="BU513">
        <v>0</v>
      </c>
      <c r="BV513">
        <v>0</v>
      </c>
      <c r="BW513">
        <v>0</v>
      </c>
      <c r="BX513" s="18">
        <v>1</v>
      </c>
      <c r="BY513">
        <v>0</v>
      </c>
      <c r="BZ513">
        <v>0</v>
      </c>
      <c r="CA513">
        <v>0</v>
      </c>
      <c r="CB513">
        <v>0</v>
      </c>
      <c r="CC513" s="18">
        <v>0</v>
      </c>
      <c r="CD513">
        <v>1</v>
      </c>
      <c r="CE513">
        <v>0</v>
      </c>
      <c r="CF513">
        <v>0</v>
      </c>
      <c r="CG513">
        <v>0</v>
      </c>
      <c r="CH513">
        <v>1</v>
      </c>
      <c r="CI513">
        <v>0</v>
      </c>
      <c r="CJ513">
        <v>0</v>
      </c>
      <c r="CK513">
        <v>0</v>
      </c>
      <c r="CL513">
        <v>1</v>
      </c>
      <c r="CM513">
        <v>1</v>
      </c>
      <c r="CN513" s="18">
        <v>1</v>
      </c>
      <c r="CO513">
        <v>0.14599999999999999</v>
      </c>
      <c r="CP513">
        <v>118</v>
      </c>
      <c r="CQ513">
        <v>1</v>
      </c>
      <c r="CR513">
        <v>0</v>
      </c>
      <c r="CS513">
        <v>10</v>
      </c>
      <c r="CY513" s="34"/>
    </row>
    <row r="514" spans="1:103" x14ac:dyDescent="0.25">
      <c r="A514">
        <v>513</v>
      </c>
      <c r="B514">
        <v>34</v>
      </c>
      <c r="C514" s="25" t="s">
        <v>321</v>
      </c>
      <c r="D514" s="12">
        <v>9.9700000000000006</v>
      </c>
      <c r="E514" s="14">
        <v>0.28000000000000003</v>
      </c>
      <c r="F514" s="7">
        <f t="shared" si="120"/>
        <v>35.607142857142854</v>
      </c>
      <c r="G514" s="7">
        <f t="shared" ref="G514:G577" si="125">D514-E514</f>
        <v>9.6900000000000013</v>
      </c>
      <c r="H514" s="16">
        <f t="shared" ref="H514:H577" si="126">D514+E514</f>
        <v>10.25</v>
      </c>
      <c r="I514" s="11">
        <f t="shared" si="112"/>
        <v>0.21073422283035778</v>
      </c>
      <c r="J514" s="33">
        <f t="shared" si="113"/>
        <v>5.9183131787863769E-3</v>
      </c>
      <c r="K514" s="33">
        <f t="shared" si="114"/>
        <v>168.96706372085944</v>
      </c>
      <c r="L514" s="8">
        <v>1</v>
      </c>
      <c r="M514" s="9">
        <v>0</v>
      </c>
      <c r="N514" s="8">
        <v>0</v>
      </c>
      <c r="O514" s="9">
        <v>0</v>
      </c>
      <c r="P514" s="9">
        <v>1</v>
      </c>
      <c r="Q514" s="9">
        <v>0</v>
      </c>
      <c r="R514" s="9">
        <v>0</v>
      </c>
      <c r="S514" s="8">
        <v>27356</v>
      </c>
      <c r="T514" s="9">
        <v>73</v>
      </c>
      <c r="U514" s="9">
        <f t="shared" ref="U514:U577" si="127">S514-T514-1</f>
        <v>27282</v>
      </c>
      <c r="V514" s="9">
        <f t="shared" ref="V514:V577" si="128">COUNTIF(B:B,B514)</f>
        <v>24</v>
      </c>
      <c r="W514" s="7">
        <v>15.5</v>
      </c>
      <c r="X514" s="7">
        <f t="shared" si="121"/>
        <v>13.378999999999998</v>
      </c>
      <c r="Y514" s="9">
        <v>1</v>
      </c>
      <c r="Z514" s="9">
        <v>0</v>
      </c>
      <c r="AA514" s="9">
        <v>1</v>
      </c>
      <c r="AB514" s="9">
        <v>0</v>
      </c>
      <c r="AC514" s="9">
        <v>0</v>
      </c>
      <c r="AD514" s="9">
        <v>0</v>
      </c>
      <c r="AE514" s="8">
        <v>0</v>
      </c>
      <c r="AF514" s="9">
        <v>1</v>
      </c>
      <c r="AG514" s="30">
        <v>0</v>
      </c>
      <c r="AH514" s="9">
        <v>0</v>
      </c>
      <c r="AI514" s="30">
        <v>1</v>
      </c>
      <c r="AJ514" s="21">
        <v>1983</v>
      </c>
      <c r="AK514" s="33">
        <f t="shared" si="122"/>
        <v>0.28200000000000003</v>
      </c>
      <c r="AL514" s="33">
        <v>0.1472</v>
      </c>
      <c r="AM514" s="33">
        <v>0.43049999999999999</v>
      </c>
      <c r="AN514" s="43">
        <v>0.14030000000000001</v>
      </c>
      <c r="AO514" s="42">
        <f t="shared" si="123"/>
        <v>0.54134831999999999</v>
      </c>
      <c r="AP514" s="18">
        <v>0.45865168000000001</v>
      </c>
      <c r="AQ514">
        <v>1</v>
      </c>
      <c r="AR514" s="40">
        <v>0</v>
      </c>
      <c r="AS514" t="s">
        <v>98</v>
      </c>
      <c r="AT514" s="40" t="s">
        <v>98</v>
      </c>
      <c r="AU514">
        <v>0</v>
      </c>
      <c r="AV514" s="18">
        <v>1</v>
      </c>
      <c r="AW514">
        <v>0.30980000000000002</v>
      </c>
      <c r="AX514" s="18">
        <f t="shared" si="124"/>
        <v>0.69019999999999992</v>
      </c>
      <c r="AY514" s="18" t="s">
        <v>12</v>
      </c>
      <c r="AZ514">
        <v>0</v>
      </c>
      <c r="BA514">
        <v>0</v>
      </c>
      <c r="BB514">
        <v>0</v>
      </c>
      <c r="BC514">
        <v>0</v>
      </c>
      <c r="BD514">
        <v>0</v>
      </c>
      <c r="BE514">
        <v>1</v>
      </c>
      <c r="BF514" s="18">
        <v>0</v>
      </c>
      <c r="BG514">
        <v>0</v>
      </c>
      <c r="BH514">
        <v>1</v>
      </c>
      <c r="BI514" s="18">
        <v>0</v>
      </c>
      <c r="BJ514">
        <v>329</v>
      </c>
      <c r="BK514">
        <v>27</v>
      </c>
      <c r="BL514" s="25">
        <v>34.878999999999998</v>
      </c>
      <c r="BM514">
        <v>0</v>
      </c>
      <c r="BN514">
        <v>0</v>
      </c>
      <c r="BO514">
        <v>0</v>
      </c>
      <c r="BP514">
        <v>0</v>
      </c>
      <c r="BQ514">
        <v>0</v>
      </c>
      <c r="BR514">
        <v>0</v>
      </c>
      <c r="BS514">
        <v>1</v>
      </c>
      <c r="BT514" s="18">
        <v>0</v>
      </c>
      <c r="BU514">
        <v>0</v>
      </c>
      <c r="BV514">
        <v>0</v>
      </c>
      <c r="BW514">
        <v>0</v>
      </c>
      <c r="BX514" s="18">
        <v>1</v>
      </c>
      <c r="BY514">
        <v>0</v>
      </c>
      <c r="BZ514">
        <v>0</v>
      </c>
      <c r="CA514">
        <v>0</v>
      </c>
      <c r="CB514">
        <v>0</v>
      </c>
      <c r="CC514" s="18">
        <v>0</v>
      </c>
      <c r="CD514">
        <v>1</v>
      </c>
      <c r="CE514">
        <v>0</v>
      </c>
      <c r="CF514">
        <v>0</v>
      </c>
      <c r="CG514">
        <v>0</v>
      </c>
      <c r="CH514">
        <v>1</v>
      </c>
      <c r="CI514">
        <v>0</v>
      </c>
      <c r="CJ514">
        <v>0</v>
      </c>
      <c r="CK514">
        <v>0</v>
      </c>
      <c r="CL514">
        <v>1</v>
      </c>
      <c r="CM514">
        <v>1</v>
      </c>
      <c r="CN514" s="18">
        <v>1</v>
      </c>
      <c r="CO514">
        <v>0.14599999999999999</v>
      </c>
      <c r="CP514">
        <v>118</v>
      </c>
      <c r="CQ514">
        <v>1</v>
      </c>
      <c r="CR514">
        <v>0</v>
      </c>
      <c r="CS514">
        <v>10</v>
      </c>
      <c r="CY514" s="34"/>
    </row>
    <row r="515" spans="1:103" x14ac:dyDescent="0.25">
      <c r="A515">
        <v>514</v>
      </c>
      <c r="B515">
        <v>34</v>
      </c>
      <c r="C515" s="25" t="s">
        <v>321</v>
      </c>
      <c r="D515" s="12">
        <v>10.94</v>
      </c>
      <c r="E515" s="14">
        <v>0.28000000000000003</v>
      </c>
      <c r="F515" s="7">
        <f t="shared" si="120"/>
        <v>39.071428571428569</v>
      </c>
      <c r="G515" s="7">
        <f t="shared" si="125"/>
        <v>10.66</v>
      </c>
      <c r="H515" s="16">
        <f t="shared" si="126"/>
        <v>11.219999999999999</v>
      </c>
      <c r="I515" s="11">
        <f t="shared" si="112"/>
        <v>0.23416823266045317</v>
      </c>
      <c r="J515" s="33">
        <f t="shared" si="113"/>
        <v>5.9933368505417639E-3</v>
      </c>
      <c r="K515" s="33">
        <f t="shared" si="114"/>
        <v>166.85195992439597</v>
      </c>
      <c r="L515" s="8">
        <v>1</v>
      </c>
      <c r="M515" s="9">
        <v>0</v>
      </c>
      <c r="N515" s="8">
        <v>0</v>
      </c>
      <c r="O515" s="9">
        <v>0</v>
      </c>
      <c r="P515" s="9">
        <v>1</v>
      </c>
      <c r="Q515" s="9">
        <v>0</v>
      </c>
      <c r="R515" s="9">
        <v>0</v>
      </c>
      <c r="S515" s="8">
        <v>26387</v>
      </c>
      <c r="T515" s="9">
        <v>73</v>
      </c>
      <c r="U515" s="9">
        <f t="shared" si="127"/>
        <v>26313</v>
      </c>
      <c r="V515" s="9">
        <f t="shared" si="128"/>
        <v>24</v>
      </c>
      <c r="W515" s="7">
        <v>15.5</v>
      </c>
      <c r="X515" s="7">
        <f t="shared" si="121"/>
        <v>15.269599999999997</v>
      </c>
      <c r="Y515" s="9">
        <v>1</v>
      </c>
      <c r="Z515" s="9">
        <v>0</v>
      </c>
      <c r="AA515" s="9">
        <v>1</v>
      </c>
      <c r="AB515" s="9">
        <v>0</v>
      </c>
      <c r="AC515" s="9">
        <v>0</v>
      </c>
      <c r="AD515" s="9">
        <v>0</v>
      </c>
      <c r="AE515" s="8">
        <v>0</v>
      </c>
      <c r="AF515" s="9">
        <v>1</v>
      </c>
      <c r="AG515" s="30">
        <v>0</v>
      </c>
      <c r="AH515" s="9">
        <v>0</v>
      </c>
      <c r="AI515" s="30">
        <v>1</v>
      </c>
      <c r="AJ515" s="21">
        <v>1993</v>
      </c>
      <c r="AK515" s="33">
        <f t="shared" si="122"/>
        <v>0.19130000000000003</v>
      </c>
      <c r="AL515" s="33">
        <v>0.1027</v>
      </c>
      <c r="AM515" s="33">
        <v>0.4718</v>
      </c>
      <c r="AN515" s="43">
        <v>0.23419999999999999</v>
      </c>
      <c r="AO515" s="42">
        <f t="shared" si="123"/>
        <v>0.52929399999999993</v>
      </c>
      <c r="AP515" s="18">
        <v>0.47070600000000001</v>
      </c>
      <c r="AQ515">
        <v>1</v>
      </c>
      <c r="AR515" s="40">
        <v>0</v>
      </c>
      <c r="AS515" t="s">
        <v>98</v>
      </c>
      <c r="AT515" s="40" t="s">
        <v>98</v>
      </c>
      <c r="AU515">
        <v>0</v>
      </c>
      <c r="AV515" s="18">
        <v>1</v>
      </c>
      <c r="AW515">
        <v>0.28499999999999998</v>
      </c>
      <c r="AX515" s="18">
        <f t="shared" si="124"/>
        <v>0.71500000000000008</v>
      </c>
      <c r="AY515" s="18" t="s">
        <v>12</v>
      </c>
      <c r="AZ515">
        <v>0</v>
      </c>
      <c r="BA515">
        <v>0</v>
      </c>
      <c r="BB515">
        <v>0</v>
      </c>
      <c r="BC515">
        <v>0</v>
      </c>
      <c r="BD515">
        <v>0</v>
      </c>
      <c r="BE515">
        <v>1</v>
      </c>
      <c r="BF515" s="18">
        <v>0</v>
      </c>
      <c r="BG515">
        <v>0</v>
      </c>
      <c r="BH515">
        <v>1</v>
      </c>
      <c r="BI515" s="18">
        <v>0</v>
      </c>
      <c r="BJ515">
        <v>386</v>
      </c>
      <c r="BK515">
        <v>221</v>
      </c>
      <c r="BL515" s="25">
        <v>36.769599999999997</v>
      </c>
      <c r="BM515">
        <v>0</v>
      </c>
      <c r="BN515">
        <v>0</v>
      </c>
      <c r="BO515">
        <v>0</v>
      </c>
      <c r="BP515">
        <v>0</v>
      </c>
      <c r="BQ515">
        <v>0</v>
      </c>
      <c r="BR515">
        <v>0</v>
      </c>
      <c r="BS515">
        <v>1</v>
      </c>
      <c r="BT515" s="18">
        <v>0</v>
      </c>
      <c r="BU515">
        <v>0</v>
      </c>
      <c r="BV515">
        <v>0</v>
      </c>
      <c r="BW515">
        <v>0</v>
      </c>
      <c r="BX515" s="18">
        <v>1</v>
      </c>
      <c r="BY515">
        <v>0</v>
      </c>
      <c r="BZ515">
        <v>0</v>
      </c>
      <c r="CA515">
        <v>0</v>
      </c>
      <c r="CB515">
        <v>0</v>
      </c>
      <c r="CC515" s="18">
        <v>0</v>
      </c>
      <c r="CD515">
        <v>1</v>
      </c>
      <c r="CE515">
        <v>0</v>
      </c>
      <c r="CF515">
        <v>0</v>
      </c>
      <c r="CG515">
        <v>0</v>
      </c>
      <c r="CH515">
        <v>1</v>
      </c>
      <c r="CI515">
        <v>0</v>
      </c>
      <c r="CJ515">
        <v>0</v>
      </c>
      <c r="CK515">
        <v>0</v>
      </c>
      <c r="CL515">
        <v>1</v>
      </c>
      <c r="CM515">
        <v>1</v>
      </c>
      <c r="CN515" s="18">
        <v>1</v>
      </c>
      <c r="CO515">
        <v>0.14599999999999999</v>
      </c>
      <c r="CP515">
        <v>118</v>
      </c>
      <c r="CQ515">
        <v>1</v>
      </c>
      <c r="CR515">
        <v>0</v>
      </c>
      <c r="CS515">
        <v>10</v>
      </c>
      <c r="CY515" s="34"/>
    </row>
    <row r="516" spans="1:103" x14ac:dyDescent="0.25">
      <c r="A516">
        <v>515</v>
      </c>
      <c r="B516">
        <v>34</v>
      </c>
      <c r="C516" s="25" t="s">
        <v>321</v>
      </c>
      <c r="D516" s="12">
        <v>12.29</v>
      </c>
      <c r="E516" s="14">
        <v>0.28000000000000003</v>
      </c>
      <c r="F516" s="7">
        <f t="shared" si="120"/>
        <v>43.892857142857139</v>
      </c>
      <c r="G516" s="7">
        <f t="shared" si="125"/>
        <v>12.01</v>
      </c>
      <c r="H516" s="16">
        <f t="shared" si="126"/>
        <v>12.569999999999999</v>
      </c>
      <c r="I516" s="11">
        <f t="shared" si="112"/>
        <v>0.25709437715131611</v>
      </c>
      <c r="J516" s="33">
        <f t="shared" si="113"/>
        <v>5.8573169733416195E-3</v>
      </c>
      <c r="K516" s="33">
        <f t="shared" si="114"/>
        <v>170.7266320998668</v>
      </c>
      <c r="L516" s="8">
        <v>1</v>
      </c>
      <c r="M516" s="9">
        <v>0</v>
      </c>
      <c r="N516" s="8">
        <v>0</v>
      </c>
      <c r="O516" s="9">
        <v>0</v>
      </c>
      <c r="P516" s="9">
        <v>1</v>
      </c>
      <c r="Q516" s="9">
        <v>0</v>
      </c>
      <c r="R516" s="9">
        <v>0</v>
      </c>
      <c r="S516" s="8">
        <v>27295</v>
      </c>
      <c r="T516" s="9">
        <v>73</v>
      </c>
      <c r="U516" s="9">
        <f t="shared" si="127"/>
        <v>27221</v>
      </c>
      <c r="V516" s="9">
        <f t="shared" si="128"/>
        <v>24</v>
      </c>
      <c r="W516" s="7">
        <v>15.5</v>
      </c>
      <c r="X516" s="7">
        <f t="shared" si="121"/>
        <v>15.610999999999997</v>
      </c>
      <c r="Y516" s="9">
        <v>1</v>
      </c>
      <c r="Z516" s="9">
        <v>0</v>
      </c>
      <c r="AA516" s="9">
        <v>1</v>
      </c>
      <c r="AB516" s="9">
        <v>0</v>
      </c>
      <c r="AC516" s="9">
        <v>0</v>
      </c>
      <c r="AD516" s="9">
        <v>0</v>
      </c>
      <c r="AE516" s="8">
        <v>0</v>
      </c>
      <c r="AF516" s="9">
        <v>1</v>
      </c>
      <c r="AG516" s="30">
        <v>0</v>
      </c>
      <c r="AH516" s="9">
        <v>0</v>
      </c>
      <c r="AI516" s="30">
        <v>1</v>
      </c>
      <c r="AJ516" s="21">
        <v>1999</v>
      </c>
      <c r="AK516" s="33">
        <f t="shared" si="122"/>
        <v>0.16289999999999993</v>
      </c>
      <c r="AL516" s="33">
        <v>9.69E-2</v>
      </c>
      <c r="AM516" s="33">
        <v>0.49940000000000001</v>
      </c>
      <c r="AN516" s="43">
        <v>0.24079999999999999</v>
      </c>
      <c r="AO516" s="42">
        <f t="shared" si="123"/>
        <v>0.53514991000000001</v>
      </c>
      <c r="AP516" s="18">
        <v>0.46485008999999999</v>
      </c>
      <c r="AQ516">
        <v>1</v>
      </c>
      <c r="AR516" s="40">
        <v>0</v>
      </c>
      <c r="AS516" t="s">
        <v>98</v>
      </c>
      <c r="AT516" s="40" t="s">
        <v>98</v>
      </c>
      <c r="AU516">
        <v>0</v>
      </c>
      <c r="AV516" s="18">
        <v>1</v>
      </c>
      <c r="AW516">
        <v>0.28489999999999999</v>
      </c>
      <c r="AX516" s="18">
        <f t="shared" si="124"/>
        <v>0.71510000000000007</v>
      </c>
      <c r="AY516" s="18" t="s">
        <v>12</v>
      </c>
      <c r="AZ516">
        <v>0</v>
      </c>
      <c r="BA516">
        <v>0</v>
      </c>
      <c r="BB516">
        <v>0</v>
      </c>
      <c r="BC516">
        <v>0</v>
      </c>
      <c r="BD516">
        <v>0</v>
      </c>
      <c r="BE516">
        <v>1</v>
      </c>
      <c r="BF516" s="18">
        <v>0</v>
      </c>
      <c r="BG516">
        <v>0</v>
      </c>
      <c r="BH516">
        <v>1</v>
      </c>
      <c r="BI516" s="18">
        <v>0</v>
      </c>
      <c r="BJ516">
        <v>480</v>
      </c>
      <c r="BK516">
        <v>347</v>
      </c>
      <c r="BL516" s="25">
        <v>37.110999999999997</v>
      </c>
      <c r="BM516">
        <v>0</v>
      </c>
      <c r="BN516">
        <v>0</v>
      </c>
      <c r="BO516">
        <v>0</v>
      </c>
      <c r="BP516">
        <v>0</v>
      </c>
      <c r="BQ516">
        <v>0</v>
      </c>
      <c r="BR516">
        <v>0</v>
      </c>
      <c r="BS516">
        <v>1</v>
      </c>
      <c r="BT516" s="18">
        <v>0</v>
      </c>
      <c r="BU516">
        <v>0</v>
      </c>
      <c r="BV516">
        <v>0</v>
      </c>
      <c r="BW516">
        <v>0</v>
      </c>
      <c r="BX516" s="18">
        <v>1</v>
      </c>
      <c r="BY516">
        <v>0</v>
      </c>
      <c r="BZ516">
        <v>0</v>
      </c>
      <c r="CA516">
        <v>0</v>
      </c>
      <c r="CB516">
        <v>0</v>
      </c>
      <c r="CC516" s="18">
        <v>0</v>
      </c>
      <c r="CD516">
        <v>1</v>
      </c>
      <c r="CE516">
        <v>0</v>
      </c>
      <c r="CF516">
        <v>0</v>
      </c>
      <c r="CG516">
        <v>0</v>
      </c>
      <c r="CH516">
        <v>1</v>
      </c>
      <c r="CI516">
        <v>0</v>
      </c>
      <c r="CJ516">
        <v>0</v>
      </c>
      <c r="CK516">
        <v>0</v>
      </c>
      <c r="CL516">
        <v>1</v>
      </c>
      <c r="CM516">
        <v>1</v>
      </c>
      <c r="CN516" s="18">
        <v>1</v>
      </c>
      <c r="CO516">
        <v>0.14599999999999999</v>
      </c>
      <c r="CP516">
        <v>118</v>
      </c>
      <c r="CQ516">
        <v>1</v>
      </c>
      <c r="CR516">
        <v>0</v>
      </c>
      <c r="CS516">
        <v>10</v>
      </c>
      <c r="CY516" s="34"/>
    </row>
    <row r="517" spans="1:103" x14ac:dyDescent="0.25">
      <c r="A517">
        <v>516</v>
      </c>
      <c r="B517">
        <v>34</v>
      </c>
      <c r="C517" s="25" t="s">
        <v>321</v>
      </c>
      <c r="D517" s="12">
        <v>5.17</v>
      </c>
      <c r="E517" s="14">
        <v>0.24</v>
      </c>
      <c r="F517" s="7">
        <f t="shared" si="120"/>
        <v>21.541666666666668</v>
      </c>
      <c r="G517" s="7">
        <f t="shared" si="125"/>
        <v>4.93</v>
      </c>
      <c r="H517" s="16">
        <f t="shared" si="126"/>
        <v>5.41</v>
      </c>
      <c r="I517" s="11">
        <f t="shared" si="112"/>
        <v>0.12596594997664462</v>
      </c>
      <c r="J517" s="33">
        <f t="shared" si="113"/>
        <v>5.8475489350860175E-3</v>
      </c>
      <c r="K517" s="33">
        <f t="shared" si="114"/>
        <v>171.01182240645755</v>
      </c>
      <c r="L517" s="8">
        <v>1</v>
      </c>
      <c r="M517" s="9">
        <v>0</v>
      </c>
      <c r="N517" s="8">
        <v>0</v>
      </c>
      <c r="O517" s="9">
        <v>0</v>
      </c>
      <c r="P517" s="9">
        <v>1</v>
      </c>
      <c r="Q517" s="9">
        <v>0</v>
      </c>
      <c r="R517" s="9">
        <v>0</v>
      </c>
      <c r="S517" s="8">
        <v>28855</v>
      </c>
      <c r="T517" s="9">
        <v>73</v>
      </c>
      <c r="U517" s="9">
        <f t="shared" si="127"/>
        <v>28781</v>
      </c>
      <c r="V517" s="9">
        <f t="shared" si="128"/>
        <v>24</v>
      </c>
      <c r="W517" s="7">
        <v>5</v>
      </c>
      <c r="X517" s="7">
        <f t="shared" si="121"/>
        <v>21.476599999999998</v>
      </c>
      <c r="Y517" s="9">
        <v>1</v>
      </c>
      <c r="Z517" s="9">
        <v>0</v>
      </c>
      <c r="AA517" s="9">
        <v>1</v>
      </c>
      <c r="AB517" s="9">
        <v>0</v>
      </c>
      <c r="AC517" s="9">
        <v>0</v>
      </c>
      <c r="AD517" s="9">
        <v>0</v>
      </c>
      <c r="AE517" s="8">
        <v>0</v>
      </c>
      <c r="AF517" s="9">
        <v>1</v>
      </c>
      <c r="AG517" s="30">
        <v>0</v>
      </c>
      <c r="AH517" s="9">
        <v>0</v>
      </c>
      <c r="AI517" s="30">
        <v>1</v>
      </c>
      <c r="AJ517" s="21">
        <v>1983</v>
      </c>
      <c r="AK517" s="33">
        <f t="shared" si="122"/>
        <v>0.75960000000000005</v>
      </c>
      <c r="AL517" s="33">
        <v>0.14369999999999999</v>
      </c>
      <c r="AM517" s="33">
        <v>9.5100000000000004E-2</v>
      </c>
      <c r="AN517" s="43">
        <v>1.6000000000000001E-3</v>
      </c>
      <c r="AO517" s="42">
        <f t="shared" si="123"/>
        <v>0.54134831999999999</v>
      </c>
      <c r="AP517" s="18">
        <v>0.45865168000000001</v>
      </c>
      <c r="AQ517">
        <v>1</v>
      </c>
      <c r="AR517" s="40">
        <v>0</v>
      </c>
      <c r="AS517" t="s">
        <v>98</v>
      </c>
      <c r="AT517" s="40" t="s">
        <v>98</v>
      </c>
      <c r="AU517">
        <v>0</v>
      </c>
      <c r="AV517" s="18">
        <v>1</v>
      </c>
      <c r="AW517">
        <v>0.79579999999999995</v>
      </c>
      <c r="AX517" s="18">
        <f t="shared" si="124"/>
        <v>0.20420000000000005</v>
      </c>
      <c r="AY517" s="18" t="s">
        <v>12</v>
      </c>
      <c r="AZ517">
        <v>0</v>
      </c>
      <c r="BA517">
        <v>0</v>
      </c>
      <c r="BB517">
        <v>0</v>
      </c>
      <c r="BC517">
        <v>0</v>
      </c>
      <c r="BD517">
        <v>0</v>
      </c>
      <c r="BE517">
        <v>1</v>
      </c>
      <c r="BF517" s="18">
        <v>0</v>
      </c>
      <c r="BG517">
        <v>0</v>
      </c>
      <c r="BH517">
        <v>1</v>
      </c>
      <c r="BI517" s="18">
        <v>0</v>
      </c>
      <c r="BJ517">
        <v>329</v>
      </c>
      <c r="BK517">
        <v>27</v>
      </c>
      <c r="BL517" s="25">
        <v>32.476599999999998</v>
      </c>
      <c r="BM517">
        <v>0</v>
      </c>
      <c r="BN517">
        <v>0</v>
      </c>
      <c r="BO517">
        <v>0</v>
      </c>
      <c r="BP517">
        <v>0</v>
      </c>
      <c r="BQ517">
        <v>0</v>
      </c>
      <c r="BR517">
        <v>0</v>
      </c>
      <c r="BS517">
        <v>1</v>
      </c>
      <c r="BT517" s="18">
        <v>0</v>
      </c>
      <c r="BU517">
        <v>0</v>
      </c>
      <c r="BV517">
        <v>0</v>
      </c>
      <c r="BW517">
        <v>0</v>
      </c>
      <c r="BX517" s="18">
        <v>1</v>
      </c>
      <c r="BY517">
        <v>0</v>
      </c>
      <c r="BZ517">
        <v>0</v>
      </c>
      <c r="CA517">
        <v>0</v>
      </c>
      <c r="CB517">
        <v>0</v>
      </c>
      <c r="CC517" s="18">
        <v>0</v>
      </c>
      <c r="CD517">
        <v>1</v>
      </c>
      <c r="CE517">
        <v>0</v>
      </c>
      <c r="CF517">
        <v>0</v>
      </c>
      <c r="CG517">
        <v>0</v>
      </c>
      <c r="CH517">
        <v>1</v>
      </c>
      <c r="CI517">
        <v>0</v>
      </c>
      <c r="CJ517">
        <v>0</v>
      </c>
      <c r="CK517">
        <v>0</v>
      </c>
      <c r="CL517">
        <v>1</v>
      </c>
      <c r="CM517">
        <v>1</v>
      </c>
      <c r="CN517" s="18">
        <v>1</v>
      </c>
      <c r="CO517">
        <v>0.14599999999999999</v>
      </c>
      <c r="CP517">
        <v>118</v>
      </c>
      <c r="CQ517">
        <v>1</v>
      </c>
      <c r="CR517">
        <v>0</v>
      </c>
      <c r="CS517">
        <v>10</v>
      </c>
      <c r="CY517" s="34"/>
    </row>
    <row r="518" spans="1:103" x14ac:dyDescent="0.25">
      <c r="A518">
        <v>517</v>
      </c>
      <c r="B518">
        <v>34</v>
      </c>
      <c r="C518" s="25" t="s">
        <v>321</v>
      </c>
      <c r="D518" s="12">
        <v>5.09</v>
      </c>
      <c r="E518" s="14">
        <v>0.25</v>
      </c>
      <c r="F518" s="7">
        <f t="shared" si="120"/>
        <v>20.36</v>
      </c>
      <c r="G518" s="7">
        <f t="shared" si="125"/>
        <v>4.84</v>
      </c>
      <c r="H518" s="16">
        <f t="shared" si="126"/>
        <v>5.34</v>
      </c>
      <c r="I518" s="11">
        <f t="shared" si="112"/>
        <v>0.1245113704291685</v>
      </c>
      <c r="J518" s="33">
        <f t="shared" si="113"/>
        <v>6.1154897067371566E-3</v>
      </c>
      <c r="K518" s="33">
        <f t="shared" si="114"/>
        <v>163.51920254208679</v>
      </c>
      <c r="L518" s="8">
        <v>1</v>
      </c>
      <c r="M518" s="9">
        <v>0</v>
      </c>
      <c r="N518" s="8">
        <v>0</v>
      </c>
      <c r="O518" s="9">
        <v>0</v>
      </c>
      <c r="P518" s="9">
        <v>1</v>
      </c>
      <c r="Q518" s="9">
        <v>0</v>
      </c>
      <c r="R518" s="9">
        <v>0</v>
      </c>
      <c r="S518" s="8">
        <v>26398</v>
      </c>
      <c r="T518" s="9">
        <v>73</v>
      </c>
      <c r="U518" s="9">
        <f t="shared" si="127"/>
        <v>26324</v>
      </c>
      <c r="V518" s="9">
        <f t="shared" si="128"/>
        <v>24</v>
      </c>
      <c r="W518" s="7">
        <v>5</v>
      </c>
      <c r="X518" s="7">
        <f t="shared" si="121"/>
        <v>22.099899999999998</v>
      </c>
      <c r="Y518" s="9">
        <v>1</v>
      </c>
      <c r="Z518" s="9">
        <v>0</v>
      </c>
      <c r="AA518" s="9">
        <v>1</v>
      </c>
      <c r="AB518" s="9">
        <v>0</v>
      </c>
      <c r="AC518" s="9">
        <v>0</v>
      </c>
      <c r="AD518" s="9">
        <v>0</v>
      </c>
      <c r="AE518" s="8">
        <v>0</v>
      </c>
      <c r="AF518" s="9">
        <v>1</v>
      </c>
      <c r="AG518" s="30">
        <v>0</v>
      </c>
      <c r="AH518" s="9">
        <v>0</v>
      </c>
      <c r="AI518" s="30">
        <v>1</v>
      </c>
      <c r="AJ518" s="21">
        <v>1993</v>
      </c>
      <c r="AK518" s="33">
        <f t="shared" si="122"/>
        <v>0.69320000000000004</v>
      </c>
      <c r="AL518" s="33">
        <v>0.1447</v>
      </c>
      <c r="AM518" s="33">
        <v>0.1585</v>
      </c>
      <c r="AN518" s="43">
        <v>3.5999999999999999E-3</v>
      </c>
      <c r="AO518" s="42">
        <f t="shared" si="123"/>
        <v>0.52929399999999993</v>
      </c>
      <c r="AP518" s="18">
        <v>0.47070600000000001</v>
      </c>
      <c r="AQ518">
        <v>1</v>
      </c>
      <c r="AR518" s="40">
        <v>0</v>
      </c>
      <c r="AS518" t="s">
        <v>98</v>
      </c>
      <c r="AT518" s="40" t="s">
        <v>98</v>
      </c>
      <c r="AU518">
        <v>0</v>
      </c>
      <c r="AV518" s="18">
        <v>1</v>
      </c>
      <c r="AW518">
        <v>0.76400000000000001</v>
      </c>
      <c r="AX518" s="18">
        <f t="shared" si="124"/>
        <v>0.23599999999999999</v>
      </c>
      <c r="AY518" s="18" t="s">
        <v>12</v>
      </c>
      <c r="AZ518">
        <v>0</v>
      </c>
      <c r="BA518">
        <v>0</v>
      </c>
      <c r="BB518">
        <v>0</v>
      </c>
      <c r="BC518">
        <v>0</v>
      </c>
      <c r="BD518">
        <v>0</v>
      </c>
      <c r="BE518">
        <v>1</v>
      </c>
      <c r="BF518" s="18">
        <v>0</v>
      </c>
      <c r="BG518">
        <v>0</v>
      </c>
      <c r="BH518">
        <v>1</v>
      </c>
      <c r="BI518" s="18">
        <v>0</v>
      </c>
      <c r="BJ518">
        <v>386</v>
      </c>
      <c r="BK518">
        <v>221</v>
      </c>
      <c r="BL518" s="25">
        <v>33.099899999999998</v>
      </c>
      <c r="BM518">
        <v>0</v>
      </c>
      <c r="BN518">
        <v>0</v>
      </c>
      <c r="BO518">
        <v>0</v>
      </c>
      <c r="BP518">
        <v>0</v>
      </c>
      <c r="BQ518">
        <v>0</v>
      </c>
      <c r="BR518">
        <v>0</v>
      </c>
      <c r="BS518">
        <v>1</v>
      </c>
      <c r="BT518" s="18">
        <v>0</v>
      </c>
      <c r="BU518">
        <v>0</v>
      </c>
      <c r="BV518">
        <v>0</v>
      </c>
      <c r="BW518">
        <v>0</v>
      </c>
      <c r="BX518" s="18">
        <v>1</v>
      </c>
      <c r="BY518">
        <v>0</v>
      </c>
      <c r="BZ518">
        <v>0</v>
      </c>
      <c r="CA518">
        <v>0</v>
      </c>
      <c r="CB518">
        <v>0</v>
      </c>
      <c r="CC518" s="18">
        <v>0</v>
      </c>
      <c r="CD518">
        <v>1</v>
      </c>
      <c r="CE518">
        <v>0</v>
      </c>
      <c r="CF518">
        <v>0</v>
      </c>
      <c r="CG518">
        <v>0</v>
      </c>
      <c r="CH518">
        <v>1</v>
      </c>
      <c r="CI518">
        <v>0</v>
      </c>
      <c r="CJ518">
        <v>0</v>
      </c>
      <c r="CK518">
        <v>0</v>
      </c>
      <c r="CL518">
        <v>1</v>
      </c>
      <c r="CM518">
        <v>1</v>
      </c>
      <c r="CN518" s="18">
        <v>1</v>
      </c>
      <c r="CO518">
        <v>0.14599999999999999</v>
      </c>
      <c r="CP518">
        <v>118</v>
      </c>
      <c r="CQ518">
        <v>1</v>
      </c>
      <c r="CR518">
        <v>0</v>
      </c>
      <c r="CS518">
        <v>10</v>
      </c>
      <c r="CY518" s="34"/>
    </row>
    <row r="519" spans="1:103" x14ac:dyDescent="0.25">
      <c r="A519">
        <v>518</v>
      </c>
      <c r="B519">
        <v>34</v>
      </c>
      <c r="C519" s="25" t="s">
        <v>321</v>
      </c>
      <c r="D519" s="12">
        <v>5.15</v>
      </c>
      <c r="E519" s="14">
        <v>0.25</v>
      </c>
      <c r="F519" s="7">
        <f t="shared" si="120"/>
        <v>20.6</v>
      </c>
      <c r="G519" s="7">
        <f t="shared" si="125"/>
        <v>4.9000000000000004</v>
      </c>
      <c r="H519" s="16">
        <f t="shared" si="126"/>
        <v>5.4</v>
      </c>
      <c r="I519" s="11">
        <f t="shared" si="112"/>
        <v>0.11862738625856023</v>
      </c>
      <c r="J519" s="33">
        <f t="shared" si="113"/>
        <v>5.7586109834252535E-3</v>
      </c>
      <c r="K519" s="33">
        <f t="shared" si="114"/>
        <v>173.65298730514255</v>
      </c>
      <c r="L519" s="8">
        <v>1</v>
      </c>
      <c r="M519" s="9">
        <v>0</v>
      </c>
      <c r="N519" s="8">
        <v>0</v>
      </c>
      <c r="O519" s="9">
        <v>0</v>
      </c>
      <c r="P519" s="9">
        <v>1</v>
      </c>
      <c r="Q519" s="9">
        <v>0</v>
      </c>
      <c r="R519" s="9">
        <v>0</v>
      </c>
      <c r="S519" s="8">
        <v>29805</v>
      </c>
      <c r="T519" s="9">
        <v>73</v>
      </c>
      <c r="U519" s="9">
        <f t="shared" si="127"/>
        <v>29731</v>
      </c>
      <c r="V519" s="9">
        <f t="shared" si="128"/>
        <v>24</v>
      </c>
      <c r="W519" s="7">
        <v>5</v>
      </c>
      <c r="X519" s="7">
        <f t="shared" si="121"/>
        <v>22.079599999999999</v>
      </c>
      <c r="Y519" s="9">
        <v>1</v>
      </c>
      <c r="Z519" s="9">
        <v>0</v>
      </c>
      <c r="AA519" s="9">
        <v>1</v>
      </c>
      <c r="AB519" s="9">
        <v>0</v>
      </c>
      <c r="AC519" s="9">
        <v>0</v>
      </c>
      <c r="AD519" s="9">
        <v>0</v>
      </c>
      <c r="AE519" s="8">
        <v>0</v>
      </c>
      <c r="AF519" s="9">
        <v>1</v>
      </c>
      <c r="AG519" s="30">
        <v>0</v>
      </c>
      <c r="AH519" s="9">
        <v>0</v>
      </c>
      <c r="AI519" s="30">
        <v>1</v>
      </c>
      <c r="AJ519" s="21">
        <v>1999</v>
      </c>
      <c r="AK519" s="33">
        <f t="shared" si="122"/>
        <v>0.61990000000000001</v>
      </c>
      <c r="AL519" s="33">
        <v>0.14649999999999999</v>
      </c>
      <c r="AM519" s="33">
        <v>0.22819999999999999</v>
      </c>
      <c r="AN519" s="43">
        <v>5.4000000000000003E-3</v>
      </c>
      <c r="AO519" s="42">
        <f t="shared" si="123"/>
        <v>0.53514991000000001</v>
      </c>
      <c r="AP519" s="18">
        <v>0.46485008999999999</v>
      </c>
      <c r="AQ519">
        <v>1</v>
      </c>
      <c r="AR519" s="40">
        <v>0</v>
      </c>
      <c r="AS519" t="s">
        <v>98</v>
      </c>
      <c r="AT519" s="40" t="s">
        <v>98</v>
      </c>
      <c r="AU519">
        <v>0</v>
      </c>
      <c r="AV519" s="18">
        <v>1</v>
      </c>
      <c r="AW519">
        <v>0.75</v>
      </c>
      <c r="AX519" s="18">
        <f t="shared" si="124"/>
        <v>0.25</v>
      </c>
      <c r="AY519" s="18" t="s">
        <v>12</v>
      </c>
      <c r="AZ519">
        <v>0</v>
      </c>
      <c r="BA519">
        <v>0</v>
      </c>
      <c r="BB519">
        <v>0</v>
      </c>
      <c r="BC519">
        <v>0</v>
      </c>
      <c r="BD519">
        <v>0</v>
      </c>
      <c r="BE519">
        <v>1</v>
      </c>
      <c r="BF519" s="18">
        <v>0</v>
      </c>
      <c r="BG519">
        <v>0</v>
      </c>
      <c r="BH519">
        <v>1</v>
      </c>
      <c r="BI519" s="18">
        <v>0</v>
      </c>
      <c r="BJ519">
        <v>480</v>
      </c>
      <c r="BK519">
        <v>347</v>
      </c>
      <c r="BL519" s="25">
        <v>33.079599999999999</v>
      </c>
      <c r="BM519">
        <v>0</v>
      </c>
      <c r="BN519">
        <v>0</v>
      </c>
      <c r="BO519">
        <v>0</v>
      </c>
      <c r="BP519">
        <v>0</v>
      </c>
      <c r="BQ519">
        <v>0</v>
      </c>
      <c r="BR519">
        <v>0</v>
      </c>
      <c r="BS519">
        <v>1</v>
      </c>
      <c r="BT519" s="18">
        <v>0</v>
      </c>
      <c r="BU519">
        <v>0</v>
      </c>
      <c r="BV519">
        <v>0</v>
      </c>
      <c r="BW519">
        <v>0</v>
      </c>
      <c r="BX519" s="18">
        <v>1</v>
      </c>
      <c r="BY519">
        <v>0</v>
      </c>
      <c r="BZ519">
        <v>0</v>
      </c>
      <c r="CA519">
        <v>0</v>
      </c>
      <c r="CB519">
        <v>0</v>
      </c>
      <c r="CC519" s="18">
        <v>0</v>
      </c>
      <c r="CD519">
        <v>1</v>
      </c>
      <c r="CE519">
        <v>0</v>
      </c>
      <c r="CF519">
        <v>0</v>
      </c>
      <c r="CG519">
        <v>0</v>
      </c>
      <c r="CH519">
        <v>1</v>
      </c>
      <c r="CI519">
        <v>0</v>
      </c>
      <c r="CJ519">
        <v>0</v>
      </c>
      <c r="CK519">
        <v>0</v>
      </c>
      <c r="CL519">
        <v>1</v>
      </c>
      <c r="CM519">
        <v>1</v>
      </c>
      <c r="CN519" s="18">
        <v>1</v>
      </c>
      <c r="CO519">
        <v>0.14599999999999999</v>
      </c>
      <c r="CP519">
        <v>118</v>
      </c>
      <c r="CQ519">
        <v>1</v>
      </c>
      <c r="CR519">
        <v>0</v>
      </c>
      <c r="CS519">
        <v>10</v>
      </c>
      <c r="CY519" s="34"/>
    </row>
    <row r="520" spans="1:103" x14ac:dyDescent="0.25">
      <c r="A520">
        <v>519</v>
      </c>
      <c r="B520">
        <v>34</v>
      </c>
      <c r="C520" s="25" t="s">
        <v>321</v>
      </c>
      <c r="D520" s="12">
        <v>0.82</v>
      </c>
      <c r="E520" s="14">
        <v>0.26</v>
      </c>
      <c r="F520" s="7">
        <f t="shared" si="120"/>
        <v>3.1538461538461537</v>
      </c>
      <c r="G520" s="7">
        <f t="shared" si="125"/>
        <v>0.55999999999999994</v>
      </c>
      <c r="H520" s="16">
        <f t="shared" si="126"/>
        <v>1.08</v>
      </c>
      <c r="I520" s="11">
        <f t="shared" ref="I520:I583" si="129">IFERROR(F520/SQRT(F520^2+U520), "X")</f>
        <v>1.8587138339873844E-2</v>
      </c>
      <c r="J520" s="33">
        <f t="shared" ref="J520:J583" si="130">IFERROR(SQRT((1-I520^2)/U520), "X")</f>
        <v>5.8934828882526826E-3</v>
      </c>
      <c r="K520" s="33">
        <f t="shared" ref="K520:K583" si="131">IFERROR(1/J520, "X")</f>
        <v>169.67895198156467</v>
      </c>
      <c r="L520" s="8">
        <v>1</v>
      </c>
      <c r="M520" s="9">
        <v>0</v>
      </c>
      <c r="N520" s="8">
        <v>0</v>
      </c>
      <c r="O520" s="9">
        <v>0</v>
      </c>
      <c r="P520" s="9">
        <v>1</v>
      </c>
      <c r="Q520" s="9">
        <v>0</v>
      </c>
      <c r="R520" s="9">
        <v>0</v>
      </c>
      <c r="S520" s="8">
        <v>28855</v>
      </c>
      <c r="T520" s="9">
        <v>73</v>
      </c>
      <c r="U520" s="9">
        <f t="shared" si="127"/>
        <v>28781</v>
      </c>
      <c r="V520" s="9">
        <f t="shared" si="128"/>
        <v>24</v>
      </c>
      <c r="W520" s="7">
        <v>8</v>
      </c>
      <c r="X520" s="7">
        <f t="shared" si="121"/>
        <v>20.878999999999998</v>
      </c>
      <c r="Y520" s="9">
        <v>1</v>
      </c>
      <c r="Z520" s="9">
        <v>0</v>
      </c>
      <c r="AA520" s="9">
        <v>1</v>
      </c>
      <c r="AB520" s="9">
        <v>0</v>
      </c>
      <c r="AC520" s="9">
        <v>0</v>
      </c>
      <c r="AD520" s="9">
        <v>0</v>
      </c>
      <c r="AE520" s="8">
        <v>0</v>
      </c>
      <c r="AF520" s="9">
        <v>1</v>
      </c>
      <c r="AG520" s="30">
        <v>0</v>
      </c>
      <c r="AH520" s="9">
        <v>0</v>
      </c>
      <c r="AI520" s="30">
        <v>1</v>
      </c>
      <c r="AJ520" s="21">
        <v>1983</v>
      </c>
      <c r="AK520" s="33">
        <f t="shared" si="122"/>
        <v>0.75960000000000005</v>
      </c>
      <c r="AL520" s="33">
        <v>0.14369999999999999</v>
      </c>
      <c r="AM520" s="33">
        <v>9.5100000000000004E-2</v>
      </c>
      <c r="AN520" s="43">
        <v>1.6000000000000001E-3</v>
      </c>
      <c r="AO520" s="42">
        <f t="shared" si="123"/>
        <v>0.54134831999999999</v>
      </c>
      <c r="AP520" s="18">
        <v>0.45865168000000001</v>
      </c>
      <c r="AQ520">
        <v>1</v>
      </c>
      <c r="AR520" s="40">
        <v>0</v>
      </c>
      <c r="AS520" t="s">
        <v>98</v>
      </c>
      <c r="AT520" s="40" t="s">
        <v>98</v>
      </c>
      <c r="AU520">
        <v>0</v>
      </c>
      <c r="AV520" s="18">
        <v>1</v>
      </c>
      <c r="AW520">
        <v>0.30980000000000002</v>
      </c>
      <c r="AX520" s="18">
        <f t="shared" si="124"/>
        <v>0.69019999999999992</v>
      </c>
      <c r="AY520" s="18" t="s">
        <v>12</v>
      </c>
      <c r="AZ520">
        <v>0</v>
      </c>
      <c r="BA520">
        <v>0</v>
      </c>
      <c r="BB520">
        <v>0</v>
      </c>
      <c r="BC520">
        <v>0</v>
      </c>
      <c r="BD520">
        <v>0</v>
      </c>
      <c r="BE520">
        <v>1</v>
      </c>
      <c r="BF520" s="18">
        <v>0</v>
      </c>
      <c r="BG520">
        <v>0</v>
      </c>
      <c r="BH520">
        <v>1</v>
      </c>
      <c r="BI520" s="18">
        <v>0</v>
      </c>
      <c r="BJ520">
        <v>329</v>
      </c>
      <c r="BK520">
        <v>27</v>
      </c>
      <c r="BL520" s="25">
        <v>34.878999999999998</v>
      </c>
      <c r="BM520">
        <v>0</v>
      </c>
      <c r="BN520">
        <v>0</v>
      </c>
      <c r="BO520">
        <v>0</v>
      </c>
      <c r="BP520">
        <v>0</v>
      </c>
      <c r="BQ520">
        <v>0</v>
      </c>
      <c r="BR520">
        <v>0</v>
      </c>
      <c r="BS520">
        <v>1</v>
      </c>
      <c r="BT520" s="18">
        <v>0</v>
      </c>
      <c r="BU520">
        <v>0</v>
      </c>
      <c r="BV520">
        <v>0</v>
      </c>
      <c r="BW520">
        <v>0</v>
      </c>
      <c r="BX520" s="18">
        <v>1</v>
      </c>
      <c r="BY520">
        <v>0</v>
      </c>
      <c r="BZ520">
        <v>0</v>
      </c>
      <c r="CA520">
        <v>0</v>
      </c>
      <c r="CB520">
        <v>0</v>
      </c>
      <c r="CC520" s="18">
        <v>0</v>
      </c>
      <c r="CD520">
        <v>1</v>
      </c>
      <c r="CE520">
        <v>0</v>
      </c>
      <c r="CF520">
        <v>0</v>
      </c>
      <c r="CG520">
        <v>0</v>
      </c>
      <c r="CH520">
        <v>1</v>
      </c>
      <c r="CI520">
        <v>0</v>
      </c>
      <c r="CJ520">
        <v>0</v>
      </c>
      <c r="CK520">
        <v>0</v>
      </c>
      <c r="CL520">
        <v>1</v>
      </c>
      <c r="CM520">
        <v>1</v>
      </c>
      <c r="CN520" s="18">
        <v>1</v>
      </c>
      <c r="CO520">
        <v>0.14599999999999999</v>
      </c>
      <c r="CP520">
        <v>118</v>
      </c>
      <c r="CQ520">
        <v>1</v>
      </c>
      <c r="CR520">
        <v>0</v>
      </c>
      <c r="CS520">
        <v>10</v>
      </c>
      <c r="CY520" s="34"/>
    </row>
    <row r="521" spans="1:103" x14ac:dyDescent="0.25">
      <c r="A521">
        <v>520</v>
      </c>
      <c r="B521">
        <v>34</v>
      </c>
      <c r="C521" s="25" t="s">
        <v>321</v>
      </c>
      <c r="D521" s="12">
        <v>0.72</v>
      </c>
      <c r="E521" s="14">
        <v>0.24</v>
      </c>
      <c r="F521" s="7">
        <f t="shared" si="120"/>
        <v>3</v>
      </c>
      <c r="G521" s="7">
        <f t="shared" si="125"/>
        <v>0.48</v>
      </c>
      <c r="H521" s="16">
        <f t="shared" si="126"/>
        <v>0.96</v>
      </c>
      <c r="I521" s="11">
        <f t="shared" si="129"/>
        <v>1.8487197683350179E-2</v>
      </c>
      <c r="J521" s="33">
        <f t="shared" si="130"/>
        <v>6.1623992277833927E-3</v>
      </c>
      <c r="K521" s="33">
        <f t="shared" si="131"/>
        <v>162.27445886522005</v>
      </c>
      <c r="L521" s="8">
        <v>1</v>
      </c>
      <c r="M521" s="9">
        <v>0</v>
      </c>
      <c r="N521" s="8">
        <v>0</v>
      </c>
      <c r="O521" s="9">
        <v>0</v>
      </c>
      <c r="P521" s="9">
        <v>1</v>
      </c>
      <c r="Q521" s="9">
        <v>0</v>
      </c>
      <c r="R521" s="9">
        <v>0</v>
      </c>
      <c r="S521" s="8">
        <v>26398</v>
      </c>
      <c r="T521" s="9">
        <v>73</v>
      </c>
      <c r="U521" s="9">
        <f t="shared" si="127"/>
        <v>26324</v>
      </c>
      <c r="V521" s="9">
        <f t="shared" si="128"/>
        <v>24</v>
      </c>
      <c r="W521" s="7">
        <v>8</v>
      </c>
      <c r="X521" s="7">
        <f t="shared" si="121"/>
        <v>22.769599999999997</v>
      </c>
      <c r="Y521" s="9">
        <v>1</v>
      </c>
      <c r="Z521" s="9">
        <v>0</v>
      </c>
      <c r="AA521" s="9">
        <v>1</v>
      </c>
      <c r="AB521" s="9">
        <v>0</v>
      </c>
      <c r="AC521" s="9">
        <v>0</v>
      </c>
      <c r="AD521" s="9">
        <v>0</v>
      </c>
      <c r="AE521" s="8">
        <v>0</v>
      </c>
      <c r="AF521" s="9">
        <v>1</v>
      </c>
      <c r="AG521" s="30">
        <v>0</v>
      </c>
      <c r="AH521" s="9">
        <v>0</v>
      </c>
      <c r="AI521" s="30">
        <v>1</v>
      </c>
      <c r="AJ521" s="21">
        <v>1993</v>
      </c>
      <c r="AK521" s="33">
        <f t="shared" si="122"/>
        <v>0.69320000000000004</v>
      </c>
      <c r="AL521" s="33">
        <v>0.1447</v>
      </c>
      <c r="AM521" s="33">
        <v>0.1585</v>
      </c>
      <c r="AN521" s="43">
        <v>3.5999999999999999E-3</v>
      </c>
      <c r="AO521" s="42">
        <f t="shared" si="123"/>
        <v>0.52929399999999993</v>
      </c>
      <c r="AP521" s="18">
        <v>0.47070600000000001</v>
      </c>
      <c r="AQ521">
        <v>1</v>
      </c>
      <c r="AR521" s="40">
        <v>0</v>
      </c>
      <c r="AS521" t="s">
        <v>98</v>
      </c>
      <c r="AT521" s="40" t="s">
        <v>98</v>
      </c>
      <c r="AU521">
        <v>0</v>
      </c>
      <c r="AV521" s="18">
        <v>1</v>
      </c>
      <c r="AW521">
        <v>0.28499999999999998</v>
      </c>
      <c r="AX521" s="18">
        <f t="shared" si="124"/>
        <v>0.71500000000000008</v>
      </c>
      <c r="AY521" s="18" t="s">
        <v>12</v>
      </c>
      <c r="AZ521">
        <v>0</v>
      </c>
      <c r="BA521">
        <v>0</v>
      </c>
      <c r="BB521">
        <v>0</v>
      </c>
      <c r="BC521">
        <v>0</v>
      </c>
      <c r="BD521">
        <v>0</v>
      </c>
      <c r="BE521">
        <v>1</v>
      </c>
      <c r="BF521" s="18">
        <v>0</v>
      </c>
      <c r="BG521">
        <v>0</v>
      </c>
      <c r="BH521">
        <v>1</v>
      </c>
      <c r="BI521" s="18">
        <v>0</v>
      </c>
      <c r="BJ521">
        <v>386</v>
      </c>
      <c r="BK521">
        <v>221</v>
      </c>
      <c r="BL521" s="25">
        <v>36.769599999999997</v>
      </c>
      <c r="BM521">
        <v>0</v>
      </c>
      <c r="BN521">
        <v>0</v>
      </c>
      <c r="BO521">
        <v>0</v>
      </c>
      <c r="BP521">
        <v>0</v>
      </c>
      <c r="BQ521">
        <v>0</v>
      </c>
      <c r="BR521">
        <v>0</v>
      </c>
      <c r="BS521">
        <v>1</v>
      </c>
      <c r="BT521" s="18">
        <v>0</v>
      </c>
      <c r="BU521">
        <v>0</v>
      </c>
      <c r="BV521">
        <v>0</v>
      </c>
      <c r="BW521">
        <v>0</v>
      </c>
      <c r="BX521" s="18">
        <v>1</v>
      </c>
      <c r="BY521">
        <v>0</v>
      </c>
      <c r="BZ521">
        <v>0</v>
      </c>
      <c r="CA521">
        <v>0</v>
      </c>
      <c r="CB521">
        <v>0</v>
      </c>
      <c r="CC521" s="18">
        <v>0</v>
      </c>
      <c r="CD521">
        <v>1</v>
      </c>
      <c r="CE521">
        <v>0</v>
      </c>
      <c r="CF521">
        <v>0</v>
      </c>
      <c r="CG521">
        <v>0</v>
      </c>
      <c r="CH521">
        <v>1</v>
      </c>
      <c r="CI521">
        <v>0</v>
      </c>
      <c r="CJ521">
        <v>0</v>
      </c>
      <c r="CK521">
        <v>0</v>
      </c>
      <c r="CL521">
        <v>1</v>
      </c>
      <c r="CM521">
        <v>1</v>
      </c>
      <c r="CN521" s="18">
        <v>1</v>
      </c>
      <c r="CO521">
        <v>0.14599999999999999</v>
      </c>
      <c r="CP521">
        <v>118</v>
      </c>
      <c r="CQ521">
        <v>1</v>
      </c>
      <c r="CR521">
        <v>0</v>
      </c>
      <c r="CS521">
        <v>10</v>
      </c>
      <c r="CY521" s="34"/>
    </row>
    <row r="522" spans="1:103" x14ac:dyDescent="0.25">
      <c r="A522">
        <v>521</v>
      </c>
      <c r="B522">
        <v>34</v>
      </c>
      <c r="C522" s="25" t="s">
        <v>321</v>
      </c>
      <c r="D522" s="12">
        <v>0.72</v>
      </c>
      <c r="E522" s="14">
        <v>0.22</v>
      </c>
      <c r="F522" s="7">
        <f t="shared" si="120"/>
        <v>3.2727272727272725</v>
      </c>
      <c r="G522" s="7">
        <f t="shared" si="125"/>
        <v>0.5</v>
      </c>
      <c r="H522" s="16">
        <f t="shared" si="126"/>
        <v>0.94</v>
      </c>
      <c r="I522" s="11">
        <f t="shared" si="129"/>
        <v>1.8976968768129054E-2</v>
      </c>
      <c r="J522" s="33">
        <f t="shared" si="130"/>
        <v>5.7985182347060999E-3</v>
      </c>
      <c r="K522" s="33">
        <f t="shared" si="131"/>
        <v>172.45785207928822</v>
      </c>
      <c r="L522" s="8">
        <v>1</v>
      </c>
      <c r="M522" s="9">
        <v>0</v>
      </c>
      <c r="N522" s="8">
        <v>0</v>
      </c>
      <c r="O522" s="9">
        <v>0</v>
      </c>
      <c r="P522" s="9">
        <v>1</v>
      </c>
      <c r="Q522" s="9">
        <v>0</v>
      </c>
      <c r="R522" s="9">
        <v>0</v>
      </c>
      <c r="S522" s="8">
        <v>29805</v>
      </c>
      <c r="T522" s="9">
        <v>73</v>
      </c>
      <c r="U522" s="9">
        <f t="shared" si="127"/>
        <v>29731</v>
      </c>
      <c r="V522" s="9">
        <f t="shared" si="128"/>
        <v>24</v>
      </c>
      <c r="W522" s="7">
        <v>8</v>
      </c>
      <c r="X522" s="7">
        <f t="shared" si="121"/>
        <v>23.110999999999997</v>
      </c>
      <c r="Y522" s="9">
        <v>1</v>
      </c>
      <c r="Z522" s="9">
        <v>0</v>
      </c>
      <c r="AA522" s="9">
        <v>1</v>
      </c>
      <c r="AB522" s="9">
        <v>0</v>
      </c>
      <c r="AC522" s="9">
        <v>0</v>
      </c>
      <c r="AD522" s="9">
        <v>0</v>
      </c>
      <c r="AE522" s="8">
        <v>0</v>
      </c>
      <c r="AF522" s="9">
        <v>1</v>
      </c>
      <c r="AG522" s="30">
        <v>0</v>
      </c>
      <c r="AH522" s="9">
        <v>0</v>
      </c>
      <c r="AI522" s="30">
        <v>1</v>
      </c>
      <c r="AJ522" s="21">
        <v>1999</v>
      </c>
      <c r="AK522" s="33">
        <f t="shared" si="122"/>
        <v>0.61990000000000001</v>
      </c>
      <c r="AL522" s="33">
        <v>0.14649999999999999</v>
      </c>
      <c r="AM522" s="33">
        <v>0.22819999999999999</v>
      </c>
      <c r="AN522" s="43">
        <v>5.4000000000000003E-3</v>
      </c>
      <c r="AO522" s="42">
        <f t="shared" si="123"/>
        <v>0.53514991000000001</v>
      </c>
      <c r="AP522" s="18">
        <v>0.46485008999999999</v>
      </c>
      <c r="AQ522">
        <v>1</v>
      </c>
      <c r="AR522" s="40">
        <v>0</v>
      </c>
      <c r="AS522" t="s">
        <v>98</v>
      </c>
      <c r="AT522" s="40" t="s">
        <v>98</v>
      </c>
      <c r="AU522">
        <v>0</v>
      </c>
      <c r="AV522" s="18">
        <v>1</v>
      </c>
      <c r="AW522">
        <v>0.28489999999999999</v>
      </c>
      <c r="AX522" s="18">
        <f t="shared" si="124"/>
        <v>0.71510000000000007</v>
      </c>
      <c r="AY522" s="18" t="s">
        <v>12</v>
      </c>
      <c r="AZ522">
        <v>0</v>
      </c>
      <c r="BA522">
        <v>0</v>
      </c>
      <c r="BB522">
        <v>0</v>
      </c>
      <c r="BC522">
        <v>0</v>
      </c>
      <c r="BD522">
        <v>0</v>
      </c>
      <c r="BE522">
        <v>1</v>
      </c>
      <c r="BF522" s="18">
        <v>0</v>
      </c>
      <c r="BG522">
        <v>0</v>
      </c>
      <c r="BH522">
        <v>1</v>
      </c>
      <c r="BI522" s="18">
        <v>0</v>
      </c>
      <c r="BJ522">
        <v>480</v>
      </c>
      <c r="BK522">
        <v>347</v>
      </c>
      <c r="BL522" s="25">
        <v>37.110999999999997</v>
      </c>
      <c r="BM522">
        <v>0</v>
      </c>
      <c r="BN522">
        <v>0</v>
      </c>
      <c r="BO522">
        <v>0</v>
      </c>
      <c r="BP522">
        <v>0</v>
      </c>
      <c r="BQ522">
        <v>0</v>
      </c>
      <c r="BR522">
        <v>0</v>
      </c>
      <c r="BS522">
        <v>1</v>
      </c>
      <c r="BT522" s="18">
        <v>0</v>
      </c>
      <c r="BU522">
        <v>0</v>
      </c>
      <c r="BV522">
        <v>0</v>
      </c>
      <c r="BW522">
        <v>0</v>
      </c>
      <c r="BX522" s="18">
        <v>1</v>
      </c>
      <c r="BY522">
        <v>0</v>
      </c>
      <c r="BZ522">
        <v>0</v>
      </c>
      <c r="CA522">
        <v>0</v>
      </c>
      <c r="CB522">
        <v>0</v>
      </c>
      <c r="CC522" s="18">
        <v>0</v>
      </c>
      <c r="CD522">
        <v>1</v>
      </c>
      <c r="CE522">
        <v>0</v>
      </c>
      <c r="CF522">
        <v>0</v>
      </c>
      <c r="CG522">
        <v>0</v>
      </c>
      <c r="CH522">
        <v>1</v>
      </c>
      <c r="CI522">
        <v>0</v>
      </c>
      <c r="CJ522">
        <v>0</v>
      </c>
      <c r="CK522">
        <v>0</v>
      </c>
      <c r="CL522">
        <v>1</v>
      </c>
      <c r="CM522">
        <v>1</v>
      </c>
      <c r="CN522" s="18">
        <v>1</v>
      </c>
      <c r="CO522">
        <v>0.14599999999999999</v>
      </c>
      <c r="CP522">
        <v>118</v>
      </c>
      <c r="CQ522">
        <v>1</v>
      </c>
      <c r="CR522">
        <v>0</v>
      </c>
      <c r="CS522">
        <v>10</v>
      </c>
      <c r="CY522" s="34"/>
    </row>
    <row r="523" spans="1:103" x14ac:dyDescent="0.25">
      <c r="A523">
        <v>522</v>
      </c>
      <c r="B523">
        <v>34</v>
      </c>
      <c r="C523" s="25" t="s">
        <v>321</v>
      </c>
      <c r="D523" s="12">
        <v>0.69</v>
      </c>
      <c r="E523" s="14">
        <v>0.36</v>
      </c>
      <c r="F523" s="7">
        <f t="shared" si="120"/>
        <v>1.9166666666666665</v>
      </c>
      <c r="G523" s="7">
        <f t="shared" si="125"/>
        <v>0.32999999999999996</v>
      </c>
      <c r="H523" s="16">
        <f t="shared" si="126"/>
        <v>1.0499999999999998</v>
      </c>
      <c r="I523" s="11">
        <f t="shared" si="129"/>
        <v>1.1297073004638739E-2</v>
      </c>
      <c r="J523" s="33">
        <f t="shared" si="130"/>
        <v>5.8941250458984726E-3</v>
      </c>
      <c r="K523" s="33">
        <f t="shared" si="131"/>
        <v>169.66046566926283</v>
      </c>
      <c r="L523" s="8">
        <v>1</v>
      </c>
      <c r="M523" s="9">
        <v>0</v>
      </c>
      <c r="N523" s="8">
        <v>0</v>
      </c>
      <c r="O523" s="9">
        <v>0</v>
      </c>
      <c r="P523" s="9">
        <v>1</v>
      </c>
      <c r="Q523" s="9">
        <v>0</v>
      </c>
      <c r="R523" s="9">
        <v>0</v>
      </c>
      <c r="S523" s="8">
        <v>28855</v>
      </c>
      <c r="T523" s="9">
        <v>73</v>
      </c>
      <c r="U523" s="9">
        <f t="shared" si="127"/>
        <v>28781</v>
      </c>
      <c r="V523" s="9">
        <f t="shared" si="128"/>
        <v>24</v>
      </c>
      <c r="W523" s="7">
        <v>12</v>
      </c>
      <c r="X523" s="7">
        <f t="shared" si="121"/>
        <v>16.878999999999998</v>
      </c>
      <c r="Y523" s="9">
        <v>1</v>
      </c>
      <c r="Z523" s="9">
        <v>0</v>
      </c>
      <c r="AA523" s="9">
        <v>1</v>
      </c>
      <c r="AB523" s="9">
        <v>0</v>
      </c>
      <c r="AC523" s="9">
        <v>0</v>
      </c>
      <c r="AD523" s="9">
        <v>0</v>
      </c>
      <c r="AE523" s="8">
        <v>0</v>
      </c>
      <c r="AF523" s="9">
        <v>1</v>
      </c>
      <c r="AG523" s="30">
        <v>0</v>
      </c>
      <c r="AH523" s="9">
        <v>0</v>
      </c>
      <c r="AI523" s="30">
        <v>1</v>
      </c>
      <c r="AJ523" s="21">
        <v>1983</v>
      </c>
      <c r="AK523" s="33">
        <f t="shared" si="122"/>
        <v>0.75960000000000005</v>
      </c>
      <c r="AL523" s="33">
        <v>0.14369999999999999</v>
      </c>
      <c r="AM523" s="33">
        <v>9.5100000000000004E-2</v>
      </c>
      <c r="AN523" s="43">
        <v>1.6000000000000001E-3</v>
      </c>
      <c r="AO523" s="42">
        <f t="shared" si="123"/>
        <v>0.54134831999999999</v>
      </c>
      <c r="AP523" s="18">
        <v>0.45865168000000001</v>
      </c>
      <c r="AQ523">
        <v>1</v>
      </c>
      <c r="AR523" s="40">
        <v>0</v>
      </c>
      <c r="AS523" t="s">
        <v>98</v>
      </c>
      <c r="AT523" s="40" t="s">
        <v>98</v>
      </c>
      <c r="AU523">
        <v>0</v>
      </c>
      <c r="AV523" s="18">
        <v>1</v>
      </c>
      <c r="AW523">
        <v>0.30980000000000002</v>
      </c>
      <c r="AX523" s="18">
        <f t="shared" si="124"/>
        <v>0.69019999999999992</v>
      </c>
      <c r="AY523" s="18" t="s">
        <v>12</v>
      </c>
      <c r="AZ523">
        <v>0</v>
      </c>
      <c r="BA523">
        <v>0</v>
      </c>
      <c r="BB523">
        <v>0</v>
      </c>
      <c r="BC523">
        <v>0</v>
      </c>
      <c r="BD523">
        <v>0</v>
      </c>
      <c r="BE523">
        <v>1</v>
      </c>
      <c r="BF523" s="18">
        <v>0</v>
      </c>
      <c r="BG523">
        <v>0</v>
      </c>
      <c r="BH523">
        <v>1</v>
      </c>
      <c r="BI523" s="18">
        <v>0</v>
      </c>
      <c r="BJ523">
        <v>329</v>
      </c>
      <c r="BK523">
        <v>27</v>
      </c>
      <c r="BL523" s="25">
        <v>34.878999999999998</v>
      </c>
      <c r="BM523">
        <v>0</v>
      </c>
      <c r="BN523">
        <v>0</v>
      </c>
      <c r="BO523">
        <v>0</v>
      </c>
      <c r="BP523">
        <v>0</v>
      </c>
      <c r="BQ523">
        <v>0</v>
      </c>
      <c r="BR523">
        <v>0</v>
      </c>
      <c r="BS523">
        <v>1</v>
      </c>
      <c r="BT523" s="18">
        <v>0</v>
      </c>
      <c r="BU523">
        <v>0</v>
      </c>
      <c r="BV523">
        <v>0</v>
      </c>
      <c r="BW523">
        <v>0</v>
      </c>
      <c r="BX523" s="18">
        <v>1</v>
      </c>
      <c r="BY523">
        <v>0</v>
      </c>
      <c r="BZ523">
        <v>0</v>
      </c>
      <c r="CA523">
        <v>0</v>
      </c>
      <c r="CB523">
        <v>0</v>
      </c>
      <c r="CC523" s="18">
        <v>0</v>
      </c>
      <c r="CD523">
        <v>1</v>
      </c>
      <c r="CE523">
        <v>0</v>
      </c>
      <c r="CF523">
        <v>0</v>
      </c>
      <c r="CG523">
        <v>0</v>
      </c>
      <c r="CH523">
        <v>1</v>
      </c>
      <c r="CI523">
        <v>0</v>
      </c>
      <c r="CJ523">
        <v>0</v>
      </c>
      <c r="CK523">
        <v>0</v>
      </c>
      <c r="CL523">
        <v>1</v>
      </c>
      <c r="CM523">
        <v>1</v>
      </c>
      <c r="CN523" s="18">
        <v>1</v>
      </c>
      <c r="CO523">
        <v>0.14599999999999999</v>
      </c>
      <c r="CP523">
        <v>118</v>
      </c>
      <c r="CQ523">
        <v>1</v>
      </c>
      <c r="CR523">
        <v>0</v>
      </c>
      <c r="CS523">
        <v>10</v>
      </c>
      <c r="CY523" s="34"/>
    </row>
    <row r="524" spans="1:103" x14ac:dyDescent="0.25">
      <c r="A524">
        <v>523</v>
      </c>
      <c r="B524">
        <v>34</v>
      </c>
      <c r="C524" s="25" t="s">
        <v>321</v>
      </c>
      <c r="D524" s="12">
        <f>0.47</f>
        <v>0.47</v>
      </c>
      <c r="E524" s="14">
        <v>0.26</v>
      </c>
      <c r="F524" s="7">
        <f t="shared" si="120"/>
        <v>1.8076923076923075</v>
      </c>
      <c r="G524" s="7">
        <f t="shared" si="125"/>
        <v>0.20999999999999996</v>
      </c>
      <c r="H524" s="16">
        <f t="shared" si="126"/>
        <v>0.73</v>
      </c>
      <c r="I524" s="11">
        <f t="shared" si="129"/>
        <v>1.1140934343436375E-2</v>
      </c>
      <c r="J524" s="33">
        <f t="shared" si="130"/>
        <v>6.1630700623265056E-3</v>
      </c>
      <c r="K524" s="33">
        <f t="shared" si="131"/>
        <v>162.25679570199608</v>
      </c>
      <c r="L524" s="8">
        <v>1</v>
      </c>
      <c r="M524" s="9">
        <v>0</v>
      </c>
      <c r="N524" s="8">
        <v>0</v>
      </c>
      <c r="O524" s="9">
        <v>0</v>
      </c>
      <c r="P524" s="9">
        <v>1</v>
      </c>
      <c r="Q524" s="9">
        <v>0</v>
      </c>
      <c r="R524" s="9">
        <v>0</v>
      </c>
      <c r="S524" s="8">
        <v>26398</v>
      </c>
      <c r="T524" s="9">
        <v>73</v>
      </c>
      <c r="U524" s="9">
        <f t="shared" si="127"/>
        <v>26324</v>
      </c>
      <c r="V524" s="9">
        <f t="shared" si="128"/>
        <v>24</v>
      </c>
      <c r="W524" s="7">
        <v>12</v>
      </c>
      <c r="X524" s="7">
        <f t="shared" si="121"/>
        <v>18.769599999999997</v>
      </c>
      <c r="Y524" s="9">
        <v>1</v>
      </c>
      <c r="Z524" s="9">
        <v>0</v>
      </c>
      <c r="AA524" s="9">
        <v>1</v>
      </c>
      <c r="AB524" s="9">
        <v>0</v>
      </c>
      <c r="AC524" s="9">
        <v>0</v>
      </c>
      <c r="AD524" s="9">
        <v>0</v>
      </c>
      <c r="AE524" s="8">
        <v>0</v>
      </c>
      <c r="AF524" s="9">
        <v>1</v>
      </c>
      <c r="AG524" s="30">
        <v>0</v>
      </c>
      <c r="AH524" s="9">
        <v>0</v>
      </c>
      <c r="AI524" s="30">
        <v>1</v>
      </c>
      <c r="AJ524" s="21">
        <v>1993</v>
      </c>
      <c r="AK524" s="33">
        <f t="shared" si="122"/>
        <v>0.69320000000000004</v>
      </c>
      <c r="AL524" s="33">
        <v>0.1447</v>
      </c>
      <c r="AM524" s="33">
        <v>0.1585</v>
      </c>
      <c r="AN524" s="43">
        <v>3.5999999999999999E-3</v>
      </c>
      <c r="AO524" s="42">
        <f t="shared" si="123"/>
        <v>0.52929399999999993</v>
      </c>
      <c r="AP524" s="18">
        <v>0.47070600000000001</v>
      </c>
      <c r="AQ524">
        <v>1</v>
      </c>
      <c r="AR524" s="40">
        <v>0</v>
      </c>
      <c r="AS524" t="s">
        <v>98</v>
      </c>
      <c r="AT524" s="40" t="s">
        <v>98</v>
      </c>
      <c r="AU524">
        <v>0</v>
      </c>
      <c r="AV524" s="18">
        <v>1</v>
      </c>
      <c r="AW524">
        <v>0.28499999999999998</v>
      </c>
      <c r="AX524" s="18">
        <f t="shared" si="124"/>
        <v>0.71500000000000008</v>
      </c>
      <c r="AY524" s="18" t="s">
        <v>12</v>
      </c>
      <c r="AZ524">
        <v>0</v>
      </c>
      <c r="BA524">
        <v>0</v>
      </c>
      <c r="BB524">
        <v>0</v>
      </c>
      <c r="BC524">
        <v>0</v>
      </c>
      <c r="BD524">
        <v>0</v>
      </c>
      <c r="BE524">
        <v>1</v>
      </c>
      <c r="BF524" s="18">
        <v>0</v>
      </c>
      <c r="BG524">
        <v>0</v>
      </c>
      <c r="BH524">
        <v>1</v>
      </c>
      <c r="BI524" s="18">
        <v>0</v>
      </c>
      <c r="BJ524">
        <v>386</v>
      </c>
      <c r="BK524">
        <v>221</v>
      </c>
      <c r="BL524" s="25">
        <v>36.769599999999997</v>
      </c>
      <c r="BM524">
        <v>0</v>
      </c>
      <c r="BN524">
        <v>0</v>
      </c>
      <c r="BO524">
        <v>0</v>
      </c>
      <c r="BP524">
        <v>0</v>
      </c>
      <c r="BQ524">
        <v>0</v>
      </c>
      <c r="BR524">
        <v>0</v>
      </c>
      <c r="BS524">
        <v>1</v>
      </c>
      <c r="BT524" s="18">
        <v>0</v>
      </c>
      <c r="BU524">
        <v>0</v>
      </c>
      <c r="BV524">
        <v>0</v>
      </c>
      <c r="BW524">
        <v>0</v>
      </c>
      <c r="BX524" s="18">
        <v>1</v>
      </c>
      <c r="BY524">
        <v>0</v>
      </c>
      <c r="BZ524">
        <v>0</v>
      </c>
      <c r="CA524">
        <v>0</v>
      </c>
      <c r="CB524">
        <v>0</v>
      </c>
      <c r="CC524" s="18">
        <v>0</v>
      </c>
      <c r="CD524">
        <v>1</v>
      </c>
      <c r="CE524">
        <v>0</v>
      </c>
      <c r="CF524">
        <v>0</v>
      </c>
      <c r="CG524">
        <v>0</v>
      </c>
      <c r="CH524">
        <v>1</v>
      </c>
      <c r="CI524">
        <v>0</v>
      </c>
      <c r="CJ524">
        <v>0</v>
      </c>
      <c r="CK524">
        <v>0</v>
      </c>
      <c r="CL524">
        <v>1</v>
      </c>
      <c r="CM524">
        <v>1</v>
      </c>
      <c r="CN524" s="18">
        <v>1</v>
      </c>
      <c r="CO524">
        <v>0.14599999999999999</v>
      </c>
      <c r="CP524">
        <v>118</v>
      </c>
      <c r="CQ524">
        <v>1</v>
      </c>
      <c r="CR524">
        <v>0</v>
      </c>
      <c r="CS524">
        <v>10</v>
      </c>
      <c r="CY524" s="34"/>
    </row>
    <row r="525" spans="1:103" x14ac:dyDescent="0.25">
      <c r="A525">
        <v>524</v>
      </c>
      <c r="B525">
        <v>34</v>
      </c>
      <c r="C525" s="25" t="s">
        <v>321</v>
      </c>
      <c r="D525" s="12">
        <v>0.16</v>
      </c>
      <c r="E525" s="14">
        <v>0.21</v>
      </c>
      <c r="F525" s="7">
        <f t="shared" si="120"/>
        <v>0.76190476190476197</v>
      </c>
      <c r="G525" s="7">
        <f t="shared" si="125"/>
        <v>-4.9999999999999989E-2</v>
      </c>
      <c r="H525" s="16">
        <f t="shared" si="126"/>
        <v>0.37</v>
      </c>
      <c r="I525" s="11">
        <f t="shared" si="129"/>
        <v>4.4186712350274774E-3</v>
      </c>
      <c r="J525" s="33">
        <f t="shared" si="130"/>
        <v>5.799505995973564E-3</v>
      </c>
      <c r="K525" s="33">
        <f t="shared" si="131"/>
        <v>172.42847937294525</v>
      </c>
      <c r="L525" s="8">
        <v>1</v>
      </c>
      <c r="M525" s="9">
        <v>0</v>
      </c>
      <c r="N525" s="8">
        <v>0</v>
      </c>
      <c r="O525" s="9">
        <v>0</v>
      </c>
      <c r="P525" s="9">
        <v>1</v>
      </c>
      <c r="Q525" s="9">
        <v>0</v>
      </c>
      <c r="R525" s="9">
        <v>0</v>
      </c>
      <c r="S525" s="8">
        <v>29805</v>
      </c>
      <c r="T525" s="9">
        <v>73</v>
      </c>
      <c r="U525" s="9">
        <f t="shared" si="127"/>
        <v>29731</v>
      </c>
      <c r="V525" s="9">
        <f t="shared" si="128"/>
        <v>24</v>
      </c>
      <c r="W525" s="7">
        <v>12</v>
      </c>
      <c r="X525" s="7">
        <f t="shared" si="121"/>
        <v>19.110999999999997</v>
      </c>
      <c r="Y525" s="9">
        <v>1</v>
      </c>
      <c r="Z525" s="9">
        <v>0</v>
      </c>
      <c r="AA525" s="9">
        <v>1</v>
      </c>
      <c r="AB525" s="9">
        <v>0</v>
      </c>
      <c r="AC525" s="9">
        <v>0</v>
      </c>
      <c r="AD525" s="9">
        <v>0</v>
      </c>
      <c r="AE525" s="8">
        <v>0</v>
      </c>
      <c r="AF525" s="9">
        <v>1</v>
      </c>
      <c r="AG525" s="30">
        <v>0</v>
      </c>
      <c r="AH525" s="9">
        <v>0</v>
      </c>
      <c r="AI525" s="30">
        <v>1</v>
      </c>
      <c r="AJ525" s="21">
        <v>1999</v>
      </c>
      <c r="AK525" s="33">
        <f t="shared" si="122"/>
        <v>0.61990000000000001</v>
      </c>
      <c r="AL525" s="33">
        <v>0.14649999999999999</v>
      </c>
      <c r="AM525" s="33">
        <v>0.22819999999999999</v>
      </c>
      <c r="AN525" s="43">
        <v>5.4000000000000003E-3</v>
      </c>
      <c r="AO525" s="42">
        <f t="shared" si="123"/>
        <v>0.53514991000000001</v>
      </c>
      <c r="AP525" s="18">
        <v>0.46485008999999999</v>
      </c>
      <c r="AQ525">
        <v>1</v>
      </c>
      <c r="AR525" s="40">
        <v>0</v>
      </c>
      <c r="AS525" t="s">
        <v>98</v>
      </c>
      <c r="AT525" s="40" t="s">
        <v>98</v>
      </c>
      <c r="AU525">
        <v>0</v>
      </c>
      <c r="AV525" s="18">
        <v>1</v>
      </c>
      <c r="AW525">
        <v>0.28489999999999999</v>
      </c>
      <c r="AX525" s="18">
        <f t="shared" si="124"/>
        <v>0.71510000000000007</v>
      </c>
      <c r="AY525" s="18" t="s">
        <v>12</v>
      </c>
      <c r="AZ525">
        <v>0</v>
      </c>
      <c r="BA525">
        <v>0</v>
      </c>
      <c r="BB525">
        <v>0</v>
      </c>
      <c r="BC525">
        <v>0</v>
      </c>
      <c r="BD525">
        <v>0</v>
      </c>
      <c r="BE525">
        <v>1</v>
      </c>
      <c r="BF525" s="18">
        <v>0</v>
      </c>
      <c r="BG525">
        <v>0</v>
      </c>
      <c r="BH525">
        <v>1</v>
      </c>
      <c r="BI525" s="18">
        <v>0</v>
      </c>
      <c r="BJ525">
        <v>480</v>
      </c>
      <c r="BK525">
        <v>347</v>
      </c>
      <c r="BL525" s="25">
        <v>37.110999999999997</v>
      </c>
      <c r="BM525">
        <v>0</v>
      </c>
      <c r="BN525">
        <v>0</v>
      </c>
      <c r="BO525">
        <v>0</v>
      </c>
      <c r="BP525">
        <v>0</v>
      </c>
      <c r="BQ525">
        <v>0</v>
      </c>
      <c r="BR525">
        <v>0</v>
      </c>
      <c r="BS525">
        <v>1</v>
      </c>
      <c r="BT525" s="18">
        <v>0</v>
      </c>
      <c r="BU525">
        <v>0</v>
      </c>
      <c r="BV525">
        <v>0</v>
      </c>
      <c r="BW525">
        <v>0</v>
      </c>
      <c r="BX525" s="18">
        <v>1</v>
      </c>
      <c r="BY525">
        <v>0</v>
      </c>
      <c r="BZ525">
        <v>0</v>
      </c>
      <c r="CA525">
        <v>0</v>
      </c>
      <c r="CB525">
        <v>0</v>
      </c>
      <c r="CC525" s="18">
        <v>0</v>
      </c>
      <c r="CD525">
        <v>1</v>
      </c>
      <c r="CE525">
        <v>0</v>
      </c>
      <c r="CF525">
        <v>0</v>
      </c>
      <c r="CG525">
        <v>0</v>
      </c>
      <c r="CH525">
        <v>1</v>
      </c>
      <c r="CI525">
        <v>0</v>
      </c>
      <c r="CJ525">
        <v>0</v>
      </c>
      <c r="CK525">
        <v>0</v>
      </c>
      <c r="CL525">
        <v>1</v>
      </c>
      <c r="CM525">
        <v>1</v>
      </c>
      <c r="CN525" s="18">
        <v>1</v>
      </c>
      <c r="CO525">
        <v>0.14599999999999999</v>
      </c>
      <c r="CP525">
        <v>118</v>
      </c>
      <c r="CQ525">
        <v>1</v>
      </c>
      <c r="CR525">
        <v>0</v>
      </c>
      <c r="CS525">
        <v>10</v>
      </c>
      <c r="CY525" s="34"/>
    </row>
    <row r="526" spans="1:103" x14ac:dyDescent="0.25">
      <c r="A526">
        <v>525</v>
      </c>
      <c r="B526">
        <v>34</v>
      </c>
      <c r="C526" s="25" t="s">
        <v>321</v>
      </c>
      <c r="D526" s="12">
        <v>2.1800000000000002</v>
      </c>
      <c r="E526" s="14">
        <v>1.84</v>
      </c>
      <c r="F526" s="7">
        <f t="shared" si="120"/>
        <v>1.1847826086956521</v>
      </c>
      <c r="G526" s="7">
        <f t="shared" si="125"/>
        <v>0.34000000000000008</v>
      </c>
      <c r="H526" s="16">
        <f t="shared" si="126"/>
        <v>4.0200000000000005</v>
      </c>
      <c r="I526" s="11">
        <f t="shared" si="129"/>
        <v>6.9835322069161185E-3</v>
      </c>
      <c r="J526" s="33">
        <f t="shared" si="130"/>
        <v>5.8943574590484679E-3</v>
      </c>
      <c r="K526" s="33">
        <f t="shared" si="131"/>
        <v>169.65377599637995</v>
      </c>
      <c r="L526" s="8">
        <v>1</v>
      </c>
      <c r="M526" s="9">
        <v>0</v>
      </c>
      <c r="N526" s="8">
        <v>0</v>
      </c>
      <c r="O526" s="9">
        <v>0</v>
      </c>
      <c r="P526" s="9">
        <v>1</v>
      </c>
      <c r="Q526" s="9">
        <v>0</v>
      </c>
      <c r="R526" s="9">
        <v>0</v>
      </c>
      <c r="S526" s="8">
        <v>28855</v>
      </c>
      <c r="T526" s="9">
        <v>73</v>
      </c>
      <c r="U526" s="9">
        <f t="shared" si="127"/>
        <v>28781</v>
      </c>
      <c r="V526" s="9">
        <f t="shared" si="128"/>
        <v>24</v>
      </c>
      <c r="W526" s="7">
        <v>15.5</v>
      </c>
      <c r="X526" s="7">
        <f t="shared" si="121"/>
        <v>13.378999999999998</v>
      </c>
      <c r="Y526" s="9">
        <v>1</v>
      </c>
      <c r="Z526" s="9">
        <v>0</v>
      </c>
      <c r="AA526" s="9">
        <v>1</v>
      </c>
      <c r="AB526" s="9">
        <v>0</v>
      </c>
      <c r="AC526" s="9">
        <v>0</v>
      </c>
      <c r="AD526" s="9">
        <v>0</v>
      </c>
      <c r="AE526" s="8">
        <v>0</v>
      </c>
      <c r="AF526" s="9">
        <v>1</v>
      </c>
      <c r="AG526" s="30">
        <v>0</v>
      </c>
      <c r="AH526" s="9">
        <v>0</v>
      </c>
      <c r="AI526" s="30">
        <v>1</v>
      </c>
      <c r="AJ526" s="21">
        <v>1983</v>
      </c>
      <c r="AK526" s="33">
        <f t="shared" si="122"/>
        <v>0.75960000000000005</v>
      </c>
      <c r="AL526" s="33">
        <v>0.14369999999999999</v>
      </c>
      <c r="AM526" s="33">
        <v>9.5100000000000004E-2</v>
      </c>
      <c r="AN526" s="43">
        <v>1.6000000000000001E-3</v>
      </c>
      <c r="AO526" s="42">
        <f t="shared" si="123"/>
        <v>0.54134831999999999</v>
      </c>
      <c r="AP526" s="18">
        <v>0.45865168000000001</v>
      </c>
      <c r="AQ526">
        <v>1</v>
      </c>
      <c r="AR526" s="40">
        <v>0</v>
      </c>
      <c r="AS526" t="s">
        <v>98</v>
      </c>
      <c r="AT526" s="40" t="s">
        <v>98</v>
      </c>
      <c r="AU526">
        <v>0</v>
      </c>
      <c r="AV526" s="18">
        <v>1</v>
      </c>
      <c r="AW526">
        <v>0.30980000000000002</v>
      </c>
      <c r="AX526" s="18">
        <f t="shared" si="124"/>
        <v>0.69019999999999992</v>
      </c>
      <c r="AY526" s="18" t="s">
        <v>12</v>
      </c>
      <c r="AZ526">
        <v>0</v>
      </c>
      <c r="BA526">
        <v>0</v>
      </c>
      <c r="BB526">
        <v>0</v>
      </c>
      <c r="BC526">
        <v>0</v>
      </c>
      <c r="BD526">
        <v>0</v>
      </c>
      <c r="BE526">
        <v>1</v>
      </c>
      <c r="BF526" s="18">
        <v>0</v>
      </c>
      <c r="BG526">
        <v>0</v>
      </c>
      <c r="BH526">
        <v>1</v>
      </c>
      <c r="BI526" s="18">
        <v>0</v>
      </c>
      <c r="BJ526">
        <v>329</v>
      </c>
      <c r="BK526">
        <v>27</v>
      </c>
      <c r="BL526" s="25">
        <v>34.878999999999998</v>
      </c>
      <c r="BM526">
        <v>0</v>
      </c>
      <c r="BN526">
        <v>0</v>
      </c>
      <c r="BO526">
        <v>0</v>
      </c>
      <c r="BP526">
        <v>0</v>
      </c>
      <c r="BQ526">
        <v>0</v>
      </c>
      <c r="BR526">
        <v>0</v>
      </c>
      <c r="BS526">
        <v>1</v>
      </c>
      <c r="BT526" s="18">
        <v>0</v>
      </c>
      <c r="BU526">
        <v>0</v>
      </c>
      <c r="BV526">
        <v>0</v>
      </c>
      <c r="BW526">
        <v>0</v>
      </c>
      <c r="BX526" s="18">
        <v>1</v>
      </c>
      <c r="BY526">
        <v>0</v>
      </c>
      <c r="BZ526">
        <v>0</v>
      </c>
      <c r="CA526">
        <v>0</v>
      </c>
      <c r="CB526">
        <v>0</v>
      </c>
      <c r="CC526" s="18">
        <v>0</v>
      </c>
      <c r="CD526">
        <v>1</v>
      </c>
      <c r="CE526">
        <v>0</v>
      </c>
      <c r="CF526">
        <v>0</v>
      </c>
      <c r="CG526">
        <v>0</v>
      </c>
      <c r="CH526">
        <v>1</v>
      </c>
      <c r="CI526">
        <v>0</v>
      </c>
      <c r="CJ526">
        <v>0</v>
      </c>
      <c r="CK526">
        <v>0</v>
      </c>
      <c r="CL526">
        <v>1</v>
      </c>
      <c r="CM526">
        <v>1</v>
      </c>
      <c r="CN526" s="18">
        <v>1</v>
      </c>
      <c r="CO526">
        <v>0.14599999999999999</v>
      </c>
      <c r="CP526">
        <v>118</v>
      </c>
      <c r="CQ526">
        <v>1</v>
      </c>
      <c r="CR526">
        <v>0</v>
      </c>
      <c r="CS526">
        <v>10</v>
      </c>
      <c r="CY526" s="34"/>
    </row>
    <row r="527" spans="1:103" x14ac:dyDescent="0.25">
      <c r="A527">
        <v>526</v>
      </c>
      <c r="B527">
        <v>34</v>
      </c>
      <c r="C527" s="25" t="s">
        <v>321</v>
      </c>
      <c r="D527" s="12">
        <v>-2.11</v>
      </c>
      <c r="E527" s="14">
        <v>1.1499999999999999</v>
      </c>
      <c r="F527" s="7">
        <f t="shared" si="120"/>
        <v>-1.8347826086956522</v>
      </c>
      <c r="G527" s="7">
        <f t="shared" si="125"/>
        <v>-3.26</v>
      </c>
      <c r="H527" s="16">
        <f t="shared" si="126"/>
        <v>-0.96</v>
      </c>
      <c r="I527" s="11">
        <f t="shared" si="129"/>
        <v>-1.1307872575350824E-2</v>
      </c>
      <c r="J527" s="33">
        <f t="shared" si="130"/>
        <v>6.1630585126319663E-3</v>
      </c>
      <c r="K527" s="33">
        <f t="shared" si="131"/>
        <v>162.2570997744665</v>
      </c>
      <c r="L527" s="8">
        <v>1</v>
      </c>
      <c r="M527" s="9">
        <v>0</v>
      </c>
      <c r="N527" s="8">
        <v>0</v>
      </c>
      <c r="O527" s="9">
        <v>0</v>
      </c>
      <c r="P527" s="9">
        <v>1</v>
      </c>
      <c r="Q527" s="9">
        <v>0</v>
      </c>
      <c r="R527" s="9">
        <v>0</v>
      </c>
      <c r="S527" s="8">
        <v>26398</v>
      </c>
      <c r="T527" s="9">
        <v>73</v>
      </c>
      <c r="U527" s="9">
        <f t="shared" si="127"/>
        <v>26324</v>
      </c>
      <c r="V527" s="9">
        <f t="shared" si="128"/>
        <v>24</v>
      </c>
      <c r="W527" s="7">
        <v>15.5</v>
      </c>
      <c r="X527" s="7">
        <f t="shared" si="121"/>
        <v>15.269599999999997</v>
      </c>
      <c r="Y527" s="9">
        <v>1</v>
      </c>
      <c r="Z527" s="9">
        <v>0</v>
      </c>
      <c r="AA527" s="9">
        <v>1</v>
      </c>
      <c r="AB527" s="9">
        <v>0</v>
      </c>
      <c r="AC527" s="9">
        <v>0</v>
      </c>
      <c r="AD527" s="9">
        <v>0</v>
      </c>
      <c r="AE527" s="8">
        <v>0</v>
      </c>
      <c r="AF527" s="9">
        <v>1</v>
      </c>
      <c r="AG527" s="30">
        <v>0</v>
      </c>
      <c r="AH527" s="9">
        <v>0</v>
      </c>
      <c r="AI527" s="30">
        <v>1</v>
      </c>
      <c r="AJ527" s="21">
        <v>1993</v>
      </c>
      <c r="AK527" s="33">
        <f t="shared" si="122"/>
        <v>0.69320000000000004</v>
      </c>
      <c r="AL527" s="33">
        <v>0.1447</v>
      </c>
      <c r="AM527" s="33">
        <v>0.1585</v>
      </c>
      <c r="AN527" s="43">
        <v>3.5999999999999999E-3</v>
      </c>
      <c r="AO527" s="42">
        <f t="shared" si="123"/>
        <v>0.52929399999999993</v>
      </c>
      <c r="AP527" s="18">
        <v>0.47070600000000001</v>
      </c>
      <c r="AQ527">
        <v>1</v>
      </c>
      <c r="AR527" s="40">
        <v>0</v>
      </c>
      <c r="AS527" t="s">
        <v>98</v>
      </c>
      <c r="AT527" s="40" t="s">
        <v>98</v>
      </c>
      <c r="AU527">
        <v>0</v>
      </c>
      <c r="AV527" s="18">
        <v>1</v>
      </c>
      <c r="AW527">
        <v>0.28499999999999998</v>
      </c>
      <c r="AX527" s="18">
        <f t="shared" si="124"/>
        <v>0.71500000000000008</v>
      </c>
      <c r="AY527" s="18" t="s">
        <v>12</v>
      </c>
      <c r="AZ527">
        <v>0</v>
      </c>
      <c r="BA527">
        <v>0</v>
      </c>
      <c r="BB527">
        <v>0</v>
      </c>
      <c r="BC527">
        <v>0</v>
      </c>
      <c r="BD527">
        <v>0</v>
      </c>
      <c r="BE527">
        <v>1</v>
      </c>
      <c r="BF527" s="18">
        <v>0</v>
      </c>
      <c r="BG527">
        <v>0</v>
      </c>
      <c r="BH527">
        <v>1</v>
      </c>
      <c r="BI527" s="18">
        <v>0</v>
      </c>
      <c r="BJ527">
        <v>386</v>
      </c>
      <c r="BK527">
        <v>221</v>
      </c>
      <c r="BL527" s="25">
        <v>36.769599999999997</v>
      </c>
      <c r="BM527">
        <v>0</v>
      </c>
      <c r="BN527">
        <v>0</v>
      </c>
      <c r="BO527">
        <v>0</v>
      </c>
      <c r="BP527">
        <v>0</v>
      </c>
      <c r="BQ527">
        <v>0</v>
      </c>
      <c r="BR527">
        <v>0</v>
      </c>
      <c r="BS527">
        <v>1</v>
      </c>
      <c r="BT527" s="18">
        <v>0</v>
      </c>
      <c r="BU527">
        <v>0</v>
      </c>
      <c r="BV527">
        <v>0</v>
      </c>
      <c r="BW527">
        <v>0</v>
      </c>
      <c r="BX527" s="18">
        <v>1</v>
      </c>
      <c r="BY527">
        <v>0</v>
      </c>
      <c r="BZ527">
        <v>0</v>
      </c>
      <c r="CA527">
        <v>0</v>
      </c>
      <c r="CB527">
        <v>0</v>
      </c>
      <c r="CC527" s="18">
        <v>0</v>
      </c>
      <c r="CD527">
        <v>1</v>
      </c>
      <c r="CE527">
        <v>0</v>
      </c>
      <c r="CF527">
        <v>0</v>
      </c>
      <c r="CG527">
        <v>0</v>
      </c>
      <c r="CH527">
        <v>1</v>
      </c>
      <c r="CI527">
        <v>0</v>
      </c>
      <c r="CJ527">
        <v>0</v>
      </c>
      <c r="CK527">
        <v>0</v>
      </c>
      <c r="CL527">
        <v>1</v>
      </c>
      <c r="CM527">
        <v>1</v>
      </c>
      <c r="CN527" s="18">
        <v>1</v>
      </c>
      <c r="CO527">
        <v>0.14599999999999999</v>
      </c>
      <c r="CP527">
        <v>118</v>
      </c>
      <c r="CQ527">
        <v>1</v>
      </c>
      <c r="CR527">
        <v>0</v>
      </c>
      <c r="CS527">
        <v>10</v>
      </c>
      <c r="CY527" s="34"/>
    </row>
    <row r="528" spans="1:103" x14ac:dyDescent="0.25">
      <c r="A528">
        <v>527</v>
      </c>
      <c r="B528">
        <v>34</v>
      </c>
      <c r="C528" s="25" t="s">
        <v>321</v>
      </c>
      <c r="D528" s="12">
        <v>-7.0000000000000007E-2</v>
      </c>
      <c r="E528" s="14">
        <v>0.95</v>
      </c>
      <c r="F528" s="7">
        <f t="shared" si="120"/>
        <v>-7.3684210526315796E-2</v>
      </c>
      <c r="G528" s="7">
        <f t="shared" si="125"/>
        <v>-1.02</v>
      </c>
      <c r="H528" s="16">
        <f t="shared" si="126"/>
        <v>0.87999999999999989</v>
      </c>
      <c r="I528" s="11">
        <f t="shared" si="129"/>
        <v>-4.2733615355302289E-4</v>
      </c>
      <c r="J528" s="33">
        <f t="shared" si="130"/>
        <v>5.7995620839338818E-3</v>
      </c>
      <c r="K528" s="33">
        <f t="shared" si="131"/>
        <v>172.42681180536536</v>
      </c>
      <c r="L528" s="8">
        <v>1</v>
      </c>
      <c r="M528" s="9">
        <v>0</v>
      </c>
      <c r="N528" s="8">
        <v>0</v>
      </c>
      <c r="O528" s="9">
        <v>0</v>
      </c>
      <c r="P528" s="9">
        <v>1</v>
      </c>
      <c r="Q528" s="9">
        <v>0</v>
      </c>
      <c r="R528" s="9">
        <v>0</v>
      </c>
      <c r="S528" s="8">
        <v>29805</v>
      </c>
      <c r="T528" s="9">
        <v>73</v>
      </c>
      <c r="U528" s="9">
        <f t="shared" si="127"/>
        <v>29731</v>
      </c>
      <c r="V528" s="9">
        <f t="shared" si="128"/>
        <v>24</v>
      </c>
      <c r="W528" s="7">
        <v>15.5</v>
      </c>
      <c r="X528" s="7">
        <f t="shared" si="121"/>
        <v>15.610999999999997</v>
      </c>
      <c r="Y528" s="9">
        <v>1</v>
      </c>
      <c r="Z528" s="9">
        <v>0</v>
      </c>
      <c r="AA528" s="9">
        <v>1</v>
      </c>
      <c r="AB528" s="9">
        <v>0</v>
      </c>
      <c r="AC528" s="9">
        <v>0</v>
      </c>
      <c r="AD528" s="9">
        <v>0</v>
      </c>
      <c r="AE528" s="8">
        <v>0</v>
      </c>
      <c r="AF528" s="9">
        <v>1</v>
      </c>
      <c r="AG528" s="30">
        <v>0</v>
      </c>
      <c r="AH528" s="9">
        <v>0</v>
      </c>
      <c r="AI528" s="30">
        <v>1</v>
      </c>
      <c r="AJ528" s="21">
        <v>1999</v>
      </c>
      <c r="AK528" s="33">
        <f t="shared" si="122"/>
        <v>0.61990000000000001</v>
      </c>
      <c r="AL528" s="33">
        <v>0.14649999999999999</v>
      </c>
      <c r="AM528" s="33">
        <v>0.22819999999999999</v>
      </c>
      <c r="AN528" s="43">
        <v>5.4000000000000003E-3</v>
      </c>
      <c r="AO528" s="42">
        <f t="shared" si="123"/>
        <v>0.53514991000000001</v>
      </c>
      <c r="AP528" s="18">
        <v>0.46485008999999999</v>
      </c>
      <c r="AQ528">
        <v>1</v>
      </c>
      <c r="AR528" s="40">
        <v>0</v>
      </c>
      <c r="AS528" t="s">
        <v>98</v>
      </c>
      <c r="AT528" s="40" t="s">
        <v>98</v>
      </c>
      <c r="AU528">
        <v>0</v>
      </c>
      <c r="AV528" s="18">
        <v>1</v>
      </c>
      <c r="AW528">
        <v>0.28489999999999999</v>
      </c>
      <c r="AX528" s="18">
        <f t="shared" si="124"/>
        <v>0.71510000000000007</v>
      </c>
      <c r="AY528" s="18" t="s">
        <v>12</v>
      </c>
      <c r="AZ528">
        <v>0</v>
      </c>
      <c r="BA528">
        <v>0</v>
      </c>
      <c r="BB528">
        <v>0</v>
      </c>
      <c r="BC528">
        <v>0</v>
      </c>
      <c r="BD528">
        <v>0</v>
      </c>
      <c r="BE528">
        <v>1</v>
      </c>
      <c r="BF528" s="18">
        <v>0</v>
      </c>
      <c r="BG528">
        <v>0</v>
      </c>
      <c r="BH528">
        <v>1</v>
      </c>
      <c r="BI528" s="18">
        <v>0</v>
      </c>
      <c r="BJ528">
        <v>480</v>
      </c>
      <c r="BK528">
        <v>347</v>
      </c>
      <c r="BL528" s="25">
        <v>37.110999999999997</v>
      </c>
      <c r="BM528">
        <v>0</v>
      </c>
      <c r="BN528">
        <v>0</v>
      </c>
      <c r="BO528">
        <v>0</v>
      </c>
      <c r="BP528">
        <v>0</v>
      </c>
      <c r="BQ528">
        <v>0</v>
      </c>
      <c r="BR528">
        <v>0</v>
      </c>
      <c r="BS528">
        <v>1</v>
      </c>
      <c r="BT528" s="18">
        <v>0</v>
      </c>
      <c r="BU528">
        <v>0</v>
      </c>
      <c r="BV528">
        <v>0</v>
      </c>
      <c r="BW528">
        <v>0</v>
      </c>
      <c r="BX528" s="18">
        <v>1</v>
      </c>
      <c r="BY528">
        <v>0</v>
      </c>
      <c r="BZ528">
        <v>0</v>
      </c>
      <c r="CA528">
        <v>0</v>
      </c>
      <c r="CB528">
        <v>0</v>
      </c>
      <c r="CC528" s="18">
        <v>0</v>
      </c>
      <c r="CD528">
        <v>1</v>
      </c>
      <c r="CE528">
        <v>0</v>
      </c>
      <c r="CF528">
        <v>0</v>
      </c>
      <c r="CG528">
        <v>0</v>
      </c>
      <c r="CH528">
        <v>1</v>
      </c>
      <c r="CI528">
        <v>0</v>
      </c>
      <c r="CJ528">
        <v>0</v>
      </c>
      <c r="CK528">
        <v>0</v>
      </c>
      <c r="CL528">
        <v>1</v>
      </c>
      <c r="CM528">
        <v>1</v>
      </c>
      <c r="CN528" s="18">
        <v>1</v>
      </c>
      <c r="CO528">
        <v>0.14599999999999999</v>
      </c>
      <c r="CP528">
        <v>118</v>
      </c>
      <c r="CQ528">
        <v>1</v>
      </c>
      <c r="CR528">
        <v>0</v>
      </c>
      <c r="CS528">
        <v>10</v>
      </c>
      <c r="CY528" s="34"/>
    </row>
    <row r="529" spans="1:103" s="94" customFormat="1" x14ac:dyDescent="0.25">
      <c r="A529" s="94">
        <v>528</v>
      </c>
      <c r="B529" s="94">
        <v>35</v>
      </c>
      <c r="C529" s="95" t="s">
        <v>325</v>
      </c>
      <c r="D529" s="96">
        <v>11.1</v>
      </c>
      <c r="E529" s="97">
        <f t="shared" ref="E529:E543" si="132">D529/F529</f>
        <v>0.44758064516129031</v>
      </c>
      <c r="F529" s="98">
        <v>24.8</v>
      </c>
      <c r="G529" s="98">
        <f t="shared" si="125"/>
        <v>10.65241935483871</v>
      </c>
      <c r="H529" s="99">
        <f t="shared" si="126"/>
        <v>11.54758064516129</v>
      </c>
      <c r="I529" s="11">
        <f t="shared" si="129"/>
        <v>0.53861649976244053</v>
      </c>
      <c r="J529" s="33">
        <f t="shared" si="130"/>
        <v>2.1718407248485505E-2</v>
      </c>
      <c r="K529" s="33">
        <f t="shared" si="131"/>
        <v>46.043892103079209</v>
      </c>
      <c r="L529" s="101">
        <v>1</v>
      </c>
      <c r="M529" s="102">
        <v>0</v>
      </c>
      <c r="N529" s="101">
        <v>0</v>
      </c>
      <c r="O529" s="102">
        <v>0</v>
      </c>
      <c r="P529" s="102">
        <v>0</v>
      </c>
      <c r="Q529" s="102">
        <v>1</v>
      </c>
      <c r="R529" s="102">
        <v>0</v>
      </c>
      <c r="S529" s="101">
        <v>1510</v>
      </c>
      <c r="T529" s="102">
        <v>4</v>
      </c>
      <c r="U529" s="102">
        <f t="shared" si="127"/>
        <v>1505</v>
      </c>
      <c r="V529" s="102">
        <f t="shared" si="128"/>
        <v>15</v>
      </c>
      <c r="W529" s="98">
        <f>(7.477*$AQ529+9.003*$AR529)</f>
        <v>7.66012</v>
      </c>
      <c r="X529" s="98">
        <f t="shared" ref="X529:X543" si="133">(17.561*$AQ529+11.448*$AR529)</f>
        <v>16.827439999999999</v>
      </c>
      <c r="Y529" s="102">
        <v>1</v>
      </c>
      <c r="Z529" s="102">
        <v>0</v>
      </c>
      <c r="AA529" s="102">
        <v>1</v>
      </c>
      <c r="AB529" s="102">
        <v>0</v>
      </c>
      <c r="AC529" s="102">
        <v>0</v>
      </c>
      <c r="AD529" s="102">
        <v>0</v>
      </c>
      <c r="AE529" s="101">
        <v>1</v>
      </c>
      <c r="AF529" s="102">
        <v>0</v>
      </c>
      <c r="AG529" s="103">
        <v>0</v>
      </c>
      <c r="AH529" s="102">
        <v>0</v>
      </c>
      <c r="AI529" s="103">
        <v>1</v>
      </c>
      <c r="AJ529" s="104">
        <v>1986</v>
      </c>
      <c r="AK529" s="100">
        <v>0.36</v>
      </c>
      <c r="AL529" s="100">
        <v>0.49</v>
      </c>
      <c r="AM529" s="100">
        <v>0.13</v>
      </c>
      <c r="AN529" s="105">
        <v>0.02</v>
      </c>
      <c r="AO529" s="106">
        <v>1</v>
      </c>
      <c r="AP529" s="107">
        <v>0</v>
      </c>
      <c r="AQ529" s="94">
        <v>0.88</v>
      </c>
      <c r="AR529" s="108">
        <f>1-AQ529</f>
        <v>0.12</v>
      </c>
      <c r="AS529" s="110">
        <f t="shared" ref="AS529:AS543" si="134">1-AT529</f>
        <v>0.54400000000000004</v>
      </c>
      <c r="AT529" s="108">
        <f t="shared" ref="AT529:AT543" si="135">(0.45*$AQ529+0.5*$AR529)</f>
        <v>0.45600000000000002</v>
      </c>
      <c r="AU529">
        <v>0</v>
      </c>
      <c r="AV529" s="107">
        <v>1</v>
      </c>
      <c r="AW529" s="94">
        <v>0</v>
      </c>
      <c r="AX529" s="107">
        <v>1</v>
      </c>
      <c r="AY529" s="107" t="s">
        <v>21</v>
      </c>
      <c r="AZ529">
        <v>0</v>
      </c>
      <c r="BA529">
        <v>1</v>
      </c>
      <c r="BB529">
        <v>0</v>
      </c>
      <c r="BC529">
        <v>0</v>
      </c>
      <c r="BD529">
        <v>0</v>
      </c>
      <c r="BE529">
        <v>0</v>
      </c>
      <c r="BF529" s="107">
        <v>0</v>
      </c>
      <c r="BG529">
        <v>0</v>
      </c>
      <c r="BH529">
        <v>1</v>
      </c>
      <c r="BI529" s="107">
        <v>0</v>
      </c>
      <c r="BJ529" t="s">
        <v>98</v>
      </c>
      <c r="BK529" t="s">
        <v>98</v>
      </c>
      <c r="BL529" s="111">
        <f t="shared" ref="BL529:BL543" si="136">X529+W529+7</f>
        <v>31.487559999999998</v>
      </c>
      <c r="BM529" s="94">
        <v>1</v>
      </c>
      <c r="BN529" s="94">
        <v>0</v>
      </c>
      <c r="BO529" s="94">
        <v>0</v>
      </c>
      <c r="BP529" s="94">
        <v>0</v>
      </c>
      <c r="BQ529" s="94">
        <v>0</v>
      </c>
      <c r="BR529" s="94">
        <v>0</v>
      </c>
      <c r="BS529" s="94">
        <v>0</v>
      </c>
      <c r="BT529" s="107">
        <v>0</v>
      </c>
      <c r="BU529" s="94">
        <v>0</v>
      </c>
      <c r="BV529" s="94">
        <v>0</v>
      </c>
      <c r="BW529" s="94">
        <v>0</v>
      </c>
      <c r="BX529" s="107">
        <v>1</v>
      </c>
      <c r="BY529" s="94">
        <v>0</v>
      </c>
      <c r="BZ529" s="94">
        <v>0</v>
      </c>
      <c r="CA529" s="94">
        <v>0</v>
      </c>
      <c r="CB529" s="94">
        <v>0</v>
      </c>
      <c r="CC529" s="107">
        <v>0</v>
      </c>
      <c r="CD529" s="94">
        <v>0</v>
      </c>
      <c r="CE529" s="94">
        <v>0</v>
      </c>
      <c r="CF529" s="94">
        <v>0</v>
      </c>
      <c r="CG529" s="94">
        <v>1</v>
      </c>
      <c r="CH529" s="94">
        <v>0</v>
      </c>
      <c r="CI529" s="94">
        <v>0</v>
      </c>
      <c r="CJ529" s="94">
        <v>1</v>
      </c>
      <c r="CK529" s="94">
        <v>0</v>
      </c>
      <c r="CL529" s="94">
        <v>0</v>
      </c>
      <c r="CM529" s="94">
        <v>0</v>
      </c>
      <c r="CN529" s="107">
        <v>0</v>
      </c>
      <c r="CO529">
        <v>0.29799999999999999</v>
      </c>
      <c r="CP529">
        <v>18</v>
      </c>
      <c r="CQ529">
        <v>1</v>
      </c>
      <c r="CR529">
        <v>0</v>
      </c>
      <c r="CS529">
        <v>10</v>
      </c>
      <c r="CT529" s="109"/>
      <c r="CY529" s="109"/>
    </row>
    <row r="530" spans="1:103" x14ac:dyDescent="0.25">
      <c r="A530">
        <v>529</v>
      </c>
      <c r="B530">
        <v>35</v>
      </c>
      <c r="C530" s="25" t="s">
        <v>325</v>
      </c>
      <c r="D530" s="12">
        <v>10.9</v>
      </c>
      <c r="E530" s="14">
        <f t="shared" si="132"/>
        <v>0.47996477322765302</v>
      </c>
      <c r="F530" s="7">
        <v>22.71</v>
      </c>
      <c r="G530" s="7">
        <f t="shared" si="125"/>
        <v>10.420035226772347</v>
      </c>
      <c r="H530" s="16">
        <f t="shared" si="126"/>
        <v>11.379964773227654</v>
      </c>
      <c r="I530" s="11">
        <f t="shared" si="129"/>
        <v>0.54588442624056877</v>
      </c>
      <c r="J530" s="33">
        <f t="shared" si="130"/>
        <v>2.4037183013675419E-2</v>
      </c>
      <c r="K530" s="33">
        <f t="shared" si="131"/>
        <v>41.602212681538944</v>
      </c>
      <c r="L530" s="8">
        <v>1</v>
      </c>
      <c r="M530" s="9">
        <v>0</v>
      </c>
      <c r="N530" s="8">
        <v>0</v>
      </c>
      <c r="O530" s="9">
        <v>0</v>
      </c>
      <c r="P530" s="9">
        <v>0</v>
      </c>
      <c r="Q530" s="9">
        <v>1</v>
      </c>
      <c r="R530" s="9">
        <v>0</v>
      </c>
      <c r="S530" s="8">
        <v>1220</v>
      </c>
      <c r="T530" s="9">
        <v>4</v>
      </c>
      <c r="U530" s="9">
        <f t="shared" si="127"/>
        <v>1215</v>
      </c>
      <c r="V530" s="9">
        <f t="shared" si="128"/>
        <v>15</v>
      </c>
      <c r="W530" s="7">
        <f t="shared" ref="W530:W543" si="137">(7.477*AQ530+9.003*AR530)</f>
        <v>7.4770000000000003</v>
      </c>
      <c r="X530" s="7">
        <f t="shared" si="133"/>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34"/>
        <v>0.55000000000000004</v>
      </c>
      <c r="AT530" s="40">
        <f t="shared" si="135"/>
        <v>0.45</v>
      </c>
      <c r="AU530">
        <v>0</v>
      </c>
      <c r="AV530" s="18">
        <v>1</v>
      </c>
      <c r="AW530">
        <v>0</v>
      </c>
      <c r="AX530" s="18">
        <v>1</v>
      </c>
      <c r="AY530" s="18" t="s">
        <v>21</v>
      </c>
      <c r="AZ530">
        <v>0</v>
      </c>
      <c r="BA530">
        <v>1</v>
      </c>
      <c r="BB530">
        <v>0</v>
      </c>
      <c r="BC530">
        <v>0</v>
      </c>
      <c r="BD530">
        <v>0</v>
      </c>
      <c r="BE530">
        <v>0</v>
      </c>
      <c r="BF530" s="18">
        <v>0</v>
      </c>
      <c r="BG530">
        <v>0</v>
      </c>
      <c r="BH530">
        <v>1</v>
      </c>
      <c r="BI530" s="18">
        <v>0</v>
      </c>
      <c r="BJ530" t="s">
        <v>98</v>
      </c>
      <c r="BK530" t="s">
        <v>98</v>
      </c>
      <c r="BL530" s="93">
        <f t="shared" si="136"/>
        <v>32.037999999999997</v>
      </c>
      <c r="BM530">
        <v>1</v>
      </c>
      <c r="BN530">
        <v>0</v>
      </c>
      <c r="BO530">
        <v>0</v>
      </c>
      <c r="BP530">
        <v>0</v>
      </c>
      <c r="BQ530">
        <v>0</v>
      </c>
      <c r="BR530">
        <v>0</v>
      </c>
      <c r="BS530">
        <v>0</v>
      </c>
      <c r="BT530" s="18">
        <v>0</v>
      </c>
      <c r="BU530">
        <v>0</v>
      </c>
      <c r="BV530">
        <v>0</v>
      </c>
      <c r="BW530">
        <v>0</v>
      </c>
      <c r="BX530" s="18">
        <v>1</v>
      </c>
      <c r="BY530">
        <v>0</v>
      </c>
      <c r="BZ530">
        <v>0</v>
      </c>
      <c r="CA530">
        <v>0</v>
      </c>
      <c r="CB530">
        <v>0</v>
      </c>
      <c r="CC530" s="18">
        <v>0</v>
      </c>
      <c r="CD530">
        <v>0</v>
      </c>
      <c r="CE530">
        <v>0</v>
      </c>
      <c r="CF530">
        <v>0</v>
      </c>
      <c r="CG530">
        <v>1</v>
      </c>
      <c r="CH530">
        <v>0</v>
      </c>
      <c r="CI530">
        <v>0</v>
      </c>
      <c r="CJ530">
        <v>0</v>
      </c>
      <c r="CK530">
        <v>0</v>
      </c>
      <c r="CL530">
        <v>0</v>
      </c>
      <c r="CM530">
        <v>0</v>
      </c>
      <c r="CN530" s="18">
        <v>0</v>
      </c>
      <c r="CO530">
        <v>0.29799999999999999</v>
      </c>
      <c r="CP530">
        <v>18</v>
      </c>
      <c r="CQ530">
        <v>1</v>
      </c>
      <c r="CR530">
        <v>0</v>
      </c>
      <c r="CS530">
        <v>10</v>
      </c>
      <c r="CY530" s="34"/>
    </row>
    <row r="531" spans="1:103" x14ac:dyDescent="0.25">
      <c r="A531">
        <v>530</v>
      </c>
      <c r="B531">
        <v>35</v>
      </c>
      <c r="C531" s="25" t="s">
        <v>325</v>
      </c>
      <c r="D531" s="12">
        <v>12.8</v>
      </c>
      <c r="E531" s="14">
        <f t="shared" si="132"/>
        <v>1.2598425196850394</v>
      </c>
      <c r="F531" s="7">
        <v>10.16</v>
      </c>
      <c r="G531" s="7">
        <f t="shared" si="125"/>
        <v>11.540157480314962</v>
      </c>
      <c r="H531" s="16">
        <f t="shared" si="126"/>
        <v>14.05984251968504</v>
      </c>
      <c r="I531" s="11">
        <f t="shared" si="129"/>
        <v>0.51564596422723608</v>
      </c>
      <c r="J531" s="33">
        <f t="shared" si="130"/>
        <v>5.0752555534176777E-2</v>
      </c>
      <c r="K531" s="33">
        <f t="shared" si="131"/>
        <v>19.703441323789104</v>
      </c>
      <c r="L531" s="8">
        <v>1</v>
      </c>
      <c r="M531" s="9">
        <v>0</v>
      </c>
      <c r="N531" s="8">
        <v>0</v>
      </c>
      <c r="O531" s="9">
        <v>0</v>
      </c>
      <c r="P531" s="9">
        <v>0</v>
      </c>
      <c r="Q531" s="9">
        <v>1</v>
      </c>
      <c r="R531" s="9">
        <v>0</v>
      </c>
      <c r="S531" s="8">
        <v>290</v>
      </c>
      <c r="T531" s="9">
        <v>4</v>
      </c>
      <c r="U531" s="9">
        <f t="shared" si="127"/>
        <v>285</v>
      </c>
      <c r="V531" s="9">
        <f t="shared" si="128"/>
        <v>15</v>
      </c>
      <c r="W531" s="7">
        <f t="shared" si="137"/>
        <v>9.0030000000000001</v>
      </c>
      <c r="X531" s="7">
        <f t="shared" si="133"/>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34"/>
        <v>0.5</v>
      </c>
      <c r="AT531" s="40">
        <f t="shared" si="135"/>
        <v>0.5</v>
      </c>
      <c r="AU531">
        <v>0</v>
      </c>
      <c r="AV531" s="18">
        <v>1</v>
      </c>
      <c r="AW531">
        <v>0</v>
      </c>
      <c r="AX531" s="18">
        <v>1</v>
      </c>
      <c r="AY531" s="18" t="s">
        <v>21</v>
      </c>
      <c r="AZ531">
        <v>0</v>
      </c>
      <c r="BA531">
        <v>1</v>
      </c>
      <c r="BB531">
        <v>0</v>
      </c>
      <c r="BC531">
        <v>0</v>
      </c>
      <c r="BD531">
        <v>0</v>
      </c>
      <c r="BE531">
        <v>0</v>
      </c>
      <c r="BF531" s="18">
        <v>0</v>
      </c>
      <c r="BG531">
        <v>0</v>
      </c>
      <c r="BH531">
        <v>1</v>
      </c>
      <c r="BI531" s="18">
        <v>0</v>
      </c>
      <c r="BJ531" t="s">
        <v>98</v>
      </c>
      <c r="BK531" t="s">
        <v>98</v>
      </c>
      <c r="BL531" s="93">
        <f t="shared" si="136"/>
        <v>27.451000000000001</v>
      </c>
      <c r="BM531">
        <v>1</v>
      </c>
      <c r="BN531">
        <v>0</v>
      </c>
      <c r="BO531">
        <v>0</v>
      </c>
      <c r="BP531">
        <v>0</v>
      </c>
      <c r="BQ531">
        <v>0</v>
      </c>
      <c r="BR531">
        <v>0</v>
      </c>
      <c r="BS531">
        <v>0</v>
      </c>
      <c r="BT531" s="18">
        <v>0</v>
      </c>
      <c r="BU531">
        <v>0</v>
      </c>
      <c r="BV531">
        <v>0</v>
      </c>
      <c r="BW531">
        <v>0</v>
      </c>
      <c r="BX531" s="18">
        <v>1</v>
      </c>
      <c r="BY531">
        <v>0</v>
      </c>
      <c r="BZ531">
        <v>0</v>
      </c>
      <c r="CA531">
        <v>0</v>
      </c>
      <c r="CB531">
        <v>0</v>
      </c>
      <c r="CC531" s="18">
        <v>0</v>
      </c>
      <c r="CD531">
        <v>0</v>
      </c>
      <c r="CE531">
        <v>0</v>
      </c>
      <c r="CF531">
        <v>0</v>
      </c>
      <c r="CG531">
        <v>1</v>
      </c>
      <c r="CH531">
        <v>0</v>
      </c>
      <c r="CI531">
        <v>0</v>
      </c>
      <c r="CJ531">
        <v>0</v>
      </c>
      <c r="CK531">
        <v>0</v>
      </c>
      <c r="CL531">
        <v>0</v>
      </c>
      <c r="CM531">
        <v>0</v>
      </c>
      <c r="CN531" s="18">
        <v>0</v>
      </c>
      <c r="CO531">
        <v>0.29799999999999999</v>
      </c>
      <c r="CP531">
        <v>18</v>
      </c>
      <c r="CQ531">
        <v>1</v>
      </c>
      <c r="CR531">
        <v>0</v>
      </c>
      <c r="CS531">
        <v>10</v>
      </c>
      <c r="CY531" s="34"/>
    </row>
    <row r="532" spans="1:103" x14ac:dyDescent="0.25">
      <c r="A532">
        <v>531</v>
      </c>
      <c r="B532">
        <v>35</v>
      </c>
      <c r="C532" s="25" t="s">
        <v>325</v>
      </c>
      <c r="D532" s="12">
        <v>6.5</v>
      </c>
      <c r="E532" s="14">
        <f t="shared" si="132"/>
        <v>0.93525179856115104</v>
      </c>
      <c r="F532" s="7">
        <v>6.95</v>
      </c>
      <c r="G532" s="7">
        <f t="shared" si="125"/>
        <v>5.5647482014388494</v>
      </c>
      <c r="H532" s="16">
        <f t="shared" si="126"/>
        <v>7.4352517985611506</v>
      </c>
      <c r="I532" s="11">
        <f t="shared" si="129"/>
        <v>0.17651295312271437</v>
      </c>
      <c r="J532" s="33">
        <f t="shared" si="130"/>
        <v>2.5397547211901347E-2</v>
      </c>
      <c r="K532" s="33">
        <f t="shared" si="131"/>
        <v>39.373880936478692</v>
      </c>
      <c r="L532" s="8">
        <v>1</v>
      </c>
      <c r="M532" s="9">
        <v>0</v>
      </c>
      <c r="N532" s="8">
        <v>0</v>
      </c>
      <c r="O532" s="9">
        <v>0</v>
      </c>
      <c r="P532" s="9">
        <v>0</v>
      </c>
      <c r="Q532" s="9">
        <v>1</v>
      </c>
      <c r="R532" s="9">
        <v>0</v>
      </c>
      <c r="S532" s="8">
        <v>1510</v>
      </c>
      <c r="T532" s="9">
        <v>7</v>
      </c>
      <c r="U532" s="9">
        <f t="shared" si="127"/>
        <v>1502</v>
      </c>
      <c r="V532" s="9">
        <f t="shared" si="128"/>
        <v>15</v>
      </c>
      <c r="W532" s="7">
        <f t="shared" si="137"/>
        <v>7.66012</v>
      </c>
      <c r="X532" s="7">
        <f t="shared" si="133"/>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38">1-AQ532</f>
        <v>0.12</v>
      </c>
      <c r="AS532" s="39">
        <f t="shared" si="134"/>
        <v>0.54400000000000004</v>
      </c>
      <c r="AT532" s="40">
        <f t="shared" si="135"/>
        <v>0.45600000000000002</v>
      </c>
      <c r="AU532">
        <v>0</v>
      </c>
      <c r="AV532" s="18">
        <v>1</v>
      </c>
      <c r="AW532">
        <v>0</v>
      </c>
      <c r="AX532" s="18">
        <v>1</v>
      </c>
      <c r="AY532" s="18" t="s">
        <v>21</v>
      </c>
      <c r="AZ532">
        <v>0</v>
      </c>
      <c r="BA532">
        <v>1</v>
      </c>
      <c r="BB532">
        <v>0</v>
      </c>
      <c r="BC532">
        <v>0</v>
      </c>
      <c r="BD532">
        <v>0</v>
      </c>
      <c r="BE532">
        <v>0</v>
      </c>
      <c r="BF532" s="18">
        <v>0</v>
      </c>
      <c r="BG532">
        <v>0</v>
      </c>
      <c r="BH532">
        <v>1</v>
      </c>
      <c r="BI532" s="18">
        <v>0</v>
      </c>
      <c r="BJ532" t="s">
        <v>98</v>
      </c>
      <c r="BK532" t="s">
        <v>98</v>
      </c>
      <c r="BL532" s="93">
        <f t="shared" si="136"/>
        <v>31.487559999999998</v>
      </c>
      <c r="BM532">
        <v>1</v>
      </c>
      <c r="BN532">
        <v>0</v>
      </c>
      <c r="BO532">
        <v>0</v>
      </c>
      <c r="BP532">
        <v>0</v>
      </c>
      <c r="BQ532">
        <v>0</v>
      </c>
      <c r="BR532">
        <v>0</v>
      </c>
      <c r="BS532">
        <v>0</v>
      </c>
      <c r="BT532" s="18">
        <v>0</v>
      </c>
      <c r="BU532">
        <v>0</v>
      </c>
      <c r="BV532">
        <v>0</v>
      </c>
      <c r="BW532">
        <v>0</v>
      </c>
      <c r="BX532" s="18">
        <v>1</v>
      </c>
      <c r="BY532">
        <v>0</v>
      </c>
      <c r="BZ532">
        <v>0</v>
      </c>
      <c r="CA532">
        <v>0</v>
      </c>
      <c r="CB532">
        <v>0</v>
      </c>
      <c r="CC532" s="18">
        <v>0</v>
      </c>
      <c r="CD532">
        <v>0</v>
      </c>
      <c r="CE532">
        <v>0</v>
      </c>
      <c r="CF532">
        <v>0</v>
      </c>
      <c r="CG532">
        <v>1</v>
      </c>
      <c r="CH532">
        <v>0</v>
      </c>
      <c r="CI532">
        <v>0</v>
      </c>
      <c r="CJ532">
        <v>0</v>
      </c>
      <c r="CK532">
        <v>0</v>
      </c>
      <c r="CL532">
        <v>0</v>
      </c>
      <c r="CM532">
        <v>0</v>
      </c>
      <c r="CN532" s="18">
        <v>0</v>
      </c>
      <c r="CO532">
        <v>0.29799999999999999</v>
      </c>
      <c r="CP532">
        <v>18</v>
      </c>
      <c r="CQ532">
        <v>1</v>
      </c>
      <c r="CR532">
        <v>0</v>
      </c>
      <c r="CS532">
        <v>10</v>
      </c>
      <c r="CY532" s="34"/>
    </row>
    <row r="533" spans="1:103" x14ac:dyDescent="0.25">
      <c r="A533">
        <v>532</v>
      </c>
      <c r="B533">
        <v>35</v>
      </c>
      <c r="C533" s="25" t="s">
        <v>325</v>
      </c>
      <c r="D533" s="12">
        <v>7.4</v>
      </c>
      <c r="E533" s="14">
        <f t="shared" si="132"/>
        <v>0.95238095238095244</v>
      </c>
      <c r="F533" s="7">
        <v>7.77</v>
      </c>
      <c r="G533" s="7">
        <f t="shared" si="125"/>
        <v>6.4476190476190478</v>
      </c>
      <c r="H533" s="16">
        <f t="shared" si="126"/>
        <v>8.3523809523809529</v>
      </c>
      <c r="I533" s="11">
        <f t="shared" si="129"/>
        <v>0.19657517462416382</v>
      </c>
      <c r="J533" s="33">
        <f t="shared" si="130"/>
        <v>2.5299250273380161E-2</v>
      </c>
      <c r="K533" s="33">
        <f t="shared" si="131"/>
        <v>39.526863017446757</v>
      </c>
      <c r="L533" s="8">
        <v>1</v>
      </c>
      <c r="M533" s="9">
        <v>0</v>
      </c>
      <c r="N533" s="8">
        <v>0</v>
      </c>
      <c r="O533" s="9">
        <v>0</v>
      </c>
      <c r="P533" s="9">
        <v>0</v>
      </c>
      <c r="Q533" s="9">
        <v>1</v>
      </c>
      <c r="R533" s="9">
        <v>0</v>
      </c>
      <c r="S533" s="8">
        <v>1510</v>
      </c>
      <c r="T533" s="9">
        <v>7</v>
      </c>
      <c r="U533" s="9">
        <f t="shared" si="127"/>
        <v>1502</v>
      </c>
      <c r="V533" s="9">
        <f t="shared" si="128"/>
        <v>15</v>
      </c>
      <c r="W533" s="7">
        <f t="shared" si="137"/>
        <v>7.66012</v>
      </c>
      <c r="X533" s="7">
        <f t="shared" si="133"/>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38"/>
        <v>0.12</v>
      </c>
      <c r="AS533" s="39">
        <f t="shared" si="134"/>
        <v>0.54400000000000004</v>
      </c>
      <c r="AT533" s="40">
        <f t="shared" si="135"/>
        <v>0.45600000000000002</v>
      </c>
      <c r="AU533">
        <v>0</v>
      </c>
      <c r="AV533" s="18">
        <v>1</v>
      </c>
      <c r="AW533">
        <v>0</v>
      </c>
      <c r="AX533" s="18">
        <v>1</v>
      </c>
      <c r="AY533" s="18" t="s">
        <v>21</v>
      </c>
      <c r="AZ533">
        <v>0</v>
      </c>
      <c r="BA533">
        <v>1</v>
      </c>
      <c r="BB533">
        <v>0</v>
      </c>
      <c r="BC533">
        <v>0</v>
      </c>
      <c r="BD533">
        <v>0</v>
      </c>
      <c r="BE533">
        <v>0</v>
      </c>
      <c r="BF533" s="18">
        <v>0</v>
      </c>
      <c r="BG533">
        <v>0</v>
      </c>
      <c r="BH533">
        <v>1</v>
      </c>
      <c r="BI533" s="18">
        <v>0</v>
      </c>
      <c r="BJ533" t="s">
        <v>98</v>
      </c>
      <c r="BK533" t="s">
        <v>98</v>
      </c>
      <c r="BL533" s="93">
        <f t="shared" si="136"/>
        <v>31.487559999999998</v>
      </c>
      <c r="BM533">
        <v>1</v>
      </c>
      <c r="BN533">
        <v>0</v>
      </c>
      <c r="BO533">
        <v>0</v>
      </c>
      <c r="BP533">
        <v>0</v>
      </c>
      <c r="BQ533">
        <v>0</v>
      </c>
      <c r="BR533">
        <v>0</v>
      </c>
      <c r="BS533">
        <v>0</v>
      </c>
      <c r="BT533" s="18">
        <v>0</v>
      </c>
      <c r="BU533">
        <v>0</v>
      </c>
      <c r="BV533">
        <v>0</v>
      </c>
      <c r="BW533">
        <v>0</v>
      </c>
      <c r="BX533" s="18">
        <v>1</v>
      </c>
      <c r="BY533">
        <v>0</v>
      </c>
      <c r="BZ533">
        <v>0</v>
      </c>
      <c r="CA533">
        <v>0</v>
      </c>
      <c r="CB533">
        <v>0</v>
      </c>
      <c r="CC533" s="18">
        <v>0</v>
      </c>
      <c r="CD533">
        <v>0</v>
      </c>
      <c r="CE533">
        <v>0</v>
      </c>
      <c r="CF533">
        <v>0</v>
      </c>
      <c r="CG533">
        <v>1</v>
      </c>
      <c r="CH533">
        <v>0</v>
      </c>
      <c r="CI533">
        <v>0</v>
      </c>
      <c r="CJ533">
        <v>0</v>
      </c>
      <c r="CK533">
        <v>0</v>
      </c>
      <c r="CL533">
        <v>0</v>
      </c>
      <c r="CM533">
        <v>0</v>
      </c>
      <c r="CN533" s="18">
        <v>0</v>
      </c>
      <c r="CO533">
        <v>0.29799999999999999</v>
      </c>
      <c r="CP533">
        <v>18</v>
      </c>
      <c r="CQ533">
        <v>1</v>
      </c>
      <c r="CR533">
        <v>0</v>
      </c>
      <c r="CS533">
        <v>10</v>
      </c>
      <c r="CY533" s="34"/>
    </row>
    <row r="534" spans="1:103" x14ac:dyDescent="0.25">
      <c r="A534">
        <v>533</v>
      </c>
      <c r="B534">
        <v>35</v>
      </c>
      <c r="C534" s="25" t="s">
        <v>325</v>
      </c>
      <c r="D534" s="12">
        <v>7.5</v>
      </c>
      <c r="E534" s="14">
        <f t="shared" si="132"/>
        <v>0.96030729833546735</v>
      </c>
      <c r="F534" s="7">
        <v>7.81</v>
      </c>
      <c r="G534" s="7">
        <f t="shared" si="125"/>
        <v>6.5396927016645323</v>
      </c>
      <c r="H534" s="16">
        <f t="shared" si="126"/>
        <v>8.4603072983354668</v>
      </c>
      <c r="I534" s="11">
        <f t="shared" si="129"/>
        <v>0.1975477495959001</v>
      </c>
      <c r="J534" s="33">
        <f t="shared" si="130"/>
        <v>2.5294206094225363E-2</v>
      </c>
      <c r="K534" s="33">
        <f t="shared" si="131"/>
        <v>39.534745477870473</v>
      </c>
      <c r="L534" s="8">
        <v>1</v>
      </c>
      <c r="M534" s="9">
        <v>0</v>
      </c>
      <c r="N534" s="8">
        <v>0</v>
      </c>
      <c r="O534" s="9">
        <v>0</v>
      </c>
      <c r="P534" s="9">
        <v>0</v>
      </c>
      <c r="Q534" s="9">
        <v>1</v>
      </c>
      <c r="R534" s="9">
        <v>0</v>
      </c>
      <c r="S534" s="8">
        <v>1510</v>
      </c>
      <c r="T534" s="9">
        <v>7</v>
      </c>
      <c r="U534" s="9">
        <f t="shared" si="127"/>
        <v>1502</v>
      </c>
      <c r="V534" s="9">
        <f t="shared" si="128"/>
        <v>15</v>
      </c>
      <c r="W534" s="7">
        <f t="shared" si="137"/>
        <v>7.66012</v>
      </c>
      <c r="X534" s="7">
        <f t="shared" si="133"/>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38"/>
        <v>0.12</v>
      </c>
      <c r="AS534" s="39">
        <f t="shared" si="134"/>
        <v>0.54400000000000004</v>
      </c>
      <c r="AT534" s="40">
        <f t="shared" si="135"/>
        <v>0.45600000000000002</v>
      </c>
      <c r="AU534">
        <v>0</v>
      </c>
      <c r="AV534" s="18">
        <v>1</v>
      </c>
      <c r="AW534">
        <v>0</v>
      </c>
      <c r="AX534" s="18">
        <v>1</v>
      </c>
      <c r="AY534" s="18" t="s">
        <v>21</v>
      </c>
      <c r="AZ534">
        <v>0</v>
      </c>
      <c r="BA534">
        <v>1</v>
      </c>
      <c r="BB534">
        <v>0</v>
      </c>
      <c r="BC534">
        <v>0</v>
      </c>
      <c r="BD534">
        <v>0</v>
      </c>
      <c r="BE534">
        <v>0</v>
      </c>
      <c r="BF534" s="18">
        <v>0</v>
      </c>
      <c r="BG534">
        <v>0</v>
      </c>
      <c r="BH534">
        <v>1</v>
      </c>
      <c r="BI534" s="18">
        <v>0</v>
      </c>
      <c r="BJ534" t="s">
        <v>98</v>
      </c>
      <c r="BK534" t="s">
        <v>98</v>
      </c>
      <c r="BL534" s="93">
        <f t="shared" si="136"/>
        <v>31.487559999999998</v>
      </c>
      <c r="BM534">
        <v>1</v>
      </c>
      <c r="BN534">
        <v>0</v>
      </c>
      <c r="BO534">
        <v>0</v>
      </c>
      <c r="BP534">
        <v>0</v>
      </c>
      <c r="BQ534">
        <v>0</v>
      </c>
      <c r="BR534">
        <v>0</v>
      </c>
      <c r="BS534">
        <v>0</v>
      </c>
      <c r="BT534" s="18">
        <v>0</v>
      </c>
      <c r="BU534">
        <v>0</v>
      </c>
      <c r="BV534">
        <v>0</v>
      </c>
      <c r="BW534">
        <v>0</v>
      </c>
      <c r="BX534" s="18">
        <v>1</v>
      </c>
      <c r="BY534">
        <v>0</v>
      </c>
      <c r="BZ534">
        <v>0</v>
      </c>
      <c r="CA534">
        <v>0</v>
      </c>
      <c r="CB534">
        <v>0</v>
      </c>
      <c r="CC534" s="18">
        <v>0</v>
      </c>
      <c r="CD534">
        <v>0</v>
      </c>
      <c r="CE534">
        <v>0</v>
      </c>
      <c r="CF534">
        <v>0</v>
      </c>
      <c r="CG534">
        <v>1</v>
      </c>
      <c r="CH534">
        <v>0</v>
      </c>
      <c r="CI534">
        <v>0</v>
      </c>
      <c r="CJ534">
        <v>0</v>
      </c>
      <c r="CK534">
        <v>0</v>
      </c>
      <c r="CL534">
        <v>0</v>
      </c>
      <c r="CM534">
        <v>0</v>
      </c>
      <c r="CN534" s="18">
        <v>0</v>
      </c>
      <c r="CO534">
        <v>0.29799999999999999</v>
      </c>
      <c r="CP534">
        <v>18</v>
      </c>
      <c r="CQ534">
        <v>1</v>
      </c>
      <c r="CR534">
        <v>0</v>
      </c>
      <c r="CS534">
        <v>10</v>
      </c>
      <c r="CY534" s="34"/>
    </row>
    <row r="535" spans="1:103" x14ac:dyDescent="0.25">
      <c r="A535">
        <v>534</v>
      </c>
      <c r="B535">
        <v>35</v>
      </c>
      <c r="C535" s="25" t="s">
        <v>325</v>
      </c>
      <c r="D535" s="12">
        <v>7.3</v>
      </c>
      <c r="E535" s="14">
        <f t="shared" si="132"/>
        <v>0.96052631578947367</v>
      </c>
      <c r="F535" s="7">
        <v>7.6</v>
      </c>
      <c r="G535" s="7">
        <f t="shared" si="125"/>
        <v>6.3394736842105264</v>
      </c>
      <c r="H535" s="16">
        <f t="shared" si="126"/>
        <v>8.2605263157894733</v>
      </c>
      <c r="I535" s="11">
        <f t="shared" si="129"/>
        <v>0.19243528302935478</v>
      </c>
      <c r="J535" s="33">
        <f t="shared" si="130"/>
        <v>2.5320431977546683E-2</v>
      </c>
      <c r="K535" s="33">
        <f t="shared" si="131"/>
        <v>39.493796981298217</v>
      </c>
      <c r="L535" s="8">
        <v>1</v>
      </c>
      <c r="M535" s="9">
        <v>0</v>
      </c>
      <c r="N535" s="8">
        <v>0</v>
      </c>
      <c r="O535" s="9">
        <v>0</v>
      </c>
      <c r="P535" s="9">
        <v>0</v>
      </c>
      <c r="Q535" s="9">
        <v>1</v>
      </c>
      <c r="R535" s="9">
        <v>0</v>
      </c>
      <c r="S535" s="8">
        <v>1510</v>
      </c>
      <c r="T535" s="9">
        <v>7</v>
      </c>
      <c r="U535" s="9">
        <f t="shared" si="127"/>
        <v>1502</v>
      </c>
      <c r="V535" s="9">
        <f t="shared" si="128"/>
        <v>15</v>
      </c>
      <c r="W535" s="7">
        <f t="shared" si="137"/>
        <v>7.66012</v>
      </c>
      <c r="X535" s="7">
        <f t="shared" si="133"/>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38"/>
        <v>0.12</v>
      </c>
      <c r="AS535" s="39">
        <f t="shared" si="134"/>
        <v>0.54400000000000004</v>
      </c>
      <c r="AT535" s="40">
        <f t="shared" si="135"/>
        <v>0.45600000000000002</v>
      </c>
      <c r="AU535">
        <v>0</v>
      </c>
      <c r="AV535" s="18">
        <v>1</v>
      </c>
      <c r="AW535">
        <v>0</v>
      </c>
      <c r="AX535" s="18">
        <v>1</v>
      </c>
      <c r="AY535" s="18" t="s">
        <v>21</v>
      </c>
      <c r="AZ535">
        <v>0</v>
      </c>
      <c r="BA535">
        <v>1</v>
      </c>
      <c r="BB535">
        <v>0</v>
      </c>
      <c r="BC535">
        <v>0</v>
      </c>
      <c r="BD535">
        <v>0</v>
      </c>
      <c r="BE535">
        <v>0</v>
      </c>
      <c r="BF535" s="18">
        <v>0</v>
      </c>
      <c r="BG535">
        <v>0</v>
      </c>
      <c r="BH535">
        <v>1</v>
      </c>
      <c r="BI535" s="18">
        <v>0</v>
      </c>
      <c r="BJ535" t="s">
        <v>98</v>
      </c>
      <c r="BK535" t="s">
        <v>98</v>
      </c>
      <c r="BL535" s="93">
        <f t="shared" si="136"/>
        <v>31.487559999999998</v>
      </c>
      <c r="BM535">
        <v>1</v>
      </c>
      <c r="BN535">
        <v>0</v>
      </c>
      <c r="BO535">
        <v>0</v>
      </c>
      <c r="BP535">
        <v>0</v>
      </c>
      <c r="BQ535">
        <v>0</v>
      </c>
      <c r="BR535">
        <v>0</v>
      </c>
      <c r="BS535">
        <v>0</v>
      </c>
      <c r="BT535" s="18">
        <v>0</v>
      </c>
      <c r="BU535">
        <v>0</v>
      </c>
      <c r="BV535">
        <v>0</v>
      </c>
      <c r="BW535">
        <v>0</v>
      </c>
      <c r="BX535" s="18">
        <v>1</v>
      </c>
      <c r="BY535">
        <v>0</v>
      </c>
      <c r="BZ535">
        <v>0</v>
      </c>
      <c r="CA535">
        <v>0</v>
      </c>
      <c r="CB535">
        <v>0</v>
      </c>
      <c r="CC535" s="18">
        <v>0</v>
      </c>
      <c r="CD535">
        <v>0</v>
      </c>
      <c r="CE535">
        <v>0</v>
      </c>
      <c r="CF535">
        <v>0</v>
      </c>
      <c r="CG535">
        <v>1</v>
      </c>
      <c r="CH535">
        <v>0</v>
      </c>
      <c r="CI535">
        <v>0</v>
      </c>
      <c r="CJ535">
        <v>0</v>
      </c>
      <c r="CK535">
        <v>0</v>
      </c>
      <c r="CL535">
        <v>0</v>
      </c>
      <c r="CM535">
        <v>0</v>
      </c>
      <c r="CN535" s="18">
        <v>1</v>
      </c>
      <c r="CO535">
        <v>0.29799999999999999</v>
      </c>
      <c r="CP535">
        <v>18</v>
      </c>
      <c r="CQ535">
        <v>1</v>
      </c>
      <c r="CR535">
        <v>0</v>
      </c>
      <c r="CS535">
        <v>10</v>
      </c>
      <c r="CY535" s="34"/>
    </row>
    <row r="536" spans="1:103" x14ac:dyDescent="0.25">
      <c r="A536">
        <v>535</v>
      </c>
      <c r="B536">
        <v>35</v>
      </c>
      <c r="C536" s="25" t="s">
        <v>325</v>
      </c>
      <c r="D536" s="12">
        <v>7.1</v>
      </c>
      <c r="E536" s="14">
        <f t="shared" si="132"/>
        <v>0.94164456233421745</v>
      </c>
      <c r="F536" s="7">
        <v>7.54</v>
      </c>
      <c r="G536" s="7">
        <f t="shared" si="125"/>
        <v>6.1583554376657821</v>
      </c>
      <c r="H536" s="16">
        <f t="shared" si="126"/>
        <v>8.0416445623342163</v>
      </c>
      <c r="I536" s="11">
        <f t="shared" si="129"/>
        <v>0.19097167590337699</v>
      </c>
      <c r="J536" s="33">
        <f t="shared" si="130"/>
        <v>2.5327808475248934E-2</v>
      </c>
      <c r="K536" s="33">
        <f t="shared" si="131"/>
        <v>39.482294766135368</v>
      </c>
      <c r="L536" s="8">
        <v>1</v>
      </c>
      <c r="M536" s="9">
        <v>0</v>
      </c>
      <c r="N536" s="8">
        <v>0</v>
      </c>
      <c r="O536" s="9">
        <v>0</v>
      </c>
      <c r="P536" s="9">
        <v>0</v>
      </c>
      <c r="Q536" s="9">
        <v>1</v>
      </c>
      <c r="R536" s="9">
        <v>0</v>
      </c>
      <c r="S536" s="8">
        <v>1510</v>
      </c>
      <c r="T536" s="9">
        <v>7</v>
      </c>
      <c r="U536" s="9">
        <f t="shared" si="127"/>
        <v>1502</v>
      </c>
      <c r="V536" s="9">
        <f t="shared" si="128"/>
        <v>15</v>
      </c>
      <c r="W536" s="7">
        <f t="shared" si="137"/>
        <v>7.66012</v>
      </c>
      <c r="X536" s="7">
        <f t="shared" si="133"/>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38"/>
        <v>0.12</v>
      </c>
      <c r="AS536" s="39">
        <f t="shared" si="134"/>
        <v>0.54400000000000004</v>
      </c>
      <c r="AT536" s="40">
        <f t="shared" si="135"/>
        <v>0.45600000000000002</v>
      </c>
      <c r="AU536">
        <v>0</v>
      </c>
      <c r="AV536" s="18">
        <v>1</v>
      </c>
      <c r="AW536">
        <v>0</v>
      </c>
      <c r="AX536" s="18">
        <v>1</v>
      </c>
      <c r="AY536" s="18" t="s">
        <v>21</v>
      </c>
      <c r="AZ536">
        <v>0</v>
      </c>
      <c r="BA536">
        <v>1</v>
      </c>
      <c r="BB536">
        <v>0</v>
      </c>
      <c r="BC536">
        <v>0</v>
      </c>
      <c r="BD536">
        <v>0</v>
      </c>
      <c r="BE536">
        <v>0</v>
      </c>
      <c r="BF536" s="18">
        <v>0</v>
      </c>
      <c r="BG536">
        <v>0</v>
      </c>
      <c r="BH536">
        <v>1</v>
      </c>
      <c r="BI536" s="18">
        <v>0</v>
      </c>
      <c r="BJ536" t="s">
        <v>98</v>
      </c>
      <c r="BK536" t="s">
        <v>98</v>
      </c>
      <c r="BL536" s="93">
        <f t="shared" si="136"/>
        <v>31.487559999999998</v>
      </c>
      <c r="BM536">
        <v>1</v>
      </c>
      <c r="BN536">
        <v>0</v>
      </c>
      <c r="BO536">
        <v>0</v>
      </c>
      <c r="BP536">
        <v>0</v>
      </c>
      <c r="BQ536">
        <v>0</v>
      </c>
      <c r="BR536">
        <v>0</v>
      </c>
      <c r="BS536">
        <v>0</v>
      </c>
      <c r="BT536" s="18">
        <v>0</v>
      </c>
      <c r="BU536">
        <v>0</v>
      </c>
      <c r="BV536">
        <v>0</v>
      </c>
      <c r="BW536">
        <v>0</v>
      </c>
      <c r="BX536" s="18">
        <v>1</v>
      </c>
      <c r="BY536">
        <v>0</v>
      </c>
      <c r="BZ536">
        <v>0</v>
      </c>
      <c r="CA536">
        <v>0</v>
      </c>
      <c r="CB536">
        <v>0</v>
      </c>
      <c r="CC536" s="18">
        <v>0</v>
      </c>
      <c r="CD536">
        <v>0</v>
      </c>
      <c r="CE536">
        <v>0</v>
      </c>
      <c r="CF536">
        <v>0</v>
      </c>
      <c r="CG536">
        <v>1</v>
      </c>
      <c r="CH536">
        <v>0</v>
      </c>
      <c r="CI536">
        <v>0</v>
      </c>
      <c r="CJ536">
        <v>0</v>
      </c>
      <c r="CK536">
        <v>0</v>
      </c>
      <c r="CL536">
        <v>0</v>
      </c>
      <c r="CM536">
        <v>0</v>
      </c>
      <c r="CN536" s="18">
        <v>1</v>
      </c>
      <c r="CO536">
        <v>0.29799999999999999</v>
      </c>
      <c r="CP536">
        <v>18</v>
      </c>
      <c r="CQ536">
        <v>1</v>
      </c>
      <c r="CR536">
        <v>0</v>
      </c>
      <c r="CS536">
        <v>10</v>
      </c>
      <c r="CY536" s="34"/>
    </row>
    <row r="537" spans="1:103" x14ac:dyDescent="0.25">
      <c r="A537">
        <v>536</v>
      </c>
      <c r="B537">
        <v>35</v>
      </c>
      <c r="C537" s="25" t="s">
        <v>325</v>
      </c>
      <c r="D537" s="12">
        <v>6</v>
      </c>
      <c r="E537" s="14">
        <f t="shared" si="132"/>
        <v>0.90361445783132532</v>
      </c>
      <c r="F537" s="7">
        <v>6.64</v>
      </c>
      <c r="G537" s="7">
        <f t="shared" si="125"/>
        <v>5.096385542168675</v>
      </c>
      <c r="H537" s="16">
        <f t="shared" si="126"/>
        <v>6.903614457831325</v>
      </c>
      <c r="I537" s="11">
        <f t="shared" si="129"/>
        <v>0.16886931820305151</v>
      </c>
      <c r="J537" s="33">
        <f t="shared" si="130"/>
        <v>2.5432126235399324E-2</v>
      </c>
      <c r="K537" s="33">
        <f t="shared" si="131"/>
        <v>39.320345878438047</v>
      </c>
      <c r="L537" s="8">
        <v>1</v>
      </c>
      <c r="M537" s="9">
        <v>0</v>
      </c>
      <c r="N537" s="8">
        <v>0</v>
      </c>
      <c r="O537" s="9">
        <v>0</v>
      </c>
      <c r="P537" s="9">
        <v>0</v>
      </c>
      <c r="Q537" s="9">
        <v>1</v>
      </c>
      <c r="R537" s="9">
        <v>0</v>
      </c>
      <c r="S537" s="8">
        <v>1510</v>
      </c>
      <c r="T537" s="9">
        <v>7</v>
      </c>
      <c r="U537" s="9">
        <f t="shared" si="127"/>
        <v>1502</v>
      </c>
      <c r="V537" s="9">
        <f t="shared" si="128"/>
        <v>15</v>
      </c>
      <c r="W537" s="7">
        <f t="shared" si="137"/>
        <v>7.66012</v>
      </c>
      <c r="X537" s="7">
        <f t="shared" si="133"/>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38"/>
        <v>0.12</v>
      </c>
      <c r="AS537" s="39">
        <f t="shared" si="134"/>
        <v>0.54400000000000004</v>
      </c>
      <c r="AT537" s="40">
        <f t="shared" si="135"/>
        <v>0.45600000000000002</v>
      </c>
      <c r="AU537">
        <v>0</v>
      </c>
      <c r="AV537" s="18">
        <v>1</v>
      </c>
      <c r="AW537">
        <v>0</v>
      </c>
      <c r="AX537" s="18">
        <v>1</v>
      </c>
      <c r="AY537" s="18" t="s">
        <v>21</v>
      </c>
      <c r="AZ537">
        <v>0</v>
      </c>
      <c r="BA537">
        <v>1</v>
      </c>
      <c r="BB537">
        <v>0</v>
      </c>
      <c r="BC537">
        <v>0</v>
      </c>
      <c r="BD537">
        <v>0</v>
      </c>
      <c r="BE537">
        <v>0</v>
      </c>
      <c r="BF537" s="18">
        <v>0</v>
      </c>
      <c r="BG537">
        <v>0</v>
      </c>
      <c r="BH537">
        <v>1</v>
      </c>
      <c r="BI537" s="18">
        <v>0</v>
      </c>
      <c r="BJ537" t="s">
        <v>98</v>
      </c>
      <c r="BK537" t="s">
        <v>98</v>
      </c>
      <c r="BL537" s="93">
        <f t="shared" si="136"/>
        <v>31.487559999999998</v>
      </c>
      <c r="BM537">
        <v>1</v>
      </c>
      <c r="BN537">
        <v>0</v>
      </c>
      <c r="BO537">
        <v>0</v>
      </c>
      <c r="BP537">
        <v>0</v>
      </c>
      <c r="BQ537">
        <v>0</v>
      </c>
      <c r="BR537">
        <v>0</v>
      </c>
      <c r="BS537">
        <v>0</v>
      </c>
      <c r="BT537" s="18">
        <v>0</v>
      </c>
      <c r="BU537">
        <v>0</v>
      </c>
      <c r="BV537">
        <v>0</v>
      </c>
      <c r="BW537">
        <v>0</v>
      </c>
      <c r="BX537" s="18">
        <v>1</v>
      </c>
      <c r="BY537">
        <v>0</v>
      </c>
      <c r="BZ537">
        <v>0</v>
      </c>
      <c r="CA537">
        <v>0</v>
      </c>
      <c r="CB537">
        <v>0</v>
      </c>
      <c r="CC537" s="18">
        <v>0</v>
      </c>
      <c r="CD537">
        <v>0</v>
      </c>
      <c r="CE537">
        <v>0</v>
      </c>
      <c r="CF537">
        <v>0</v>
      </c>
      <c r="CG537">
        <v>1</v>
      </c>
      <c r="CH537">
        <v>0</v>
      </c>
      <c r="CI537">
        <v>0</v>
      </c>
      <c r="CJ537">
        <v>0</v>
      </c>
      <c r="CK537">
        <v>0</v>
      </c>
      <c r="CL537">
        <v>1</v>
      </c>
      <c r="CM537">
        <v>0</v>
      </c>
      <c r="CN537" s="18">
        <v>0</v>
      </c>
      <c r="CO537">
        <v>0.29799999999999999</v>
      </c>
      <c r="CP537">
        <v>18</v>
      </c>
      <c r="CQ537">
        <v>1</v>
      </c>
      <c r="CR537">
        <v>0</v>
      </c>
      <c r="CS537">
        <v>10</v>
      </c>
      <c r="CY537" s="34"/>
    </row>
    <row r="538" spans="1:103" x14ac:dyDescent="0.25">
      <c r="A538">
        <v>537</v>
      </c>
      <c r="B538">
        <v>35</v>
      </c>
      <c r="C538" s="25" t="s">
        <v>325</v>
      </c>
      <c r="D538" s="12">
        <v>8.4</v>
      </c>
      <c r="E538" s="14">
        <f t="shared" si="132"/>
        <v>0.98707403055229148</v>
      </c>
      <c r="F538" s="7">
        <v>8.51</v>
      </c>
      <c r="G538" s="7">
        <f t="shared" si="125"/>
        <v>7.4129259694477092</v>
      </c>
      <c r="H538" s="16">
        <f t="shared" si="126"/>
        <v>9.3870740305522915</v>
      </c>
      <c r="I538" s="11">
        <f t="shared" si="129"/>
        <v>0.21440325235359536</v>
      </c>
      <c r="J538" s="33">
        <f t="shared" si="130"/>
        <v>2.5194271721926603E-2</v>
      </c>
      <c r="K538" s="33">
        <f t="shared" si="131"/>
        <v>39.691562075584777</v>
      </c>
      <c r="L538" s="8">
        <v>1</v>
      </c>
      <c r="M538" s="9">
        <v>0</v>
      </c>
      <c r="N538" s="8">
        <v>0</v>
      </c>
      <c r="O538" s="9">
        <v>0</v>
      </c>
      <c r="P538" s="9">
        <v>0</v>
      </c>
      <c r="Q538" s="9">
        <v>1</v>
      </c>
      <c r="R538" s="9">
        <v>0</v>
      </c>
      <c r="S538" s="8">
        <v>1510</v>
      </c>
      <c r="T538" s="9">
        <v>6</v>
      </c>
      <c r="U538" s="9">
        <f t="shared" si="127"/>
        <v>1503</v>
      </c>
      <c r="V538" s="9">
        <f t="shared" si="128"/>
        <v>15</v>
      </c>
      <c r="W538" s="7">
        <f t="shared" si="137"/>
        <v>7.66012</v>
      </c>
      <c r="X538" s="7">
        <f t="shared" si="133"/>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38"/>
        <v>0.12</v>
      </c>
      <c r="AS538" s="39">
        <f t="shared" si="134"/>
        <v>0.54400000000000004</v>
      </c>
      <c r="AT538" s="40">
        <f t="shared" si="135"/>
        <v>0.45600000000000002</v>
      </c>
      <c r="AU538">
        <v>0</v>
      </c>
      <c r="AV538" s="18">
        <v>1</v>
      </c>
      <c r="AW538">
        <v>0</v>
      </c>
      <c r="AX538" s="18">
        <v>1</v>
      </c>
      <c r="AY538" s="18" t="s">
        <v>21</v>
      </c>
      <c r="AZ538">
        <v>0</v>
      </c>
      <c r="BA538">
        <v>1</v>
      </c>
      <c r="BB538">
        <v>0</v>
      </c>
      <c r="BC538">
        <v>0</v>
      </c>
      <c r="BD538">
        <v>0</v>
      </c>
      <c r="BE538">
        <v>0</v>
      </c>
      <c r="BF538" s="18">
        <v>0</v>
      </c>
      <c r="BG538">
        <v>0</v>
      </c>
      <c r="BH538">
        <v>1</v>
      </c>
      <c r="BI538" s="18">
        <v>0</v>
      </c>
      <c r="BJ538" t="s">
        <v>98</v>
      </c>
      <c r="BK538" t="s">
        <v>98</v>
      </c>
      <c r="BL538" s="93">
        <f t="shared" si="136"/>
        <v>31.487559999999998</v>
      </c>
      <c r="BM538">
        <v>0</v>
      </c>
      <c r="BN538">
        <v>0</v>
      </c>
      <c r="BO538">
        <v>0</v>
      </c>
      <c r="BP538">
        <v>0</v>
      </c>
      <c r="BQ538">
        <v>0</v>
      </c>
      <c r="BR538">
        <v>0</v>
      </c>
      <c r="BS538">
        <v>1</v>
      </c>
      <c r="BT538" s="18">
        <v>0</v>
      </c>
      <c r="BU538">
        <v>0</v>
      </c>
      <c r="BV538">
        <v>0</v>
      </c>
      <c r="BW538">
        <v>0</v>
      </c>
      <c r="BX538" s="18">
        <v>1</v>
      </c>
      <c r="BY538">
        <v>0</v>
      </c>
      <c r="BZ538">
        <v>0</v>
      </c>
      <c r="CA538">
        <v>0</v>
      </c>
      <c r="CB538">
        <v>0</v>
      </c>
      <c r="CC538" s="18">
        <v>0</v>
      </c>
      <c r="CD538">
        <v>0</v>
      </c>
      <c r="CE538">
        <v>0</v>
      </c>
      <c r="CF538">
        <v>0</v>
      </c>
      <c r="CG538">
        <v>1</v>
      </c>
      <c r="CH538">
        <v>0</v>
      </c>
      <c r="CI538">
        <v>0</v>
      </c>
      <c r="CJ538">
        <v>1</v>
      </c>
      <c r="CK538">
        <v>0</v>
      </c>
      <c r="CL538">
        <v>0</v>
      </c>
      <c r="CM538">
        <v>0</v>
      </c>
      <c r="CN538" s="18">
        <v>0</v>
      </c>
      <c r="CO538">
        <v>0.29799999999999999</v>
      </c>
      <c r="CP538">
        <v>18</v>
      </c>
      <c r="CQ538">
        <v>1</v>
      </c>
      <c r="CR538">
        <v>0</v>
      </c>
      <c r="CS538">
        <v>10</v>
      </c>
      <c r="CY538" s="34"/>
    </row>
    <row r="539" spans="1:103" x14ac:dyDescent="0.25">
      <c r="A539">
        <v>538</v>
      </c>
      <c r="B539">
        <v>35</v>
      </c>
      <c r="C539" s="25" t="s">
        <v>325</v>
      </c>
      <c r="D539" s="12">
        <v>7.4</v>
      </c>
      <c r="E539" s="14">
        <f t="shared" si="132"/>
        <v>1.0407876230661042</v>
      </c>
      <c r="F539" s="7">
        <v>7.11</v>
      </c>
      <c r="G539" s="7">
        <f t="shared" si="125"/>
        <v>6.359212376933896</v>
      </c>
      <c r="H539" s="16">
        <f t="shared" si="126"/>
        <v>8.4407876230661039</v>
      </c>
      <c r="I539" s="11">
        <f t="shared" si="129"/>
        <v>0.19994071330712809</v>
      </c>
      <c r="J539" s="33">
        <f t="shared" si="130"/>
        <v>2.8121056723928003E-2</v>
      </c>
      <c r="K539" s="33">
        <f t="shared" si="131"/>
        <v>35.560541334462272</v>
      </c>
      <c r="L539" s="8">
        <v>1</v>
      </c>
      <c r="M539" s="9">
        <v>0</v>
      </c>
      <c r="N539" s="8">
        <v>0</v>
      </c>
      <c r="O539" s="9">
        <v>0</v>
      </c>
      <c r="P539" s="9">
        <v>0</v>
      </c>
      <c r="Q539" s="9">
        <v>1</v>
      </c>
      <c r="R539" s="9">
        <v>0</v>
      </c>
      <c r="S539" s="8">
        <v>1220</v>
      </c>
      <c r="T539" s="9">
        <v>5</v>
      </c>
      <c r="U539" s="9">
        <f t="shared" si="127"/>
        <v>1214</v>
      </c>
      <c r="V539" s="9">
        <f t="shared" si="128"/>
        <v>15</v>
      </c>
      <c r="W539" s="7">
        <f t="shared" si="137"/>
        <v>7.4770000000000003</v>
      </c>
      <c r="X539" s="7">
        <f t="shared" si="133"/>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34"/>
        <v>0.55000000000000004</v>
      </c>
      <c r="AT539" s="40">
        <f t="shared" si="135"/>
        <v>0.45</v>
      </c>
      <c r="AU539">
        <v>0</v>
      </c>
      <c r="AV539" s="18">
        <v>1</v>
      </c>
      <c r="AW539">
        <v>0</v>
      </c>
      <c r="AX539" s="18">
        <v>1</v>
      </c>
      <c r="AY539" s="18" t="s">
        <v>21</v>
      </c>
      <c r="AZ539">
        <v>0</v>
      </c>
      <c r="BA539">
        <v>1</v>
      </c>
      <c r="BB539">
        <v>0</v>
      </c>
      <c r="BC539">
        <v>0</v>
      </c>
      <c r="BD539">
        <v>0</v>
      </c>
      <c r="BE539">
        <v>0</v>
      </c>
      <c r="BF539" s="18">
        <v>0</v>
      </c>
      <c r="BG539">
        <v>0</v>
      </c>
      <c r="BH539">
        <v>1</v>
      </c>
      <c r="BI539" s="18">
        <v>0</v>
      </c>
      <c r="BJ539" t="s">
        <v>98</v>
      </c>
      <c r="BK539" t="s">
        <v>98</v>
      </c>
      <c r="BL539" s="93">
        <f t="shared" si="136"/>
        <v>32.037999999999997</v>
      </c>
      <c r="BM539">
        <v>0</v>
      </c>
      <c r="BN539">
        <v>0</v>
      </c>
      <c r="BO539">
        <v>0</v>
      </c>
      <c r="BP539">
        <v>0</v>
      </c>
      <c r="BQ539">
        <v>0</v>
      </c>
      <c r="BR539">
        <v>0</v>
      </c>
      <c r="BS539">
        <v>1</v>
      </c>
      <c r="BT539" s="18">
        <v>0</v>
      </c>
      <c r="BU539">
        <v>0</v>
      </c>
      <c r="BV539">
        <v>0</v>
      </c>
      <c r="BW539">
        <v>0</v>
      </c>
      <c r="BX539" s="18">
        <v>1</v>
      </c>
      <c r="BY539">
        <v>0</v>
      </c>
      <c r="BZ539">
        <v>0</v>
      </c>
      <c r="CA539">
        <v>0</v>
      </c>
      <c r="CB539">
        <v>0</v>
      </c>
      <c r="CC539" s="18">
        <v>0</v>
      </c>
      <c r="CD539">
        <v>0</v>
      </c>
      <c r="CE539">
        <v>0</v>
      </c>
      <c r="CF539">
        <v>0</v>
      </c>
      <c r="CG539">
        <v>1</v>
      </c>
      <c r="CH539">
        <v>0</v>
      </c>
      <c r="CI539">
        <v>0</v>
      </c>
      <c r="CJ539">
        <v>0</v>
      </c>
      <c r="CK539">
        <v>0</v>
      </c>
      <c r="CL539">
        <v>0</v>
      </c>
      <c r="CM539">
        <v>0</v>
      </c>
      <c r="CN539" s="18">
        <v>0</v>
      </c>
      <c r="CO539">
        <v>0.29799999999999999</v>
      </c>
      <c r="CP539">
        <v>18</v>
      </c>
      <c r="CQ539">
        <v>1</v>
      </c>
      <c r="CR539">
        <v>0</v>
      </c>
      <c r="CS539">
        <v>10</v>
      </c>
      <c r="CY539" s="34"/>
    </row>
    <row r="540" spans="1:103" x14ac:dyDescent="0.25">
      <c r="A540">
        <v>539</v>
      </c>
      <c r="B540">
        <v>35</v>
      </c>
      <c r="C540" s="25" t="s">
        <v>325</v>
      </c>
      <c r="D540" s="12">
        <v>7.6</v>
      </c>
      <c r="E540" s="14">
        <f t="shared" si="132"/>
        <v>3.1275720164609049</v>
      </c>
      <c r="F540" s="7">
        <v>2.4300000000000002</v>
      </c>
      <c r="G540" s="7">
        <f t="shared" si="125"/>
        <v>4.4724279835390952</v>
      </c>
      <c r="H540" s="16">
        <f t="shared" si="126"/>
        <v>10.727572016460904</v>
      </c>
      <c r="I540" s="11">
        <f t="shared" si="129"/>
        <v>6.11932504058443E-2</v>
      </c>
      <c r="J540" s="33">
        <f t="shared" si="130"/>
        <v>2.5182407574421521E-2</v>
      </c>
      <c r="K540" s="33">
        <f t="shared" si="131"/>
        <v>39.710261897902413</v>
      </c>
      <c r="L540" s="8">
        <v>1</v>
      </c>
      <c r="M540" s="9">
        <v>0</v>
      </c>
      <c r="N540" s="8">
        <v>0</v>
      </c>
      <c r="O540" s="9">
        <v>0</v>
      </c>
      <c r="P540" s="9">
        <v>0</v>
      </c>
      <c r="Q540" s="9">
        <v>1</v>
      </c>
      <c r="R540" s="9">
        <v>0</v>
      </c>
      <c r="S540" s="8">
        <v>1577</v>
      </c>
      <c r="T540" s="9">
        <v>5</v>
      </c>
      <c r="U540" s="9">
        <f t="shared" si="127"/>
        <v>1571</v>
      </c>
      <c r="V540" s="9">
        <f t="shared" si="128"/>
        <v>15</v>
      </c>
      <c r="W540" s="7">
        <f t="shared" si="137"/>
        <v>9.0030000000000001</v>
      </c>
      <c r="X540" s="7">
        <f t="shared" si="133"/>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34"/>
        <v>0.5</v>
      </c>
      <c r="AT540" s="40">
        <f t="shared" si="135"/>
        <v>0.5</v>
      </c>
      <c r="AU540">
        <v>0</v>
      </c>
      <c r="AV540" s="18">
        <v>1</v>
      </c>
      <c r="AW540">
        <v>0</v>
      </c>
      <c r="AX540" s="18">
        <v>1</v>
      </c>
      <c r="AY540" s="18" t="s">
        <v>21</v>
      </c>
      <c r="AZ540">
        <v>0</v>
      </c>
      <c r="BA540">
        <v>1</v>
      </c>
      <c r="BB540">
        <v>0</v>
      </c>
      <c r="BC540">
        <v>0</v>
      </c>
      <c r="BD540">
        <v>0</v>
      </c>
      <c r="BE540">
        <v>0</v>
      </c>
      <c r="BF540" s="18">
        <v>0</v>
      </c>
      <c r="BG540">
        <v>0</v>
      </c>
      <c r="BH540">
        <v>1</v>
      </c>
      <c r="BI540" s="18">
        <v>0</v>
      </c>
      <c r="BJ540" t="s">
        <v>98</v>
      </c>
      <c r="BK540" t="s">
        <v>98</v>
      </c>
      <c r="BL540" s="93">
        <f t="shared" si="136"/>
        <v>27.451000000000001</v>
      </c>
      <c r="BM540">
        <v>0</v>
      </c>
      <c r="BN540">
        <v>0</v>
      </c>
      <c r="BO540">
        <v>0</v>
      </c>
      <c r="BP540">
        <v>0</v>
      </c>
      <c r="BQ540">
        <v>0</v>
      </c>
      <c r="BR540">
        <v>0</v>
      </c>
      <c r="BS540">
        <v>1</v>
      </c>
      <c r="BT540" s="18">
        <v>0</v>
      </c>
      <c r="BU540">
        <v>0</v>
      </c>
      <c r="BV540">
        <v>0</v>
      </c>
      <c r="BW540">
        <v>0</v>
      </c>
      <c r="BX540" s="18">
        <v>1</v>
      </c>
      <c r="BY540">
        <v>0</v>
      </c>
      <c r="BZ540">
        <v>0</v>
      </c>
      <c r="CA540">
        <v>0</v>
      </c>
      <c r="CB540">
        <v>0</v>
      </c>
      <c r="CC540" s="18">
        <v>0</v>
      </c>
      <c r="CD540">
        <v>0</v>
      </c>
      <c r="CE540">
        <v>0</v>
      </c>
      <c r="CF540">
        <v>0</v>
      </c>
      <c r="CG540">
        <v>1</v>
      </c>
      <c r="CH540">
        <v>0</v>
      </c>
      <c r="CI540">
        <v>0</v>
      </c>
      <c r="CJ540">
        <v>0</v>
      </c>
      <c r="CK540">
        <v>0</v>
      </c>
      <c r="CL540">
        <v>0</v>
      </c>
      <c r="CM540">
        <v>0</v>
      </c>
      <c r="CN540" s="18">
        <v>0</v>
      </c>
      <c r="CO540">
        <v>0.29799999999999999</v>
      </c>
      <c r="CP540">
        <v>18</v>
      </c>
      <c r="CQ540">
        <v>1</v>
      </c>
      <c r="CR540">
        <v>0</v>
      </c>
      <c r="CS540">
        <v>10</v>
      </c>
      <c r="CY540" s="34"/>
    </row>
    <row r="541" spans="1:103" x14ac:dyDescent="0.25">
      <c r="A541">
        <v>540</v>
      </c>
      <c r="B541">
        <v>35</v>
      </c>
      <c r="C541" s="25" t="s">
        <v>325</v>
      </c>
      <c r="D541" s="12">
        <v>6.7</v>
      </c>
      <c r="E541" s="14">
        <f t="shared" si="132"/>
        <v>0.93314763231197773</v>
      </c>
      <c r="F541" s="7">
        <v>7.18</v>
      </c>
      <c r="G541" s="7">
        <f t="shared" si="125"/>
        <v>5.7668523676880223</v>
      </c>
      <c r="H541" s="16">
        <f t="shared" si="126"/>
        <v>7.633147632311978</v>
      </c>
      <c r="I541" s="11">
        <f t="shared" si="129"/>
        <v>0.18239852026663411</v>
      </c>
      <c r="J541" s="33">
        <f t="shared" si="130"/>
        <v>2.5403693630450433E-2</v>
      </c>
      <c r="K541" s="33">
        <f t="shared" si="131"/>
        <v>39.364354433929179</v>
      </c>
      <c r="L541" s="8">
        <v>1</v>
      </c>
      <c r="M541" s="9">
        <v>0</v>
      </c>
      <c r="N541" s="8">
        <v>0</v>
      </c>
      <c r="O541" s="9">
        <v>0</v>
      </c>
      <c r="P541" s="9">
        <v>0</v>
      </c>
      <c r="Q541" s="9">
        <v>1</v>
      </c>
      <c r="R541" s="9">
        <v>0</v>
      </c>
      <c r="S541" s="8">
        <v>1510</v>
      </c>
      <c r="T541" s="9">
        <v>11</v>
      </c>
      <c r="U541" s="9">
        <f t="shared" si="127"/>
        <v>1498</v>
      </c>
      <c r="V541" s="9">
        <f t="shared" si="128"/>
        <v>15</v>
      </c>
      <c r="W541" s="7">
        <f t="shared" si="137"/>
        <v>7.66012</v>
      </c>
      <c r="X541" s="7">
        <f t="shared" si="133"/>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34"/>
        <v>0.54400000000000004</v>
      </c>
      <c r="AT541" s="40">
        <f t="shared" si="135"/>
        <v>0.45600000000000002</v>
      </c>
      <c r="AU541">
        <v>0</v>
      </c>
      <c r="AV541" s="18">
        <v>1</v>
      </c>
      <c r="AW541">
        <v>0</v>
      </c>
      <c r="AX541" s="18">
        <v>1</v>
      </c>
      <c r="AY541" s="18" t="s">
        <v>21</v>
      </c>
      <c r="AZ541">
        <v>0</v>
      </c>
      <c r="BA541">
        <v>1</v>
      </c>
      <c r="BB541">
        <v>0</v>
      </c>
      <c r="BC541">
        <v>0</v>
      </c>
      <c r="BD541">
        <v>0</v>
      </c>
      <c r="BE541">
        <v>0</v>
      </c>
      <c r="BF541" s="18">
        <v>0</v>
      </c>
      <c r="BG541">
        <v>0</v>
      </c>
      <c r="BH541">
        <v>1</v>
      </c>
      <c r="BI541" s="18">
        <v>0</v>
      </c>
      <c r="BJ541" t="s">
        <v>98</v>
      </c>
      <c r="BK541" t="s">
        <v>98</v>
      </c>
      <c r="BL541" s="93">
        <f t="shared" si="136"/>
        <v>31.487559999999998</v>
      </c>
      <c r="BM541">
        <v>0</v>
      </c>
      <c r="BN541">
        <v>0</v>
      </c>
      <c r="BO541">
        <v>0</v>
      </c>
      <c r="BP541">
        <v>0</v>
      </c>
      <c r="BQ541">
        <v>0</v>
      </c>
      <c r="BR541">
        <v>0</v>
      </c>
      <c r="BS541">
        <v>1</v>
      </c>
      <c r="BT541" s="18">
        <v>0</v>
      </c>
      <c r="BU541">
        <v>0</v>
      </c>
      <c r="BV541">
        <v>0</v>
      </c>
      <c r="BW541">
        <v>0</v>
      </c>
      <c r="BX541" s="18">
        <v>1</v>
      </c>
      <c r="BY541">
        <v>0</v>
      </c>
      <c r="BZ541">
        <v>0</v>
      </c>
      <c r="CA541">
        <v>0</v>
      </c>
      <c r="CB541">
        <v>0</v>
      </c>
      <c r="CC541" s="18">
        <v>0</v>
      </c>
      <c r="CD541">
        <v>0</v>
      </c>
      <c r="CE541">
        <v>0</v>
      </c>
      <c r="CF541">
        <v>0</v>
      </c>
      <c r="CG541">
        <v>1</v>
      </c>
      <c r="CH541">
        <v>0</v>
      </c>
      <c r="CI541">
        <v>0</v>
      </c>
      <c r="CJ541">
        <v>1</v>
      </c>
      <c r="CK541">
        <v>0</v>
      </c>
      <c r="CL541">
        <v>1</v>
      </c>
      <c r="CM541">
        <v>0</v>
      </c>
      <c r="CN541" s="18">
        <v>1</v>
      </c>
      <c r="CO541">
        <v>0.29799999999999999</v>
      </c>
      <c r="CP541">
        <v>18</v>
      </c>
      <c r="CQ541">
        <v>1</v>
      </c>
      <c r="CR541">
        <v>0</v>
      </c>
      <c r="CS541">
        <v>10</v>
      </c>
      <c r="CY541" s="34"/>
    </row>
    <row r="542" spans="1:103" x14ac:dyDescent="0.25">
      <c r="A542">
        <v>541</v>
      </c>
      <c r="B542">
        <v>35</v>
      </c>
      <c r="C542" s="25" t="s">
        <v>325</v>
      </c>
      <c r="D542" s="12">
        <v>5.9</v>
      </c>
      <c r="E542" s="14">
        <f t="shared" si="132"/>
        <v>0.94855305466237949</v>
      </c>
      <c r="F542" s="7">
        <v>6.22</v>
      </c>
      <c r="G542" s="7">
        <f t="shared" si="125"/>
        <v>4.9514469453376204</v>
      </c>
      <c r="H542" s="16">
        <f t="shared" si="126"/>
        <v>6.8485530546623803</v>
      </c>
      <c r="I542" s="11">
        <f t="shared" si="129"/>
        <v>0.17609106334503863</v>
      </c>
      <c r="J542" s="33">
        <f t="shared" si="130"/>
        <v>2.8310460344861517E-2</v>
      </c>
      <c r="K542" s="33">
        <f t="shared" si="131"/>
        <v>35.322632970943715</v>
      </c>
      <c r="L542" s="8">
        <v>1</v>
      </c>
      <c r="M542" s="9">
        <v>0</v>
      </c>
      <c r="N542" s="8">
        <v>0</v>
      </c>
      <c r="O542" s="9">
        <v>0</v>
      </c>
      <c r="P542" s="9">
        <v>0</v>
      </c>
      <c r="Q542" s="9">
        <v>1</v>
      </c>
      <c r="R542" s="9">
        <v>0</v>
      </c>
      <c r="S542" s="8">
        <v>1220</v>
      </c>
      <c r="T542" s="9">
        <v>10</v>
      </c>
      <c r="U542" s="9">
        <f t="shared" si="127"/>
        <v>1209</v>
      </c>
      <c r="V542" s="9">
        <f t="shared" si="128"/>
        <v>15</v>
      </c>
      <c r="W542" s="7">
        <f t="shared" si="137"/>
        <v>7.4770000000000003</v>
      </c>
      <c r="X542" s="7">
        <f t="shared" si="133"/>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34"/>
        <v>0.55000000000000004</v>
      </c>
      <c r="AT542" s="40">
        <f t="shared" si="135"/>
        <v>0.45</v>
      </c>
      <c r="AU542">
        <v>0</v>
      </c>
      <c r="AV542" s="18">
        <v>1</v>
      </c>
      <c r="AW542">
        <v>0</v>
      </c>
      <c r="AX542" s="18">
        <v>1</v>
      </c>
      <c r="AY542" s="18" t="s">
        <v>21</v>
      </c>
      <c r="AZ542">
        <v>0</v>
      </c>
      <c r="BA542">
        <v>1</v>
      </c>
      <c r="BB542">
        <v>0</v>
      </c>
      <c r="BC542">
        <v>0</v>
      </c>
      <c r="BD542">
        <v>0</v>
      </c>
      <c r="BE542">
        <v>0</v>
      </c>
      <c r="BF542" s="18">
        <v>0</v>
      </c>
      <c r="BG542">
        <v>0</v>
      </c>
      <c r="BH542">
        <v>1</v>
      </c>
      <c r="BI542" s="18">
        <v>0</v>
      </c>
      <c r="BJ542" t="s">
        <v>98</v>
      </c>
      <c r="BK542" t="s">
        <v>98</v>
      </c>
      <c r="BL542" s="93">
        <f t="shared" si="136"/>
        <v>32.037999999999997</v>
      </c>
      <c r="BM542">
        <v>0</v>
      </c>
      <c r="BN542">
        <v>0</v>
      </c>
      <c r="BO542">
        <v>0</v>
      </c>
      <c r="BP542">
        <v>0</v>
      </c>
      <c r="BQ542">
        <v>0</v>
      </c>
      <c r="BR542">
        <v>0</v>
      </c>
      <c r="BS542">
        <v>1</v>
      </c>
      <c r="BT542" s="18">
        <v>0</v>
      </c>
      <c r="BU542">
        <v>0</v>
      </c>
      <c r="BV542">
        <v>0</v>
      </c>
      <c r="BW542">
        <v>0</v>
      </c>
      <c r="BX542" s="18">
        <v>1</v>
      </c>
      <c r="BY542">
        <v>0</v>
      </c>
      <c r="BZ542">
        <v>0</v>
      </c>
      <c r="CA542">
        <v>0</v>
      </c>
      <c r="CB542">
        <v>0</v>
      </c>
      <c r="CC542" s="18">
        <v>0</v>
      </c>
      <c r="CD542">
        <v>0</v>
      </c>
      <c r="CE542">
        <v>0</v>
      </c>
      <c r="CF542">
        <v>0</v>
      </c>
      <c r="CG542">
        <v>1</v>
      </c>
      <c r="CH542">
        <v>0</v>
      </c>
      <c r="CI542">
        <v>0</v>
      </c>
      <c r="CJ542">
        <v>0</v>
      </c>
      <c r="CK542">
        <v>0</v>
      </c>
      <c r="CL542">
        <v>1</v>
      </c>
      <c r="CM542">
        <v>0</v>
      </c>
      <c r="CN542" s="18">
        <v>1</v>
      </c>
      <c r="CO542">
        <v>0.29799999999999999</v>
      </c>
      <c r="CP542">
        <v>18</v>
      </c>
      <c r="CQ542">
        <v>1</v>
      </c>
      <c r="CR542">
        <v>0</v>
      </c>
      <c r="CS542">
        <v>10</v>
      </c>
      <c r="CY542" s="34"/>
    </row>
    <row r="543" spans="1:103" x14ac:dyDescent="0.25">
      <c r="A543">
        <v>542</v>
      </c>
      <c r="B543">
        <v>35</v>
      </c>
      <c r="C543" s="25" t="s">
        <v>325</v>
      </c>
      <c r="D543" s="12">
        <v>6.6</v>
      </c>
      <c r="E543" s="14">
        <f t="shared" si="132"/>
        <v>3.1132075471698109</v>
      </c>
      <c r="F543" s="7">
        <v>2.12</v>
      </c>
      <c r="G543" s="7">
        <f t="shared" si="125"/>
        <v>3.4867924528301888</v>
      </c>
      <c r="H543" s="16">
        <f t="shared" si="126"/>
        <v>9.7132075471698105</v>
      </c>
      <c r="I543" s="11">
        <f t="shared" si="129"/>
        <v>0.12591098420571495</v>
      </c>
      <c r="J543" s="33">
        <f t="shared" si="130"/>
        <v>5.9391973681941011E-2</v>
      </c>
      <c r="K543" s="33">
        <f t="shared" si="131"/>
        <v>16.837291943777657</v>
      </c>
      <c r="L543" s="8">
        <v>1</v>
      </c>
      <c r="M543" s="9">
        <v>0</v>
      </c>
      <c r="N543" s="8">
        <v>0</v>
      </c>
      <c r="O543" s="9">
        <v>0</v>
      </c>
      <c r="P543" s="9">
        <v>0</v>
      </c>
      <c r="Q543" s="9">
        <v>1</v>
      </c>
      <c r="R543" s="9">
        <v>0</v>
      </c>
      <c r="S543" s="8">
        <v>290</v>
      </c>
      <c r="T543" s="9">
        <v>10</v>
      </c>
      <c r="U543" s="9">
        <f t="shared" si="127"/>
        <v>279</v>
      </c>
      <c r="V543" s="9">
        <f t="shared" si="128"/>
        <v>15</v>
      </c>
      <c r="W543" s="7">
        <f t="shared" si="137"/>
        <v>9.0030000000000001</v>
      </c>
      <c r="X543" s="7">
        <f t="shared" si="133"/>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34"/>
        <v>0.5</v>
      </c>
      <c r="AT543" s="40">
        <f t="shared" si="135"/>
        <v>0.5</v>
      </c>
      <c r="AU543">
        <v>0</v>
      </c>
      <c r="AV543" s="18">
        <v>1</v>
      </c>
      <c r="AW543">
        <v>0</v>
      </c>
      <c r="AX543" s="18">
        <v>1</v>
      </c>
      <c r="AY543" s="18" t="s">
        <v>21</v>
      </c>
      <c r="AZ543">
        <v>0</v>
      </c>
      <c r="BA543">
        <v>1</v>
      </c>
      <c r="BB543">
        <v>0</v>
      </c>
      <c r="BC543">
        <v>0</v>
      </c>
      <c r="BD543">
        <v>0</v>
      </c>
      <c r="BE543">
        <v>0</v>
      </c>
      <c r="BF543" s="18">
        <v>0</v>
      </c>
      <c r="BG543">
        <v>0</v>
      </c>
      <c r="BH543">
        <v>1</v>
      </c>
      <c r="BI543" s="18">
        <v>0</v>
      </c>
      <c r="BJ543" t="s">
        <v>98</v>
      </c>
      <c r="BK543" t="s">
        <v>98</v>
      </c>
      <c r="BL543" s="93">
        <f t="shared" si="136"/>
        <v>27.451000000000001</v>
      </c>
      <c r="BM543">
        <v>0</v>
      </c>
      <c r="BN543">
        <v>0</v>
      </c>
      <c r="BO543">
        <v>0</v>
      </c>
      <c r="BP543">
        <v>0</v>
      </c>
      <c r="BQ543">
        <v>0</v>
      </c>
      <c r="BR543">
        <v>0</v>
      </c>
      <c r="BS543">
        <v>1</v>
      </c>
      <c r="BT543" s="18">
        <v>0</v>
      </c>
      <c r="BU543">
        <v>0</v>
      </c>
      <c r="BV543">
        <v>0</v>
      </c>
      <c r="BW543">
        <v>0</v>
      </c>
      <c r="BX543" s="18">
        <v>1</v>
      </c>
      <c r="BY543">
        <v>0</v>
      </c>
      <c r="BZ543">
        <v>0</v>
      </c>
      <c r="CA543">
        <v>0</v>
      </c>
      <c r="CB543">
        <v>0</v>
      </c>
      <c r="CC543" s="18">
        <v>0</v>
      </c>
      <c r="CD543">
        <v>0</v>
      </c>
      <c r="CE543">
        <v>0</v>
      </c>
      <c r="CF543">
        <v>0</v>
      </c>
      <c r="CG543">
        <v>1</v>
      </c>
      <c r="CH543">
        <v>0</v>
      </c>
      <c r="CI543">
        <v>0</v>
      </c>
      <c r="CJ543">
        <v>0</v>
      </c>
      <c r="CK543">
        <v>0</v>
      </c>
      <c r="CL543">
        <v>1</v>
      </c>
      <c r="CM543">
        <v>0</v>
      </c>
      <c r="CN543" s="18">
        <v>1</v>
      </c>
      <c r="CO543">
        <v>0.29799999999999999</v>
      </c>
      <c r="CP543">
        <v>18</v>
      </c>
      <c r="CQ543">
        <v>1</v>
      </c>
      <c r="CR543">
        <v>0</v>
      </c>
      <c r="CS543">
        <v>10</v>
      </c>
      <c r="CY543" s="34"/>
    </row>
    <row r="544" spans="1:103" s="94" customFormat="1" x14ac:dyDescent="0.25">
      <c r="A544" s="94">
        <v>543</v>
      </c>
      <c r="B544" s="94">
        <v>36</v>
      </c>
      <c r="C544" s="95" t="s">
        <v>326</v>
      </c>
      <c r="D544" s="96">
        <v>11.1</v>
      </c>
      <c r="E544" s="97">
        <v>0.5</v>
      </c>
      <c r="F544" s="98">
        <f t="shared" ref="F544:F607" si="139">D544/E544</f>
        <v>22.2</v>
      </c>
      <c r="G544" s="98">
        <f t="shared" si="125"/>
        <v>10.6</v>
      </c>
      <c r="H544" s="99">
        <f t="shared" si="126"/>
        <v>11.6</v>
      </c>
      <c r="I544" s="11">
        <f t="shared" si="129"/>
        <v>0.39245407503305468</v>
      </c>
      <c r="J544" s="33">
        <f t="shared" si="130"/>
        <v>1.7678111487975434E-2</v>
      </c>
      <c r="K544" s="33">
        <f t="shared" si="131"/>
        <v>56.567128263683323</v>
      </c>
      <c r="L544" s="101">
        <v>1</v>
      </c>
      <c r="M544" s="102">
        <v>0</v>
      </c>
      <c r="N544" s="101">
        <v>0</v>
      </c>
      <c r="O544" s="102">
        <v>0</v>
      </c>
      <c r="P544" s="102">
        <v>1</v>
      </c>
      <c r="Q544" s="102">
        <v>0</v>
      </c>
      <c r="R544" s="102">
        <v>0</v>
      </c>
      <c r="S544" s="101">
        <v>2717</v>
      </c>
      <c r="T544" s="102">
        <v>9</v>
      </c>
      <c r="U544" s="102">
        <f t="shared" si="127"/>
        <v>2707</v>
      </c>
      <c r="V544" s="102">
        <f t="shared" si="128"/>
        <v>6</v>
      </c>
      <c r="W544" s="98">
        <v>8.49</v>
      </c>
      <c r="X544" s="98">
        <v>14.73</v>
      </c>
      <c r="Y544" s="102">
        <v>1</v>
      </c>
      <c r="Z544" s="102">
        <v>0</v>
      </c>
      <c r="AA544" s="102">
        <v>0</v>
      </c>
      <c r="AB544" s="102">
        <v>0</v>
      </c>
      <c r="AC544" s="102">
        <v>1</v>
      </c>
      <c r="AD544" s="102">
        <v>0</v>
      </c>
      <c r="AE544" s="101">
        <v>0</v>
      </c>
      <c r="AF544" s="102">
        <v>1</v>
      </c>
      <c r="AG544" s="103">
        <v>0</v>
      </c>
      <c r="AH544" s="102">
        <v>0</v>
      </c>
      <c r="AI544" s="103">
        <v>1</v>
      </c>
      <c r="AJ544" s="104">
        <v>1985</v>
      </c>
      <c r="AK544" s="100">
        <v>0.01</v>
      </c>
      <c r="AL544" s="100">
        <v>0.47</v>
      </c>
      <c r="AM544" s="100">
        <v>0.28999999999999998</v>
      </c>
      <c r="AN544" s="105">
        <v>0.23</v>
      </c>
      <c r="AO544" s="106">
        <v>1</v>
      </c>
      <c r="AP544" s="107">
        <v>0</v>
      </c>
      <c r="AQ544" s="94">
        <v>1</v>
      </c>
      <c r="AR544" s="108">
        <v>0</v>
      </c>
      <c r="AS544" s="110">
        <v>0.63</v>
      </c>
      <c r="AT544" s="108">
        <f t="shared" ref="AT544:AT549" si="140">1-AS544</f>
        <v>0.37</v>
      </c>
      <c r="AU544">
        <v>0</v>
      </c>
      <c r="AV544" s="107">
        <v>1</v>
      </c>
      <c r="AW544" s="110">
        <v>0.15</v>
      </c>
      <c r="AX544" s="108">
        <f t="shared" ref="AX544:AX549" si="141">1-AW544</f>
        <v>0.85</v>
      </c>
      <c r="AY544" s="107" t="s">
        <v>28</v>
      </c>
      <c r="AZ544">
        <v>0</v>
      </c>
      <c r="BA544">
        <v>1</v>
      </c>
      <c r="BB544">
        <v>0</v>
      </c>
      <c r="BC544">
        <v>0</v>
      </c>
      <c r="BD544">
        <v>0</v>
      </c>
      <c r="BE544">
        <v>0</v>
      </c>
      <c r="BF544" s="107">
        <v>0</v>
      </c>
      <c r="BG544">
        <v>0</v>
      </c>
      <c r="BH544">
        <v>1</v>
      </c>
      <c r="BI544" s="107">
        <v>0</v>
      </c>
      <c r="BJ544">
        <v>1025</v>
      </c>
      <c r="BK544">
        <v>689</v>
      </c>
      <c r="BL544" s="111">
        <f t="shared" ref="BL544:BL564" si="142">X544+W544+6</f>
        <v>29.22</v>
      </c>
      <c r="BM544" s="94">
        <v>1</v>
      </c>
      <c r="BN544" s="94">
        <v>0</v>
      </c>
      <c r="BO544" s="94">
        <v>0</v>
      </c>
      <c r="BP544" s="94">
        <v>0</v>
      </c>
      <c r="BQ544" s="94">
        <v>0</v>
      </c>
      <c r="BR544" s="94">
        <v>0</v>
      </c>
      <c r="BS544" s="94">
        <v>0</v>
      </c>
      <c r="BT544" s="107">
        <v>0</v>
      </c>
      <c r="BU544" s="94">
        <v>0</v>
      </c>
      <c r="BV544" s="94">
        <v>0</v>
      </c>
      <c r="BW544" s="94">
        <v>0</v>
      </c>
      <c r="BX544" s="107">
        <v>1</v>
      </c>
      <c r="BY544" s="94">
        <v>0</v>
      </c>
      <c r="BZ544" s="94">
        <v>0</v>
      </c>
      <c r="CA544" s="94">
        <v>0</v>
      </c>
      <c r="CB544" s="94">
        <v>0</v>
      </c>
      <c r="CC544" s="107">
        <v>0</v>
      </c>
      <c r="CD544" s="94">
        <v>0</v>
      </c>
      <c r="CE544" s="94">
        <v>0</v>
      </c>
      <c r="CF544" s="94">
        <v>1</v>
      </c>
      <c r="CG544" s="94">
        <v>1</v>
      </c>
      <c r="CH544" s="94">
        <v>0</v>
      </c>
      <c r="CI544" s="94">
        <v>0</v>
      </c>
      <c r="CJ544" s="94">
        <v>0</v>
      </c>
      <c r="CK544" s="94">
        <v>0</v>
      </c>
      <c r="CL544" s="94">
        <v>0</v>
      </c>
      <c r="CM544" s="94">
        <v>1</v>
      </c>
      <c r="CN544" s="107">
        <v>1</v>
      </c>
      <c r="CO544">
        <v>0.29799999999999999</v>
      </c>
      <c r="CP544">
        <v>72</v>
      </c>
      <c r="CQ544">
        <v>1</v>
      </c>
      <c r="CR544">
        <v>0</v>
      </c>
      <c r="CS544">
        <v>8</v>
      </c>
      <c r="CT544" s="109"/>
      <c r="CY544" s="109"/>
    </row>
    <row r="545" spans="1:103" x14ac:dyDescent="0.25">
      <c r="A545">
        <v>544</v>
      </c>
      <c r="B545">
        <v>36</v>
      </c>
      <c r="C545" s="25" t="s">
        <v>326</v>
      </c>
      <c r="D545" s="12">
        <v>10.3</v>
      </c>
      <c r="E545" s="14">
        <v>0.8</v>
      </c>
      <c r="F545" s="7">
        <f t="shared" si="139"/>
        <v>12.875</v>
      </c>
      <c r="G545" s="7">
        <f t="shared" si="125"/>
        <v>9.5</v>
      </c>
      <c r="H545" s="16">
        <f t="shared" si="126"/>
        <v>11.100000000000001</v>
      </c>
      <c r="I545" s="11">
        <f t="shared" si="129"/>
        <v>0.14568016832067471</v>
      </c>
      <c r="J545" s="33">
        <f t="shared" si="130"/>
        <v>1.1314964529761141E-2</v>
      </c>
      <c r="K545" s="33">
        <f t="shared" si="131"/>
        <v>88.378535997152611</v>
      </c>
      <c r="L545" s="8">
        <v>1</v>
      </c>
      <c r="M545" s="9">
        <v>0</v>
      </c>
      <c r="N545" s="8">
        <v>0</v>
      </c>
      <c r="O545" s="9">
        <v>0</v>
      </c>
      <c r="P545" s="9">
        <v>1</v>
      </c>
      <c r="Q545" s="9">
        <v>0</v>
      </c>
      <c r="R545" s="9">
        <v>0</v>
      </c>
      <c r="S545" s="8">
        <v>7655</v>
      </c>
      <c r="T545" s="9">
        <v>9</v>
      </c>
      <c r="U545" s="9">
        <f t="shared" si="127"/>
        <v>7645</v>
      </c>
      <c r="V545" s="9">
        <f t="shared" si="128"/>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40"/>
        <v>0.29000000000000004</v>
      </c>
      <c r="AU545">
        <v>0</v>
      </c>
      <c r="AV545" s="18">
        <v>1</v>
      </c>
      <c r="AW545" s="39">
        <v>0.25</v>
      </c>
      <c r="AX545" s="40">
        <f t="shared" si="141"/>
        <v>0.75</v>
      </c>
      <c r="AY545" s="18" t="s">
        <v>28</v>
      </c>
      <c r="AZ545">
        <v>0</v>
      </c>
      <c r="BA545">
        <v>1</v>
      </c>
      <c r="BB545">
        <v>0</v>
      </c>
      <c r="BC545">
        <v>0</v>
      </c>
      <c r="BD545">
        <v>0</v>
      </c>
      <c r="BE545">
        <v>0</v>
      </c>
      <c r="BF545" s="18">
        <v>0</v>
      </c>
      <c r="BG545">
        <v>0</v>
      </c>
      <c r="BH545">
        <v>1</v>
      </c>
      <c r="BI545" s="18">
        <v>0</v>
      </c>
      <c r="BJ545">
        <v>1946</v>
      </c>
      <c r="BK545">
        <v>427</v>
      </c>
      <c r="BL545" s="93">
        <f t="shared" si="142"/>
        <v>29.47</v>
      </c>
      <c r="BM545">
        <v>1</v>
      </c>
      <c r="BN545">
        <v>0</v>
      </c>
      <c r="BO545">
        <v>0</v>
      </c>
      <c r="BP545">
        <v>0</v>
      </c>
      <c r="BQ545">
        <v>0</v>
      </c>
      <c r="BR545">
        <v>0</v>
      </c>
      <c r="BS545">
        <v>0</v>
      </c>
      <c r="BT545" s="18">
        <v>0</v>
      </c>
      <c r="BU545">
        <v>0</v>
      </c>
      <c r="BV545">
        <v>0</v>
      </c>
      <c r="BW545">
        <v>0</v>
      </c>
      <c r="BX545" s="18">
        <v>1</v>
      </c>
      <c r="BY545">
        <v>0</v>
      </c>
      <c r="BZ545">
        <v>0</v>
      </c>
      <c r="CA545">
        <v>0</v>
      </c>
      <c r="CB545">
        <v>0</v>
      </c>
      <c r="CC545" s="18">
        <v>0</v>
      </c>
      <c r="CD545">
        <v>0</v>
      </c>
      <c r="CE545">
        <v>0</v>
      </c>
      <c r="CF545">
        <v>1</v>
      </c>
      <c r="CG545">
        <v>1</v>
      </c>
      <c r="CH545">
        <v>0</v>
      </c>
      <c r="CI545">
        <v>0</v>
      </c>
      <c r="CJ545">
        <v>0</v>
      </c>
      <c r="CK545">
        <v>0</v>
      </c>
      <c r="CL545">
        <v>0</v>
      </c>
      <c r="CM545">
        <v>1</v>
      </c>
      <c r="CN545" s="18">
        <v>1</v>
      </c>
      <c r="CO545">
        <v>0.29799999999999999</v>
      </c>
      <c r="CP545">
        <v>72</v>
      </c>
      <c r="CQ545">
        <v>1</v>
      </c>
      <c r="CR545">
        <v>0</v>
      </c>
      <c r="CS545">
        <v>8</v>
      </c>
      <c r="CY545" s="34"/>
    </row>
    <row r="546" spans="1:103" x14ac:dyDescent="0.25">
      <c r="A546">
        <v>545</v>
      </c>
      <c r="B546">
        <v>36</v>
      </c>
      <c r="C546" s="25" t="s">
        <v>326</v>
      </c>
      <c r="D546" s="12">
        <v>10.3</v>
      </c>
      <c r="E546" s="14">
        <v>0.4</v>
      </c>
      <c r="F546" s="7">
        <f t="shared" si="139"/>
        <v>25.75</v>
      </c>
      <c r="G546" s="7">
        <f t="shared" si="125"/>
        <v>9.9</v>
      </c>
      <c r="H546" s="16">
        <f t="shared" si="126"/>
        <v>10.700000000000001</v>
      </c>
      <c r="I546" s="11">
        <f t="shared" si="129"/>
        <v>0.30460976967849723</v>
      </c>
      <c r="J546" s="33">
        <f t="shared" si="130"/>
        <v>1.1829505618582415E-2</v>
      </c>
      <c r="K546" s="33">
        <f t="shared" si="131"/>
        <v>84.534386494491116</v>
      </c>
      <c r="L546" s="8">
        <v>1</v>
      </c>
      <c r="M546" s="9">
        <v>0</v>
      </c>
      <c r="N546" s="8">
        <v>0</v>
      </c>
      <c r="O546" s="9">
        <v>0</v>
      </c>
      <c r="P546" s="9">
        <v>1</v>
      </c>
      <c r="Q546" s="9">
        <v>0</v>
      </c>
      <c r="R546" s="9">
        <v>0</v>
      </c>
      <c r="S546" s="8">
        <v>6493</v>
      </c>
      <c r="T546" s="9">
        <v>9</v>
      </c>
      <c r="U546" s="9">
        <f t="shared" si="127"/>
        <v>6483</v>
      </c>
      <c r="V546" s="9">
        <f t="shared" si="128"/>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40"/>
        <v>0.31000000000000005</v>
      </c>
      <c r="AU546">
        <v>0</v>
      </c>
      <c r="AV546" s="18">
        <v>1</v>
      </c>
      <c r="AW546" s="39">
        <v>0.25</v>
      </c>
      <c r="AX546" s="40">
        <f t="shared" si="141"/>
        <v>0.75</v>
      </c>
      <c r="AY546" s="18" t="s">
        <v>28</v>
      </c>
      <c r="AZ546">
        <v>0</v>
      </c>
      <c r="BA546">
        <v>1</v>
      </c>
      <c r="BB546">
        <v>0</v>
      </c>
      <c r="BC546">
        <v>0</v>
      </c>
      <c r="BD546">
        <v>0</v>
      </c>
      <c r="BE546">
        <v>0</v>
      </c>
      <c r="BF546" s="18">
        <v>0</v>
      </c>
      <c r="BG546">
        <v>0</v>
      </c>
      <c r="BH546">
        <v>1</v>
      </c>
      <c r="BI546" s="18">
        <v>0</v>
      </c>
      <c r="BJ546">
        <v>1741</v>
      </c>
      <c r="BK546">
        <v>500</v>
      </c>
      <c r="BL546" s="93">
        <f t="shared" si="142"/>
        <v>29.509999999999998</v>
      </c>
      <c r="BM546">
        <v>1</v>
      </c>
      <c r="BN546">
        <v>0</v>
      </c>
      <c r="BO546">
        <v>0</v>
      </c>
      <c r="BP546">
        <v>0</v>
      </c>
      <c r="BQ546">
        <v>0</v>
      </c>
      <c r="BR546">
        <v>0</v>
      </c>
      <c r="BS546">
        <v>0</v>
      </c>
      <c r="BT546" s="18">
        <v>0</v>
      </c>
      <c r="BU546">
        <v>0</v>
      </c>
      <c r="BV546">
        <v>0</v>
      </c>
      <c r="BW546">
        <v>0</v>
      </c>
      <c r="BX546" s="18">
        <v>1</v>
      </c>
      <c r="BY546">
        <v>0</v>
      </c>
      <c r="BZ546">
        <v>0</v>
      </c>
      <c r="CA546">
        <v>0</v>
      </c>
      <c r="CB546">
        <v>0</v>
      </c>
      <c r="CC546" s="18">
        <v>0</v>
      </c>
      <c r="CD546">
        <v>0</v>
      </c>
      <c r="CE546">
        <v>0</v>
      </c>
      <c r="CF546">
        <v>1</v>
      </c>
      <c r="CG546">
        <v>1</v>
      </c>
      <c r="CH546">
        <v>0</v>
      </c>
      <c r="CI546">
        <v>0</v>
      </c>
      <c r="CJ546">
        <v>0</v>
      </c>
      <c r="CK546">
        <v>0</v>
      </c>
      <c r="CL546">
        <v>0</v>
      </c>
      <c r="CM546">
        <v>1</v>
      </c>
      <c r="CN546" s="18">
        <v>1</v>
      </c>
      <c r="CO546">
        <v>0.29799999999999999</v>
      </c>
      <c r="CP546">
        <v>72</v>
      </c>
      <c r="CQ546">
        <v>1</v>
      </c>
      <c r="CR546">
        <v>0</v>
      </c>
      <c r="CS546">
        <v>8</v>
      </c>
      <c r="CY546" s="34"/>
    </row>
    <row r="547" spans="1:103" x14ac:dyDescent="0.25">
      <c r="A547">
        <v>546</v>
      </c>
      <c r="B547">
        <v>36</v>
      </c>
      <c r="C547" s="25" t="s">
        <v>326</v>
      </c>
      <c r="D547" s="12">
        <v>10.8</v>
      </c>
      <c r="E547" s="14">
        <v>0.8</v>
      </c>
      <c r="F547" s="7">
        <f t="shared" si="139"/>
        <v>13.5</v>
      </c>
      <c r="G547" s="7">
        <f t="shared" si="125"/>
        <v>10</v>
      </c>
      <c r="H547" s="16">
        <f t="shared" si="126"/>
        <v>11.600000000000001</v>
      </c>
      <c r="I547" s="11">
        <f t="shared" si="129"/>
        <v>0.27960140146238877</v>
      </c>
      <c r="J547" s="33">
        <f t="shared" si="130"/>
        <v>2.071121492313991E-2</v>
      </c>
      <c r="K547" s="33">
        <f t="shared" si="131"/>
        <v>48.283019789569913</v>
      </c>
      <c r="L547" s="8">
        <v>1</v>
      </c>
      <c r="M547" s="9">
        <v>0</v>
      </c>
      <c r="N547" s="8">
        <v>0</v>
      </c>
      <c r="O547" s="9">
        <v>0</v>
      </c>
      <c r="P547" s="9">
        <v>1</v>
      </c>
      <c r="Q547" s="9">
        <v>0</v>
      </c>
      <c r="R547" s="9">
        <v>0</v>
      </c>
      <c r="S547" s="8">
        <v>2159</v>
      </c>
      <c r="T547" s="9">
        <v>9</v>
      </c>
      <c r="U547" s="9">
        <f t="shared" si="127"/>
        <v>2149</v>
      </c>
      <c r="V547" s="9">
        <f t="shared" si="128"/>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40"/>
        <v>0.36</v>
      </c>
      <c r="AU547">
        <v>0</v>
      </c>
      <c r="AV547" s="18">
        <v>1</v>
      </c>
      <c r="AW547" s="39">
        <v>0.12</v>
      </c>
      <c r="AX547" s="40">
        <f t="shared" si="141"/>
        <v>0.88</v>
      </c>
      <c r="AY547" s="18" t="s">
        <v>28</v>
      </c>
      <c r="AZ547">
        <v>0</v>
      </c>
      <c r="BA547">
        <v>1</v>
      </c>
      <c r="BB547">
        <v>0</v>
      </c>
      <c r="BC547">
        <v>0</v>
      </c>
      <c r="BD547">
        <v>0</v>
      </c>
      <c r="BE547">
        <v>0</v>
      </c>
      <c r="BF547" s="18">
        <v>0</v>
      </c>
      <c r="BG547">
        <v>0</v>
      </c>
      <c r="BH547">
        <v>1</v>
      </c>
      <c r="BI547" s="18">
        <v>0</v>
      </c>
      <c r="BJ547">
        <v>1025</v>
      </c>
      <c r="BK547">
        <v>689</v>
      </c>
      <c r="BL547" s="93">
        <f t="shared" si="142"/>
        <v>28.62</v>
      </c>
      <c r="BM547">
        <v>1</v>
      </c>
      <c r="BN547">
        <v>0</v>
      </c>
      <c r="BO547">
        <v>0</v>
      </c>
      <c r="BP547">
        <v>0</v>
      </c>
      <c r="BQ547">
        <v>0</v>
      </c>
      <c r="BR547">
        <v>0</v>
      </c>
      <c r="BS547">
        <v>0</v>
      </c>
      <c r="BT547" s="18">
        <v>0</v>
      </c>
      <c r="BU547">
        <v>0</v>
      </c>
      <c r="BV547">
        <v>0</v>
      </c>
      <c r="BW547">
        <v>0</v>
      </c>
      <c r="BX547" s="18">
        <v>1</v>
      </c>
      <c r="BY547">
        <v>0</v>
      </c>
      <c r="BZ547">
        <v>0</v>
      </c>
      <c r="CA547">
        <v>0</v>
      </c>
      <c r="CB547">
        <v>0</v>
      </c>
      <c r="CC547" s="18">
        <v>0</v>
      </c>
      <c r="CD547">
        <v>0</v>
      </c>
      <c r="CE547">
        <v>0</v>
      </c>
      <c r="CF547">
        <v>1</v>
      </c>
      <c r="CG547">
        <v>1</v>
      </c>
      <c r="CH547">
        <v>0</v>
      </c>
      <c r="CI547">
        <v>0</v>
      </c>
      <c r="CJ547">
        <v>0</v>
      </c>
      <c r="CK547">
        <v>0</v>
      </c>
      <c r="CL547">
        <v>0</v>
      </c>
      <c r="CM547">
        <v>1</v>
      </c>
      <c r="CN547" s="18">
        <v>1</v>
      </c>
      <c r="CO547">
        <v>0.29799999999999999</v>
      </c>
      <c r="CP547">
        <v>72</v>
      </c>
      <c r="CQ547">
        <v>1</v>
      </c>
      <c r="CR547">
        <v>0</v>
      </c>
      <c r="CS547">
        <v>8</v>
      </c>
      <c r="CY547" s="34"/>
    </row>
    <row r="548" spans="1:103" x14ac:dyDescent="0.25">
      <c r="A548">
        <v>547</v>
      </c>
      <c r="B548">
        <v>36</v>
      </c>
      <c r="C548" s="25" t="s">
        <v>326</v>
      </c>
      <c r="D548" s="12">
        <v>10.3</v>
      </c>
      <c r="E548" s="14">
        <v>0.4</v>
      </c>
      <c r="F548" s="7">
        <f t="shared" si="139"/>
        <v>25.75</v>
      </c>
      <c r="G548" s="7">
        <f t="shared" si="125"/>
        <v>9.9</v>
      </c>
      <c r="H548" s="16">
        <f t="shared" si="126"/>
        <v>10.700000000000001</v>
      </c>
      <c r="I548" s="11">
        <f t="shared" si="129"/>
        <v>0.30144160977152851</v>
      </c>
      <c r="J548" s="33">
        <f t="shared" si="130"/>
        <v>1.1706470282389457E-2</v>
      </c>
      <c r="K548" s="33">
        <f t="shared" si="131"/>
        <v>85.422845304988527</v>
      </c>
      <c r="L548" s="8">
        <v>1</v>
      </c>
      <c r="M548" s="9">
        <v>0</v>
      </c>
      <c r="N548" s="8">
        <v>0</v>
      </c>
      <c r="O548" s="9">
        <v>0</v>
      </c>
      <c r="P548" s="9">
        <v>1</v>
      </c>
      <c r="Q548" s="9">
        <v>0</v>
      </c>
      <c r="R548" s="9">
        <v>0</v>
      </c>
      <c r="S548" s="8">
        <v>6644</v>
      </c>
      <c r="T548" s="9">
        <v>9</v>
      </c>
      <c r="U548" s="9">
        <f t="shared" si="127"/>
        <v>6634</v>
      </c>
      <c r="V548" s="9">
        <f t="shared" si="128"/>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40"/>
        <v>0.31999999999999995</v>
      </c>
      <c r="AU548">
        <v>0</v>
      </c>
      <c r="AV548" s="18">
        <v>1</v>
      </c>
      <c r="AW548" s="39">
        <v>0.22</v>
      </c>
      <c r="AX548" s="40">
        <f t="shared" si="141"/>
        <v>0.78</v>
      </c>
      <c r="AY548" s="18" t="s">
        <v>28</v>
      </c>
      <c r="AZ548">
        <v>0</v>
      </c>
      <c r="BA548">
        <v>1</v>
      </c>
      <c r="BB548">
        <v>0</v>
      </c>
      <c r="BC548">
        <v>0</v>
      </c>
      <c r="BD548">
        <v>0</v>
      </c>
      <c r="BE548">
        <v>0</v>
      </c>
      <c r="BF548" s="18">
        <v>0</v>
      </c>
      <c r="BG548">
        <v>0</v>
      </c>
      <c r="BH548">
        <v>1</v>
      </c>
      <c r="BI548" s="18">
        <v>0</v>
      </c>
      <c r="BJ548">
        <v>1946</v>
      </c>
      <c r="BK548">
        <v>427</v>
      </c>
      <c r="BL548" s="93">
        <f t="shared" si="142"/>
        <v>29.299999999999997</v>
      </c>
      <c r="BM548">
        <v>1</v>
      </c>
      <c r="BN548">
        <v>0</v>
      </c>
      <c r="BO548">
        <v>0</v>
      </c>
      <c r="BP548">
        <v>0</v>
      </c>
      <c r="BQ548">
        <v>0</v>
      </c>
      <c r="BR548">
        <v>0</v>
      </c>
      <c r="BS548">
        <v>0</v>
      </c>
      <c r="BT548" s="18">
        <v>0</v>
      </c>
      <c r="BU548">
        <v>0</v>
      </c>
      <c r="BV548">
        <v>0</v>
      </c>
      <c r="BW548">
        <v>0</v>
      </c>
      <c r="BX548" s="18">
        <v>1</v>
      </c>
      <c r="BY548">
        <v>0</v>
      </c>
      <c r="BZ548">
        <v>0</v>
      </c>
      <c r="CA548">
        <v>0</v>
      </c>
      <c r="CB548">
        <v>0</v>
      </c>
      <c r="CC548" s="18">
        <v>0</v>
      </c>
      <c r="CD548">
        <v>0</v>
      </c>
      <c r="CE548">
        <v>0</v>
      </c>
      <c r="CF548">
        <v>1</v>
      </c>
      <c r="CG548">
        <v>1</v>
      </c>
      <c r="CH548">
        <v>0</v>
      </c>
      <c r="CI548">
        <v>0</v>
      </c>
      <c r="CJ548">
        <v>0</v>
      </c>
      <c r="CK548">
        <v>0</v>
      </c>
      <c r="CL548">
        <v>0</v>
      </c>
      <c r="CM548">
        <v>1</v>
      </c>
      <c r="CN548" s="18">
        <v>1</v>
      </c>
      <c r="CO548">
        <v>0.29799999999999999</v>
      </c>
      <c r="CP548">
        <v>72</v>
      </c>
      <c r="CQ548">
        <v>1</v>
      </c>
      <c r="CR548">
        <v>0</v>
      </c>
      <c r="CS548">
        <v>8</v>
      </c>
      <c r="CY548" s="34"/>
    </row>
    <row r="549" spans="1:103" x14ac:dyDescent="0.25">
      <c r="A549">
        <v>548</v>
      </c>
      <c r="B549">
        <v>36</v>
      </c>
      <c r="C549" s="25" t="s">
        <v>326</v>
      </c>
      <c r="D549" s="12">
        <v>10.7</v>
      </c>
      <c r="E549" s="14">
        <v>0.4</v>
      </c>
      <c r="F549" s="7">
        <f t="shared" si="139"/>
        <v>26.749999999999996</v>
      </c>
      <c r="G549" s="7">
        <f t="shared" si="125"/>
        <v>10.299999999999999</v>
      </c>
      <c r="H549" s="16">
        <f t="shared" si="126"/>
        <v>11.1</v>
      </c>
      <c r="I549" s="11">
        <f t="shared" si="129"/>
        <v>0.32404460614450042</v>
      </c>
      <c r="J549" s="33">
        <f t="shared" si="130"/>
        <v>1.2113817052130859E-2</v>
      </c>
      <c r="K549" s="33">
        <f t="shared" si="131"/>
        <v>82.550363415311509</v>
      </c>
      <c r="L549" s="8">
        <v>1</v>
      </c>
      <c r="M549" s="9">
        <v>0</v>
      </c>
      <c r="N549" s="8">
        <v>0</v>
      </c>
      <c r="O549" s="9">
        <v>0</v>
      </c>
      <c r="P549" s="9">
        <v>1</v>
      </c>
      <c r="Q549" s="9">
        <v>0</v>
      </c>
      <c r="R549" s="9">
        <v>0</v>
      </c>
      <c r="S549" s="8">
        <v>6109</v>
      </c>
      <c r="T549" s="9">
        <v>9</v>
      </c>
      <c r="U549" s="9">
        <f t="shared" si="127"/>
        <v>6099</v>
      </c>
      <c r="V549" s="9">
        <f t="shared" si="128"/>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40"/>
        <v>0.30000000000000004</v>
      </c>
      <c r="AU549">
        <v>0</v>
      </c>
      <c r="AV549" s="18">
        <v>1</v>
      </c>
      <c r="AW549" s="39">
        <v>0.23</v>
      </c>
      <c r="AX549" s="40">
        <f t="shared" si="141"/>
        <v>0.77</v>
      </c>
      <c r="AY549" s="18" t="s">
        <v>28</v>
      </c>
      <c r="AZ549">
        <v>0</v>
      </c>
      <c r="BA549">
        <v>1</v>
      </c>
      <c r="BB549">
        <v>0</v>
      </c>
      <c r="BC549">
        <v>0</v>
      </c>
      <c r="BD549">
        <v>0</v>
      </c>
      <c r="BE549">
        <v>0</v>
      </c>
      <c r="BF549" s="18">
        <v>0</v>
      </c>
      <c r="BG549">
        <v>0</v>
      </c>
      <c r="BH549">
        <v>1</v>
      </c>
      <c r="BI549" s="18">
        <v>0</v>
      </c>
      <c r="BJ549">
        <v>1741</v>
      </c>
      <c r="BK549">
        <v>500</v>
      </c>
      <c r="BL549" s="93">
        <f t="shared" si="142"/>
        <v>29.259999999999998</v>
      </c>
      <c r="BM549">
        <v>1</v>
      </c>
      <c r="BN549">
        <v>0</v>
      </c>
      <c r="BO549">
        <v>0</v>
      </c>
      <c r="BP549">
        <v>0</v>
      </c>
      <c r="BQ549">
        <v>0</v>
      </c>
      <c r="BR549">
        <v>0</v>
      </c>
      <c r="BS549">
        <v>0</v>
      </c>
      <c r="BT549" s="18">
        <v>0</v>
      </c>
      <c r="BU549">
        <v>0</v>
      </c>
      <c r="BV549">
        <v>0</v>
      </c>
      <c r="BW549">
        <v>0</v>
      </c>
      <c r="BX549" s="18">
        <v>1</v>
      </c>
      <c r="BY549">
        <v>0</v>
      </c>
      <c r="BZ549">
        <v>0</v>
      </c>
      <c r="CA549">
        <v>0</v>
      </c>
      <c r="CB549">
        <v>0</v>
      </c>
      <c r="CC549" s="18">
        <v>0</v>
      </c>
      <c r="CD549">
        <v>0</v>
      </c>
      <c r="CE549">
        <v>0</v>
      </c>
      <c r="CF549">
        <v>1</v>
      </c>
      <c r="CG549">
        <v>1</v>
      </c>
      <c r="CH549">
        <v>0</v>
      </c>
      <c r="CI549">
        <v>0</v>
      </c>
      <c r="CJ549">
        <v>0</v>
      </c>
      <c r="CK549">
        <v>0</v>
      </c>
      <c r="CL549">
        <v>0</v>
      </c>
      <c r="CM549">
        <v>1</v>
      </c>
      <c r="CN549" s="18">
        <v>1</v>
      </c>
      <c r="CO549">
        <v>0.29799999999999999</v>
      </c>
      <c r="CP549">
        <v>72</v>
      </c>
      <c r="CQ549">
        <v>1</v>
      </c>
      <c r="CR549">
        <v>0</v>
      </c>
      <c r="CS549">
        <v>8</v>
      </c>
      <c r="CY549" s="34"/>
    </row>
    <row r="550" spans="1:103" s="94" customFormat="1" x14ac:dyDescent="0.25">
      <c r="A550" s="94">
        <v>549</v>
      </c>
      <c r="B550" s="94">
        <v>37</v>
      </c>
      <c r="C550" s="95" t="s">
        <v>14</v>
      </c>
      <c r="D550" s="96">
        <v>10.7</v>
      </c>
      <c r="E550" s="97">
        <v>0.4</v>
      </c>
      <c r="F550" s="98">
        <f t="shared" si="139"/>
        <v>26.749999999999996</v>
      </c>
      <c r="G550" s="98">
        <f t="shared" si="125"/>
        <v>10.299999999999999</v>
      </c>
      <c r="H550" s="99">
        <f t="shared" si="126"/>
        <v>11.1</v>
      </c>
      <c r="I550" s="11">
        <f t="shared" si="129"/>
        <v>0.2884097035040431</v>
      </c>
      <c r="J550" s="33">
        <f t="shared" si="130"/>
        <v>1.078167115902965E-2</v>
      </c>
      <c r="K550" s="33">
        <f t="shared" si="131"/>
        <v>92.75</v>
      </c>
      <c r="L550" s="101">
        <v>0</v>
      </c>
      <c r="M550" s="102">
        <v>1</v>
      </c>
      <c r="N550" s="101">
        <v>0</v>
      </c>
      <c r="O550" s="102">
        <v>0</v>
      </c>
      <c r="P550" s="102">
        <v>1</v>
      </c>
      <c r="Q550" s="102">
        <v>0</v>
      </c>
      <c r="R550" s="102">
        <v>0</v>
      </c>
      <c r="S550" s="101">
        <v>7892</v>
      </c>
      <c r="T550" s="102">
        <v>4</v>
      </c>
      <c r="U550" s="102">
        <f t="shared" si="127"/>
        <v>7887</v>
      </c>
      <c r="V550" s="102">
        <f t="shared" si="128"/>
        <v>15</v>
      </c>
      <c r="W550" s="98">
        <v>8.6</v>
      </c>
      <c r="X550" s="98">
        <v>22.2</v>
      </c>
      <c r="Y550" s="102">
        <v>1</v>
      </c>
      <c r="Z550" s="102">
        <v>0</v>
      </c>
      <c r="AA550" s="102">
        <v>1</v>
      </c>
      <c r="AB550" s="102">
        <v>0</v>
      </c>
      <c r="AC550" s="102">
        <v>0</v>
      </c>
      <c r="AD550" s="102">
        <v>0</v>
      </c>
      <c r="AE550" s="101">
        <v>0</v>
      </c>
      <c r="AF550" s="102">
        <v>1</v>
      </c>
      <c r="AG550" s="103">
        <v>0</v>
      </c>
      <c r="AH550" s="102">
        <v>0</v>
      </c>
      <c r="AI550" s="103">
        <v>1</v>
      </c>
      <c r="AJ550" s="104">
        <v>2004</v>
      </c>
      <c r="AK550" s="100">
        <v>3.4299999999999997E-2</v>
      </c>
      <c r="AL550" s="100">
        <v>0.37</v>
      </c>
      <c r="AM550" s="100">
        <v>0.47699999999999998</v>
      </c>
      <c r="AN550" s="105">
        <f t="shared" ref="AN550:AN564" si="143">1-SUM(AK550:AM550)</f>
        <v>0.11870000000000003</v>
      </c>
      <c r="AO550" s="106">
        <v>60.5</v>
      </c>
      <c r="AP550" s="107">
        <v>39.5</v>
      </c>
      <c r="AQ550" s="94">
        <v>1</v>
      </c>
      <c r="AR550" s="108">
        <v>0</v>
      </c>
      <c r="AS550" s="94" t="s">
        <v>98</v>
      </c>
      <c r="AT550" s="108" t="s">
        <v>98</v>
      </c>
      <c r="AU550">
        <v>0</v>
      </c>
      <c r="AV550" s="107">
        <v>1</v>
      </c>
      <c r="AW550" s="94" t="s">
        <v>98</v>
      </c>
      <c r="AX550" s="107" t="s">
        <v>98</v>
      </c>
      <c r="AY550" s="107" t="s">
        <v>13</v>
      </c>
      <c r="AZ550">
        <v>0</v>
      </c>
      <c r="BA550">
        <v>1</v>
      </c>
      <c r="BB550">
        <v>0</v>
      </c>
      <c r="BC550">
        <v>0</v>
      </c>
      <c r="BD550">
        <v>0</v>
      </c>
      <c r="BE550">
        <v>0</v>
      </c>
      <c r="BF550" s="107">
        <v>0</v>
      </c>
      <c r="BG550">
        <v>0</v>
      </c>
      <c r="BH550">
        <v>1</v>
      </c>
      <c r="BI550" s="107">
        <v>0</v>
      </c>
      <c r="BJ550">
        <v>1301</v>
      </c>
      <c r="BK550">
        <v>51</v>
      </c>
      <c r="BL550" s="95">
        <f t="shared" si="142"/>
        <v>36.799999999999997</v>
      </c>
      <c r="BM550" s="94">
        <v>1</v>
      </c>
      <c r="BN550" s="94">
        <v>0</v>
      </c>
      <c r="BO550" s="94">
        <v>0</v>
      </c>
      <c r="BP550" s="94">
        <v>0</v>
      </c>
      <c r="BQ550" s="94">
        <v>0</v>
      </c>
      <c r="BR550" s="94">
        <v>0</v>
      </c>
      <c r="BS550" s="94">
        <v>0</v>
      </c>
      <c r="BT550" s="107">
        <v>0</v>
      </c>
      <c r="BU550" s="94">
        <v>0</v>
      </c>
      <c r="BV550" s="94">
        <v>0</v>
      </c>
      <c r="BW550" s="94">
        <v>1</v>
      </c>
      <c r="BX550" s="107">
        <v>0</v>
      </c>
      <c r="BY550" s="94">
        <v>0</v>
      </c>
      <c r="BZ550" s="94">
        <v>0</v>
      </c>
      <c r="CA550" s="94">
        <v>0</v>
      </c>
      <c r="CB550" s="94">
        <v>0</v>
      </c>
      <c r="CC550" s="107">
        <v>0</v>
      </c>
      <c r="CD550" s="94">
        <v>0</v>
      </c>
      <c r="CE550" s="94">
        <v>0</v>
      </c>
      <c r="CF550" s="94">
        <v>1</v>
      </c>
      <c r="CG550" s="94">
        <v>1</v>
      </c>
      <c r="CH550" s="94">
        <v>0</v>
      </c>
      <c r="CI550" s="94">
        <v>0</v>
      </c>
      <c r="CJ550" s="94">
        <v>0</v>
      </c>
      <c r="CK550" s="94">
        <v>0</v>
      </c>
      <c r="CL550" s="94">
        <v>0</v>
      </c>
      <c r="CM550" s="94">
        <v>0</v>
      </c>
      <c r="CN550" s="107">
        <v>1</v>
      </c>
      <c r="CO550">
        <v>3.1E-2</v>
      </c>
      <c r="CP550">
        <v>46</v>
      </c>
      <c r="CQ550">
        <v>1</v>
      </c>
      <c r="CR550">
        <v>0</v>
      </c>
      <c r="CS550">
        <v>17</v>
      </c>
      <c r="CT550" s="109"/>
      <c r="CY550" s="109"/>
    </row>
    <row r="551" spans="1:103" x14ac:dyDescent="0.25">
      <c r="A551">
        <v>550</v>
      </c>
      <c r="B551">
        <v>37</v>
      </c>
      <c r="C551" s="25" t="s">
        <v>14</v>
      </c>
      <c r="D551" s="12">
        <v>5.7</v>
      </c>
      <c r="E551" s="14">
        <v>4.9000000000000004</v>
      </c>
      <c r="F551" s="7">
        <f t="shared" si="139"/>
        <v>1.1632653061224489</v>
      </c>
      <c r="G551" s="7">
        <f t="shared" si="125"/>
        <v>0.79999999999999982</v>
      </c>
      <c r="H551" s="16">
        <f t="shared" si="126"/>
        <v>10.600000000000001</v>
      </c>
      <c r="I551" s="11">
        <f t="shared" si="129"/>
        <v>1.3097415406194352E-2</v>
      </c>
      <c r="J551" s="33">
        <f t="shared" si="130"/>
        <v>1.1259181664974091E-2</v>
      </c>
      <c r="K551" s="33">
        <f t="shared" si="131"/>
        <v>88.816401560592553</v>
      </c>
      <c r="L551" s="8">
        <v>0</v>
      </c>
      <c r="M551" s="9">
        <v>1</v>
      </c>
      <c r="N551" s="8">
        <v>0</v>
      </c>
      <c r="O551" s="9">
        <v>0</v>
      </c>
      <c r="P551" s="9">
        <v>1</v>
      </c>
      <c r="Q551" s="9">
        <v>0</v>
      </c>
      <c r="R551" s="9">
        <v>0</v>
      </c>
      <c r="S551" s="8">
        <v>7892</v>
      </c>
      <c r="T551" s="9">
        <v>4</v>
      </c>
      <c r="U551" s="9">
        <f t="shared" si="127"/>
        <v>7887</v>
      </c>
      <c r="V551" s="9">
        <f t="shared" si="128"/>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43"/>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v>0</v>
      </c>
      <c r="BF551" s="18">
        <v>0</v>
      </c>
      <c r="BG551">
        <v>0</v>
      </c>
      <c r="BH551">
        <v>1</v>
      </c>
      <c r="BI551" s="18">
        <v>0</v>
      </c>
      <c r="BJ551">
        <v>1301</v>
      </c>
      <c r="BK551">
        <v>51</v>
      </c>
      <c r="BL551" s="25">
        <f t="shared" si="142"/>
        <v>36.799999999999997</v>
      </c>
      <c r="BM551">
        <v>1</v>
      </c>
      <c r="BN551">
        <v>0</v>
      </c>
      <c r="BO551">
        <v>0</v>
      </c>
      <c r="BP551">
        <v>0</v>
      </c>
      <c r="BQ551">
        <v>0</v>
      </c>
      <c r="BR551">
        <v>0</v>
      </c>
      <c r="BS551">
        <v>0</v>
      </c>
      <c r="BT551" s="18">
        <v>0</v>
      </c>
      <c r="BU551">
        <v>0</v>
      </c>
      <c r="BV551">
        <v>0</v>
      </c>
      <c r="BW551">
        <v>1</v>
      </c>
      <c r="BX551" s="18">
        <v>0</v>
      </c>
      <c r="BY551">
        <v>0</v>
      </c>
      <c r="BZ551">
        <v>0</v>
      </c>
      <c r="CA551">
        <v>0</v>
      </c>
      <c r="CB551">
        <v>0</v>
      </c>
      <c r="CC551" s="18">
        <v>0</v>
      </c>
      <c r="CD551">
        <v>0</v>
      </c>
      <c r="CE551">
        <v>0</v>
      </c>
      <c r="CF551">
        <v>1</v>
      </c>
      <c r="CG551">
        <v>1</v>
      </c>
      <c r="CH551">
        <v>0</v>
      </c>
      <c r="CI551">
        <v>0</v>
      </c>
      <c r="CJ551">
        <v>0</v>
      </c>
      <c r="CK551">
        <v>0</v>
      </c>
      <c r="CL551">
        <v>0</v>
      </c>
      <c r="CM551">
        <v>0</v>
      </c>
      <c r="CN551" s="18">
        <v>1</v>
      </c>
      <c r="CO551">
        <v>3.1E-2</v>
      </c>
      <c r="CP551">
        <v>46</v>
      </c>
      <c r="CQ551">
        <v>1</v>
      </c>
      <c r="CR551">
        <v>0</v>
      </c>
      <c r="CS551">
        <v>17</v>
      </c>
      <c r="CY551" s="34"/>
    </row>
    <row r="552" spans="1:103" x14ac:dyDescent="0.25">
      <c r="A552">
        <v>551</v>
      </c>
      <c r="B552">
        <v>37</v>
      </c>
      <c r="C552" s="25" t="s">
        <v>14</v>
      </c>
      <c r="D552" s="12">
        <v>9.6</v>
      </c>
      <c r="E552" s="14">
        <v>0.4</v>
      </c>
      <c r="F552" s="7">
        <f t="shared" si="139"/>
        <v>23.999999999999996</v>
      </c>
      <c r="G552" s="7">
        <f t="shared" si="125"/>
        <v>9.1999999999999993</v>
      </c>
      <c r="H552" s="16">
        <f t="shared" si="126"/>
        <v>10</v>
      </c>
      <c r="I552" s="11">
        <f t="shared" si="129"/>
        <v>0.26088497711976005</v>
      </c>
      <c r="J552" s="33">
        <f t="shared" si="130"/>
        <v>1.0870207379990005E-2</v>
      </c>
      <c r="K552" s="33">
        <f t="shared" si="131"/>
        <v>91.994565056855379</v>
      </c>
      <c r="L552" s="8">
        <v>0</v>
      </c>
      <c r="M552" s="9">
        <v>1</v>
      </c>
      <c r="N552" s="8">
        <v>0</v>
      </c>
      <c r="O552" s="9">
        <v>0</v>
      </c>
      <c r="P552" s="9">
        <v>1</v>
      </c>
      <c r="Q552" s="9">
        <v>0</v>
      </c>
      <c r="R552" s="9">
        <v>0</v>
      </c>
      <c r="S552" s="8">
        <v>7892</v>
      </c>
      <c r="T552" s="9">
        <v>4</v>
      </c>
      <c r="U552" s="9">
        <f t="shared" si="127"/>
        <v>7887</v>
      </c>
      <c r="V552" s="9">
        <f t="shared" si="128"/>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43"/>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v>0</v>
      </c>
      <c r="BF552" s="18">
        <v>0</v>
      </c>
      <c r="BG552">
        <v>0</v>
      </c>
      <c r="BH552">
        <v>1</v>
      </c>
      <c r="BI552" s="18">
        <v>0</v>
      </c>
      <c r="BJ552">
        <v>1301</v>
      </c>
      <c r="BK552">
        <v>51</v>
      </c>
      <c r="BL552" s="25">
        <f t="shared" si="142"/>
        <v>36.799999999999997</v>
      </c>
      <c r="BM552">
        <v>1</v>
      </c>
      <c r="BN552">
        <v>0</v>
      </c>
      <c r="BO552">
        <v>0</v>
      </c>
      <c r="BP552">
        <v>0</v>
      </c>
      <c r="BQ552">
        <v>0</v>
      </c>
      <c r="BR552">
        <v>0</v>
      </c>
      <c r="BS552">
        <v>0</v>
      </c>
      <c r="BT552" s="18">
        <v>0</v>
      </c>
      <c r="BU552">
        <v>0</v>
      </c>
      <c r="BV552">
        <v>0</v>
      </c>
      <c r="BW552">
        <v>1</v>
      </c>
      <c r="BX552" s="18">
        <v>0</v>
      </c>
      <c r="BY552">
        <v>0</v>
      </c>
      <c r="BZ552">
        <v>0</v>
      </c>
      <c r="CA552">
        <v>0</v>
      </c>
      <c r="CB552">
        <v>0</v>
      </c>
      <c r="CC552" s="18">
        <v>0</v>
      </c>
      <c r="CD552">
        <v>0</v>
      </c>
      <c r="CE552">
        <v>0</v>
      </c>
      <c r="CF552">
        <v>1</v>
      </c>
      <c r="CG552">
        <v>1</v>
      </c>
      <c r="CH552">
        <v>0</v>
      </c>
      <c r="CI552">
        <v>0</v>
      </c>
      <c r="CJ552">
        <v>0</v>
      </c>
      <c r="CK552">
        <v>0</v>
      </c>
      <c r="CL552">
        <v>0</v>
      </c>
      <c r="CM552">
        <v>0</v>
      </c>
      <c r="CN552" s="18">
        <v>1</v>
      </c>
      <c r="CO552">
        <v>3.1E-2</v>
      </c>
      <c r="CP552">
        <v>46</v>
      </c>
      <c r="CQ552">
        <v>1</v>
      </c>
      <c r="CR552">
        <v>0</v>
      </c>
      <c r="CS552">
        <v>17</v>
      </c>
      <c r="CY552" s="34"/>
    </row>
    <row r="553" spans="1:103" x14ac:dyDescent="0.25">
      <c r="A553">
        <v>552</v>
      </c>
      <c r="B553">
        <v>37</v>
      </c>
      <c r="C553" s="25" t="s">
        <v>14</v>
      </c>
      <c r="D553" s="12">
        <v>12.1</v>
      </c>
      <c r="E553" s="14">
        <v>0.7</v>
      </c>
      <c r="F553" s="7">
        <f t="shared" si="139"/>
        <v>17.285714285714285</v>
      </c>
      <c r="G553" s="7">
        <f t="shared" si="125"/>
        <v>11.4</v>
      </c>
      <c r="H553" s="16">
        <f t="shared" si="126"/>
        <v>12.799999999999999</v>
      </c>
      <c r="I553" s="11">
        <f t="shared" si="129"/>
        <v>0.19105432514279824</v>
      </c>
      <c r="J553" s="33">
        <f t="shared" si="130"/>
        <v>1.1052729553715602E-2</v>
      </c>
      <c r="K553" s="33">
        <f t="shared" si="131"/>
        <v>90.475388467623318</v>
      </c>
      <c r="L553" s="8">
        <v>0</v>
      </c>
      <c r="M553" s="9">
        <v>1</v>
      </c>
      <c r="N553" s="8">
        <v>0</v>
      </c>
      <c r="O553" s="9">
        <v>0</v>
      </c>
      <c r="P553" s="9">
        <v>1</v>
      </c>
      <c r="Q553" s="9">
        <v>0</v>
      </c>
      <c r="R553" s="9">
        <v>0</v>
      </c>
      <c r="S553" s="8">
        <v>7892</v>
      </c>
      <c r="T553" s="9">
        <v>4</v>
      </c>
      <c r="U553" s="9">
        <f t="shared" si="127"/>
        <v>7887</v>
      </c>
      <c r="V553" s="9">
        <f t="shared" si="128"/>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43"/>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v>0</v>
      </c>
      <c r="BF553" s="18">
        <v>0</v>
      </c>
      <c r="BG553">
        <v>0</v>
      </c>
      <c r="BH553">
        <v>1</v>
      </c>
      <c r="BI553" s="18">
        <v>0</v>
      </c>
      <c r="BJ553">
        <v>1301</v>
      </c>
      <c r="BK553">
        <v>51</v>
      </c>
      <c r="BL553" s="25">
        <f t="shared" si="142"/>
        <v>36.799999999999997</v>
      </c>
      <c r="BM553">
        <v>1</v>
      </c>
      <c r="BN553">
        <v>0</v>
      </c>
      <c r="BO553">
        <v>0</v>
      </c>
      <c r="BP553">
        <v>0</v>
      </c>
      <c r="BQ553">
        <v>0</v>
      </c>
      <c r="BR553">
        <v>0</v>
      </c>
      <c r="BS553">
        <v>0</v>
      </c>
      <c r="BT553" s="18">
        <v>0</v>
      </c>
      <c r="BU553">
        <v>0</v>
      </c>
      <c r="BV553">
        <v>0</v>
      </c>
      <c r="BW553">
        <v>1</v>
      </c>
      <c r="BX553" s="18">
        <v>0</v>
      </c>
      <c r="BY553">
        <v>0</v>
      </c>
      <c r="BZ553">
        <v>0</v>
      </c>
      <c r="CA553">
        <v>0</v>
      </c>
      <c r="CB553">
        <v>0</v>
      </c>
      <c r="CC553" s="18">
        <v>0</v>
      </c>
      <c r="CD553">
        <v>0</v>
      </c>
      <c r="CE553">
        <v>0</v>
      </c>
      <c r="CF553">
        <v>1</v>
      </c>
      <c r="CG553">
        <v>1</v>
      </c>
      <c r="CH553">
        <v>0</v>
      </c>
      <c r="CI553">
        <v>0</v>
      </c>
      <c r="CJ553">
        <v>0</v>
      </c>
      <c r="CK553">
        <v>0</v>
      </c>
      <c r="CL553">
        <v>0</v>
      </c>
      <c r="CM553">
        <v>0</v>
      </c>
      <c r="CN553" s="18">
        <v>1</v>
      </c>
      <c r="CO553">
        <v>3.1E-2</v>
      </c>
      <c r="CP553">
        <v>46</v>
      </c>
      <c r="CQ553">
        <v>1</v>
      </c>
      <c r="CR553">
        <v>0</v>
      </c>
      <c r="CS553">
        <v>17</v>
      </c>
      <c r="CY553" s="34"/>
    </row>
    <row r="554" spans="1:103" x14ac:dyDescent="0.25">
      <c r="A554">
        <v>553</v>
      </c>
      <c r="B554">
        <v>37</v>
      </c>
      <c r="C554" s="25" t="s">
        <v>14</v>
      </c>
      <c r="D554" s="12">
        <v>11.5</v>
      </c>
      <c r="E554" s="14">
        <v>0.4</v>
      </c>
      <c r="F554" s="7">
        <f t="shared" si="139"/>
        <v>28.75</v>
      </c>
      <c r="G554" s="7">
        <f t="shared" si="125"/>
        <v>11.1</v>
      </c>
      <c r="H554" s="16">
        <f t="shared" si="126"/>
        <v>11.9</v>
      </c>
      <c r="I554" s="11">
        <f t="shared" si="129"/>
        <v>0.30799238135248219</v>
      </c>
      <c r="J554" s="33">
        <f t="shared" si="130"/>
        <v>1.0712778481825468E-2</v>
      </c>
      <c r="K554" s="33">
        <f t="shared" si="131"/>
        <v>93.346464850041315</v>
      </c>
      <c r="L554" s="8">
        <v>0</v>
      </c>
      <c r="M554" s="9">
        <v>1</v>
      </c>
      <c r="N554" s="8">
        <v>0</v>
      </c>
      <c r="O554" s="9">
        <v>0</v>
      </c>
      <c r="P554" s="9">
        <v>1</v>
      </c>
      <c r="Q554" s="9">
        <v>0</v>
      </c>
      <c r="R554" s="9">
        <v>0</v>
      </c>
      <c r="S554" s="8">
        <v>7892</v>
      </c>
      <c r="T554" s="9">
        <v>4</v>
      </c>
      <c r="U554" s="9">
        <f t="shared" si="127"/>
        <v>7887</v>
      </c>
      <c r="V554" s="9">
        <f t="shared" si="128"/>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43"/>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v>0</v>
      </c>
      <c r="BF554" s="18">
        <v>0</v>
      </c>
      <c r="BG554">
        <v>0</v>
      </c>
      <c r="BH554">
        <v>1</v>
      </c>
      <c r="BI554" s="18">
        <v>0</v>
      </c>
      <c r="BJ554">
        <v>1301</v>
      </c>
      <c r="BK554">
        <v>51</v>
      </c>
      <c r="BL554" s="25">
        <f t="shared" si="142"/>
        <v>36.799999999999997</v>
      </c>
      <c r="BM554">
        <v>1</v>
      </c>
      <c r="BN554">
        <v>0</v>
      </c>
      <c r="BO554">
        <v>0</v>
      </c>
      <c r="BP554">
        <v>0</v>
      </c>
      <c r="BQ554">
        <v>0</v>
      </c>
      <c r="BR554">
        <v>0</v>
      </c>
      <c r="BS554">
        <v>0</v>
      </c>
      <c r="BT554" s="18">
        <v>0</v>
      </c>
      <c r="BU554">
        <v>0</v>
      </c>
      <c r="BV554">
        <v>0</v>
      </c>
      <c r="BW554">
        <v>1</v>
      </c>
      <c r="BX554" s="18">
        <v>0</v>
      </c>
      <c r="BY554">
        <v>0</v>
      </c>
      <c r="BZ554">
        <v>0</v>
      </c>
      <c r="CA554">
        <v>0</v>
      </c>
      <c r="CB554">
        <v>0</v>
      </c>
      <c r="CC554" s="18">
        <v>0</v>
      </c>
      <c r="CD554">
        <v>0</v>
      </c>
      <c r="CE554">
        <v>0</v>
      </c>
      <c r="CF554">
        <v>1</v>
      </c>
      <c r="CG554">
        <v>1</v>
      </c>
      <c r="CH554">
        <v>0</v>
      </c>
      <c r="CI554">
        <v>0</v>
      </c>
      <c r="CJ554">
        <v>0</v>
      </c>
      <c r="CK554">
        <v>0</v>
      </c>
      <c r="CL554">
        <v>0</v>
      </c>
      <c r="CM554">
        <v>0</v>
      </c>
      <c r="CN554" s="18">
        <v>1</v>
      </c>
      <c r="CO554">
        <v>3.1E-2</v>
      </c>
      <c r="CP554">
        <v>46</v>
      </c>
      <c r="CQ554">
        <v>1</v>
      </c>
      <c r="CR554">
        <v>0</v>
      </c>
      <c r="CS554">
        <v>17</v>
      </c>
      <c r="CY554" s="34"/>
    </row>
    <row r="555" spans="1:103" x14ac:dyDescent="0.25">
      <c r="A555">
        <v>554</v>
      </c>
      <c r="B555">
        <v>37</v>
      </c>
      <c r="C555" s="25" t="s">
        <v>14</v>
      </c>
      <c r="D555" s="12">
        <v>12.1</v>
      </c>
      <c r="E555" s="14">
        <v>0.3</v>
      </c>
      <c r="F555" s="7">
        <f t="shared" si="139"/>
        <v>40.333333333333336</v>
      </c>
      <c r="G555" s="7">
        <f t="shared" si="125"/>
        <v>11.799999999999999</v>
      </c>
      <c r="H555" s="16">
        <f t="shared" si="126"/>
        <v>12.4</v>
      </c>
      <c r="I555" s="11">
        <f t="shared" si="129"/>
        <v>0.4135115210077786</v>
      </c>
      <c r="J555" s="33">
        <f t="shared" si="130"/>
        <v>1.0252351760523436E-2</v>
      </c>
      <c r="K555" s="33">
        <f t="shared" si="131"/>
        <v>97.53859634922874</v>
      </c>
      <c r="L555" s="8">
        <v>0</v>
      </c>
      <c r="M555" s="9">
        <v>1</v>
      </c>
      <c r="N555" s="8">
        <v>0</v>
      </c>
      <c r="O555" s="9">
        <v>0</v>
      </c>
      <c r="P555" s="9">
        <v>1</v>
      </c>
      <c r="Q555" s="9">
        <v>0</v>
      </c>
      <c r="R555" s="9">
        <v>0</v>
      </c>
      <c r="S555" s="8">
        <v>7892</v>
      </c>
      <c r="T555" s="9">
        <v>4</v>
      </c>
      <c r="U555" s="9">
        <f t="shared" si="127"/>
        <v>7887</v>
      </c>
      <c r="V555" s="9">
        <f t="shared" si="128"/>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43"/>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v>0</v>
      </c>
      <c r="BF555" s="18">
        <v>0</v>
      </c>
      <c r="BG555">
        <v>0</v>
      </c>
      <c r="BH555">
        <v>1</v>
      </c>
      <c r="BI555" s="18">
        <v>0</v>
      </c>
      <c r="BJ555">
        <v>1301</v>
      </c>
      <c r="BK555">
        <v>51</v>
      </c>
      <c r="BL555" s="25">
        <f t="shared" si="142"/>
        <v>36.799999999999997</v>
      </c>
      <c r="BM555">
        <v>1</v>
      </c>
      <c r="BN555">
        <v>0</v>
      </c>
      <c r="BO555">
        <v>0</v>
      </c>
      <c r="BP555">
        <v>0</v>
      </c>
      <c r="BQ555">
        <v>0</v>
      </c>
      <c r="BR555">
        <v>0</v>
      </c>
      <c r="BS555">
        <v>0</v>
      </c>
      <c r="BT555" s="18">
        <v>0</v>
      </c>
      <c r="BU555">
        <v>0</v>
      </c>
      <c r="BV555">
        <v>0</v>
      </c>
      <c r="BW555">
        <v>1</v>
      </c>
      <c r="BX555" s="18">
        <v>0</v>
      </c>
      <c r="BY555">
        <v>0</v>
      </c>
      <c r="BZ555">
        <v>0</v>
      </c>
      <c r="CA555">
        <v>0</v>
      </c>
      <c r="CB555">
        <v>0</v>
      </c>
      <c r="CC555" s="18">
        <v>0</v>
      </c>
      <c r="CD555">
        <v>0</v>
      </c>
      <c r="CE555">
        <v>0</v>
      </c>
      <c r="CF555">
        <v>1</v>
      </c>
      <c r="CG555">
        <v>1</v>
      </c>
      <c r="CH555">
        <v>0</v>
      </c>
      <c r="CI555">
        <v>0</v>
      </c>
      <c r="CJ555">
        <v>0</v>
      </c>
      <c r="CK555">
        <v>0</v>
      </c>
      <c r="CL555">
        <v>0</v>
      </c>
      <c r="CM555">
        <v>0</v>
      </c>
      <c r="CN555" s="18">
        <v>1</v>
      </c>
      <c r="CO555">
        <v>3.1E-2</v>
      </c>
      <c r="CP555">
        <v>46</v>
      </c>
      <c r="CQ555">
        <v>1</v>
      </c>
      <c r="CR555">
        <v>0</v>
      </c>
      <c r="CS555">
        <v>17</v>
      </c>
      <c r="CY555" s="34"/>
    </row>
    <row r="556" spans="1:103" x14ac:dyDescent="0.25">
      <c r="A556">
        <v>555</v>
      </c>
      <c r="B556">
        <v>37</v>
      </c>
      <c r="C556" s="25" t="s">
        <v>14</v>
      </c>
      <c r="D556" s="12">
        <v>11.4</v>
      </c>
      <c r="E556" s="14">
        <v>0.3</v>
      </c>
      <c r="F556" s="7">
        <f t="shared" si="139"/>
        <v>38</v>
      </c>
      <c r="G556" s="7">
        <f t="shared" si="125"/>
        <v>11.1</v>
      </c>
      <c r="H556" s="16">
        <f t="shared" si="126"/>
        <v>11.700000000000001</v>
      </c>
      <c r="I556" s="11">
        <f t="shared" si="129"/>
        <v>0.39338654521701061</v>
      </c>
      <c r="J556" s="33">
        <f t="shared" si="130"/>
        <v>1.0352277505710807E-2</v>
      </c>
      <c r="K556" s="33">
        <f t="shared" si="131"/>
        <v>96.597101405787527</v>
      </c>
      <c r="L556" s="8">
        <v>0</v>
      </c>
      <c r="M556" s="9">
        <v>1</v>
      </c>
      <c r="N556" s="8">
        <v>0</v>
      </c>
      <c r="O556" s="9">
        <v>0</v>
      </c>
      <c r="P556" s="9">
        <v>1</v>
      </c>
      <c r="Q556" s="9">
        <v>0</v>
      </c>
      <c r="R556" s="9">
        <v>0</v>
      </c>
      <c r="S556" s="8">
        <v>7892</v>
      </c>
      <c r="T556" s="9">
        <v>4</v>
      </c>
      <c r="U556" s="9">
        <f t="shared" si="127"/>
        <v>7887</v>
      </c>
      <c r="V556" s="9">
        <f t="shared" si="128"/>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43"/>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v>0</v>
      </c>
      <c r="BF556" s="18">
        <v>0</v>
      </c>
      <c r="BG556">
        <v>0</v>
      </c>
      <c r="BH556">
        <v>1</v>
      </c>
      <c r="BI556" s="18">
        <v>0</v>
      </c>
      <c r="BJ556">
        <v>1301</v>
      </c>
      <c r="BK556">
        <v>51</v>
      </c>
      <c r="BL556" s="25">
        <f t="shared" si="142"/>
        <v>36.799999999999997</v>
      </c>
      <c r="BM556">
        <v>1</v>
      </c>
      <c r="BN556">
        <v>0</v>
      </c>
      <c r="BO556">
        <v>0</v>
      </c>
      <c r="BP556">
        <v>0</v>
      </c>
      <c r="BQ556">
        <v>0</v>
      </c>
      <c r="BR556">
        <v>0</v>
      </c>
      <c r="BS556">
        <v>0</v>
      </c>
      <c r="BT556" s="18">
        <v>0</v>
      </c>
      <c r="BU556">
        <v>0</v>
      </c>
      <c r="BV556">
        <v>0</v>
      </c>
      <c r="BW556">
        <v>1</v>
      </c>
      <c r="BX556" s="18">
        <v>0</v>
      </c>
      <c r="BY556">
        <v>0</v>
      </c>
      <c r="BZ556">
        <v>0</v>
      </c>
      <c r="CA556">
        <v>0</v>
      </c>
      <c r="CB556">
        <v>0</v>
      </c>
      <c r="CC556" s="18">
        <v>0</v>
      </c>
      <c r="CD556">
        <v>0</v>
      </c>
      <c r="CE556">
        <v>0</v>
      </c>
      <c r="CF556">
        <v>1</v>
      </c>
      <c r="CG556">
        <v>1</v>
      </c>
      <c r="CH556">
        <v>0</v>
      </c>
      <c r="CI556">
        <v>0</v>
      </c>
      <c r="CJ556">
        <v>0</v>
      </c>
      <c r="CK556">
        <v>0</v>
      </c>
      <c r="CL556">
        <v>0</v>
      </c>
      <c r="CM556">
        <v>0</v>
      </c>
      <c r="CN556" s="18">
        <v>1</v>
      </c>
      <c r="CO556">
        <v>3.1E-2</v>
      </c>
      <c r="CP556">
        <v>46</v>
      </c>
      <c r="CQ556">
        <v>1</v>
      </c>
      <c r="CR556">
        <v>0</v>
      </c>
      <c r="CS556">
        <v>17</v>
      </c>
      <c r="CY556" s="34"/>
    </row>
    <row r="557" spans="1:103" x14ac:dyDescent="0.25">
      <c r="A557">
        <v>556</v>
      </c>
      <c r="B557">
        <v>37</v>
      </c>
      <c r="C557" s="25" t="s">
        <v>14</v>
      </c>
      <c r="D557" s="12">
        <v>9.6</v>
      </c>
      <c r="E557" s="14">
        <v>0.5</v>
      </c>
      <c r="F557" s="7">
        <f t="shared" si="139"/>
        <v>19.2</v>
      </c>
      <c r="G557" s="7">
        <f t="shared" si="125"/>
        <v>9.1</v>
      </c>
      <c r="H557" s="16">
        <f t="shared" si="126"/>
        <v>10.1</v>
      </c>
      <c r="I557" s="11">
        <f t="shared" si="129"/>
        <v>0.21131282467937684</v>
      </c>
      <c r="J557" s="33">
        <f t="shared" si="130"/>
        <v>1.1005876285384211E-2</v>
      </c>
      <c r="K557" s="33">
        <f t="shared" si="131"/>
        <v>90.860552496669314</v>
      </c>
      <c r="L557" s="8">
        <v>0</v>
      </c>
      <c r="M557" s="9">
        <v>1</v>
      </c>
      <c r="N557" s="8">
        <v>0</v>
      </c>
      <c r="O557" s="9">
        <v>0</v>
      </c>
      <c r="P557" s="9">
        <v>1</v>
      </c>
      <c r="Q557" s="9">
        <v>0</v>
      </c>
      <c r="R557" s="9">
        <v>0</v>
      </c>
      <c r="S557" s="8">
        <v>7892</v>
      </c>
      <c r="T557" s="9">
        <v>4</v>
      </c>
      <c r="U557" s="9">
        <f t="shared" si="127"/>
        <v>7887</v>
      </c>
      <c r="V557" s="9">
        <f t="shared" si="128"/>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43"/>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v>0</v>
      </c>
      <c r="BF557" s="18">
        <v>0</v>
      </c>
      <c r="BG557">
        <v>0</v>
      </c>
      <c r="BH557">
        <v>1</v>
      </c>
      <c r="BI557" s="18">
        <v>0</v>
      </c>
      <c r="BJ557">
        <v>1301</v>
      </c>
      <c r="BK557">
        <v>51</v>
      </c>
      <c r="BL557" s="25">
        <f t="shared" si="142"/>
        <v>36.799999999999997</v>
      </c>
      <c r="BM557">
        <v>1</v>
      </c>
      <c r="BN557">
        <v>0</v>
      </c>
      <c r="BO557">
        <v>0</v>
      </c>
      <c r="BP557">
        <v>0</v>
      </c>
      <c r="BQ557">
        <v>0</v>
      </c>
      <c r="BR557">
        <v>0</v>
      </c>
      <c r="BS557">
        <v>0</v>
      </c>
      <c r="BT557" s="18">
        <v>0</v>
      </c>
      <c r="BU557">
        <v>0</v>
      </c>
      <c r="BV557">
        <v>0</v>
      </c>
      <c r="BW557">
        <v>1</v>
      </c>
      <c r="BX557" s="18">
        <v>0</v>
      </c>
      <c r="BY557">
        <v>0</v>
      </c>
      <c r="BZ557">
        <v>0</v>
      </c>
      <c r="CA557">
        <v>0</v>
      </c>
      <c r="CB557">
        <v>0</v>
      </c>
      <c r="CC557" s="18">
        <v>0</v>
      </c>
      <c r="CD557">
        <v>0</v>
      </c>
      <c r="CE557">
        <v>0</v>
      </c>
      <c r="CF557">
        <v>1</v>
      </c>
      <c r="CG557">
        <v>1</v>
      </c>
      <c r="CH557">
        <v>0</v>
      </c>
      <c r="CI557">
        <v>0</v>
      </c>
      <c r="CJ557">
        <v>0</v>
      </c>
      <c r="CK557">
        <v>0</v>
      </c>
      <c r="CL557">
        <v>0</v>
      </c>
      <c r="CM557">
        <v>0</v>
      </c>
      <c r="CN557" s="18">
        <v>1</v>
      </c>
      <c r="CO557">
        <v>3.1E-2</v>
      </c>
      <c r="CP557">
        <v>46</v>
      </c>
      <c r="CQ557">
        <v>1</v>
      </c>
      <c r="CR557">
        <v>0</v>
      </c>
      <c r="CS557">
        <v>17</v>
      </c>
      <c r="CY557" s="34"/>
    </row>
    <row r="558" spans="1:103" x14ac:dyDescent="0.25">
      <c r="A558">
        <v>557</v>
      </c>
      <c r="B558">
        <v>37</v>
      </c>
      <c r="C558" s="25" t="s">
        <v>14</v>
      </c>
      <c r="D558" s="12">
        <v>12.5</v>
      </c>
      <c r="E558" s="14">
        <v>0.4</v>
      </c>
      <c r="F558" s="7">
        <f t="shared" si="139"/>
        <v>31.25</v>
      </c>
      <c r="G558" s="7">
        <f t="shared" si="125"/>
        <v>12.1</v>
      </c>
      <c r="H558" s="16">
        <f t="shared" si="126"/>
        <v>12.9</v>
      </c>
      <c r="I558" s="11">
        <f t="shared" si="129"/>
        <v>0.33192951088238148</v>
      </c>
      <c r="J558" s="33">
        <f t="shared" si="130"/>
        <v>1.0621744348236208E-2</v>
      </c>
      <c r="K558" s="33">
        <f t="shared" si="131"/>
        <v>94.146494889613379</v>
      </c>
      <c r="L558" s="8">
        <v>0</v>
      </c>
      <c r="M558" s="9">
        <v>1</v>
      </c>
      <c r="N558" s="8">
        <v>0</v>
      </c>
      <c r="O558" s="9">
        <v>0</v>
      </c>
      <c r="P558" s="9">
        <v>1</v>
      </c>
      <c r="Q558" s="9">
        <v>0</v>
      </c>
      <c r="R558" s="9">
        <v>0</v>
      </c>
      <c r="S558" s="8">
        <v>7892</v>
      </c>
      <c r="T558" s="9">
        <v>4</v>
      </c>
      <c r="U558" s="9">
        <f t="shared" si="127"/>
        <v>7887</v>
      </c>
      <c r="V558" s="9">
        <f t="shared" si="128"/>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43"/>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v>0</v>
      </c>
      <c r="BF558" s="18">
        <v>0</v>
      </c>
      <c r="BG558">
        <v>0</v>
      </c>
      <c r="BH558">
        <v>1</v>
      </c>
      <c r="BI558" s="18">
        <v>0</v>
      </c>
      <c r="BJ558">
        <v>1410</v>
      </c>
      <c r="BK558">
        <v>79</v>
      </c>
      <c r="BL558" s="25">
        <f t="shared" si="142"/>
        <v>36.799999999999997</v>
      </c>
      <c r="BM558">
        <v>1</v>
      </c>
      <c r="BN558">
        <v>0</v>
      </c>
      <c r="BO558">
        <v>0</v>
      </c>
      <c r="BP558">
        <v>0</v>
      </c>
      <c r="BQ558">
        <v>0</v>
      </c>
      <c r="BR558">
        <v>0</v>
      </c>
      <c r="BS558">
        <v>0</v>
      </c>
      <c r="BT558" s="18">
        <v>0</v>
      </c>
      <c r="BU558">
        <v>0</v>
      </c>
      <c r="BV558">
        <v>0</v>
      </c>
      <c r="BW558">
        <v>1</v>
      </c>
      <c r="BX558" s="18">
        <v>0</v>
      </c>
      <c r="BY558">
        <v>0</v>
      </c>
      <c r="BZ558">
        <v>0</v>
      </c>
      <c r="CA558">
        <v>0</v>
      </c>
      <c r="CB558">
        <v>0</v>
      </c>
      <c r="CC558" s="18">
        <v>0</v>
      </c>
      <c r="CD558">
        <v>0</v>
      </c>
      <c r="CE558">
        <v>0</v>
      </c>
      <c r="CF558">
        <v>1</v>
      </c>
      <c r="CG558">
        <v>1</v>
      </c>
      <c r="CH558">
        <v>0</v>
      </c>
      <c r="CI558">
        <v>0</v>
      </c>
      <c r="CJ558">
        <v>0</v>
      </c>
      <c r="CK558">
        <v>0</v>
      </c>
      <c r="CL558">
        <v>0</v>
      </c>
      <c r="CM558">
        <v>0</v>
      </c>
      <c r="CN558" s="18">
        <v>1</v>
      </c>
      <c r="CO558">
        <v>3.1E-2</v>
      </c>
      <c r="CP558">
        <v>46</v>
      </c>
      <c r="CQ558">
        <v>1</v>
      </c>
      <c r="CR558">
        <v>0</v>
      </c>
      <c r="CS558">
        <v>17</v>
      </c>
      <c r="CY558" s="34"/>
    </row>
    <row r="559" spans="1:103" x14ac:dyDescent="0.25">
      <c r="A559">
        <v>558</v>
      </c>
      <c r="B559">
        <v>37</v>
      </c>
      <c r="C559" s="25" t="s">
        <v>14</v>
      </c>
      <c r="D559" s="12">
        <v>6.1</v>
      </c>
      <c r="E559" s="14">
        <v>1</v>
      </c>
      <c r="F559" s="7">
        <f t="shared" si="139"/>
        <v>6.1</v>
      </c>
      <c r="G559" s="7">
        <f t="shared" si="125"/>
        <v>5.0999999999999996</v>
      </c>
      <c r="H559" s="16">
        <f t="shared" si="126"/>
        <v>7.1</v>
      </c>
      <c r="I559" s="11">
        <f t="shared" si="129"/>
        <v>0.1290529211438062</v>
      </c>
      <c r="J559" s="33">
        <f t="shared" si="130"/>
        <v>2.1156216580951834E-2</v>
      </c>
      <c r="K559" s="33">
        <f t="shared" si="131"/>
        <v>47.267430647328403</v>
      </c>
      <c r="L559" s="8">
        <v>0</v>
      </c>
      <c r="M559" s="9">
        <v>1</v>
      </c>
      <c r="N559" s="8">
        <v>0</v>
      </c>
      <c r="O559" s="9">
        <v>0</v>
      </c>
      <c r="P559" s="9">
        <v>1</v>
      </c>
      <c r="Q559" s="9">
        <v>0</v>
      </c>
      <c r="R559" s="9">
        <v>0</v>
      </c>
      <c r="S559" s="8">
        <v>2202</v>
      </c>
      <c r="T559" s="9">
        <v>4</v>
      </c>
      <c r="U559" s="9">
        <f t="shared" si="127"/>
        <v>2197</v>
      </c>
      <c r="V559" s="9">
        <f t="shared" si="128"/>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43"/>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v>0</v>
      </c>
      <c r="BF559" s="18">
        <v>0</v>
      </c>
      <c r="BG559">
        <v>0</v>
      </c>
      <c r="BH559">
        <v>1</v>
      </c>
      <c r="BI559" s="18">
        <v>0</v>
      </c>
      <c r="BJ559">
        <v>1172</v>
      </c>
      <c r="BK559">
        <v>35</v>
      </c>
      <c r="BL559" s="25">
        <f t="shared" si="142"/>
        <v>36.799999999999997</v>
      </c>
      <c r="BM559">
        <v>1</v>
      </c>
      <c r="BN559">
        <v>0</v>
      </c>
      <c r="BO559">
        <v>0</v>
      </c>
      <c r="BP559">
        <v>0</v>
      </c>
      <c r="BQ559">
        <v>0</v>
      </c>
      <c r="BR559">
        <v>0</v>
      </c>
      <c r="BS559">
        <v>0</v>
      </c>
      <c r="BT559" s="18">
        <v>0</v>
      </c>
      <c r="BU559">
        <v>0</v>
      </c>
      <c r="BV559">
        <v>0</v>
      </c>
      <c r="BW559">
        <v>1</v>
      </c>
      <c r="BX559" s="18">
        <v>0</v>
      </c>
      <c r="BY559">
        <v>0</v>
      </c>
      <c r="BZ559">
        <v>0</v>
      </c>
      <c r="CA559">
        <v>0</v>
      </c>
      <c r="CB559">
        <v>0</v>
      </c>
      <c r="CC559" s="18">
        <v>0</v>
      </c>
      <c r="CD559">
        <v>0</v>
      </c>
      <c r="CE559">
        <v>0</v>
      </c>
      <c r="CF559">
        <v>1</v>
      </c>
      <c r="CG559">
        <v>1</v>
      </c>
      <c r="CH559">
        <v>0</v>
      </c>
      <c r="CI559">
        <v>0</v>
      </c>
      <c r="CJ559">
        <v>0</v>
      </c>
      <c r="CK559">
        <v>0</v>
      </c>
      <c r="CL559">
        <v>0</v>
      </c>
      <c r="CM559">
        <v>0</v>
      </c>
      <c r="CN559" s="18">
        <v>1</v>
      </c>
      <c r="CO559">
        <v>3.1E-2</v>
      </c>
      <c r="CP559">
        <v>46</v>
      </c>
      <c r="CQ559">
        <v>1</v>
      </c>
      <c r="CR559">
        <v>0</v>
      </c>
      <c r="CS559">
        <v>17</v>
      </c>
      <c r="CY559" s="34"/>
    </row>
    <row r="560" spans="1:103" x14ac:dyDescent="0.25">
      <c r="A560">
        <v>559</v>
      </c>
      <c r="B560">
        <v>37</v>
      </c>
      <c r="C560" s="25" t="s">
        <v>14</v>
      </c>
      <c r="D560" s="12">
        <v>13</v>
      </c>
      <c r="E560" s="14">
        <v>0.5</v>
      </c>
      <c r="F560" s="7">
        <f t="shared" si="139"/>
        <v>26</v>
      </c>
      <c r="G560" s="7">
        <f t="shared" si="125"/>
        <v>12.5</v>
      </c>
      <c r="H560" s="16">
        <f t="shared" si="126"/>
        <v>13.5</v>
      </c>
      <c r="I560" s="11">
        <f t="shared" si="129"/>
        <v>0.40839935366624441</v>
      </c>
      <c r="J560" s="33">
        <f t="shared" si="130"/>
        <v>1.5707667448701706E-2</v>
      </c>
      <c r="K560" s="33">
        <f t="shared" si="131"/>
        <v>63.663176169588027</v>
      </c>
      <c r="L560" s="8">
        <v>0</v>
      </c>
      <c r="M560" s="9">
        <v>1</v>
      </c>
      <c r="N560" s="8">
        <v>0</v>
      </c>
      <c r="O560" s="9">
        <v>0</v>
      </c>
      <c r="P560" s="9">
        <v>1</v>
      </c>
      <c r="Q560" s="9">
        <v>0</v>
      </c>
      <c r="R560" s="9">
        <v>0</v>
      </c>
      <c r="S560" s="8">
        <v>3382</v>
      </c>
      <c r="T560" s="9">
        <v>4</v>
      </c>
      <c r="U560" s="9">
        <f t="shared" si="127"/>
        <v>3377</v>
      </c>
      <c r="V560" s="9">
        <f t="shared" si="128"/>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43"/>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v>0</v>
      </c>
      <c r="BF560" s="18">
        <v>0</v>
      </c>
      <c r="BG560">
        <v>0</v>
      </c>
      <c r="BH560">
        <v>1</v>
      </c>
      <c r="BI560" s="18">
        <v>0</v>
      </c>
      <c r="BJ560">
        <v>1172</v>
      </c>
      <c r="BK560">
        <v>35</v>
      </c>
      <c r="BL560" s="25">
        <f t="shared" si="142"/>
        <v>36.799999999999997</v>
      </c>
      <c r="BM560">
        <v>1</v>
      </c>
      <c r="BN560">
        <v>0</v>
      </c>
      <c r="BO560">
        <v>0</v>
      </c>
      <c r="BP560">
        <v>0</v>
      </c>
      <c r="BQ560">
        <v>0</v>
      </c>
      <c r="BR560">
        <v>0</v>
      </c>
      <c r="BS560">
        <v>0</v>
      </c>
      <c r="BT560" s="18">
        <v>0</v>
      </c>
      <c r="BU560">
        <v>0</v>
      </c>
      <c r="BV560">
        <v>0</v>
      </c>
      <c r="BW560">
        <v>1</v>
      </c>
      <c r="BX560" s="18">
        <v>0</v>
      </c>
      <c r="BY560">
        <v>0</v>
      </c>
      <c r="BZ560">
        <v>0</v>
      </c>
      <c r="CA560">
        <v>0</v>
      </c>
      <c r="CB560">
        <v>0</v>
      </c>
      <c r="CC560" s="18">
        <v>0</v>
      </c>
      <c r="CD560">
        <v>0</v>
      </c>
      <c r="CE560">
        <v>0</v>
      </c>
      <c r="CF560">
        <v>1</v>
      </c>
      <c r="CG560">
        <v>1</v>
      </c>
      <c r="CH560">
        <v>0</v>
      </c>
      <c r="CI560">
        <v>0</v>
      </c>
      <c r="CJ560">
        <v>0</v>
      </c>
      <c r="CK560">
        <v>0</v>
      </c>
      <c r="CL560">
        <v>0</v>
      </c>
      <c r="CM560">
        <v>0</v>
      </c>
      <c r="CN560" s="18">
        <v>1</v>
      </c>
      <c r="CO560">
        <v>3.1E-2</v>
      </c>
      <c r="CP560">
        <v>46</v>
      </c>
      <c r="CQ560">
        <v>1</v>
      </c>
      <c r="CR560">
        <v>0</v>
      </c>
      <c r="CS560">
        <v>17</v>
      </c>
      <c r="CY560" s="34"/>
    </row>
    <row r="561" spans="1:103" x14ac:dyDescent="0.25">
      <c r="A561">
        <v>560</v>
      </c>
      <c r="B561">
        <v>37</v>
      </c>
      <c r="C561" s="25" t="s">
        <v>14</v>
      </c>
      <c r="D561" s="12">
        <v>9.3000000000000007</v>
      </c>
      <c r="E561" s="14">
        <v>1.2</v>
      </c>
      <c r="F561" s="7">
        <f t="shared" si="139"/>
        <v>7.7500000000000009</v>
      </c>
      <c r="G561" s="7">
        <f t="shared" si="125"/>
        <v>8.1000000000000014</v>
      </c>
      <c r="H561" s="16">
        <f t="shared" si="126"/>
        <v>10.5</v>
      </c>
      <c r="I561" s="11">
        <f t="shared" si="129"/>
        <v>0.3500869861115416</v>
      </c>
      <c r="J561" s="33">
        <f t="shared" si="130"/>
        <v>4.5172514336973099E-2</v>
      </c>
      <c r="K561" s="33">
        <f t="shared" si="131"/>
        <v>22.137355307262879</v>
      </c>
      <c r="L561" s="8">
        <v>0</v>
      </c>
      <c r="M561" s="9">
        <v>1</v>
      </c>
      <c r="N561" s="8">
        <v>0</v>
      </c>
      <c r="O561" s="9">
        <v>0</v>
      </c>
      <c r="P561" s="9">
        <v>1</v>
      </c>
      <c r="Q561" s="9">
        <v>0</v>
      </c>
      <c r="R561" s="9">
        <v>0</v>
      </c>
      <c r="S561" s="8">
        <v>435</v>
      </c>
      <c r="T561" s="9">
        <v>4</v>
      </c>
      <c r="U561" s="9">
        <f t="shared" si="127"/>
        <v>430</v>
      </c>
      <c r="V561" s="9">
        <f t="shared" si="128"/>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43"/>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v>0</v>
      </c>
      <c r="BF561" s="18">
        <v>0</v>
      </c>
      <c r="BG561">
        <v>0</v>
      </c>
      <c r="BH561">
        <v>1</v>
      </c>
      <c r="BI561" s="18">
        <v>0</v>
      </c>
      <c r="BJ561">
        <v>1172</v>
      </c>
      <c r="BK561">
        <v>35</v>
      </c>
      <c r="BL561" s="25">
        <f t="shared" si="142"/>
        <v>36.799999999999997</v>
      </c>
      <c r="BM561">
        <v>1</v>
      </c>
      <c r="BN561">
        <v>0</v>
      </c>
      <c r="BO561">
        <v>0</v>
      </c>
      <c r="BP561">
        <v>0</v>
      </c>
      <c r="BQ561">
        <v>0</v>
      </c>
      <c r="BR561">
        <v>0</v>
      </c>
      <c r="BS561">
        <v>0</v>
      </c>
      <c r="BT561" s="18">
        <v>0</v>
      </c>
      <c r="BU561">
        <v>0</v>
      </c>
      <c r="BV561">
        <v>0</v>
      </c>
      <c r="BW561">
        <v>1</v>
      </c>
      <c r="BX561" s="18">
        <v>0</v>
      </c>
      <c r="BY561">
        <v>0</v>
      </c>
      <c r="BZ561">
        <v>0</v>
      </c>
      <c r="CA561">
        <v>0</v>
      </c>
      <c r="CB561">
        <v>0</v>
      </c>
      <c r="CC561" s="18">
        <v>0</v>
      </c>
      <c r="CD561">
        <v>0</v>
      </c>
      <c r="CE561">
        <v>0</v>
      </c>
      <c r="CF561">
        <v>1</v>
      </c>
      <c r="CG561">
        <v>1</v>
      </c>
      <c r="CH561">
        <v>0</v>
      </c>
      <c r="CI561">
        <v>0</v>
      </c>
      <c r="CJ561">
        <v>0</v>
      </c>
      <c r="CK561">
        <v>0</v>
      </c>
      <c r="CL561">
        <v>0</v>
      </c>
      <c r="CM561">
        <v>0</v>
      </c>
      <c r="CN561" s="18">
        <v>1</v>
      </c>
      <c r="CO561">
        <v>3.1E-2</v>
      </c>
      <c r="CP561">
        <v>46</v>
      </c>
      <c r="CQ561">
        <v>1</v>
      </c>
      <c r="CR561">
        <v>0</v>
      </c>
      <c r="CS561">
        <v>17</v>
      </c>
      <c r="CY561" s="34"/>
    </row>
    <row r="562" spans="1:103" x14ac:dyDescent="0.25">
      <c r="A562">
        <v>561</v>
      </c>
      <c r="B562">
        <v>37</v>
      </c>
      <c r="C562" s="25" t="s">
        <v>14</v>
      </c>
      <c r="D562" s="12">
        <v>8.4</v>
      </c>
      <c r="E562" s="14">
        <v>1.5</v>
      </c>
      <c r="F562" s="7">
        <f t="shared" si="139"/>
        <v>5.6000000000000005</v>
      </c>
      <c r="G562" s="7">
        <f t="shared" si="125"/>
        <v>6.9</v>
      </c>
      <c r="H562" s="16">
        <f t="shared" si="126"/>
        <v>9.9</v>
      </c>
      <c r="I562" s="11">
        <f t="shared" si="129"/>
        <v>0.26043413082715794</v>
      </c>
      <c r="J562" s="33">
        <f t="shared" si="130"/>
        <v>4.6506094790563918E-2</v>
      </c>
      <c r="K562" s="33">
        <f t="shared" si="131"/>
        <v>21.50255798736513</v>
      </c>
      <c r="L562" s="8">
        <v>0</v>
      </c>
      <c r="M562" s="9">
        <v>1</v>
      </c>
      <c r="N562" s="8">
        <v>0</v>
      </c>
      <c r="O562" s="9">
        <v>0</v>
      </c>
      <c r="P562" s="9">
        <v>1</v>
      </c>
      <c r="Q562" s="9">
        <v>0</v>
      </c>
      <c r="R562" s="9">
        <v>0</v>
      </c>
      <c r="S562" s="8">
        <v>436</v>
      </c>
      <c r="T562" s="9">
        <v>4</v>
      </c>
      <c r="U562" s="9">
        <f t="shared" si="127"/>
        <v>431</v>
      </c>
      <c r="V562" s="9">
        <f t="shared" si="128"/>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43"/>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v>0</v>
      </c>
      <c r="BF562" s="18">
        <v>0</v>
      </c>
      <c r="BG562">
        <v>0</v>
      </c>
      <c r="BH562">
        <v>1</v>
      </c>
      <c r="BI562" s="18">
        <v>0</v>
      </c>
      <c r="BJ562">
        <v>1410</v>
      </c>
      <c r="BK562">
        <v>79</v>
      </c>
      <c r="BL562" s="25">
        <f t="shared" si="142"/>
        <v>36.799999999999997</v>
      </c>
      <c r="BM562">
        <v>1</v>
      </c>
      <c r="BN562">
        <v>0</v>
      </c>
      <c r="BO562">
        <v>0</v>
      </c>
      <c r="BP562">
        <v>0</v>
      </c>
      <c r="BQ562">
        <v>0</v>
      </c>
      <c r="BR562">
        <v>0</v>
      </c>
      <c r="BS562">
        <v>0</v>
      </c>
      <c r="BT562" s="18">
        <v>0</v>
      </c>
      <c r="BU562">
        <v>0</v>
      </c>
      <c r="BV562">
        <v>0</v>
      </c>
      <c r="BW562">
        <v>1</v>
      </c>
      <c r="BX562" s="18">
        <v>0</v>
      </c>
      <c r="BY562">
        <v>0</v>
      </c>
      <c r="BZ562">
        <v>0</v>
      </c>
      <c r="CA562">
        <v>0</v>
      </c>
      <c r="CB562">
        <v>0</v>
      </c>
      <c r="CC562" s="18">
        <v>0</v>
      </c>
      <c r="CD562">
        <v>0</v>
      </c>
      <c r="CE562">
        <v>0</v>
      </c>
      <c r="CF562">
        <v>1</v>
      </c>
      <c r="CG562">
        <v>1</v>
      </c>
      <c r="CH562">
        <v>0</v>
      </c>
      <c r="CI562">
        <v>0</v>
      </c>
      <c r="CJ562">
        <v>0</v>
      </c>
      <c r="CK562">
        <v>0</v>
      </c>
      <c r="CL562">
        <v>0</v>
      </c>
      <c r="CM562">
        <v>0</v>
      </c>
      <c r="CN562" s="18">
        <v>1</v>
      </c>
      <c r="CO562">
        <v>3.1E-2</v>
      </c>
      <c r="CP562">
        <v>46</v>
      </c>
      <c r="CQ562">
        <v>1</v>
      </c>
      <c r="CR562">
        <v>0</v>
      </c>
      <c r="CS562">
        <v>17</v>
      </c>
      <c r="CY562" s="34"/>
    </row>
    <row r="563" spans="1:103" x14ac:dyDescent="0.25">
      <c r="A563">
        <v>562</v>
      </c>
      <c r="B563">
        <v>37</v>
      </c>
      <c r="C563" s="25" t="s">
        <v>14</v>
      </c>
      <c r="D563" s="12">
        <v>11.2</v>
      </c>
      <c r="E563" s="14">
        <v>0.8</v>
      </c>
      <c r="F563" s="7">
        <f t="shared" si="139"/>
        <v>13.999999999999998</v>
      </c>
      <c r="G563" s="7">
        <f t="shared" si="125"/>
        <v>10.399999999999999</v>
      </c>
      <c r="H563" s="16">
        <f t="shared" si="126"/>
        <v>12</v>
      </c>
      <c r="I563" s="11">
        <f t="shared" si="129"/>
        <v>0.49039861087284109</v>
      </c>
      <c r="J563" s="33">
        <f t="shared" si="130"/>
        <v>3.5028472205202943E-2</v>
      </c>
      <c r="K563" s="33">
        <f t="shared" si="131"/>
        <v>28.548204847240392</v>
      </c>
      <c r="L563" s="8">
        <v>0</v>
      </c>
      <c r="M563" s="9">
        <v>1</v>
      </c>
      <c r="N563" s="8">
        <v>0</v>
      </c>
      <c r="O563" s="9">
        <v>0</v>
      </c>
      <c r="P563" s="9">
        <v>1</v>
      </c>
      <c r="Q563" s="9">
        <v>0</v>
      </c>
      <c r="R563" s="9">
        <v>0</v>
      </c>
      <c r="S563" s="8">
        <v>624</v>
      </c>
      <c r="T563" s="9">
        <v>4</v>
      </c>
      <c r="U563" s="9">
        <f t="shared" si="127"/>
        <v>619</v>
      </c>
      <c r="V563" s="9">
        <f t="shared" si="128"/>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43"/>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v>0</v>
      </c>
      <c r="BF563" s="18">
        <v>0</v>
      </c>
      <c r="BG563">
        <v>0</v>
      </c>
      <c r="BH563">
        <v>1</v>
      </c>
      <c r="BI563" s="18">
        <v>0</v>
      </c>
      <c r="BJ563">
        <v>1172</v>
      </c>
      <c r="BK563">
        <v>35</v>
      </c>
      <c r="BL563" s="25">
        <f t="shared" si="142"/>
        <v>36.799999999999997</v>
      </c>
      <c r="BM563">
        <v>1</v>
      </c>
      <c r="BN563">
        <v>0</v>
      </c>
      <c r="BO563">
        <v>0</v>
      </c>
      <c r="BP563">
        <v>0</v>
      </c>
      <c r="BQ563">
        <v>0</v>
      </c>
      <c r="BR563">
        <v>0</v>
      </c>
      <c r="BS563">
        <v>0</v>
      </c>
      <c r="BT563" s="18">
        <v>0</v>
      </c>
      <c r="BU563">
        <v>0</v>
      </c>
      <c r="BV563">
        <v>0</v>
      </c>
      <c r="BW563">
        <v>1</v>
      </c>
      <c r="BX563" s="18">
        <v>0</v>
      </c>
      <c r="BY563">
        <v>0</v>
      </c>
      <c r="BZ563">
        <v>0</v>
      </c>
      <c r="CA563">
        <v>0</v>
      </c>
      <c r="CB563">
        <v>0</v>
      </c>
      <c r="CC563" s="18">
        <v>0</v>
      </c>
      <c r="CD563">
        <v>0</v>
      </c>
      <c r="CE563">
        <v>0</v>
      </c>
      <c r="CF563">
        <v>1</v>
      </c>
      <c r="CG563">
        <v>1</v>
      </c>
      <c r="CH563">
        <v>0</v>
      </c>
      <c r="CI563">
        <v>0</v>
      </c>
      <c r="CJ563">
        <v>0</v>
      </c>
      <c r="CK563">
        <v>0</v>
      </c>
      <c r="CL563">
        <v>0</v>
      </c>
      <c r="CM563">
        <v>0</v>
      </c>
      <c r="CN563" s="18">
        <v>1</v>
      </c>
      <c r="CO563">
        <v>3.1E-2</v>
      </c>
      <c r="CP563">
        <v>46</v>
      </c>
      <c r="CQ563">
        <v>1</v>
      </c>
      <c r="CR563">
        <v>0</v>
      </c>
      <c r="CS563">
        <v>17</v>
      </c>
      <c r="CY563" s="34"/>
    </row>
    <row r="564" spans="1:103" s="142" customFormat="1" x14ac:dyDescent="0.25">
      <c r="A564" s="142">
        <v>563</v>
      </c>
      <c r="B564" s="142">
        <v>37</v>
      </c>
      <c r="C564" s="143" t="s">
        <v>14</v>
      </c>
      <c r="D564" s="144">
        <v>5.8</v>
      </c>
      <c r="E564" s="145">
        <v>1.7</v>
      </c>
      <c r="F564" s="146">
        <f t="shared" si="139"/>
        <v>3.4117647058823528</v>
      </c>
      <c r="G564" s="146">
        <f t="shared" si="125"/>
        <v>4.0999999999999996</v>
      </c>
      <c r="H564" s="147">
        <f t="shared" si="126"/>
        <v>7.5</v>
      </c>
      <c r="I564" s="11">
        <f t="shared" si="129"/>
        <v>0.13840629564487972</v>
      </c>
      <c r="J564" s="33">
        <f t="shared" si="130"/>
        <v>4.056736251660268E-2</v>
      </c>
      <c r="K564" s="33">
        <f t="shared" si="131"/>
        <v>24.650357774448313</v>
      </c>
      <c r="L564" s="149">
        <v>0</v>
      </c>
      <c r="M564" s="150">
        <v>1</v>
      </c>
      <c r="N564" s="149">
        <v>0</v>
      </c>
      <c r="O564" s="150">
        <v>0</v>
      </c>
      <c r="P564" s="150">
        <v>1</v>
      </c>
      <c r="Q564" s="150">
        <v>0</v>
      </c>
      <c r="R564" s="150">
        <v>0</v>
      </c>
      <c r="S564" s="149">
        <v>601</v>
      </c>
      <c r="T564" s="150">
        <v>4</v>
      </c>
      <c r="U564" s="150">
        <f t="shared" si="127"/>
        <v>596</v>
      </c>
      <c r="V564" s="150">
        <f t="shared" si="128"/>
        <v>15</v>
      </c>
      <c r="W564" s="146">
        <v>8.6</v>
      </c>
      <c r="X564" s="146">
        <v>22.2</v>
      </c>
      <c r="Y564" s="150">
        <v>1</v>
      </c>
      <c r="Z564" s="150">
        <v>0</v>
      </c>
      <c r="AA564" s="150">
        <v>1</v>
      </c>
      <c r="AB564" s="150">
        <v>0</v>
      </c>
      <c r="AC564" s="150">
        <v>0</v>
      </c>
      <c r="AD564" s="150">
        <v>0</v>
      </c>
      <c r="AE564" s="149">
        <v>0</v>
      </c>
      <c r="AF564" s="150">
        <v>1</v>
      </c>
      <c r="AG564" s="151">
        <v>0</v>
      </c>
      <c r="AH564" s="150">
        <v>0</v>
      </c>
      <c r="AI564" s="151">
        <v>1</v>
      </c>
      <c r="AJ564" s="152">
        <v>2007</v>
      </c>
      <c r="AK564" s="148">
        <v>3.4299999999999997E-2</v>
      </c>
      <c r="AL564" s="148">
        <v>0.37</v>
      </c>
      <c r="AM564" s="148">
        <v>0.47699999999999998</v>
      </c>
      <c r="AN564" s="153">
        <f t="shared" si="143"/>
        <v>0.11870000000000003</v>
      </c>
      <c r="AO564" s="154">
        <v>60.5</v>
      </c>
      <c r="AP564" s="155">
        <v>39.5</v>
      </c>
      <c r="AQ564" s="142">
        <v>1</v>
      </c>
      <c r="AR564" s="156">
        <v>0</v>
      </c>
      <c r="AS564" s="142" t="s">
        <v>98</v>
      </c>
      <c r="AT564" s="156" t="s">
        <v>98</v>
      </c>
      <c r="AU564">
        <v>0</v>
      </c>
      <c r="AV564" s="155">
        <v>1</v>
      </c>
      <c r="AW564" s="142" t="s">
        <v>98</v>
      </c>
      <c r="AX564" s="142" t="s">
        <v>98</v>
      </c>
      <c r="AY564" s="142" t="s">
        <v>13</v>
      </c>
      <c r="AZ564">
        <v>0</v>
      </c>
      <c r="BA564">
        <v>1</v>
      </c>
      <c r="BB564">
        <v>0</v>
      </c>
      <c r="BC564">
        <v>0</v>
      </c>
      <c r="BD564">
        <v>0</v>
      </c>
      <c r="BE564">
        <v>0</v>
      </c>
      <c r="BF564" s="155">
        <v>0</v>
      </c>
      <c r="BG564">
        <v>0</v>
      </c>
      <c r="BH564">
        <v>1</v>
      </c>
      <c r="BI564" s="155">
        <v>0</v>
      </c>
      <c r="BJ564">
        <v>1410</v>
      </c>
      <c r="BK564">
        <v>79</v>
      </c>
      <c r="BL564" s="143">
        <f t="shared" si="142"/>
        <v>36.799999999999997</v>
      </c>
      <c r="BM564" s="142">
        <v>1</v>
      </c>
      <c r="BN564" s="142">
        <v>0</v>
      </c>
      <c r="BO564" s="142">
        <v>0</v>
      </c>
      <c r="BP564" s="142">
        <v>0</v>
      </c>
      <c r="BQ564" s="142">
        <v>0</v>
      </c>
      <c r="BR564" s="142">
        <v>0</v>
      </c>
      <c r="BS564" s="142">
        <v>0</v>
      </c>
      <c r="BT564" s="155">
        <v>0</v>
      </c>
      <c r="BU564" s="142">
        <v>0</v>
      </c>
      <c r="BV564" s="142">
        <v>0</v>
      </c>
      <c r="BW564" s="142">
        <v>1</v>
      </c>
      <c r="BX564" s="155">
        <v>0</v>
      </c>
      <c r="BY564" s="142">
        <v>0</v>
      </c>
      <c r="BZ564" s="142">
        <v>0</v>
      </c>
      <c r="CA564" s="142">
        <v>0</v>
      </c>
      <c r="CB564" s="142">
        <v>0</v>
      </c>
      <c r="CC564" s="155">
        <v>0</v>
      </c>
      <c r="CD564" s="142">
        <v>0</v>
      </c>
      <c r="CE564" s="142">
        <v>0</v>
      </c>
      <c r="CF564" s="142">
        <v>1</v>
      </c>
      <c r="CG564" s="142">
        <v>1</v>
      </c>
      <c r="CH564" s="142">
        <v>0</v>
      </c>
      <c r="CI564" s="142">
        <v>0</v>
      </c>
      <c r="CJ564" s="142">
        <v>0</v>
      </c>
      <c r="CK564" s="142">
        <v>0</v>
      </c>
      <c r="CL564" s="142">
        <v>0</v>
      </c>
      <c r="CM564" s="142">
        <v>0</v>
      </c>
      <c r="CN564" s="155">
        <v>1</v>
      </c>
      <c r="CO564">
        <v>3.1E-2</v>
      </c>
      <c r="CP564">
        <v>46</v>
      </c>
      <c r="CQ564">
        <v>1</v>
      </c>
      <c r="CR564" s="142">
        <v>0</v>
      </c>
      <c r="CS564" s="142">
        <v>17</v>
      </c>
      <c r="CT564" s="157"/>
      <c r="CY564" s="157"/>
    </row>
    <row r="565" spans="1:103" x14ac:dyDescent="0.25">
      <c r="A565">
        <v>564</v>
      </c>
      <c r="B565">
        <v>38</v>
      </c>
      <c r="C565" s="25" t="s">
        <v>328</v>
      </c>
      <c r="D565" s="12">
        <v>10.9</v>
      </c>
      <c r="E565" s="14">
        <v>0.2</v>
      </c>
      <c r="F565" s="7">
        <f t="shared" si="139"/>
        <v>54.5</v>
      </c>
      <c r="G565" s="7">
        <f t="shared" si="125"/>
        <v>10.700000000000001</v>
      </c>
      <c r="H565" s="16">
        <f t="shared" si="126"/>
        <v>11.1</v>
      </c>
      <c r="I565" s="11">
        <f t="shared" si="129"/>
        <v>0.47861830766356356</v>
      </c>
      <c r="J565" s="33">
        <f t="shared" si="130"/>
        <v>8.7819872965791499E-3</v>
      </c>
      <c r="K565" s="33">
        <f t="shared" si="131"/>
        <v>113.86944278426938</v>
      </c>
      <c r="L565" s="8">
        <v>0</v>
      </c>
      <c r="M565" s="9">
        <v>1</v>
      </c>
      <c r="N565" s="8">
        <v>0</v>
      </c>
      <c r="O565" s="9">
        <v>0</v>
      </c>
      <c r="P565" s="9">
        <v>0</v>
      </c>
      <c r="Q565" s="9">
        <v>1</v>
      </c>
      <c r="R565" s="9">
        <v>0</v>
      </c>
      <c r="S565" s="8">
        <v>10001</v>
      </c>
      <c r="T565" s="9">
        <v>4</v>
      </c>
      <c r="U565" s="9">
        <f t="shared" si="127"/>
        <v>9996</v>
      </c>
      <c r="V565" s="9">
        <f t="shared" si="128"/>
        <v>50</v>
      </c>
      <c r="W565" s="7">
        <f t="shared" ref="W565:W614" si="144">(AK565*0+AL565*6+AM565*11+14*AN565)</f>
        <v>9.4307999999999996</v>
      </c>
      <c r="X565" s="7">
        <f t="shared" ref="X565:X614" si="145">BL565-W565-6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46">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v>0</v>
      </c>
      <c r="BF565" s="18">
        <v>0</v>
      </c>
      <c r="BG565">
        <v>1</v>
      </c>
      <c r="BH565">
        <v>0</v>
      </c>
      <c r="BI565" s="18">
        <v>0</v>
      </c>
      <c r="BJ565">
        <v>25208</v>
      </c>
      <c r="BK565">
        <v>1486</v>
      </c>
      <c r="BL565" s="25">
        <v>39.1</v>
      </c>
      <c r="BM565">
        <v>1</v>
      </c>
      <c r="BN565">
        <v>0</v>
      </c>
      <c r="BO565">
        <v>0</v>
      </c>
      <c r="BP565">
        <v>0</v>
      </c>
      <c r="BQ565">
        <v>0</v>
      </c>
      <c r="BR565">
        <v>0</v>
      </c>
      <c r="BS565">
        <v>0</v>
      </c>
      <c r="BT565" s="18">
        <v>0</v>
      </c>
      <c r="BU565">
        <v>0</v>
      </c>
      <c r="BV565">
        <v>0</v>
      </c>
      <c r="BW565">
        <v>1</v>
      </c>
      <c r="BX565" s="18">
        <v>0</v>
      </c>
      <c r="BY565">
        <v>0</v>
      </c>
      <c r="BZ565">
        <v>0</v>
      </c>
      <c r="CA565">
        <v>0</v>
      </c>
      <c r="CB565">
        <v>0</v>
      </c>
      <c r="CC565" s="18">
        <v>0</v>
      </c>
      <c r="CD565">
        <v>1</v>
      </c>
      <c r="CE565">
        <v>1</v>
      </c>
      <c r="CF565">
        <v>0</v>
      </c>
      <c r="CG565">
        <v>0</v>
      </c>
      <c r="CH565">
        <v>0</v>
      </c>
      <c r="CI565">
        <v>0</v>
      </c>
      <c r="CJ565">
        <v>0</v>
      </c>
      <c r="CK565">
        <v>0</v>
      </c>
      <c r="CL565">
        <v>0</v>
      </c>
      <c r="CM565">
        <v>0</v>
      </c>
      <c r="CN565" s="18">
        <v>1</v>
      </c>
      <c r="CO565">
        <v>0</v>
      </c>
      <c r="CP565">
        <v>43</v>
      </c>
      <c r="CQ565">
        <v>0</v>
      </c>
      <c r="CR565">
        <v>1</v>
      </c>
      <c r="CS565">
        <v>6</v>
      </c>
      <c r="CY565" s="34"/>
    </row>
    <row r="566" spans="1:103" x14ac:dyDescent="0.25">
      <c r="A566">
        <v>565</v>
      </c>
      <c r="B566">
        <v>38</v>
      </c>
      <c r="C566" s="25" t="s">
        <v>328</v>
      </c>
      <c r="D566" s="12">
        <v>10.9</v>
      </c>
      <c r="E566" s="14">
        <v>0.2</v>
      </c>
      <c r="F566" s="7">
        <f t="shared" si="139"/>
        <v>54.5</v>
      </c>
      <c r="G566" s="7">
        <f t="shared" si="125"/>
        <v>10.700000000000001</v>
      </c>
      <c r="H566" s="16">
        <f t="shared" si="126"/>
        <v>11.1</v>
      </c>
      <c r="I566" s="11">
        <f t="shared" si="129"/>
        <v>0.4871657385763617</v>
      </c>
      <c r="J566" s="33">
        <f t="shared" si="130"/>
        <v>8.9388208913093892E-3</v>
      </c>
      <c r="K566" s="33">
        <f t="shared" si="131"/>
        <v>111.87157815995981</v>
      </c>
      <c r="L566" s="8">
        <v>0</v>
      </c>
      <c r="M566" s="9">
        <v>1</v>
      </c>
      <c r="N566" s="8">
        <v>0</v>
      </c>
      <c r="O566" s="9">
        <v>0</v>
      </c>
      <c r="P566" s="9">
        <v>0</v>
      </c>
      <c r="Q566" s="9">
        <v>1</v>
      </c>
      <c r="R566" s="9">
        <v>0</v>
      </c>
      <c r="S566" s="8">
        <v>9550</v>
      </c>
      <c r="T566" s="9">
        <v>4</v>
      </c>
      <c r="U566" s="9">
        <f t="shared" si="127"/>
        <v>9545</v>
      </c>
      <c r="V566" s="9">
        <f t="shared" si="128"/>
        <v>50</v>
      </c>
      <c r="W566" s="7">
        <f t="shared" si="144"/>
        <v>9.4307999999999996</v>
      </c>
      <c r="X566" s="7">
        <f t="shared" si="145"/>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46"/>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v>0</v>
      </c>
      <c r="BF566" s="18">
        <v>0</v>
      </c>
      <c r="BG566">
        <v>1</v>
      </c>
      <c r="BH566">
        <v>0</v>
      </c>
      <c r="BI566" s="18">
        <v>0</v>
      </c>
      <c r="BJ566">
        <v>25208</v>
      </c>
      <c r="BK566">
        <v>1486</v>
      </c>
      <c r="BL566" s="25">
        <v>39.1</v>
      </c>
      <c r="BM566">
        <v>1</v>
      </c>
      <c r="BN566">
        <v>0</v>
      </c>
      <c r="BO566">
        <v>0</v>
      </c>
      <c r="BP566">
        <v>0</v>
      </c>
      <c r="BQ566">
        <v>0</v>
      </c>
      <c r="BR566">
        <v>0</v>
      </c>
      <c r="BS566">
        <v>0</v>
      </c>
      <c r="BT566" s="18">
        <v>0</v>
      </c>
      <c r="BU566">
        <v>0</v>
      </c>
      <c r="BV566">
        <v>0</v>
      </c>
      <c r="BW566">
        <v>1</v>
      </c>
      <c r="BX566" s="18">
        <v>0</v>
      </c>
      <c r="BY566">
        <v>0</v>
      </c>
      <c r="BZ566">
        <v>0</v>
      </c>
      <c r="CA566">
        <v>0</v>
      </c>
      <c r="CB566">
        <v>0</v>
      </c>
      <c r="CC566" s="18">
        <v>0</v>
      </c>
      <c r="CD566">
        <v>1</v>
      </c>
      <c r="CE566">
        <v>1</v>
      </c>
      <c r="CF566">
        <v>0</v>
      </c>
      <c r="CG566">
        <v>0</v>
      </c>
      <c r="CH566">
        <v>0</v>
      </c>
      <c r="CI566">
        <v>0</v>
      </c>
      <c r="CJ566">
        <v>0</v>
      </c>
      <c r="CK566">
        <v>0</v>
      </c>
      <c r="CL566">
        <v>0</v>
      </c>
      <c r="CM566">
        <v>0</v>
      </c>
      <c r="CN566" s="18">
        <v>1</v>
      </c>
      <c r="CO566">
        <v>0</v>
      </c>
      <c r="CP566">
        <v>43</v>
      </c>
      <c r="CQ566">
        <v>0</v>
      </c>
      <c r="CR566">
        <v>1</v>
      </c>
      <c r="CS566">
        <v>6</v>
      </c>
      <c r="CY566" s="34"/>
    </row>
    <row r="567" spans="1:103" x14ac:dyDescent="0.25">
      <c r="A567">
        <v>566</v>
      </c>
      <c r="B567">
        <v>38</v>
      </c>
      <c r="C567" s="25" t="s">
        <v>328</v>
      </c>
      <c r="D567" s="12">
        <v>10.3</v>
      </c>
      <c r="E567" s="14">
        <v>0.2</v>
      </c>
      <c r="F567" s="7">
        <f t="shared" si="139"/>
        <v>51.5</v>
      </c>
      <c r="G567" s="7">
        <f t="shared" si="125"/>
        <v>10.100000000000001</v>
      </c>
      <c r="H567" s="16">
        <f t="shared" si="126"/>
        <v>10.5</v>
      </c>
      <c r="I567" s="11">
        <f t="shared" si="129"/>
        <v>0.457922526787234</v>
      </c>
      <c r="J567" s="33">
        <f t="shared" si="130"/>
        <v>8.8916995492666785E-3</v>
      </c>
      <c r="K567" s="33">
        <f t="shared" si="131"/>
        <v>112.46443882401229</v>
      </c>
      <c r="L567" s="8">
        <v>0</v>
      </c>
      <c r="M567" s="9">
        <v>1</v>
      </c>
      <c r="N567" s="8">
        <v>0</v>
      </c>
      <c r="O567" s="9">
        <v>0</v>
      </c>
      <c r="P567" s="9">
        <v>0</v>
      </c>
      <c r="Q567" s="9">
        <v>1</v>
      </c>
      <c r="R567" s="9">
        <v>0</v>
      </c>
      <c r="S567" s="8">
        <v>10001</v>
      </c>
      <c r="T567" s="9">
        <v>4</v>
      </c>
      <c r="U567" s="9">
        <f t="shared" si="127"/>
        <v>9996</v>
      </c>
      <c r="V567" s="9">
        <f t="shared" si="128"/>
        <v>50</v>
      </c>
      <c r="W567" s="7">
        <f t="shared" si="144"/>
        <v>9.4307999999999996</v>
      </c>
      <c r="X567" s="7">
        <f t="shared" si="145"/>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46"/>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v>0</v>
      </c>
      <c r="BF567" s="18">
        <v>0</v>
      </c>
      <c r="BG567">
        <v>1</v>
      </c>
      <c r="BH567">
        <v>0</v>
      </c>
      <c r="BI567" s="18">
        <v>0</v>
      </c>
      <c r="BJ567">
        <v>25208</v>
      </c>
      <c r="BK567">
        <v>1486</v>
      </c>
      <c r="BL567" s="25">
        <v>39.1</v>
      </c>
      <c r="BM567">
        <v>0</v>
      </c>
      <c r="BN567">
        <v>0</v>
      </c>
      <c r="BO567">
        <v>0</v>
      </c>
      <c r="BP567">
        <v>0</v>
      </c>
      <c r="BQ567">
        <v>0</v>
      </c>
      <c r="BR567">
        <v>1</v>
      </c>
      <c r="BS567">
        <v>0</v>
      </c>
      <c r="BT567" s="18">
        <v>0</v>
      </c>
      <c r="BU567">
        <v>0</v>
      </c>
      <c r="BV567">
        <v>0</v>
      </c>
      <c r="BW567">
        <v>1</v>
      </c>
      <c r="BX567" s="18">
        <v>0</v>
      </c>
      <c r="BY567">
        <v>0</v>
      </c>
      <c r="BZ567">
        <v>0</v>
      </c>
      <c r="CA567">
        <v>0</v>
      </c>
      <c r="CB567">
        <v>0</v>
      </c>
      <c r="CC567" s="18">
        <v>0</v>
      </c>
      <c r="CD567">
        <v>1</v>
      </c>
      <c r="CE567">
        <v>1</v>
      </c>
      <c r="CF567">
        <v>0</v>
      </c>
      <c r="CG567">
        <v>0</v>
      </c>
      <c r="CH567">
        <v>0</v>
      </c>
      <c r="CI567">
        <v>0</v>
      </c>
      <c r="CJ567">
        <v>0</v>
      </c>
      <c r="CK567">
        <v>0</v>
      </c>
      <c r="CL567">
        <v>0</v>
      </c>
      <c r="CM567">
        <v>0</v>
      </c>
      <c r="CN567" s="18">
        <v>1</v>
      </c>
      <c r="CO567">
        <v>0</v>
      </c>
      <c r="CP567">
        <v>43</v>
      </c>
      <c r="CQ567">
        <v>0</v>
      </c>
      <c r="CR567">
        <v>1</v>
      </c>
      <c r="CS567">
        <v>6</v>
      </c>
      <c r="CY567" s="34"/>
    </row>
    <row r="568" spans="1:103" x14ac:dyDescent="0.25">
      <c r="A568">
        <v>567</v>
      </c>
      <c r="B568">
        <v>38</v>
      </c>
      <c r="C568" s="25" t="s">
        <v>328</v>
      </c>
      <c r="D568" s="12">
        <v>10.199999999999999</v>
      </c>
      <c r="E568" s="14">
        <v>0.3</v>
      </c>
      <c r="F568" s="7">
        <f t="shared" si="139"/>
        <v>34</v>
      </c>
      <c r="G568" s="7">
        <f t="shared" si="125"/>
        <v>9.8999999999999986</v>
      </c>
      <c r="H568" s="16">
        <f t="shared" si="126"/>
        <v>10.5</v>
      </c>
      <c r="I568" s="11">
        <f t="shared" si="129"/>
        <v>0.32867504798725355</v>
      </c>
      <c r="J568" s="33">
        <f t="shared" si="130"/>
        <v>9.6669131760956928E-3</v>
      </c>
      <c r="K568" s="33">
        <f t="shared" si="131"/>
        <v>103.4456378974</v>
      </c>
      <c r="L568" s="8">
        <v>0</v>
      </c>
      <c r="M568" s="9">
        <v>1</v>
      </c>
      <c r="N568" s="8">
        <v>0</v>
      </c>
      <c r="O568" s="9">
        <v>0</v>
      </c>
      <c r="P568" s="9">
        <v>0</v>
      </c>
      <c r="Q568" s="9">
        <v>1</v>
      </c>
      <c r="R568" s="9">
        <v>0</v>
      </c>
      <c r="S568" s="8">
        <v>9550</v>
      </c>
      <c r="T568" s="9">
        <v>4</v>
      </c>
      <c r="U568" s="9">
        <f t="shared" si="127"/>
        <v>9545</v>
      </c>
      <c r="V568" s="9">
        <f t="shared" si="128"/>
        <v>50</v>
      </c>
      <c r="W568" s="7">
        <f t="shared" si="144"/>
        <v>9.4307999999999996</v>
      </c>
      <c r="X568" s="7">
        <f t="shared" si="145"/>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46"/>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v>0</v>
      </c>
      <c r="BF568" s="18">
        <v>0</v>
      </c>
      <c r="BG568">
        <v>1</v>
      </c>
      <c r="BH568">
        <v>0</v>
      </c>
      <c r="BI568" s="18">
        <v>0</v>
      </c>
      <c r="BJ568">
        <v>25208</v>
      </c>
      <c r="BK568">
        <v>1486</v>
      </c>
      <c r="BL568" s="25">
        <v>39.1</v>
      </c>
      <c r="BM568">
        <v>0</v>
      </c>
      <c r="BN568">
        <v>0</v>
      </c>
      <c r="BO568">
        <v>0</v>
      </c>
      <c r="BP568">
        <v>0</v>
      </c>
      <c r="BQ568">
        <v>0</v>
      </c>
      <c r="BR568">
        <v>1</v>
      </c>
      <c r="BS568">
        <v>0</v>
      </c>
      <c r="BT568" s="18">
        <v>0</v>
      </c>
      <c r="BU568">
        <v>0</v>
      </c>
      <c r="BV568">
        <v>0</v>
      </c>
      <c r="BW568">
        <v>1</v>
      </c>
      <c r="BX568" s="18">
        <v>0</v>
      </c>
      <c r="BY568">
        <v>0</v>
      </c>
      <c r="BZ568">
        <v>0</v>
      </c>
      <c r="CA568">
        <v>0</v>
      </c>
      <c r="CB568">
        <v>0</v>
      </c>
      <c r="CC568" s="18">
        <v>0</v>
      </c>
      <c r="CD568">
        <v>1</v>
      </c>
      <c r="CE568">
        <v>1</v>
      </c>
      <c r="CF568">
        <v>0</v>
      </c>
      <c r="CG568">
        <v>0</v>
      </c>
      <c r="CH568">
        <v>0</v>
      </c>
      <c r="CI568">
        <v>0</v>
      </c>
      <c r="CJ568">
        <v>0</v>
      </c>
      <c r="CK568">
        <v>0</v>
      </c>
      <c r="CL568">
        <v>0</v>
      </c>
      <c r="CM568">
        <v>0</v>
      </c>
      <c r="CN568" s="18">
        <v>1</v>
      </c>
      <c r="CO568">
        <v>0</v>
      </c>
      <c r="CP568">
        <v>43</v>
      </c>
      <c r="CQ568">
        <v>0</v>
      </c>
      <c r="CR568">
        <v>1</v>
      </c>
      <c r="CS568">
        <v>6</v>
      </c>
      <c r="CY568" s="34"/>
    </row>
    <row r="569" spans="1:103" x14ac:dyDescent="0.25">
      <c r="A569">
        <v>568</v>
      </c>
      <c r="B569">
        <v>38</v>
      </c>
      <c r="C569" s="25" t="s">
        <v>328</v>
      </c>
      <c r="D569" s="12">
        <v>6.41</v>
      </c>
      <c r="E569" s="14">
        <v>0.2</v>
      </c>
      <c r="F569" s="7">
        <f t="shared" si="139"/>
        <v>32.049999999999997</v>
      </c>
      <c r="G569" s="7">
        <f t="shared" si="125"/>
        <v>6.21</v>
      </c>
      <c r="H569" s="16">
        <f t="shared" si="126"/>
        <v>6.61</v>
      </c>
      <c r="I569" s="11">
        <f t="shared" si="129"/>
        <v>0.30538767488256086</v>
      </c>
      <c r="J569" s="33">
        <f t="shared" si="130"/>
        <v>9.5284765953997149E-3</v>
      </c>
      <c r="K569" s="33">
        <f t="shared" si="131"/>
        <v>104.94857073824302</v>
      </c>
      <c r="L569" s="8">
        <v>0</v>
      </c>
      <c r="M569" s="9">
        <v>1</v>
      </c>
      <c r="N569" s="8">
        <v>0</v>
      </c>
      <c r="O569" s="9">
        <v>0</v>
      </c>
      <c r="P569" s="9">
        <v>0</v>
      </c>
      <c r="Q569" s="9">
        <v>1</v>
      </c>
      <c r="R569" s="9">
        <v>0</v>
      </c>
      <c r="S569" s="8">
        <v>10001</v>
      </c>
      <c r="T569" s="9">
        <v>13</v>
      </c>
      <c r="U569" s="9">
        <f t="shared" si="127"/>
        <v>9987</v>
      </c>
      <c r="V569" s="9">
        <f t="shared" si="128"/>
        <v>50</v>
      </c>
      <c r="W569" s="7">
        <f t="shared" si="144"/>
        <v>9.4307999999999996</v>
      </c>
      <c r="X569" s="7">
        <f t="shared" si="145"/>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46"/>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v>0</v>
      </c>
      <c r="BF569" s="18">
        <v>0</v>
      </c>
      <c r="BG569">
        <v>1</v>
      </c>
      <c r="BH569">
        <v>0</v>
      </c>
      <c r="BI569" s="18">
        <v>0</v>
      </c>
      <c r="BJ569">
        <v>25208</v>
      </c>
      <c r="BK569">
        <v>1486</v>
      </c>
      <c r="BL569" s="25">
        <v>39.1</v>
      </c>
      <c r="BM569">
        <v>1</v>
      </c>
      <c r="BN569">
        <v>0</v>
      </c>
      <c r="BO569">
        <v>0</v>
      </c>
      <c r="BP569">
        <v>0</v>
      </c>
      <c r="BQ569">
        <v>0</v>
      </c>
      <c r="BR569">
        <v>0</v>
      </c>
      <c r="BS569">
        <v>0</v>
      </c>
      <c r="BT569" s="18">
        <v>0</v>
      </c>
      <c r="BU569">
        <v>0</v>
      </c>
      <c r="BV569">
        <v>0</v>
      </c>
      <c r="BW569">
        <v>1</v>
      </c>
      <c r="BX569" s="18">
        <v>0</v>
      </c>
      <c r="BY569">
        <v>0</v>
      </c>
      <c r="BZ569">
        <v>0</v>
      </c>
      <c r="CA569">
        <v>0</v>
      </c>
      <c r="CB569">
        <v>0</v>
      </c>
      <c r="CC569" s="18">
        <v>1</v>
      </c>
      <c r="CD569">
        <v>1</v>
      </c>
      <c r="CE569">
        <v>1</v>
      </c>
      <c r="CF569">
        <v>0</v>
      </c>
      <c r="CG569">
        <v>0</v>
      </c>
      <c r="CH569">
        <v>0</v>
      </c>
      <c r="CI569">
        <v>0</v>
      </c>
      <c r="CJ569">
        <v>0</v>
      </c>
      <c r="CK569">
        <v>0</v>
      </c>
      <c r="CL569">
        <v>0</v>
      </c>
      <c r="CM569">
        <v>0</v>
      </c>
      <c r="CN569" s="18">
        <v>1</v>
      </c>
      <c r="CO569">
        <v>0</v>
      </c>
      <c r="CP569">
        <v>43</v>
      </c>
      <c r="CQ569">
        <v>0</v>
      </c>
      <c r="CR569">
        <v>1</v>
      </c>
      <c r="CS569">
        <v>6</v>
      </c>
      <c r="CY569" s="34"/>
    </row>
    <row r="570" spans="1:103" x14ac:dyDescent="0.25">
      <c r="A570">
        <v>569</v>
      </c>
      <c r="B570">
        <v>38</v>
      </c>
      <c r="C570" s="25" t="s">
        <v>328</v>
      </c>
      <c r="D570" s="12">
        <v>10.27</v>
      </c>
      <c r="E570" s="14">
        <v>0.2</v>
      </c>
      <c r="F570" s="7">
        <f t="shared" si="139"/>
        <v>51.349999999999994</v>
      </c>
      <c r="G570" s="7">
        <f t="shared" si="125"/>
        <v>10.07</v>
      </c>
      <c r="H570" s="16">
        <f t="shared" si="126"/>
        <v>10.469999999999999</v>
      </c>
      <c r="I570" s="11">
        <f t="shared" si="129"/>
        <v>0.46541974434467898</v>
      </c>
      <c r="J570" s="33">
        <f t="shared" si="130"/>
        <v>9.0636756444922879E-3</v>
      </c>
      <c r="K570" s="33">
        <f t="shared" si="131"/>
        <v>110.3305148179777</v>
      </c>
      <c r="L570" s="8">
        <v>0</v>
      </c>
      <c r="M570" s="9">
        <v>1</v>
      </c>
      <c r="N570" s="8">
        <v>0</v>
      </c>
      <c r="O570" s="9">
        <v>0</v>
      </c>
      <c r="P570" s="9">
        <v>0</v>
      </c>
      <c r="Q570" s="9">
        <v>1</v>
      </c>
      <c r="R570" s="9">
        <v>0</v>
      </c>
      <c r="S570" s="8">
        <v>9550</v>
      </c>
      <c r="T570" s="9">
        <v>13</v>
      </c>
      <c r="U570" s="9">
        <f t="shared" si="127"/>
        <v>9536</v>
      </c>
      <c r="V570" s="9">
        <f t="shared" si="128"/>
        <v>50</v>
      </c>
      <c r="W570" s="7">
        <f t="shared" si="144"/>
        <v>9.4307999999999996</v>
      </c>
      <c r="X570" s="7">
        <f t="shared" si="145"/>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46"/>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v>0</v>
      </c>
      <c r="BF570" s="18">
        <v>0</v>
      </c>
      <c r="BG570">
        <v>1</v>
      </c>
      <c r="BH570">
        <v>0</v>
      </c>
      <c r="BI570" s="18">
        <v>0</v>
      </c>
      <c r="BJ570">
        <v>25208</v>
      </c>
      <c r="BK570">
        <v>1486</v>
      </c>
      <c r="BL570" s="25">
        <v>39.1</v>
      </c>
      <c r="BM570">
        <v>1</v>
      </c>
      <c r="BN570">
        <v>0</v>
      </c>
      <c r="BO570">
        <v>0</v>
      </c>
      <c r="BP570">
        <v>0</v>
      </c>
      <c r="BQ570">
        <v>0</v>
      </c>
      <c r="BR570">
        <v>0</v>
      </c>
      <c r="BS570">
        <v>0</v>
      </c>
      <c r="BT570" s="18">
        <v>0</v>
      </c>
      <c r="BU570">
        <v>0</v>
      </c>
      <c r="BV570">
        <v>0</v>
      </c>
      <c r="BW570">
        <v>1</v>
      </c>
      <c r="BX570" s="18">
        <v>0</v>
      </c>
      <c r="BY570">
        <v>0</v>
      </c>
      <c r="BZ570">
        <v>0</v>
      </c>
      <c r="CA570">
        <v>0</v>
      </c>
      <c r="CB570">
        <v>0</v>
      </c>
      <c r="CC570" s="18">
        <v>1</v>
      </c>
      <c r="CD570">
        <v>1</v>
      </c>
      <c r="CE570">
        <v>1</v>
      </c>
      <c r="CF570">
        <v>0</v>
      </c>
      <c r="CG570">
        <v>0</v>
      </c>
      <c r="CH570">
        <v>0</v>
      </c>
      <c r="CI570">
        <v>0</v>
      </c>
      <c r="CJ570">
        <v>0</v>
      </c>
      <c r="CK570">
        <v>0</v>
      </c>
      <c r="CL570">
        <v>0</v>
      </c>
      <c r="CM570">
        <v>0</v>
      </c>
      <c r="CN570" s="18">
        <v>1</v>
      </c>
      <c r="CO570">
        <v>0</v>
      </c>
      <c r="CP570">
        <v>43</v>
      </c>
      <c r="CQ570">
        <v>0</v>
      </c>
      <c r="CR570">
        <v>1</v>
      </c>
      <c r="CS570">
        <v>6</v>
      </c>
      <c r="CY570" s="34"/>
    </row>
    <row r="571" spans="1:103" x14ac:dyDescent="0.25">
      <c r="A571">
        <v>570</v>
      </c>
      <c r="B571">
        <v>38</v>
      </c>
      <c r="C571" s="25" t="s">
        <v>328</v>
      </c>
      <c r="D571" s="12">
        <v>6.91</v>
      </c>
      <c r="E571" s="14">
        <v>0.3</v>
      </c>
      <c r="F571" s="7">
        <f t="shared" si="139"/>
        <v>23.033333333333335</v>
      </c>
      <c r="G571" s="7">
        <f t="shared" si="125"/>
        <v>6.61</v>
      </c>
      <c r="H571" s="16">
        <f t="shared" si="126"/>
        <v>7.21</v>
      </c>
      <c r="I571" s="11">
        <f t="shared" si="129"/>
        <v>0.22459486425879843</v>
      </c>
      <c r="J571" s="33">
        <f t="shared" si="130"/>
        <v>9.7508624135513068E-3</v>
      </c>
      <c r="K571" s="33">
        <f t="shared" si="131"/>
        <v>102.55503129756454</v>
      </c>
      <c r="L571" s="8">
        <v>0</v>
      </c>
      <c r="M571" s="9">
        <v>1</v>
      </c>
      <c r="N571" s="8">
        <v>0</v>
      </c>
      <c r="O571" s="9">
        <v>0</v>
      </c>
      <c r="P571" s="9">
        <v>0</v>
      </c>
      <c r="Q571" s="9">
        <v>1</v>
      </c>
      <c r="R571" s="9">
        <v>0</v>
      </c>
      <c r="S571" s="8">
        <v>10001</v>
      </c>
      <c r="T571" s="9">
        <v>13</v>
      </c>
      <c r="U571" s="9">
        <f t="shared" si="127"/>
        <v>9987</v>
      </c>
      <c r="V571" s="9">
        <f t="shared" si="128"/>
        <v>50</v>
      </c>
      <c r="W571" s="7">
        <f t="shared" si="144"/>
        <v>9.4307999999999996</v>
      </c>
      <c r="X571" s="7">
        <f t="shared" si="145"/>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46"/>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v>0</v>
      </c>
      <c r="BF571" s="18">
        <v>0</v>
      </c>
      <c r="BG571">
        <v>1</v>
      </c>
      <c r="BH571">
        <v>0</v>
      </c>
      <c r="BI571" s="18">
        <v>0</v>
      </c>
      <c r="BJ571">
        <v>25208</v>
      </c>
      <c r="BK571">
        <v>1486</v>
      </c>
      <c r="BL571" s="25">
        <v>39.1</v>
      </c>
      <c r="BM571">
        <v>1</v>
      </c>
      <c r="BN571">
        <v>0</v>
      </c>
      <c r="BO571">
        <v>0</v>
      </c>
      <c r="BP571">
        <v>0</v>
      </c>
      <c r="BQ571">
        <v>0</v>
      </c>
      <c r="BR571">
        <v>0</v>
      </c>
      <c r="BS571">
        <v>0</v>
      </c>
      <c r="BT571" s="18">
        <v>0</v>
      </c>
      <c r="BU571">
        <v>0</v>
      </c>
      <c r="BV571">
        <v>0</v>
      </c>
      <c r="BW571">
        <v>1</v>
      </c>
      <c r="BX571" s="18">
        <v>0</v>
      </c>
      <c r="BY571">
        <v>0</v>
      </c>
      <c r="BZ571">
        <v>0</v>
      </c>
      <c r="CA571">
        <v>0</v>
      </c>
      <c r="CB571">
        <v>0</v>
      </c>
      <c r="CC571" s="18">
        <v>1</v>
      </c>
      <c r="CD571">
        <v>1</v>
      </c>
      <c r="CE571">
        <v>1</v>
      </c>
      <c r="CF571">
        <v>0</v>
      </c>
      <c r="CG571">
        <v>0</v>
      </c>
      <c r="CH571">
        <v>0</v>
      </c>
      <c r="CI571">
        <v>0</v>
      </c>
      <c r="CJ571">
        <v>0</v>
      </c>
      <c r="CK571">
        <v>0</v>
      </c>
      <c r="CL571">
        <v>0</v>
      </c>
      <c r="CM571">
        <v>0</v>
      </c>
      <c r="CN571" s="18">
        <v>1</v>
      </c>
      <c r="CO571">
        <v>0</v>
      </c>
      <c r="CP571">
        <v>43</v>
      </c>
      <c r="CQ571">
        <v>0</v>
      </c>
      <c r="CR571">
        <v>1</v>
      </c>
      <c r="CS571">
        <v>6</v>
      </c>
      <c r="CY571" s="34"/>
    </row>
    <row r="572" spans="1:103" x14ac:dyDescent="0.25">
      <c r="A572">
        <v>571</v>
      </c>
      <c r="B572">
        <v>38</v>
      </c>
      <c r="C572" s="25" t="s">
        <v>328</v>
      </c>
      <c r="D572" s="12">
        <v>10.32</v>
      </c>
      <c r="E572" s="14">
        <v>0.2</v>
      </c>
      <c r="F572" s="7">
        <f t="shared" si="139"/>
        <v>51.6</v>
      </c>
      <c r="G572" s="7">
        <f t="shared" si="125"/>
        <v>10.120000000000001</v>
      </c>
      <c r="H572" s="16">
        <f t="shared" si="126"/>
        <v>10.52</v>
      </c>
      <c r="I572" s="11">
        <f t="shared" si="129"/>
        <v>0.46719202238124941</v>
      </c>
      <c r="J572" s="33">
        <f t="shared" si="130"/>
        <v>9.0541089608769266E-3</v>
      </c>
      <c r="K572" s="33">
        <f t="shared" si="131"/>
        <v>110.44709140579484</v>
      </c>
      <c r="L572" s="8">
        <v>0</v>
      </c>
      <c r="M572" s="9">
        <v>1</v>
      </c>
      <c r="N572" s="8">
        <v>0</v>
      </c>
      <c r="O572" s="9">
        <v>0</v>
      </c>
      <c r="P572" s="9">
        <v>0</v>
      </c>
      <c r="Q572" s="9">
        <v>1</v>
      </c>
      <c r="R572" s="9">
        <v>0</v>
      </c>
      <c r="S572" s="8">
        <v>9550</v>
      </c>
      <c r="T572" s="9">
        <v>13</v>
      </c>
      <c r="U572" s="9">
        <f t="shared" si="127"/>
        <v>9536</v>
      </c>
      <c r="V572" s="9">
        <f t="shared" si="128"/>
        <v>50</v>
      </c>
      <c r="W572" s="7">
        <f t="shared" si="144"/>
        <v>9.4307999999999996</v>
      </c>
      <c r="X572" s="7">
        <f t="shared" si="145"/>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46"/>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v>0</v>
      </c>
      <c r="BF572" s="18">
        <v>0</v>
      </c>
      <c r="BG572">
        <v>1</v>
      </c>
      <c r="BH572">
        <v>0</v>
      </c>
      <c r="BI572" s="18">
        <v>0</v>
      </c>
      <c r="BJ572">
        <v>25208</v>
      </c>
      <c r="BK572">
        <v>1486</v>
      </c>
      <c r="BL572" s="25">
        <v>39.1</v>
      </c>
      <c r="BM572">
        <v>1</v>
      </c>
      <c r="BN572">
        <v>0</v>
      </c>
      <c r="BO572">
        <v>0</v>
      </c>
      <c r="BP572">
        <v>0</v>
      </c>
      <c r="BQ572">
        <v>0</v>
      </c>
      <c r="BR572">
        <v>0</v>
      </c>
      <c r="BS572">
        <v>0</v>
      </c>
      <c r="BT572" s="18">
        <v>0</v>
      </c>
      <c r="BU572">
        <v>0</v>
      </c>
      <c r="BV572">
        <v>0</v>
      </c>
      <c r="BW572">
        <v>1</v>
      </c>
      <c r="BX572" s="18">
        <v>0</v>
      </c>
      <c r="BY572">
        <v>0</v>
      </c>
      <c r="BZ572">
        <v>0</v>
      </c>
      <c r="CA572">
        <v>0</v>
      </c>
      <c r="CB572">
        <v>0</v>
      </c>
      <c r="CC572" s="18">
        <v>1</v>
      </c>
      <c r="CD572">
        <v>1</v>
      </c>
      <c r="CE572">
        <v>1</v>
      </c>
      <c r="CF572">
        <v>0</v>
      </c>
      <c r="CG572">
        <v>0</v>
      </c>
      <c r="CH572">
        <v>0</v>
      </c>
      <c r="CI572">
        <v>0</v>
      </c>
      <c r="CJ572">
        <v>0</v>
      </c>
      <c r="CK572">
        <v>0</v>
      </c>
      <c r="CL572">
        <v>0</v>
      </c>
      <c r="CM572">
        <v>0</v>
      </c>
      <c r="CN572" s="18">
        <v>1</v>
      </c>
      <c r="CO572">
        <v>0</v>
      </c>
      <c r="CP572">
        <v>43</v>
      </c>
      <c r="CQ572">
        <v>0</v>
      </c>
      <c r="CR572">
        <v>1</v>
      </c>
      <c r="CS572">
        <v>6</v>
      </c>
      <c r="CY572" s="34"/>
    </row>
    <row r="573" spans="1:103" x14ac:dyDescent="0.25">
      <c r="A573">
        <v>572</v>
      </c>
      <c r="B573">
        <v>38</v>
      </c>
      <c r="C573" s="25" t="s">
        <v>328</v>
      </c>
      <c r="D573" s="12">
        <v>5.14</v>
      </c>
      <c r="E573" s="14">
        <v>0.8</v>
      </c>
      <c r="F573" s="7">
        <f t="shared" si="139"/>
        <v>6.4249999999999989</v>
      </c>
      <c r="G573" s="7">
        <f t="shared" si="125"/>
        <v>4.34</v>
      </c>
      <c r="H573" s="16">
        <f t="shared" si="126"/>
        <v>5.9399999999999995</v>
      </c>
      <c r="I573" s="11">
        <f t="shared" si="129"/>
        <v>0.15383847057732292</v>
      </c>
      <c r="J573" s="33">
        <f t="shared" si="130"/>
        <v>2.3943730829155321E-2</v>
      </c>
      <c r="K573" s="33">
        <f t="shared" si="131"/>
        <v>41.76458577551081</v>
      </c>
      <c r="L573" s="8">
        <v>0</v>
      </c>
      <c r="M573" s="9">
        <v>1</v>
      </c>
      <c r="N573" s="8">
        <v>0</v>
      </c>
      <c r="O573" s="9">
        <v>0</v>
      </c>
      <c r="P573" s="9">
        <v>0</v>
      </c>
      <c r="Q573" s="9">
        <v>1</v>
      </c>
      <c r="R573" s="9">
        <v>0</v>
      </c>
      <c r="S573" s="8">
        <v>1717</v>
      </c>
      <c r="T573" s="9">
        <v>13</v>
      </c>
      <c r="U573" s="9">
        <f t="shared" si="127"/>
        <v>1703</v>
      </c>
      <c r="V573" s="9">
        <f t="shared" si="128"/>
        <v>50</v>
      </c>
      <c r="W573" s="7">
        <f t="shared" si="144"/>
        <v>9.4307999999999996</v>
      </c>
      <c r="X573" s="7">
        <f t="shared" si="145"/>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46"/>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v>0</v>
      </c>
      <c r="BF573" s="18">
        <v>0</v>
      </c>
      <c r="BG573">
        <v>1</v>
      </c>
      <c r="BH573">
        <v>0</v>
      </c>
      <c r="BI573" s="18">
        <v>0</v>
      </c>
      <c r="BJ573">
        <v>25208</v>
      </c>
      <c r="BK573">
        <v>1486</v>
      </c>
      <c r="BL573" s="25">
        <v>39.1</v>
      </c>
      <c r="BM573">
        <v>0</v>
      </c>
      <c r="BN573">
        <v>0</v>
      </c>
      <c r="BO573">
        <v>0</v>
      </c>
      <c r="BP573">
        <v>0</v>
      </c>
      <c r="BQ573">
        <v>0</v>
      </c>
      <c r="BR573">
        <v>1</v>
      </c>
      <c r="BS573">
        <v>0</v>
      </c>
      <c r="BT573" s="18">
        <v>0</v>
      </c>
      <c r="BU573">
        <v>0</v>
      </c>
      <c r="BV573">
        <v>1</v>
      </c>
      <c r="BW573">
        <v>0</v>
      </c>
      <c r="BX573" s="18">
        <v>0</v>
      </c>
      <c r="BY573">
        <v>0</v>
      </c>
      <c r="BZ573">
        <v>0</v>
      </c>
      <c r="CA573">
        <v>0</v>
      </c>
      <c r="CB573">
        <v>0</v>
      </c>
      <c r="CC573" s="18">
        <v>1</v>
      </c>
      <c r="CD573">
        <v>1</v>
      </c>
      <c r="CE573">
        <v>1</v>
      </c>
      <c r="CF573">
        <v>0</v>
      </c>
      <c r="CG573">
        <v>0</v>
      </c>
      <c r="CH573">
        <v>0</v>
      </c>
      <c r="CI573">
        <v>0</v>
      </c>
      <c r="CJ573">
        <v>0</v>
      </c>
      <c r="CK573">
        <v>0</v>
      </c>
      <c r="CL573">
        <v>0</v>
      </c>
      <c r="CM573">
        <v>0</v>
      </c>
      <c r="CN573" s="18">
        <v>1</v>
      </c>
      <c r="CO573">
        <v>0</v>
      </c>
      <c r="CP573">
        <v>43</v>
      </c>
      <c r="CQ573">
        <v>0</v>
      </c>
      <c r="CR573">
        <v>1</v>
      </c>
      <c r="CS573">
        <v>6</v>
      </c>
      <c r="CY573" s="34"/>
    </row>
    <row r="574" spans="1:103" x14ac:dyDescent="0.25">
      <c r="A574">
        <v>573</v>
      </c>
      <c r="B574">
        <v>38</v>
      </c>
      <c r="C574" s="25" t="s">
        <v>328</v>
      </c>
      <c r="D574" s="12">
        <v>7.63</v>
      </c>
      <c r="E574" s="14">
        <v>1.5</v>
      </c>
      <c r="F574" s="7">
        <f t="shared" si="139"/>
        <v>5.0866666666666669</v>
      </c>
      <c r="G574" s="7">
        <f t="shared" si="125"/>
        <v>6.13</v>
      </c>
      <c r="H574" s="16">
        <f t="shared" si="126"/>
        <v>9.129999999999999</v>
      </c>
      <c r="I574" s="11">
        <f t="shared" si="129"/>
        <v>0.21215187684075204</v>
      </c>
      <c r="J574" s="33">
        <f t="shared" si="130"/>
        <v>4.1707446298968283E-2</v>
      </c>
      <c r="K574" s="33">
        <f t="shared" si="131"/>
        <v>23.976533898330214</v>
      </c>
      <c r="L574" s="8">
        <v>0</v>
      </c>
      <c r="M574" s="9">
        <v>1</v>
      </c>
      <c r="N574" s="8">
        <v>0</v>
      </c>
      <c r="O574" s="9">
        <v>0</v>
      </c>
      <c r="P574" s="9">
        <v>0</v>
      </c>
      <c r="Q574" s="9">
        <v>1</v>
      </c>
      <c r="R574" s="9">
        <v>0</v>
      </c>
      <c r="S574" s="8">
        <v>563</v>
      </c>
      <c r="T574" s="9">
        <v>13</v>
      </c>
      <c r="U574" s="9">
        <f t="shared" si="127"/>
        <v>549</v>
      </c>
      <c r="V574" s="9">
        <f t="shared" si="128"/>
        <v>50</v>
      </c>
      <c r="W574" s="7">
        <f t="shared" si="144"/>
        <v>9.4307999999999996</v>
      </c>
      <c r="X574" s="7">
        <f t="shared" si="145"/>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46"/>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v>0</v>
      </c>
      <c r="BF574" s="18">
        <v>0</v>
      </c>
      <c r="BG574">
        <v>1</v>
      </c>
      <c r="BH574">
        <v>0</v>
      </c>
      <c r="BI574" s="18">
        <v>0</v>
      </c>
      <c r="BJ574">
        <v>25208</v>
      </c>
      <c r="BK574">
        <v>1486</v>
      </c>
      <c r="BL574" s="25">
        <v>39.1</v>
      </c>
      <c r="BM574">
        <v>0</v>
      </c>
      <c r="BN574">
        <v>0</v>
      </c>
      <c r="BO574">
        <v>0</v>
      </c>
      <c r="BP574">
        <v>0</v>
      </c>
      <c r="BQ574">
        <v>0</v>
      </c>
      <c r="BR574">
        <v>1</v>
      </c>
      <c r="BS574">
        <v>0</v>
      </c>
      <c r="BT574" s="18">
        <v>0</v>
      </c>
      <c r="BU574">
        <v>0</v>
      </c>
      <c r="BV574">
        <v>1</v>
      </c>
      <c r="BW574">
        <v>0</v>
      </c>
      <c r="BX574" s="18">
        <v>0</v>
      </c>
      <c r="BY574">
        <v>0</v>
      </c>
      <c r="BZ574">
        <v>0</v>
      </c>
      <c r="CA574">
        <v>0</v>
      </c>
      <c r="CB574">
        <v>0</v>
      </c>
      <c r="CC574" s="18">
        <v>1</v>
      </c>
      <c r="CD574">
        <v>1</v>
      </c>
      <c r="CE574">
        <v>1</v>
      </c>
      <c r="CF574">
        <v>0</v>
      </c>
      <c r="CG574">
        <v>0</v>
      </c>
      <c r="CH574">
        <v>0</v>
      </c>
      <c r="CI574">
        <v>0</v>
      </c>
      <c r="CJ574">
        <v>0</v>
      </c>
      <c r="CK574">
        <v>0</v>
      </c>
      <c r="CL574">
        <v>0</v>
      </c>
      <c r="CM574">
        <v>0</v>
      </c>
      <c r="CN574" s="18">
        <v>1</v>
      </c>
      <c r="CO574">
        <v>0</v>
      </c>
      <c r="CP574">
        <v>43</v>
      </c>
      <c r="CQ574">
        <v>0</v>
      </c>
      <c r="CR574">
        <v>1</v>
      </c>
      <c r="CS574">
        <v>6</v>
      </c>
      <c r="CY574" s="34"/>
    </row>
    <row r="575" spans="1:103" x14ac:dyDescent="0.25">
      <c r="A575">
        <v>574</v>
      </c>
      <c r="B575">
        <v>38</v>
      </c>
      <c r="C575" s="25" t="s">
        <v>328</v>
      </c>
      <c r="D575" s="12">
        <v>5.52</v>
      </c>
      <c r="E575" s="14">
        <v>2.2000000000000002</v>
      </c>
      <c r="F575" s="7">
        <f t="shared" si="139"/>
        <v>2.5090909090909088</v>
      </c>
      <c r="G575" s="7">
        <f t="shared" si="125"/>
        <v>3.3199999999999994</v>
      </c>
      <c r="H575" s="16">
        <f t="shared" si="126"/>
        <v>7.72</v>
      </c>
      <c r="I575" s="11">
        <f t="shared" si="129"/>
        <v>6.0688697608351397E-2</v>
      </c>
      <c r="J575" s="33">
        <f t="shared" si="130"/>
        <v>2.4187524409125558E-2</v>
      </c>
      <c r="K575" s="33">
        <f t="shared" si="131"/>
        <v>41.34362752819451</v>
      </c>
      <c r="L575" s="8">
        <v>0</v>
      </c>
      <c r="M575" s="9">
        <v>1</v>
      </c>
      <c r="N575" s="8">
        <v>0</v>
      </c>
      <c r="O575" s="9">
        <v>0</v>
      </c>
      <c r="P575" s="9">
        <v>0</v>
      </c>
      <c r="Q575" s="9">
        <v>1</v>
      </c>
      <c r="R575" s="9">
        <v>0</v>
      </c>
      <c r="S575" s="8">
        <v>1717</v>
      </c>
      <c r="T575" s="9">
        <v>13</v>
      </c>
      <c r="U575" s="9">
        <f t="shared" si="127"/>
        <v>1703</v>
      </c>
      <c r="V575" s="9">
        <f t="shared" si="128"/>
        <v>50</v>
      </c>
      <c r="W575" s="7">
        <f t="shared" si="144"/>
        <v>9.4307999999999996</v>
      </c>
      <c r="X575" s="7">
        <f t="shared" si="145"/>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46"/>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v>0</v>
      </c>
      <c r="BF575" s="18">
        <v>0</v>
      </c>
      <c r="BG575">
        <v>1</v>
      </c>
      <c r="BH575">
        <v>0</v>
      </c>
      <c r="BI575" s="18">
        <v>0</v>
      </c>
      <c r="BJ575">
        <v>25208</v>
      </c>
      <c r="BK575">
        <v>1486</v>
      </c>
      <c r="BL575" s="25">
        <v>39.1</v>
      </c>
      <c r="BM575">
        <v>0</v>
      </c>
      <c r="BN575">
        <v>0</v>
      </c>
      <c r="BO575">
        <v>0</v>
      </c>
      <c r="BP575">
        <v>0</v>
      </c>
      <c r="BQ575">
        <v>0</v>
      </c>
      <c r="BR575">
        <v>1</v>
      </c>
      <c r="BS575">
        <v>0</v>
      </c>
      <c r="BT575" s="18">
        <v>0</v>
      </c>
      <c r="BU575">
        <v>0</v>
      </c>
      <c r="BV575">
        <v>1</v>
      </c>
      <c r="BW575">
        <v>0</v>
      </c>
      <c r="BX575" s="18">
        <v>0</v>
      </c>
      <c r="BY575">
        <v>0</v>
      </c>
      <c r="BZ575">
        <v>0</v>
      </c>
      <c r="CA575">
        <v>0</v>
      </c>
      <c r="CB575">
        <v>0</v>
      </c>
      <c r="CC575" s="18">
        <v>1</v>
      </c>
      <c r="CD575">
        <v>1</v>
      </c>
      <c r="CE575">
        <v>1</v>
      </c>
      <c r="CF575">
        <v>0</v>
      </c>
      <c r="CG575">
        <v>0</v>
      </c>
      <c r="CH575">
        <v>0</v>
      </c>
      <c r="CI575">
        <v>0</v>
      </c>
      <c r="CJ575">
        <v>0</v>
      </c>
      <c r="CK575">
        <v>0</v>
      </c>
      <c r="CL575">
        <v>0</v>
      </c>
      <c r="CM575">
        <v>0</v>
      </c>
      <c r="CN575" s="18">
        <v>1</v>
      </c>
      <c r="CO575">
        <v>0</v>
      </c>
      <c r="CP575">
        <v>43</v>
      </c>
      <c r="CQ575">
        <v>0</v>
      </c>
      <c r="CR575">
        <v>1</v>
      </c>
      <c r="CS575">
        <v>6</v>
      </c>
      <c r="CY575" s="34"/>
    </row>
    <row r="576" spans="1:103" x14ac:dyDescent="0.25">
      <c r="A576">
        <v>575</v>
      </c>
      <c r="B576">
        <v>38</v>
      </c>
      <c r="C576" s="25" t="s">
        <v>328</v>
      </c>
      <c r="D576" s="12">
        <v>7.84</v>
      </c>
      <c r="E576" s="14">
        <v>6.6</v>
      </c>
      <c r="F576" s="7">
        <f t="shared" si="139"/>
        <v>1.187878787878788</v>
      </c>
      <c r="G576" s="7">
        <f t="shared" si="125"/>
        <v>1.2400000000000002</v>
      </c>
      <c r="H576" s="16">
        <f t="shared" si="126"/>
        <v>14.44</v>
      </c>
      <c r="I576" s="11">
        <f t="shared" si="129"/>
        <v>5.0632404551922874E-2</v>
      </c>
      <c r="J576" s="33">
        <f t="shared" si="130"/>
        <v>4.2624218117690169E-2</v>
      </c>
      <c r="K576" s="33">
        <f t="shared" si="131"/>
        <v>23.460840905958431</v>
      </c>
      <c r="L576" s="8">
        <v>0</v>
      </c>
      <c r="M576" s="9">
        <v>1</v>
      </c>
      <c r="N576" s="8">
        <v>0</v>
      </c>
      <c r="O576" s="9">
        <v>0</v>
      </c>
      <c r="P576" s="9">
        <v>0</v>
      </c>
      <c r="Q576" s="9">
        <v>1</v>
      </c>
      <c r="R576" s="9">
        <v>0</v>
      </c>
      <c r="S576" s="8">
        <v>563</v>
      </c>
      <c r="T576" s="9">
        <v>13</v>
      </c>
      <c r="U576" s="9">
        <f t="shared" si="127"/>
        <v>549</v>
      </c>
      <c r="V576" s="9">
        <f t="shared" si="128"/>
        <v>50</v>
      </c>
      <c r="W576" s="7">
        <f t="shared" si="144"/>
        <v>9.4307999999999996</v>
      </c>
      <c r="X576" s="7">
        <f t="shared" si="145"/>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46"/>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v>0</v>
      </c>
      <c r="BF576" s="18">
        <v>0</v>
      </c>
      <c r="BG576">
        <v>1</v>
      </c>
      <c r="BH576">
        <v>0</v>
      </c>
      <c r="BI576" s="18">
        <v>0</v>
      </c>
      <c r="BJ576">
        <v>25208</v>
      </c>
      <c r="BK576">
        <v>1486</v>
      </c>
      <c r="BL576" s="25">
        <v>39.1</v>
      </c>
      <c r="BM576">
        <v>0</v>
      </c>
      <c r="BN576">
        <v>0</v>
      </c>
      <c r="BO576">
        <v>0</v>
      </c>
      <c r="BP576">
        <v>0</v>
      </c>
      <c r="BQ576">
        <v>0</v>
      </c>
      <c r="BR576">
        <v>1</v>
      </c>
      <c r="BS576">
        <v>0</v>
      </c>
      <c r="BT576" s="18">
        <v>0</v>
      </c>
      <c r="BU576">
        <v>0</v>
      </c>
      <c r="BV576">
        <v>1</v>
      </c>
      <c r="BW576">
        <v>0</v>
      </c>
      <c r="BX576" s="18">
        <v>0</v>
      </c>
      <c r="BY576">
        <v>0</v>
      </c>
      <c r="BZ576">
        <v>0</v>
      </c>
      <c r="CA576">
        <v>0</v>
      </c>
      <c r="CB576">
        <v>0</v>
      </c>
      <c r="CC576" s="18">
        <v>1</v>
      </c>
      <c r="CD576">
        <v>1</v>
      </c>
      <c r="CE576">
        <v>1</v>
      </c>
      <c r="CF576">
        <v>0</v>
      </c>
      <c r="CG576">
        <v>0</v>
      </c>
      <c r="CH576">
        <v>0</v>
      </c>
      <c r="CI576">
        <v>0</v>
      </c>
      <c r="CJ576">
        <v>0</v>
      </c>
      <c r="CK576">
        <v>0</v>
      </c>
      <c r="CL576">
        <v>0</v>
      </c>
      <c r="CM576">
        <v>0</v>
      </c>
      <c r="CN576" s="18">
        <v>1</v>
      </c>
      <c r="CO576">
        <v>0</v>
      </c>
      <c r="CP576">
        <v>43</v>
      </c>
      <c r="CQ576">
        <v>0</v>
      </c>
      <c r="CR576">
        <v>1</v>
      </c>
      <c r="CS576">
        <v>6</v>
      </c>
      <c r="CY576" s="34"/>
    </row>
    <row r="577" spans="1:103" x14ac:dyDescent="0.25">
      <c r="A577">
        <v>576</v>
      </c>
      <c r="B577">
        <v>38</v>
      </c>
      <c r="C577" s="25" t="s">
        <v>328</v>
      </c>
      <c r="D577" s="12">
        <v>10.7</v>
      </c>
      <c r="E577" s="14">
        <v>0.7</v>
      </c>
      <c r="F577" s="7">
        <f t="shared" si="139"/>
        <v>15.285714285714286</v>
      </c>
      <c r="G577" s="7">
        <f t="shared" si="125"/>
        <v>10</v>
      </c>
      <c r="H577" s="16">
        <f t="shared" si="126"/>
        <v>11.399999999999999</v>
      </c>
      <c r="I577" s="11">
        <f t="shared" si="129"/>
        <v>0.26231557764971181</v>
      </c>
      <c r="J577" s="33">
        <f t="shared" si="130"/>
        <v>1.7160832182691425E-2</v>
      </c>
      <c r="K577" s="33">
        <f t="shared" si="131"/>
        <v>58.272232334315888</v>
      </c>
      <c r="L577" s="8">
        <v>0</v>
      </c>
      <c r="M577" s="9">
        <v>1</v>
      </c>
      <c r="N577" s="8">
        <v>0</v>
      </c>
      <c r="O577" s="9">
        <v>0</v>
      </c>
      <c r="P577" s="9">
        <v>0</v>
      </c>
      <c r="Q577" s="9">
        <v>1</v>
      </c>
      <c r="R577" s="9">
        <v>0</v>
      </c>
      <c r="S577" s="8">
        <v>3169</v>
      </c>
      <c r="T577" s="9">
        <v>6</v>
      </c>
      <c r="U577" s="9">
        <f t="shared" si="127"/>
        <v>3162</v>
      </c>
      <c r="V577" s="9">
        <f t="shared" si="128"/>
        <v>50</v>
      </c>
      <c r="W577" s="7">
        <f t="shared" si="144"/>
        <v>9.4307999999999996</v>
      </c>
      <c r="X577" s="7">
        <f t="shared" si="145"/>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46"/>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v>0</v>
      </c>
      <c r="BF577" s="18">
        <v>0</v>
      </c>
      <c r="BG577">
        <v>1</v>
      </c>
      <c r="BH577">
        <v>0</v>
      </c>
      <c r="BI577" s="18">
        <v>0</v>
      </c>
      <c r="BJ577">
        <v>25208</v>
      </c>
      <c r="BK577">
        <v>1486</v>
      </c>
      <c r="BL577" s="25">
        <v>39.1</v>
      </c>
      <c r="BM577">
        <v>1</v>
      </c>
      <c r="BN577">
        <v>0</v>
      </c>
      <c r="BO577">
        <v>0</v>
      </c>
      <c r="BP577">
        <v>0</v>
      </c>
      <c r="BQ577">
        <v>0</v>
      </c>
      <c r="BR577">
        <v>0</v>
      </c>
      <c r="BS577">
        <v>0</v>
      </c>
      <c r="BT577" s="18">
        <v>0</v>
      </c>
      <c r="BU577">
        <v>1</v>
      </c>
      <c r="BV577">
        <v>0</v>
      </c>
      <c r="BW577">
        <v>0</v>
      </c>
      <c r="BX577" s="18">
        <v>0</v>
      </c>
      <c r="BY577">
        <v>0</v>
      </c>
      <c r="BZ577">
        <v>0</v>
      </c>
      <c r="CA577">
        <v>0</v>
      </c>
      <c r="CB577">
        <v>0</v>
      </c>
      <c r="CC577" s="18">
        <v>0</v>
      </c>
      <c r="CD577">
        <v>1</v>
      </c>
      <c r="CE577">
        <v>1</v>
      </c>
      <c r="CF577">
        <v>0</v>
      </c>
      <c r="CG577">
        <v>0</v>
      </c>
      <c r="CH577">
        <v>0</v>
      </c>
      <c r="CI577">
        <v>0</v>
      </c>
      <c r="CJ577">
        <v>0</v>
      </c>
      <c r="CK577">
        <v>0</v>
      </c>
      <c r="CL577">
        <v>0</v>
      </c>
      <c r="CM577">
        <v>0</v>
      </c>
      <c r="CN577" s="18">
        <v>0</v>
      </c>
      <c r="CO577">
        <v>0</v>
      </c>
      <c r="CP577">
        <v>43</v>
      </c>
      <c r="CQ577">
        <v>0</v>
      </c>
      <c r="CR577">
        <v>1</v>
      </c>
      <c r="CS577">
        <v>6</v>
      </c>
      <c r="CY577" s="34"/>
    </row>
    <row r="578" spans="1:103" x14ac:dyDescent="0.25">
      <c r="A578">
        <v>577</v>
      </c>
      <c r="B578">
        <v>38</v>
      </c>
      <c r="C578" s="25" t="s">
        <v>328</v>
      </c>
      <c r="D578" s="12">
        <v>6.1</v>
      </c>
      <c r="E578" s="14">
        <v>0.6</v>
      </c>
      <c r="F578" s="7">
        <f t="shared" si="139"/>
        <v>10.166666666666666</v>
      </c>
      <c r="G578" s="7">
        <f t="shared" ref="G578:G641" si="147">D578-E578</f>
        <v>5.5</v>
      </c>
      <c r="H578" s="16">
        <f t="shared" ref="H578:H641" si="148">D578+E578</f>
        <v>6.6999999999999993</v>
      </c>
      <c r="I578" s="11">
        <f t="shared" si="129"/>
        <v>0.22306045616761169</v>
      </c>
      <c r="J578" s="33">
        <f t="shared" si="130"/>
        <v>2.1940372737797871E-2</v>
      </c>
      <c r="K578" s="33">
        <f t="shared" si="131"/>
        <v>45.578077088783715</v>
      </c>
      <c r="L578" s="8">
        <v>0</v>
      </c>
      <c r="M578" s="9">
        <v>1</v>
      </c>
      <c r="N578" s="8">
        <v>0</v>
      </c>
      <c r="O578" s="9">
        <v>0</v>
      </c>
      <c r="P578" s="9">
        <v>0</v>
      </c>
      <c r="Q578" s="9">
        <v>1</v>
      </c>
      <c r="R578" s="9">
        <v>0</v>
      </c>
      <c r="S578" s="8">
        <v>1981</v>
      </c>
      <c r="T578" s="9">
        <v>6</v>
      </c>
      <c r="U578" s="9">
        <f t="shared" ref="U578:U641" si="149">S578-T578-1</f>
        <v>1974</v>
      </c>
      <c r="V578" s="9">
        <f t="shared" ref="V578:V641" si="150">COUNTIF(B:B,B578)</f>
        <v>50</v>
      </c>
      <c r="W578" s="7">
        <f t="shared" si="144"/>
        <v>9.4307999999999996</v>
      </c>
      <c r="X578" s="7">
        <f t="shared" si="145"/>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46"/>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v>0</v>
      </c>
      <c r="BF578" s="18">
        <v>0</v>
      </c>
      <c r="BG578">
        <v>1</v>
      </c>
      <c r="BH578">
        <v>0</v>
      </c>
      <c r="BI578" s="18">
        <v>0</v>
      </c>
      <c r="BJ578">
        <v>25208</v>
      </c>
      <c r="BK578">
        <v>1486</v>
      </c>
      <c r="BL578" s="25">
        <v>39.1</v>
      </c>
      <c r="BM578">
        <v>1</v>
      </c>
      <c r="BN578">
        <v>0</v>
      </c>
      <c r="BO578">
        <v>0</v>
      </c>
      <c r="BP578">
        <v>0</v>
      </c>
      <c r="BQ578">
        <v>0</v>
      </c>
      <c r="BR578">
        <v>0</v>
      </c>
      <c r="BS578">
        <v>0</v>
      </c>
      <c r="BT578" s="18">
        <v>0</v>
      </c>
      <c r="BU578">
        <v>1</v>
      </c>
      <c r="BV578">
        <v>0</v>
      </c>
      <c r="BW578">
        <v>0</v>
      </c>
      <c r="BX578" s="18">
        <v>0</v>
      </c>
      <c r="BY578">
        <v>0</v>
      </c>
      <c r="BZ578">
        <v>0</v>
      </c>
      <c r="CA578">
        <v>0</v>
      </c>
      <c r="CB578">
        <v>0</v>
      </c>
      <c r="CC578" s="18">
        <v>0</v>
      </c>
      <c r="CD578">
        <v>1</v>
      </c>
      <c r="CE578">
        <v>1</v>
      </c>
      <c r="CF578">
        <v>0</v>
      </c>
      <c r="CG578">
        <v>0</v>
      </c>
      <c r="CH578">
        <v>0</v>
      </c>
      <c r="CI578">
        <v>0</v>
      </c>
      <c r="CJ578">
        <v>0</v>
      </c>
      <c r="CK578">
        <v>0</v>
      </c>
      <c r="CL578">
        <v>0</v>
      </c>
      <c r="CM578">
        <v>0</v>
      </c>
      <c r="CN578" s="18">
        <v>0</v>
      </c>
      <c r="CO578">
        <v>0</v>
      </c>
      <c r="CP578">
        <v>43</v>
      </c>
      <c r="CQ578">
        <v>0</v>
      </c>
      <c r="CR578">
        <v>1</v>
      </c>
      <c r="CS578">
        <v>6</v>
      </c>
      <c r="CY578" s="34"/>
    </row>
    <row r="579" spans="1:103" x14ac:dyDescent="0.25">
      <c r="A579">
        <v>578</v>
      </c>
      <c r="B579">
        <v>38</v>
      </c>
      <c r="C579" s="25" t="s">
        <v>328</v>
      </c>
      <c r="D579" s="12">
        <v>10.7</v>
      </c>
      <c r="E579" s="14">
        <v>0.7</v>
      </c>
      <c r="F579" s="7">
        <f t="shared" si="139"/>
        <v>15.285714285714286</v>
      </c>
      <c r="G579" s="7">
        <f t="shared" si="147"/>
        <v>10</v>
      </c>
      <c r="H579" s="16">
        <f t="shared" si="148"/>
        <v>11.399999999999999</v>
      </c>
      <c r="I579" s="11">
        <f t="shared" si="129"/>
        <v>0.26231557764971181</v>
      </c>
      <c r="J579" s="33">
        <f t="shared" si="130"/>
        <v>1.7160832182691425E-2</v>
      </c>
      <c r="K579" s="33">
        <f t="shared" si="131"/>
        <v>58.272232334315888</v>
      </c>
      <c r="L579" s="8">
        <v>0</v>
      </c>
      <c r="M579" s="9">
        <v>1</v>
      </c>
      <c r="N579" s="8">
        <v>0</v>
      </c>
      <c r="O579" s="9">
        <v>0</v>
      </c>
      <c r="P579" s="9">
        <v>0</v>
      </c>
      <c r="Q579" s="9">
        <v>1</v>
      </c>
      <c r="R579" s="9">
        <v>0</v>
      </c>
      <c r="S579" s="8">
        <v>3169</v>
      </c>
      <c r="T579" s="9">
        <v>6</v>
      </c>
      <c r="U579" s="9">
        <f t="shared" si="149"/>
        <v>3162</v>
      </c>
      <c r="V579" s="9">
        <f t="shared" si="150"/>
        <v>50</v>
      </c>
      <c r="W579" s="7">
        <f t="shared" si="144"/>
        <v>9.4307999999999996</v>
      </c>
      <c r="X579" s="7">
        <f t="shared" si="145"/>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46"/>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v>0</v>
      </c>
      <c r="BF579" s="18">
        <v>0</v>
      </c>
      <c r="BG579">
        <v>1</v>
      </c>
      <c r="BH579">
        <v>0</v>
      </c>
      <c r="BI579" s="18">
        <v>0</v>
      </c>
      <c r="BJ579">
        <v>25208</v>
      </c>
      <c r="BK579">
        <v>1486</v>
      </c>
      <c r="BL579" s="25">
        <v>39.1</v>
      </c>
      <c r="BM579">
        <v>1</v>
      </c>
      <c r="BN579">
        <v>0</v>
      </c>
      <c r="BO579">
        <v>0</v>
      </c>
      <c r="BP579">
        <v>0</v>
      </c>
      <c r="BQ579">
        <v>0</v>
      </c>
      <c r="BR579">
        <v>0</v>
      </c>
      <c r="BS579">
        <v>0</v>
      </c>
      <c r="BT579" s="18">
        <v>0</v>
      </c>
      <c r="BU579">
        <v>1</v>
      </c>
      <c r="BV579">
        <v>0</v>
      </c>
      <c r="BW579">
        <v>0</v>
      </c>
      <c r="BX579" s="18">
        <v>0</v>
      </c>
      <c r="BY579">
        <v>0</v>
      </c>
      <c r="BZ579">
        <v>0</v>
      </c>
      <c r="CA579">
        <v>0</v>
      </c>
      <c r="CB579">
        <v>0</v>
      </c>
      <c r="CC579" s="18">
        <v>0</v>
      </c>
      <c r="CD579">
        <v>1</v>
      </c>
      <c r="CE579">
        <v>1</v>
      </c>
      <c r="CF579">
        <v>0</v>
      </c>
      <c r="CG579">
        <v>0</v>
      </c>
      <c r="CH579">
        <v>0</v>
      </c>
      <c r="CI579">
        <v>0</v>
      </c>
      <c r="CJ579">
        <v>0</v>
      </c>
      <c r="CK579">
        <v>0</v>
      </c>
      <c r="CL579">
        <v>0</v>
      </c>
      <c r="CM579">
        <v>0</v>
      </c>
      <c r="CN579" s="18">
        <v>0</v>
      </c>
      <c r="CO579">
        <v>0</v>
      </c>
      <c r="CP579">
        <v>43</v>
      </c>
      <c r="CQ579">
        <v>0</v>
      </c>
      <c r="CR579">
        <v>1</v>
      </c>
      <c r="CS579">
        <v>6</v>
      </c>
      <c r="CY579" s="34"/>
    </row>
    <row r="580" spans="1:103" x14ac:dyDescent="0.25">
      <c r="A580">
        <v>579</v>
      </c>
      <c r="B580">
        <v>38</v>
      </c>
      <c r="C580" s="25" t="s">
        <v>328</v>
      </c>
      <c r="D580" s="12">
        <v>6.1</v>
      </c>
      <c r="E580" s="14">
        <v>0.6</v>
      </c>
      <c r="F580" s="7">
        <f t="shared" si="139"/>
        <v>10.166666666666666</v>
      </c>
      <c r="G580" s="7">
        <f t="shared" si="147"/>
        <v>5.5</v>
      </c>
      <c r="H580" s="16">
        <f t="shared" si="148"/>
        <v>6.6999999999999993</v>
      </c>
      <c r="I580" s="11">
        <f t="shared" si="129"/>
        <v>0.22306045616761169</v>
      </c>
      <c r="J580" s="33">
        <f t="shared" si="130"/>
        <v>2.1940372737797871E-2</v>
      </c>
      <c r="K580" s="33">
        <f t="shared" si="131"/>
        <v>45.578077088783715</v>
      </c>
      <c r="L580" s="8">
        <v>0</v>
      </c>
      <c r="M580" s="9">
        <v>1</v>
      </c>
      <c r="N580" s="8">
        <v>0</v>
      </c>
      <c r="O580" s="9">
        <v>0</v>
      </c>
      <c r="P580" s="9">
        <v>0</v>
      </c>
      <c r="Q580" s="9">
        <v>1</v>
      </c>
      <c r="R580" s="9">
        <v>0</v>
      </c>
      <c r="S580" s="8">
        <v>1981</v>
      </c>
      <c r="T580" s="9">
        <v>6</v>
      </c>
      <c r="U580" s="9">
        <f t="shared" si="149"/>
        <v>1974</v>
      </c>
      <c r="V580" s="9">
        <f t="shared" si="150"/>
        <v>50</v>
      </c>
      <c r="W580" s="7">
        <f t="shared" si="144"/>
        <v>9.4307999999999996</v>
      </c>
      <c r="X580" s="7">
        <f t="shared" si="145"/>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46"/>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v>0</v>
      </c>
      <c r="BF580" s="18">
        <v>0</v>
      </c>
      <c r="BG580">
        <v>1</v>
      </c>
      <c r="BH580">
        <v>0</v>
      </c>
      <c r="BI580" s="18">
        <v>0</v>
      </c>
      <c r="BJ580">
        <v>25208</v>
      </c>
      <c r="BK580">
        <v>1486</v>
      </c>
      <c r="BL580" s="25">
        <v>39.1</v>
      </c>
      <c r="BM580">
        <v>1</v>
      </c>
      <c r="BN580">
        <v>0</v>
      </c>
      <c r="BO580">
        <v>0</v>
      </c>
      <c r="BP580">
        <v>0</v>
      </c>
      <c r="BQ580">
        <v>0</v>
      </c>
      <c r="BR580">
        <v>0</v>
      </c>
      <c r="BS580">
        <v>0</v>
      </c>
      <c r="BT580" s="18">
        <v>0</v>
      </c>
      <c r="BU580">
        <v>1</v>
      </c>
      <c r="BV580">
        <v>0</v>
      </c>
      <c r="BW580">
        <v>0</v>
      </c>
      <c r="BX580" s="18">
        <v>0</v>
      </c>
      <c r="BY580">
        <v>0</v>
      </c>
      <c r="BZ580">
        <v>0</v>
      </c>
      <c r="CA580">
        <v>0</v>
      </c>
      <c r="CB580">
        <v>0</v>
      </c>
      <c r="CC580" s="18">
        <v>0</v>
      </c>
      <c r="CD580">
        <v>1</v>
      </c>
      <c r="CE580">
        <v>1</v>
      </c>
      <c r="CF580">
        <v>0</v>
      </c>
      <c r="CG580">
        <v>0</v>
      </c>
      <c r="CH580">
        <v>0</v>
      </c>
      <c r="CI580">
        <v>0</v>
      </c>
      <c r="CJ580">
        <v>0</v>
      </c>
      <c r="CK580">
        <v>0</v>
      </c>
      <c r="CL580">
        <v>0</v>
      </c>
      <c r="CM580">
        <v>0</v>
      </c>
      <c r="CN580" s="18">
        <v>0</v>
      </c>
      <c r="CO580">
        <v>0</v>
      </c>
      <c r="CP580">
        <v>43</v>
      </c>
      <c r="CQ580">
        <v>0</v>
      </c>
      <c r="CR580">
        <v>1</v>
      </c>
      <c r="CS580">
        <v>6</v>
      </c>
      <c r="CY580" s="34"/>
    </row>
    <row r="581" spans="1:103" x14ac:dyDescent="0.25">
      <c r="A581">
        <v>580</v>
      </c>
      <c r="B581">
        <v>38</v>
      </c>
      <c r="C581" s="25" t="s">
        <v>328</v>
      </c>
      <c r="D581" s="12">
        <v>10.7</v>
      </c>
      <c r="E581" s="14">
        <v>0.7</v>
      </c>
      <c r="F581" s="7">
        <f t="shared" si="139"/>
        <v>15.285714285714286</v>
      </c>
      <c r="G581" s="7">
        <f t="shared" si="147"/>
        <v>10</v>
      </c>
      <c r="H581" s="16">
        <f t="shared" si="148"/>
        <v>11.399999999999999</v>
      </c>
      <c r="I581" s="11">
        <f t="shared" si="129"/>
        <v>0.26231557764971181</v>
      </c>
      <c r="J581" s="33">
        <f t="shared" si="130"/>
        <v>1.7160832182691425E-2</v>
      </c>
      <c r="K581" s="33">
        <f t="shared" si="131"/>
        <v>58.272232334315888</v>
      </c>
      <c r="L581" s="8">
        <v>0</v>
      </c>
      <c r="M581" s="9">
        <v>1</v>
      </c>
      <c r="N581" s="8">
        <v>0</v>
      </c>
      <c r="O581" s="9">
        <v>0</v>
      </c>
      <c r="P581" s="9">
        <v>0</v>
      </c>
      <c r="Q581" s="9">
        <v>1</v>
      </c>
      <c r="R581" s="9">
        <v>0</v>
      </c>
      <c r="S581" s="8">
        <v>3169</v>
      </c>
      <c r="T581" s="9">
        <v>6</v>
      </c>
      <c r="U581" s="9">
        <f t="shared" si="149"/>
        <v>3162</v>
      </c>
      <c r="V581" s="9">
        <f t="shared" si="150"/>
        <v>50</v>
      </c>
      <c r="W581" s="7">
        <f t="shared" si="144"/>
        <v>9.4307999999999996</v>
      </c>
      <c r="X581" s="7">
        <f t="shared" si="145"/>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46"/>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v>0</v>
      </c>
      <c r="BF581" s="18">
        <v>0</v>
      </c>
      <c r="BG581">
        <v>1</v>
      </c>
      <c r="BH581">
        <v>0</v>
      </c>
      <c r="BI581" s="18">
        <v>0</v>
      </c>
      <c r="BJ581">
        <v>25208</v>
      </c>
      <c r="BK581">
        <v>1486</v>
      </c>
      <c r="BL581" s="25">
        <v>39.1</v>
      </c>
      <c r="BM581">
        <v>1</v>
      </c>
      <c r="BN581">
        <v>0</v>
      </c>
      <c r="BO581">
        <v>0</v>
      </c>
      <c r="BP581">
        <v>0</v>
      </c>
      <c r="BQ581">
        <v>0</v>
      </c>
      <c r="BR581">
        <v>0</v>
      </c>
      <c r="BS581">
        <v>0</v>
      </c>
      <c r="BT581" s="18">
        <v>0</v>
      </c>
      <c r="BU581">
        <v>1</v>
      </c>
      <c r="BV581">
        <v>0</v>
      </c>
      <c r="BW581">
        <v>0</v>
      </c>
      <c r="BX581" s="18">
        <v>0</v>
      </c>
      <c r="BY581">
        <v>0</v>
      </c>
      <c r="BZ581">
        <v>0</v>
      </c>
      <c r="CA581">
        <v>0</v>
      </c>
      <c r="CB581">
        <v>0</v>
      </c>
      <c r="CC581" s="18">
        <v>0</v>
      </c>
      <c r="CD581">
        <v>1</v>
      </c>
      <c r="CE581">
        <v>1</v>
      </c>
      <c r="CF581">
        <v>0</v>
      </c>
      <c r="CG581">
        <v>0</v>
      </c>
      <c r="CH581">
        <v>0</v>
      </c>
      <c r="CI581">
        <v>0</v>
      </c>
      <c r="CJ581">
        <v>0</v>
      </c>
      <c r="CK581">
        <v>0</v>
      </c>
      <c r="CL581">
        <v>0</v>
      </c>
      <c r="CM581">
        <v>0</v>
      </c>
      <c r="CN581" s="18">
        <v>0</v>
      </c>
      <c r="CO581">
        <v>0</v>
      </c>
      <c r="CP581">
        <v>43</v>
      </c>
      <c r="CQ581">
        <v>0</v>
      </c>
      <c r="CR581">
        <v>1</v>
      </c>
      <c r="CS581">
        <v>6</v>
      </c>
      <c r="CY581" s="34"/>
    </row>
    <row r="582" spans="1:103" x14ac:dyDescent="0.25">
      <c r="A582">
        <v>581</v>
      </c>
      <c r="B582">
        <v>38</v>
      </c>
      <c r="C582" s="25" t="s">
        <v>328</v>
      </c>
      <c r="D582" s="12">
        <v>6.1</v>
      </c>
      <c r="E582" s="14">
        <v>0.6</v>
      </c>
      <c r="F582" s="7">
        <f t="shared" si="139"/>
        <v>10.166666666666666</v>
      </c>
      <c r="G582" s="7">
        <f t="shared" si="147"/>
        <v>5.5</v>
      </c>
      <c r="H582" s="16">
        <f t="shared" si="148"/>
        <v>6.6999999999999993</v>
      </c>
      <c r="I582" s="11">
        <f t="shared" si="129"/>
        <v>0.22306045616761169</v>
      </c>
      <c r="J582" s="33">
        <f t="shared" si="130"/>
        <v>2.1940372737797871E-2</v>
      </c>
      <c r="K582" s="33">
        <f t="shared" si="131"/>
        <v>45.578077088783715</v>
      </c>
      <c r="L582" s="8">
        <v>0</v>
      </c>
      <c r="M582" s="9">
        <v>1</v>
      </c>
      <c r="N582" s="8">
        <v>0</v>
      </c>
      <c r="O582" s="9">
        <v>0</v>
      </c>
      <c r="P582" s="9">
        <v>0</v>
      </c>
      <c r="Q582" s="9">
        <v>1</v>
      </c>
      <c r="R582" s="9">
        <v>0</v>
      </c>
      <c r="S582" s="8">
        <v>1981</v>
      </c>
      <c r="T582" s="9">
        <v>6</v>
      </c>
      <c r="U582" s="9">
        <f t="shared" si="149"/>
        <v>1974</v>
      </c>
      <c r="V582" s="9">
        <f t="shared" si="150"/>
        <v>50</v>
      </c>
      <c r="W582" s="7">
        <f t="shared" si="144"/>
        <v>9.4307999999999996</v>
      </c>
      <c r="X582" s="7">
        <f t="shared" si="145"/>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46"/>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v>0</v>
      </c>
      <c r="BF582" s="18">
        <v>0</v>
      </c>
      <c r="BG582">
        <v>1</v>
      </c>
      <c r="BH582">
        <v>0</v>
      </c>
      <c r="BI582" s="18">
        <v>0</v>
      </c>
      <c r="BJ582">
        <v>25208</v>
      </c>
      <c r="BK582">
        <v>1486</v>
      </c>
      <c r="BL582" s="25">
        <v>39.1</v>
      </c>
      <c r="BM582">
        <v>1</v>
      </c>
      <c r="BN582">
        <v>0</v>
      </c>
      <c r="BO582">
        <v>0</v>
      </c>
      <c r="BP582">
        <v>0</v>
      </c>
      <c r="BQ582">
        <v>0</v>
      </c>
      <c r="BR582">
        <v>0</v>
      </c>
      <c r="BS582">
        <v>0</v>
      </c>
      <c r="BT582" s="18">
        <v>0</v>
      </c>
      <c r="BU582">
        <v>1</v>
      </c>
      <c r="BV582">
        <v>0</v>
      </c>
      <c r="BW582">
        <v>0</v>
      </c>
      <c r="BX582" s="18">
        <v>0</v>
      </c>
      <c r="BY582">
        <v>0</v>
      </c>
      <c r="BZ582">
        <v>0</v>
      </c>
      <c r="CA582">
        <v>0</v>
      </c>
      <c r="CB582">
        <v>0</v>
      </c>
      <c r="CC582" s="18">
        <v>0</v>
      </c>
      <c r="CD582">
        <v>1</v>
      </c>
      <c r="CE582">
        <v>1</v>
      </c>
      <c r="CF582">
        <v>0</v>
      </c>
      <c r="CG582">
        <v>0</v>
      </c>
      <c r="CH582">
        <v>0</v>
      </c>
      <c r="CI582">
        <v>0</v>
      </c>
      <c r="CJ582">
        <v>0</v>
      </c>
      <c r="CK582">
        <v>0</v>
      </c>
      <c r="CL582">
        <v>0</v>
      </c>
      <c r="CM582">
        <v>0</v>
      </c>
      <c r="CN582" s="18">
        <v>0</v>
      </c>
      <c r="CO582">
        <v>0</v>
      </c>
      <c r="CP582">
        <v>43</v>
      </c>
      <c r="CQ582">
        <v>0</v>
      </c>
      <c r="CR582">
        <v>1</v>
      </c>
      <c r="CS582">
        <v>6</v>
      </c>
      <c r="CY582" s="34"/>
    </row>
    <row r="583" spans="1:103" x14ac:dyDescent="0.25">
      <c r="A583">
        <v>582</v>
      </c>
      <c r="B583">
        <v>38</v>
      </c>
      <c r="C583" s="25" t="s">
        <v>328</v>
      </c>
      <c r="D583" s="12">
        <v>10.6</v>
      </c>
      <c r="E583" s="14">
        <v>1.4</v>
      </c>
      <c r="F583" s="7">
        <f t="shared" si="139"/>
        <v>7.5714285714285721</v>
      </c>
      <c r="G583" s="7">
        <f t="shared" si="147"/>
        <v>9.1999999999999993</v>
      </c>
      <c r="H583" s="16">
        <f t="shared" si="148"/>
        <v>12</v>
      </c>
      <c r="I583" s="11">
        <f t="shared" si="129"/>
        <v>0.13344285198072434</v>
      </c>
      <c r="J583" s="33">
        <f t="shared" si="130"/>
        <v>1.7624527620095667E-2</v>
      </c>
      <c r="K583" s="33">
        <f t="shared" si="131"/>
        <v>56.739109356882267</v>
      </c>
      <c r="L583" s="8">
        <v>0</v>
      </c>
      <c r="M583" s="9">
        <v>1</v>
      </c>
      <c r="N583" s="8">
        <v>0</v>
      </c>
      <c r="O583" s="9">
        <v>0</v>
      </c>
      <c r="P583" s="9">
        <v>0</v>
      </c>
      <c r="Q583" s="9">
        <v>1</v>
      </c>
      <c r="R583" s="9">
        <v>0</v>
      </c>
      <c r="S583" s="8">
        <v>3169</v>
      </c>
      <c r="T583" s="9">
        <v>6</v>
      </c>
      <c r="U583" s="9">
        <f t="shared" si="149"/>
        <v>3162</v>
      </c>
      <c r="V583" s="9">
        <f t="shared" si="150"/>
        <v>50</v>
      </c>
      <c r="W583" s="7">
        <f t="shared" si="144"/>
        <v>9.4307999999999996</v>
      </c>
      <c r="X583" s="7">
        <f t="shared" si="145"/>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46"/>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v>0</v>
      </c>
      <c r="BF583" s="18">
        <v>0</v>
      </c>
      <c r="BG583">
        <v>1</v>
      </c>
      <c r="BH583">
        <v>0</v>
      </c>
      <c r="BI583" s="18">
        <v>0</v>
      </c>
      <c r="BJ583">
        <v>25208</v>
      </c>
      <c r="BK583">
        <v>1486</v>
      </c>
      <c r="BL583" s="25">
        <v>39.1</v>
      </c>
      <c r="BM583">
        <v>1</v>
      </c>
      <c r="BN583">
        <v>0</v>
      </c>
      <c r="BO583">
        <v>0</v>
      </c>
      <c r="BP583">
        <v>0</v>
      </c>
      <c r="BQ583">
        <v>0</v>
      </c>
      <c r="BR583">
        <v>0</v>
      </c>
      <c r="BS583">
        <v>0</v>
      </c>
      <c r="BT583" s="18">
        <v>0</v>
      </c>
      <c r="BU583">
        <v>1</v>
      </c>
      <c r="BV583">
        <v>0</v>
      </c>
      <c r="BW583">
        <v>0</v>
      </c>
      <c r="BX583" s="18">
        <v>0</v>
      </c>
      <c r="BY583">
        <v>0</v>
      </c>
      <c r="BZ583">
        <v>0</v>
      </c>
      <c r="CA583">
        <v>0</v>
      </c>
      <c r="CB583">
        <v>0</v>
      </c>
      <c r="CC583" s="18">
        <v>0</v>
      </c>
      <c r="CD583">
        <v>1</v>
      </c>
      <c r="CE583">
        <v>1</v>
      </c>
      <c r="CF583">
        <v>0</v>
      </c>
      <c r="CG583">
        <v>0</v>
      </c>
      <c r="CH583">
        <v>0</v>
      </c>
      <c r="CI583">
        <v>0</v>
      </c>
      <c r="CJ583">
        <v>0</v>
      </c>
      <c r="CK583">
        <v>0</v>
      </c>
      <c r="CL583">
        <v>0</v>
      </c>
      <c r="CM583">
        <v>0</v>
      </c>
      <c r="CN583" s="18">
        <v>0</v>
      </c>
      <c r="CO583">
        <v>0</v>
      </c>
      <c r="CP583">
        <v>43</v>
      </c>
      <c r="CQ583">
        <v>0</v>
      </c>
      <c r="CR583">
        <v>1</v>
      </c>
      <c r="CS583">
        <v>6</v>
      </c>
      <c r="CY583" s="34"/>
    </row>
    <row r="584" spans="1:103" x14ac:dyDescent="0.25">
      <c r="A584">
        <v>583</v>
      </c>
      <c r="B584">
        <v>38</v>
      </c>
      <c r="C584" s="25" t="s">
        <v>328</v>
      </c>
      <c r="D584" s="12">
        <v>8.9</v>
      </c>
      <c r="E584" s="14">
        <v>0.9</v>
      </c>
      <c r="F584" s="7">
        <f t="shared" si="139"/>
        <v>9.8888888888888893</v>
      </c>
      <c r="G584" s="7">
        <f t="shared" si="147"/>
        <v>8</v>
      </c>
      <c r="H584" s="16">
        <f t="shared" si="148"/>
        <v>9.8000000000000007</v>
      </c>
      <c r="I584" s="11">
        <f t="shared" ref="I584:I647" si="151">IFERROR(F584/SQRT(F584^2+U584), "X")</f>
        <v>0.21725742008147989</v>
      </c>
      <c r="J584" s="33">
        <f t="shared" ref="J584:J647" si="152">IFERROR(SQRT((1-I584^2)/U584), "X")</f>
        <v>2.1969851468913698E-2</v>
      </c>
      <c r="K584" s="33">
        <f t="shared" ref="K584:K647" si="153">IFERROR(1/J584, "X")</f>
        <v>45.516921287108055</v>
      </c>
      <c r="L584" s="8">
        <v>0</v>
      </c>
      <c r="M584" s="9">
        <v>1</v>
      </c>
      <c r="N584" s="8">
        <v>0</v>
      </c>
      <c r="O584" s="9">
        <v>0</v>
      </c>
      <c r="P584" s="9">
        <v>0</v>
      </c>
      <c r="Q584" s="9">
        <v>1</v>
      </c>
      <c r="R584" s="9">
        <v>0</v>
      </c>
      <c r="S584" s="8">
        <v>1981</v>
      </c>
      <c r="T584" s="9">
        <v>6</v>
      </c>
      <c r="U584" s="9">
        <f t="shared" si="149"/>
        <v>1974</v>
      </c>
      <c r="V584" s="9">
        <f t="shared" si="150"/>
        <v>50</v>
      </c>
      <c r="W584" s="7">
        <f t="shared" si="144"/>
        <v>9.4307999999999996</v>
      </c>
      <c r="X584" s="7">
        <f t="shared" si="145"/>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46"/>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v>0</v>
      </c>
      <c r="BF584" s="18">
        <v>0</v>
      </c>
      <c r="BG584">
        <v>1</v>
      </c>
      <c r="BH584">
        <v>0</v>
      </c>
      <c r="BI584" s="18">
        <v>0</v>
      </c>
      <c r="BJ584">
        <v>25208</v>
      </c>
      <c r="BK584">
        <v>1486</v>
      </c>
      <c r="BL584" s="25">
        <v>39.1</v>
      </c>
      <c r="BM584">
        <v>1</v>
      </c>
      <c r="BN584">
        <v>0</v>
      </c>
      <c r="BO584">
        <v>0</v>
      </c>
      <c r="BP584">
        <v>0</v>
      </c>
      <c r="BQ584">
        <v>0</v>
      </c>
      <c r="BR584">
        <v>0</v>
      </c>
      <c r="BS584">
        <v>0</v>
      </c>
      <c r="BT584" s="18">
        <v>0</v>
      </c>
      <c r="BU584">
        <v>1</v>
      </c>
      <c r="BV584">
        <v>0</v>
      </c>
      <c r="BW584">
        <v>0</v>
      </c>
      <c r="BX584" s="18">
        <v>0</v>
      </c>
      <c r="BY584">
        <v>0</v>
      </c>
      <c r="BZ584">
        <v>0</v>
      </c>
      <c r="CA584">
        <v>0</v>
      </c>
      <c r="CB584">
        <v>0</v>
      </c>
      <c r="CC584" s="18">
        <v>0</v>
      </c>
      <c r="CD584">
        <v>1</v>
      </c>
      <c r="CE584">
        <v>1</v>
      </c>
      <c r="CF584">
        <v>0</v>
      </c>
      <c r="CG584">
        <v>0</v>
      </c>
      <c r="CH584">
        <v>0</v>
      </c>
      <c r="CI584">
        <v>0</v>
      </c>
      <c r="CJ584">
        <v>0</v>
      </c>
      <c r="CK584">
        <v>0</v>
      </c>
      <c r="CL584">
        <v>0</v>
      </c>
      <c r="CM584">
        <v>0</v>
      </c>
      <c r="CN584" s="18">
        <v>0</v>
      </c>
      <c r="CO584">
        <v>0</v>
      </c>
      <c r="CP584">
        <v>43</v>
      </c>
      <c r="CQ584">
        <v>0</v>
      </c>
      <c r="CR584">
        <v>1</v>
      </c>
      <c r="CS584">
        <v>6</v>
      </c>
      <c r="CY584" s="34"/>
    </row>
    <row r="585" spans="1:103" x14ac:dyDescent="0.25">
      <c r="A585">
        <v>584</v>
      </c>
      <c r="B585">
        <v>38</v>
      </c>
      <c r="C585" s="25" t="s">
        <v>328</v>
      </c>
      <c r="D585" s="12">
        <v>10</v>
      </c>
      <c r="E585" s="14">
        <v>0.8</v>
      </c>
      <c r="F585" s="7">
        <f t="shared" si="139"/>
        <v>12.5</v>
      </c>
      <c r="G585" s="7">
        <f t="shared" si="147"/>
        <v>9.1999999999999993</v>
      </c>
      <c r="H585" s="16">
        <f t="shared" si="148"/>
        <v>10.8</v>
      </c>
      <c r="I585" s="11">
        <f t="shared" si="151"/>
        <v>0.21699786527230083</v>
      </c>
      <c r="J585" s="33">
        <f t="shared" si="152"/>
        <v>1.7359829221784067E-2</v>
      </c>
      <c r="K585" s="33">
        <f t="shared" si="153"/>
        <v>57.604253315184984</v>
      </c>
      <c r="L585" s="8">
        <v>0</v>
      </c>
      <c r="M585" s="9">
        <v>1</v>
      </c>
      <c r="N585" s="8">
        <v>0</v>
      </c>
      <c r="O585" s="9">
        <v>0</v>
      </c>
      <c r="P585" s="9">
        <v>0</v>
      </c>
      <c r="Q585" s="9">
        <v>1</v>
      </c>
      <c r="R585" s="9">
        <v>0</v>
      </c>
      <c r="S585" s="8">
        <v>3169</v>
      </c>
      <c r="T585" s="9">
        <v>6</v>
      </c>
      <c r="U585" s="9">
        <f t="shared" si="149"/>
        <v>3162</v>
      </c>
      <c r="V585" s="9">
        <f t="shared" si="150"/>
        <v>50</v>
      </c>
      <c r="W585" s="7">
        <f t="shared" si="144"/>
        <v>9.4307999999999996</v>
      </c>
      <c r="X585" s="7">
        <f t="shared" si="145"/>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46"/>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v>0</v>
      </c>
      <c r="BF585" s="18">
        <v>0</v>
      </c>
      <c r="BG585">
        <v>1</v>
      </c>
      <c r="BH585">
        <v>0</v>
      </c>
      <c r="BI585" s="18">
        <v>0</v>
      </c>
      <c r="BJ585">
        <v>25208</v>
      </c>
      <c r="BK585">
        <v>1486</v>
      </c>
      <c r="BL585" s="25">
        <v>39.1</v>
      </c>
      <c r="BM585">
        <v>1</v>
      </c>
      <c r="BN585">
        <v>0</v>
      </c>
      <c r="BO585">
        <v>0</v>
      </c>
      <c r="BP585">
        <v>0</v>
      </c>
      <c r="BQ585">
        <v>0</v>
      </c>
      <c r="BR585">
        <v>0</v>
      </c>
      <c r="BS585">
        <v>0</v>
      </c>
      <c r="BT585" s="18">
        <v>0</v>
      </c>
      <c r="BU585">
        <v>1</v>
      </c>
      <c r="BV585">
        <v>0</v>
      </c>
      <c r="BW585">
        <v>0</v>
      </c>
      <c r="BX585" s="18">
        <v>0</v>
      </c>
      <c r="BY585">
        <v>0</v>
      </c>
      <c r="BZ585">
        <v>0</v>
      </c>
      <c r="CA585">
        <v>0</v>
      </c>
      <c r="CB585">
        <v>0</v>
      </c>
      <c r="CC585" s="18">
        <v>0</v>
      </c>
      <c r="CD585">
        <v>1</v>
      </c>
      <c r="CE585">
        <v>1</v>
      </c>
      <c r="CF585">
        <v>0</v>
      </c>
      <c r="CG585">
        <v>0</v>
      </c>
      <c r="CH585">
        <v>0</v>
      </c>
      <c r="CI585">
        <v>0</v>
      </c>
      <c r="CJ585">
        <v>0</v>
      </c>
      <c r="CK585">
        <v>0</v>
      </c>
      <c r="CL585">
        <v>0</v>
      </c>
      <c r="CM585">
        <v>0</v>
      </c>
      <c r="CN585" s="18">
        <v>0</v>
      </c>
      <c r="CO585">
        <v>0</v>
      </c>
      <c r="CP585">
        <v>43</v>
      </c>
      <c r="CQ585">
        <v>0</v>
      </c>
      <c r="CR585">
        <v>1</v>
      </c>
      <c r="CS585">
        <v>6</v>
      </c>
      <c r="CY585" s="34"/>
    </row>
    <row r="586" spans="1:103" x14ac:dyDescent="0.25">
      <c r="A586">
        <v>585</v>
      </c>
      <c r="B586">
        <v>38</v>
      </c>
      <c r="C586" s="25" t="s">
        <v>328</v>
      </c>
      <c r="D586" s="12">
        <v>5.0999999999999996</v>
      </c>
      <c r="E586" s="14">
        <v>0.6</v>
      </c>
      <c r="F586" s="7">
        <f t="shared" si="139"/>
        <v>8.5</v>
      </c>
      <c r="G586" s="7">
        <f t="shared" si="147"/>
        <v>4.5</v>
      </c>
      <c r="H586" s="16">
        <f t="shared" si="148"/>
        <v>5.6999999999999993</v>
      </c>
      <c r="I586" s="11">
        <f t="shared" si="151"/>
        <v>0.18790553781709984</v>
      </c>
      <c r="J586" s="33">
        <f t="shared" si="152"/>
        <v>2.2106533860835276E-2</v>
      </c>
      <c r="K586" s="33">
        <f t="shared" si="153"/>
        <v>45.235494912734183</v>
      </c>
      <c r="L586" s="8">
        <v>0</v>
      </c>
      <c r="M586" s="9">
        <v>1</v>
      </c>
      <c r="N586" s="8">
        <v>0</v>
      </c>
      <c r="O586" s="9">
        <v>0</v>
      </c>
      <c r="P586" s="9">
        <v>0</v>
      </c>
      <c r="Q586" s="9">
        <v>1</v>
      </c>
      <c r="R586" s="9">
        <v>0</v>
      </c>
      <c r="S586" s="8">
        <v>1981</v>
      </c>
      <c r="T586" s="9">
        <v>6</v>
      </c>
      <c r="U586" s="9">
        <f t="shared" si="149"/>
        <v>1974</v>
      </c>
      <c r="V586" s="9">
        <f t="shared" si="150"/>
        <v>50</v>
      </c>
      <c r="W586" s="7">
        <f t="shared" si="144"/>
        <v>9.4307999999999996</v>
      </c>
      <c r="X586" s="7">
        <f t="shared" si="145"/>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46"/>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v>0</v>
      </c>
      <c r="BF586" s="18">
        <v>0</v>
      </c>
      <c r="BG586">
        <v>1</v>
      </c>
      <c r="BH586">
        <v>0</v>
      </c>
      <c r="BI586" s="18">
        <v>0</v>
      </c>
      <c r="BJ586">
        <v>25208</v>
      </c>
      <c r="BK586">
        <v>1486</v>
      </c>
      <c r="BL586" s="25">
        <v>39.1</v>
      </c>
      <c r="BM586">
        <v>1</v>
      </c>
      <c r="BN586">
        <v>0</v>
      </c>
      <c r="BO586">
        <v>0</v>
      </c>
      <c r="BP586">
        <v>0</v>
      </c>
      <c r="BQ586">
        <v>0</v>
      </c>
      <c r="BR586">
        <v>0</v>
      </c>
      <c r="BS586">
        <v>0</v>
      </c>
      <c r="BT586" s="18">
        <v>0</v>
      </c>
      <c r="BU586">
        <v>1</v>
      </c>
      <c r="BV586">
        <v>0</v>
      </c>
      <c r="BW586">
        <v>0</v>
      </c>
      <c r="BX586" s="18">
        <v>0</v>
      </c>
      <c r="BY586">
        <v>0</v>
      </c>
      <c r="BZ586">
        <v>0</v>
      </c>
      <c r="CA586">
        <v>0</v>
      </c>
      <c r="CB586">
        <v>0</v>
      </c>
      <c r="CC586" s="18">
        <v>0</v>
      </c>
      <c r="CD586">
        <v>1</v>
      </c>
      <c r="CE586">
        <v>1</v>
      </c>
      <c r="CF586">
        <v>0</v>
      </c>
      <c r="CG586">
        <v>0</v>
      </c>
      <c r="CH586">
        <v>0</v>
      </c>
      <c r="CI586">
        <v>0</v>
      </c>
      <c r="CJ586">
        <v>0</v>
      </c>
      <c r="CK586">
        <v>0</v>
      </c>
      <c r="CL586">
        <v>0</v>
      </c>
      <c r="CM586">
        <v>0</v>
      </c>
      <c r="CN586" s="18">
        <v>0</v>
      </c>
      <c r="CO586">
        <v>0</v>
      </c>
      <c r="CP586">
        <v>43</v>
      </c>
      <c r="CQ586">
        <v>0</v>
      </c>
      <c r="CR586">
        <v>1</v>
      </c>
      <c r="CS586">
        <v>6</v>
      </c>
      <c r="CY586" s="34"/>
    </row>
    <row r="587" spans="1:103" x14ac:dyDescent="0.25">
      <c r="A587">
        <v>586</v>
      </c>
      <c r="B587">
        <v>38</v>
      </c>
      <c r="C587" s="25" t="s">
        <v>328</v>
      </c>
      <c r="D587" s="12">
        <v>8.1</v>
      </c>
      <c r="E587" s="14">
        <v>0.9</v>
      </c>
      <c r="F587" s="7">
        <f t="shared" si="139"/>
        <v>9</v>
      </c>
      <c r="G587" s="7">
        <f t="shared" si="147"/>
        <v>7.1999999999999993</v>
      </c>
      <c r="H587" s="16">
        <f t="shared" si="148"/>
        <v>9</v>
      </c>
      <c r="I587" s="11">
        <f t="shared" si="151"/>
        <v>0.15804073293140256</v>
      </c>
      <c r="J587" s="33">
        <f t="shared" si="152"/>
        <v>1.7560081436822507E-2</v>
      </c>
      <c r="K587" s="33">
        <f t="shared" si="153"/>
        <v>56.947344099615393</v>
      </c>
      <c r="L587" s="8">
        <v>0</v>
      </c>
      <c r="M587" s="9">
        <v>1</v>
      </c>
      <c r="N587" s="8">
        <v>0</v>
      </c>
      <c r="O587" s="9">
        <v>0</v>
      </c>
      <c r="P587" s="9">
        <v>0</v>
      </c>
      <c r="Q587" s="9">
        <v>1</v>
      </c>
      <c r="R587" s="9">
        <v>0</v>
      </c>
      <c r="S587" s="8">
        <v>3169</v>
      </c>
      <c r="T587" s="9">
        <v>6</v>
      </c>
      <c r="U587" s="9">
        <f t="shared" si="149"/>
        <v>3162</v>
      </c>
      <c r="V587" s="9">
        <f t="shared" si="150"/>
        <v>50</v>
      </c>
      <c r="W587" s="7">
        <f t="shared" si="144"/>
        <v>9.4307999999999996</v>
      </c>
      <c r="X587" s="7">
        <f t="shared" si="145"/>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46"/>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v>0</v>
      </c>
      <c r="BF587" s="18">
        <v>0</v>
      </c>
      <c r="BG587">
        <v>1</v>
      </c>
      <c r="BH587">
        <v>0</v>
      </c>
      <c r="BI587" s="18">
        <v>0</v>
      </c>
      <c r="BJ587">
        <v>25208</v>
      </c>
      <c r="BK587">
        <v>1486</v>
      </c>
      <c r="BL587" s="25">
        <v>39.1</v>
      </c>
      <c r="BM587">
        <v>1</v>
      </c>
      <c r="BN587">
        <v>0</v>
      </c>
      <c r="BO587">
        <v>0</v>
      </c>
      <c r="BP587">
        <v>0</v>
      </c>
      <c r="BQ587">
        <v>0</v>
      </c>
      <c r="BR587">
        <v>0</v>
      </c>
      <c r="BS587">
        <v>0</v>
      </c>
      <c r="BT587" s="18">
        <v>0</v>
      </c>
      <c r="BU587">
        <v>1</v>
      </c>
      <c r="BV587">
        <v>0</v>
      </c>
      <c r="BW587">
        <v>0</v>
      </c>
      <c r="BX587" s="18">
        <v>0</v>
      </c>
      <c r="BY587">
        <v>0</v>
      </c>
      <c r="BZ587">
        <v>0</v>
      </c>
      <c r="CA587">
        <v>0</v>
      </c>
      <c r="CB587">
        <v>0</v>
      </c>
      <c r="CC587" s="18">
        <v>0</v>
      </c>
      <c r="CD587">
        <v>1</v>
      </c>
      <c r="CE587">
        <v>1</v>
      </c>
      <c r="CF587">
        <v>0</v>
      </c>
      <c r="CG587">
        <v>0</v>
      </c>
      <c r="CH587">
        <v>0</v>
      </c>
      <c r="CI587">
        <v>0</v>
      </c>
      <c r="CJ587">
        <v>0</v>
      </c>
      <c r="CK587">
        <v>0</v>
      </c>
      <c r="CL587">
        <v>0</v>
      </c>
      <c r="CM587">
        <v>0</v>
      </c>
      <c r="CN587" s="18">
        <v>0</v>
      </c>
      <c r="CO587">
        <v>0</v>
      </c>
      <c r="CP587">
        <v>43</v>
      </c>
      <c r="CQ587">
        <v>0</v>
      </c>
      <c r="CR587">
        <v>1</v>
      </c>
      <c r="CS587">
        <v>6</v>
      </c>
      <c r="CY587" s="34"/>
    </row>
    <row r="588" spans="1:103" x14ac:dyDescent="0.25">
      <c r="A588">
        <v>587</v>
      </c>
      <c r="B588">
        <v>38</v>
      </c>
      <c r="C588" s="25" t="s">
        <v>328</v>
      </c>
      <c r="D588" s="12">
        <v>3.6</v>
      </c>
      <c r="E588" s="14">
        <v>0.7</v>
      </c>
      <c r="F588" s="7">
        <f t="shared" si="139"/>
        <v>5.1428571428571432</v>
      </c>
      <c r="G588" s="7">
        <f t="shared" si="147"/>
        <v>2.9000000000000004</v>
      </c>
      <c r="H588" s="16">
        <f t="shared" si="148"/>
        <v>4.3</v>
      </c>
      <c r="I588" s="11">
        <f t="shared" si="151"/>
        <v>0.11498487595858155</v>
      </c>
      <c r="J588" s="33">
        <f t="shared" si="152"/>
        <v>2.2358170325279741E-2</v>
      </c>
      <c r="K588" s="33">
        <f t="shared" si="153"/>
        <v>44.726379012746349</v>
      </c>
      <c r="L588" s="8">
        <v>0</v>
      </c>
      <c r="M588" s="9">
        <v>1</v>
      </c>
      <c r="N588" s="8">
        <v>0</v>
      </c>
      <c r="O588" s="9">
        <v>0</v>
      </c>
      <c r="P588" s="9">
        <v>0</v>
      </c>
      <c r="Q588" s="9">
        <v>1</v>
      </c>
      <c r="R588" s="9">
        <v>0</v>
      </c>
      <c r="S588" s="8">
        <v>1981</v>
      </c>
      <c r="T588" s="9">
        <v>6</v>
      </c>
      <c r="U588" s="9">
        <f t="shared" si="149"/>
        <v>1974</v>
      </c>
      <c r="V588" s="9">
        <f t="shared" si="150"/>
        <v>50</v>
      </c>
      <c r="W588" s="7">
        <f t="shared" si="144"/>
        <v>9.4307999999999996</v>
      </c>
      <c r="X588" s="7">
        <f t="shared" si="145"/>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46"/>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v>0</v>
      </c>
      <c r="BF588" s="18">
        <v>0</v>
      </c>
      <c r="BG588">
        <v>1</v>
      </c>
      <c r="BH588">
        <v>0</v>
      </c>
      <c r="BI588" s="18">
        <v>0</v>
      </c>
      <c r="BJ588">
        <v>25208</v>
      </c>
      <c r="BK588">
        <v>1486</v>
      </c>
      <c r="BL588" s="25">
        <v>39.1</v>
      </c>
      <c r="BM588">
        <v>1</v>
      </c>
      <c r="BN588">
        <v>0</v>
      </c>
      <c r="BO588">
        <v>0</v>
      </c>
      <c r="BP588">
        <v>0</v>
      </c>
      <c r="BQ588">
        <v>0</v>
      </c>
      <c r="BR588">
        <v>0</v>
      </c>
      <c r="BS588">
        <v>0</v>
      </c>
      <c r="BT588" s="18">
        <v>0</v>
      </c>
      <c r="BU588">
        <v>1</v>
      </c>
      <c r="BV588">
        <v>0</v>
      </c>
      <c r="BW588">
        <v>0</v>
      </c>
      <c r="BX588" s="18">
        <v>0</v>
      </c>
      <c r="BY588">
        <v>0</v>
      </c>
      <c r="BZ588">
        <v>0</v>
      </c>
      <c r="CA588">
        <v>0</v>
      </c>
      <c r="CB588">
        <v>0</v>
      </c>
      <c r="CC588" s="18">
        <v>0</v>
      </c>
      <c r="CD588">
        <v>1</v>
      </c>
      <c r="CE588">
        <v>1</v>
      </c>
      <c r="CF588">
        <v>0</v>
      </c>
      <c r="CG588">
        <v>0</v>
      </c>
      <c r="CH588">
        <v>0</v>
      </c>
      <c r="CI588">
        <v>0</v>
      </c>
      <c r="CJ588">
        <v>0</v>
      </c>
      <c r="CK588">
        <v>0</v>
      </c>
      <c r="CL588">
        <v>0</v>
      </c>
      <c r="CM588">
        <v>0</v>
      </c>
      <c r="CN588" s="18">
        <v>0</v>
      </c>
      <c r="CO588">
        <v>0</v>
      </c>
      <c r="CP588">
        <v>43</v>
      </c>
      <c r="CQ588">
        <v>0</v>
      </c>
      <c r="CR588">
        <v>1</v>
      </c>
      <c r="CS588">
        <v>6</v>
      </c>
      <c r="CY588" s="34"/>
    </row>
    <row r="589" spans="1:103" x14ac:dyDescent="0.25">
      <c r="A589">
        <v>588</v>
      </c>
      <c r="B589">
        <v>38</v>
      </c>
      <c r="C589" s="25" t="s">
        <v>328</v>
      </c>
      <c r="D589" s="12">
        <v>7.1</v>
      </c>
      <c r="E589" s="14">
        <v>0.9</v>
      </c>
      <c r="F589" s="7">
        <f t="shared" si="139"/>
        <v>7.8888888888888884</v>
      </c>
      <c r="G589" s="7">
        <f t="shared" si="147"/>
        <v>6.1999999999999993</v>
      </c>
      <c r="H589" s="16">
        <f t="shared" si="148"/>
        <v>8</v>
      </c>
      <c r="I589" s="11">
        <f t="shared" si="151"/>
        <v>0.13893207571861219</v>
      </c>
      <c r="J589" s="33">
        <f t="shared" si="152"/>
        <v>1.7611108189683235E-2</v>
      </c>
      <c r="K589" s="33">
        <f t="shared" si="153"/>
        <v>56.782343804225228</v>
      </c>
      <c r="L589" s="8">
        <v>0</v>
      </c>
      <c r="M589" s="9">
        <v>1</v>
      </c>
      <c r="N589" s="8">
        <v>0</v>
      </c>
      <c r="O589" s="9">
        <v>0</v>
      </c>
      <c r="P589" s="9">
        <v>0</v>
      </c>
      <c r="Q589" s="9">
        <v>1</v>
      </c>
      <c r="R589" s="9">
        <v>0</v>
      </c>
      <c r="S589" s="8">
        <v>3169</v>
      </c>
      <c r="T589" s="9">
        <v>6</v>
      </c>
      <c r="U589" s="9">
        <f t="shared" si="149"/>
        <v>3162</v>
      </c>
      <c r="V589" s="9">
        <f t="shared" si="150"/>
        <v>50</v>
      </c>
      <c r="W589" s="7">
        <f t="shared" si="144"/>
        <v>9.4307999999999996</v>
      </c>
      <c r="X589" s="7">
        <f t="shared" si="145"/>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46"/>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v>0</v>
      </c>
      <c r="BF589" s="18">
        <v>0</v>
      </c>
      <c r="BG589">
        <v>1</v>
      </c>
      <c r="BH589">
        <v>0</v>
      </c>
      <c r="BI589" s="18">
        <v>0</v>
      </c>
      <c r="BJ589">
        <v>25208</v>
      </c>
      <c r="BK589">
        <v>1486</v>
      </c>
      <c r="BL589" s="25">
        <v>39.1</v>
      </c>
      <c r="BM589">
        <v>1</v>
      </c>
      <c r="BN589">
        <v>0</v>
      </c>
      <c r="BO589">
        <v>0</v>
      </c>
      <c r="BP589">
        <v>0</v>
      </c>
      <c r="BQ589">
        <v>0</v>
      </c>
      <c r="BR589">
        <v>0</v>
      </c>
      <c r="BS589">
        <v>0</v>
      </c>
      <c r="BT589" s="18">
        <v>0</v>
      </c>
      <c r="BU589">
        <v>1</v>
      </c>
      <c r="BV589">
        <v>0</v>
      </c>
      <c r="BW589">
        <v>0</v>
      </c>
      <c r="BX589" s="18">
        <v>0</v>
      </c>
      <c r="BY589">
        <v>0</v>
      </c>
      <c r="BZ589">
        <v>0</v>
      </c>
      <c r="CA589">
        <v>0</v>
      </c>
      <c r="CB589">
        <v>0</v>
      </c>
      <c r="CC589" s="18">
        <v>0</v>
      </c>
      <c r="CD589">
        <v>1</v>
      </c>
      <c r="CE589">
        <v>1</v>
      </c>
      <c r="CF589">
        <v>0</v>
      </c>
      <c r="CG589">
        <v>0</v>
      </c>
      <c r="CH589">
        <v>0</v>
      </c>
      <c r="CI589">
        <v>0</v>
      </c>
      <c r="CJ589">
        <v>0</v>
      </c>
      <c r="CK589">
        <v>0</v>
      </c>
      <c r="CL589">
        <v>0</v>
      </c>
      <c r="CM589">
        <v>0</v>
      </c>
      <c r="CN589" s="18">
        <v>0</v>
      </c>
      <c r="CO589">
        <v>0</v>
      </c>
      <c r="CP589">
        <v>43</v>
      </c>
      <c r="CQ589">
        <v>0</v>
      </c>
      <c r="CR589">
        <v>1</v>
      </c>
      <c r="CS589">
        <v>6</v>
      </c>
      <c r="CY589" s="34"/>
    </row>
    <row r="590" spans="1:103" x14ac:dyDescent="0.25">
      <c r="A590">
        <v>589</v>
      </c>
      <c r="B590">
        <v>38</v>
      </c>
      <c r="C590" s="25" t="s">
        <v>328</v>
      </c>
      <c r="D590" s="12">
        <v>2.6</v>
      </c>
      <c r="E590" s="14">
        <v>0.7</v>
      </c>
      <c r="F590" s="7">
        <f t="shared" si="139"/>
        <v>3.7142857142857149</v>
      </c>
      <c r="G590" s="7">
        <f t="shared" si="147"/>
        <v>1.9000000000000001</v>
      </c>
      <c r="H590" s="16">
        <f t="shared" si="148"/>
        <v>3.3</v>
      </c>
      <c r="I590" s="11">
        <f t="shared" si="151"/>
        <v>8.3308518375353649E-2</v>
      </c>
      <c r="J590" s="33">
        <f t="shared" si="152"/>
        <v>2.2429216485672133E-2</v>
      </c>
      <c r="K590" s="33">
        <f t="shared" si="153"/>
        <v>44.584704982396673</v>
      </c>
      <c r="L590" s="8">
        <v>0</v>
      </c>
      <c r="M590" s="9">
        <v>1</v>
      </c>
      <c r="N590" s="8">
        <v>0</v>
      </c>
      <c r="O590" s="9">
        <v>0</v>
      </c>
      <c r="P590" s="9">
        <v>0</v>
      </c>
      <c r="Q590" s="9">
        <v>1</v>
      </c>
      <c r="R590" s="9">
        <v>0</v>
      </c>
      <c r="S590" s="8">
        <v>1981</v>
      </c>
      <c r="T590" s="9">
        <v>6</v>
      </c>
      <c r="U590" s="9">
        <f t="shared" si="149"/>
        <v>1974</v>
      </c>
      <c r="V590" s="9">
        <f t="shared" si="150"/>
        <v>50</v>
      </c>
      <c r="W590" s="7">
        <f t="shared" si="144"/>
        <v>9.4307999999999996</v>
      </c>
      <c r="X590" s="7">
        <f t="shared" si="145"/>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46"/>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v>0</v>
      </c>
      <c r="BF590" s="18">
        <v>0</v>
      </c>
      <c r="BG590">
        <v>1</v>
      </c>
      <c r="BH590">
        <v>0</v>
      </c>
      <c r="BI590" s="18">
        <v>0</v>
      </c>
      <c r="BJ590">
        <v>25208</v>
      </c>
      <c r="BK590">
        <v>1486</v>
      </c>
      <c r="BL590" s="25">
        <v>39.1</v>
      </c>
      <c r="BM590">
        <v>1</v>
      </c>
      <c r="BN590">
        <v>0</v>
      </c>
      <c r="BO590">
        <v>0</v>
      </c>
      <c r="BP590">
        <v>0</v>
      </c>
      <c r="BQ590">
        <v>0</v>
      </c>
      <c r="BR590">
        <v>0</v>
      </c>
      <c r="BS590">
        <v>0</v>
      </c>
      <c r="BT590" s="18">
        <v>0</v>
      </c>
      <c r="BU590">
        <v>1</v>
      </c>
      <c r="BV590">
        <v>0</v>
      </c>
      <c r="BW590">
        <v>0</v>
      </c>
      <c r="BX590" s="18">
        <v>0</v>
      </c>
      <c r="BY590">
        <v>0</v>
      </c>
      <c r="BZ590">
        <v>0</v>
      </c>
      <c r="CA590">
        <v>0</v>
      </c>
      <c r="CB590">
        <v>0</v>
      </c>
      <c r="CC590" s="18">
        <v>0</v>
      </c>
      <c r="CD590">
        <v>1</v>
      </c>
      <c r="CE590">
        <v>1</v>
      </c>
      <c r="CF590">
        <v>0</v>
      </c>
      <c r="CG590">
        <v>0</v>
      </c>
      <c r="CH590">
        <v>0</v>
      </c>
      <c r="CI590">
        <v>0</v>
      </c>
      <c r="CJ590">
        <v>0</v>
      </c>
      <c r="CK590">
        <v>0</v>
      </c>
      <c r="CL590">
        <v>0</v>
      </c>
      <c r="CM590">
        <v>0</v>
      </c>
      <c r="CN590" s="18">
        <v>0</v>
      </c>
      <c r="CO590">
        <v>0</v>
      </c>
      <c r="CP590">
        <v>43</v>
      </c>
      <c r="CQ590">
        <v>0</v>
      </c>
      <c r="CR590">
        <v>1</v>
      </c>
      <c r="CS590">
        <v>6</v>
      </c>
      <c r="CY590" s="34"/>
    </row>
    <row r="591" spans="1:103" x14ac:dyDescent="0.25">
      <c r="A591">
        <v>590</v>
      </c>
      <c r="B591">
        <v>38</v>
      </c>
      <c r="C591" s="25" t="s">
        <v>328</v>
      </c>
      <c r="D591" s="12">
        <v>7.7</v>
      </c>
      <c r="E591" s="14">
        <v>1.3</v>
      </c>
      <c r="F591" s="7">
        <f t="shared" si="139"/>
        <v>5.9230769230769234</v>
      </c>
      <c r="G591" s="7">
        <f t="shared" si="147"/>
        <v>6.4</v>
      </c>
      <c r="H591" s="16">
        <f t="shared" si="148"/>
        <v>9</v>
      </c>
      <c r="I591" s="11">
        <f t="shared" si="151"/>
        <v>0.10475395483515031</v>
      </c>
      <c r="J591" s="33">
        <f t="shared" si="152"/>
        <v>1.7685732634505895E-2</v>
      </c>
      <c r="K591" s="33">
        <f t="shared" si="153"/>
        <v>56.542752322792765</v>
      </c>
      <c r="L591" s="8">
        <v>0</v>
      </c>
      <c r="M591" s="9">
        <v>1</v>
      </c>
      <c r="N591" s="8">
        <v>0</v>
      </c>
      <c r="O591" s="9">
        <v>0</v>
      </c>
      <c r="P591" s="9">
        <v>0</v>
      </c>
      <c r="Q591" s="9">
        <v>1</v>
      </c>
      <c r="R591" s="9">
        <v>0</v>
      </c>
      <c r="S591" s="8">
        <v>3169</v>
      </c>
      <c r="T591" s="9">
        <v>6</v>
      </c>
      <c r="U591" s="9">
        <f t="shared" si="149"/>
        <v>3162</v>
      </c>
      <c r="V591" s="9">
        <f t="shared" si="150"/>
        <v>50</v>
      </c>
      <c r="W591" s="7">
        <f t="shared" si="144"/>
        <v>9.4307999999999996</v>
      </c>
      <c r="X591" s="7">
        <f t="shared" si="145"/>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46"/>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v>0</v>
      </c>
      <c r="BF591" s="18">
        <v>0</v>
      </c>
      <c r="BG591">
        <v>1</v>
      </c>
      <c r="BH591">
        <v>0</v>
      </c>
      <c r="BI591" s="18">
        <v>0</v>
      </c>
      <c r="BJ591">
        <v>25208</v>
      </c>
      <c r="BK591">
        <v>1486</v>
      </c>
      <c r="BL591" s="25">
        <v>39.1</v>
      </c>
      <c r="BM591">
        <v>1</v>
      </c>
      <c r="BN591">
        <v>0</v>
      </c>
      <c r="BO591">
        <v>0</v>
      </c>
      <c r="BP591">
        <v>0</v>
      </c>
      <c r="BQ591">
        <v>0</v>
      </c>
      <c r="BR591">
        <v>0</v>
      </c>
      <c r="BS591">
        <v>0</v>
      </c>
      <c r="BT591" s="18">
        <v>0</v>
      </c>
      <c r="BU591">
        <v>1</v>
      </c>
      <c r="BV591">
        <v>0</v>
      </c>
      <c r="BW591">
        <v>0</v>
      </c>
      <c r="BX591" s="18">
        <v>0</v>
      </c>
      <c r="BY591">
        <v>0</v>
      </c>
      <c r="BZ591">
        <v>0</v>
      </c>
      <c r="CA591">
        <v>0</v>
      </c>
      <c r="CB591">
        <v>0</v>
      </c>
      <c r="CC591" s="18">
        <v>0</v>
      </c>
      <c r="CD591">
        <v>1</v>
      </c>
      <c r="CE591">
        <v>1</v>
      </c>
      <c r="CF591">
        <v>0</v>
      </c>
      <c r="CG591">
        <v>0</v>
      </c>
      <c r="CH591">
        <v>0</v>
      </c>
      <c r="CI591">
        <v>0</v>
      </c>
      <c r="CJ591">
        <v>0</v>
      </c>
      <c r="CK591">
        <v>0</v>
      </c>
      <c r="CL591">
        <v>0</v>
      </c>
      <c r="CM591">
        <v>0</v>
      </c>
      <c r="CN591" s="18">
        <v>0</v>
      </c>
      <c r="CO591">
        <v>0</v>
      </c>
      <c r="CP591">
        <v>43</v>
      </c>
      <c r="CQ591">
        <v>0</v>
      </c>
      <c r="CR591">
        <v>1</v>
      </c>
      <c r="CS591">
        <v>6</v>
      </c>
      <c r="CY591" s="34"/>
    </row>
    <row r="592" spans="1:103" x14ac:dyDescent="0.25">
      <c r="A592">
        <v>591</v>
      </c>
      <c r="B592">
        <v>38</v>
      </c>
      <c r="C592" s="25" t="s">
        <v>328</v>
      </c>
      <c r="D592" s="12">
        <v>5.7</v>
      </c>
      <c r="E592" s="14">
        <v>0.9</v>
      </c>
      <c r="F592" s="7">
        <f t="shared" si="139"/>
        <v>6.333333333333333</v>
      </c>
      <c r="G592" s="7">
        <f t="shared" si="147"/>
        <v>4.8</v>
      </c>
      <c r="H592" s="16">
        <f t="shared" si="148"/>
        <v>6.6000000000000005</v>
      </c>
      <c r="I592" s="11">
        <f t="shared" si="151"/>
        <v>0.14112067126126332</v>
      </c>
      <c r="J592" s="33">
        <f t="shared" si="152"/>
        <v>2.2282211251778417E-2</v>
      </c>
      <c r="K592" s="33">
        <f t="shared" si="153"/>
        <v>44.878849262331926</v>
      </c>
      <c r="L592" s="8">
        <v>0</v>
      </c>
      <c r="M592" s="9">
        <v>1</v>
      </c>
      <c r="N592" s="8">
        <v>0</v>
      </c>
      <c r="O592" s="9">
        <v>0</v>
      </c>
      <c r="P592" s="9">
        <v>0</v>
      </c>
      <c r="Q592" s="9">
        <v>1</v>
      </c>
      <c r="R592" s="9">
        <v>0</v>
      </c>
      <c r="S592" s="8">
        <v>1981</v>
      </c>
      <c r="T592" s="9">
        <v>6</v>
      </c>
      <c r="U592" s="9">
        <f t="shared" si="149"/>
        <v>1974</v>
      </c>
      <c r="V592" s="9">
        <f t="shared" si="150"/>
        <v>50</v>
      </c>
      <c r="W592" s="7">
        <f t="shared" si="144"/>
        <v>9.4307999999999996</v>
      </c>
      <c r="X592" s="7">
        <f t="shared" si="145"/>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46"/>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v>0</v>
      </c>
      <c r="BF592" s="18">
        <v>0</v>
      </c>
      <c r="BG592">
        <v>1</v>
      </c>
      <c r="BH592">
        <v>0</v>
      </c>
      <c r="BI592" s="18">
        <v>0</v>
      </c>
      <c r="BJ592">
        <v>25208</v>
      </c>
      <c r="BK592">
        <v>1486</v>
      </c>
      <c r="BL592" s="25">
        <v>39.1</v>
      </c>
      <c r="BM592">
        <v>1</v>
      </c>
      <c r="BN592">
        <v>0</v>
      </c>
      <c r="BO592">
        <v>0</v>
      </c>
      <c r="BP592">
        <v>0</v>
      </c>
      <c r="BQ592">
        <v>0</v>
      </c>
      <c r="BR592">
        <v>0</v>
      </c>
      <c r="BS592">
        <v>0</v>
      </c>
      <c r="BT592" s="18">
        <v>0</v>
      </c>
      <c r="BU592">
        <v>1</v>
      </c>
      <c r="BV592">
        <v>0</v>
      </c>
      <c r="BW592">
        <v>0</v>
      </c>
      <c r="BX592" s="18">
        <v>0</v>
      </c>
      <c r="BY592">
        <v>0</v>
      </c>
      <c r="BZ592">
        <v>0</v>
      </c>
      <c r="CA592">
        <v>0</v>
      </c>
      <c r="CB592">
        <v>0</v>
      </c>
      <c r="CC592" s="18">
        <v>0</v>
      </c>
      <c r="CD592">
        <v>1</v>
      </c>
      <c r="CE592">
        <v>1</v>
      </c>
      <c r="CF592">
        <v>0</v>
      </c>
      <c r="CG592">
        <v>0</v>
      </c>
      <c r="CH592">
        <v>0</v>
      </c>
      <c r="CI592">
        <v>0</v>
      </c>
      <c r="CJ592">
        <v>0</v>
      </c>
      <c r="CK592">
        <v>0</v>
      </c>
      <c r="CL592">
        <v>0</v>
      </c>
      <c r="CM592">
        <v>0</v>
      </c>
      <c r="CN592" s="18">
        <v>0</v>
      </c>
      <c r="CO592">
        <v>0</v>
      </c>
      <c r="CP592">
        <v>43</v>
      </c>
      <c r="CQ592">
        <v>0</v>
      </c>
      <c r="CR592">
        <v>1</v>
      </c>
      <c r="CS592">
        <v>6</v>
      </c>
      <c r="CY592" s="34"/>
    </row>
    <row r="593" spans="1:103" x14ac:dyDescent="0.25">
      <c r="A593">
        <v>592</v>
      </c>
      <c r="B593">
        <v>38</v>
      </c>
      <c r="C593" s="25" t="s">
        <v>328</v>
      </c>
      <c r="D593" s="12">
        <v>6.4</v>
      </c>
      <c r="E593" s="14">
        <v>0.2</v>
      </c>
      <c r="F593" s="7">
        <f t="shared" si="139"/>
        <v>32</v>
      </c>
      <c r="G593" s="7">
        <f t="shared" si="147"/>
        <v>6.2</v>
      </c>
      <c r="H593" s="16">
        <f t="shared" si="148"/>
        <v>6.6000000000000005</v>
      </c>
      <c r="I593" s="11">
        <f t="shared" si="151"/>
        <v>0.25757916462010488</v>
      </c>
      <c r="J593" s="33">
        <f t="shared" si="152"/>
        <v>8.0493488943782776E-3</v>
      </c>
      <c r="K593" s="33">
        <f t="shared" si="153"/>
        <v>124.23365083583433</v>
      </c>
      <c r="L593" s="8">
        <v>0</v>
      </c>
      <c r="M593" s="9">
        <v>1</v>
      </c>
      <c r="N593" s="8">
        <v>0</v>
      </c>
      <c r="O593" s="9">
        <v>0</v>
      </c>
      <c r="P593" s="9">
        <v>0</v>
      </c>
      <c r="Q593" s="9">
        <v>1</v>
      </c>
      <c r="R593" s="9">
        <v>0</v>
      </c>
      <c r="S593" s="8">
        <v>14424</v>
      </c>
      <c r="T593" s="9">
        <v>13</v>
      </c>
      <c r="U593" s="9">
        <f t="shared" si="149"/>
        <v>14410</v>
      </c>
      <c r="V593" s="9">
        <f t="shared" si="150"/>
        <v>50</v>
      </c>
      <c r="W593" s="7">
        <f t="shared" si="144"/>
        <v>9.4307999999999996</v>
      </c>
      <c r="X593" s="7">
        <f t="shared" si="145"/>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46"/>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v>0</v>
      </c>
      <c r="BF593" s="18">
        <v>0</v>
      </c>
      <c r="BG593">
        <v>1</v>
      </c>
      <c r="BH593">
        <v>0</v>
      </c>
      <c r="BI593" s="18">
        <v>0</v>
      </c>
      <c r="BJ593">
        <v>25208</v>
      </c>
      <c r="BK593">
        <v>1486</v>
      </c>
      <c r="BL593" s="25">
        <v>39.1</v>
      </c>
      <c r="BM593">
        <v>1</v>
      </c>
      <c r="BN593">
        <v>0</v>
      </c>
      <c r="BO593">
        <v>0</v>
      </c>
      <c r="BP593">
        <v>0</v>
      </c>
      <c r="BQ593">
        <v>0</v>
      </c>
      <c r="BR593">
        <v>0</v>
      </c>
      <c r="BS593">
        <v>0</v>
      </c>
      <c r="BT593" s="18">
        <v>0</v>
      </c>
      <c r="BU593">
        <v>0</v>
      </c>
      <c r="BV593">
        <v>0</v>
      </c>
      <c r="BW593">
        <v>1</v>
      </c>
      <c r="BX593" s="18">
        <v>0</v>
      </c>
      <c r="BY593">
        <v>0</v>
      </c>
      <c r="BZ593">
        <v>0</v>
      </c>
      <c r="CA593">
        <v>0</v>
      </c>
      <c r="CB593">
        <v>0</v>
      </c>
      <c r="CC593" s="18">
        <v>1</v>
      </c>
      <c r="CD593">
        <v>1</v>
      </c>
      <c r="CE593">
        <v>1</v>
      </c>
      <c r="CF593">
        <v>0</v>
      </c>
      <c r="CG593">
        <v>0</v>
      </c>
      <c r="CH593">
        <v>0</v>
      </c>
      <c r="CI593">
        <v>1</v>
      </c>
      <c r="CJ593">
        <v>0</v>
      </c>
      <c r="CK593">
        <v>0</v>
      </c>
      <c r="CL593">
        <v>0</v>
      </c>
      <c r="CM593">
        <v>0</v>
      </c>
      <c r="CN593" s="18">
        <v>1</v>
      </c>
      <c r="CO593">
        <v>0</v>
      </c>
      <c r="CP593">
        <v>43</v>
      </c>
      <c r="CQ593">
        <v>0</v>
      </c>
      <c r="CR593">
        <v>1</v>
      </c>
      <c r="CS593">
        <v>6</v>
      </c>
      <c r="CY593" s="34"/>
    </row>
    <row r="594" spans="1:103" x14ac:dyDescent="0.25">
      <c r="A594">
        <v>593</v>
      </c>
      <c r="B594">
        <v>38</v>
      </c>
      <c r="C594" s="25" t="s">
        <v>328</v>
      </c>
      <c r="D594" s="12">
        <v>20.5</v>
      </c>
      <c r="E594" s="14">
        <v>1.2</v>
      </c>
      <c r="F594" s="7">
        <f t="shared" si="139"/>
        <v>17.083333333333336</v>
      </c>
      <c r="G594" s="7">
        <f t="shared" si="147"/>
        <v>19.3</v>
      </c>
      <c r="H594" s="16">
        <f t="shared" si="148"/>
        <v>21.7</v>
      </c>
      <c r="I594" s="11">
        <f t="shared" si="151"/>
        <v>0.14089213975768597</v>
      </c>
      <c r="J594" s="33">
        <f t="shared" si="152"/>
        <v>8.2473447663035677E-3</v>
      </c>
      <c r="K594" s="33">
        <f t="shared" si="153"/>
        <v>121.25114546996156</v>
      </c>
      <c r="L594" s="8">
        <v>0</v>
      </c>
      <c r="M594" s="9">
        <v>1</v>
      </c>
      <c r="N594" s="8">
        <v>0</v>
      </c>
      <c r="O594" s="9">
        <v>0</v>
      </c>
      <c r="P594" s="9">
        <v>0</v>
      </c>
      <c r="Q594" s="9">
        <v>1</v>
      </c>
      <c r="R594" s="9">
        <v>0</v>
      </c>
      <c r="S594" s="8">
        <v>14424</v>
      </c>
      <c r="T594" s="9">
        <v>13</v>
      </c>
      <c r="U594" s="9">
        <f t="shared" si="149"/>
        <v>14410</v>
      </c>
      <c r="V594" s="9">
        <f t="shared" si="150"/>
        <v>50</v>
      </c>
      <c r="W594" s="7">
        <f t="shared" si="144"/>
        <v>9.4307999999999996</v>
      </c>
      <c r="X594" s="7">
        <f t="shared" si="145"/>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46"/>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v>0</v>
      </c>
      <c r="BF594" s="18">
        <v>0</v>
      </c>
      <c r="BG594">
        <v>1</v>
      </c>
      <c r="BH594">
        <v>0</v>
      </c>
      <c r="BI594" s="18">
        <v>0</v>
      </c>
      <c r="BJ594">
        <v>25208</v>
      </c>
      <c r="BK594">
        <v>1486</v>
      </c>
      <c r="BL594" s="25">
        <v>39.1</v>
      </c>
      <c r="BM594">
        <v>0</v>
      </c>
      <c r="BN594">
        <v>0</v>
      </c>
      <c r="BO594">
        <v>0</v>
      </c>
      <c r="BP594">
        <v>0</v>
      </c>
      <c r="BQ594">
        <v>0</v>
      </c>
      <c r="BR594">
        <v>0</v>
      </c>
      <c r="BS594">
        <v>0</v>
      </c>
      <c r="BT594" s="18">
        <v>1</v>
      </c>
      <c r="BU594">
        <v>0</v>
      </c>
      <c r="BV594">
        <v>0</v>
      </c>
      <c r="BW594">
        <v>1</v>
      </c>
      <c r="BX594" s="18">
        <v>0</v>
      </c>
      <c r="BY594">
        <v>0</v>
      </c>
      <c r="BZ594">
        <v>0</v>
      </c>
      <c r="CA594">
        <v>0</v>
      </c>
      <c r="CB594">
        <v>0</v>
      </c>
      <c r="CC594" s="18">
        <v>1</v>
      </c>
      <c r="CD594">
        <v>1</v>
      </c>
      <c r="CE594">
        <v>1</v>
      </c>
      <c r="CF594">
        <v>0</v>
      </c>
      <c r="CG594">
        <v>0</v>
      </c>
      <c r="CH594">
        <v>0</v>
      </c>
      <c r="CI594">
        <v>1</v>
      </c>
      <c r="CJ594">
        <v>0</v>
      </c>
      <c r="CK594">
        <v>0</v>
      </c>
      <c r="CL594">
        <v>0</v>
      </c>
      <c r="CM594">
        <v>0</v>
      </c>
      <c r="CN594" s="18">
        <v>1</v>
      </c>
      <c r="CO594">
        <v>0</v>
      </c>
      <c r="CP594">
        <v>43</v>
      </c>
      <c r="CQ594">
        <v>0</v>
      </c>
      <c r="CR594">
        <v>1</v>
      </c>
      <c r="CS594">
        <v>6</v>
      </c>
      <c r="CY594" s="34"/>
    </row>
    <row r="595" spans="1:103" x14ac:dyDescent="0.25">
      <c r="A595">
        <v>594</v>
      </c>
      <c r="B595">
        <v>38</v>
      </c>
      <c r="C595" s="25" t="s">
        <v>328</v>
      </c>
      <c r="D595" s="12">
        <v>9.5</v>
      </c>
      <c r="E595" s="14">
        <v>0.7</v>
      </c>
      <c r="F595" s="7">
        <f t="shared" si="139"/>
        <v>13.571428571428573</v>
      </c>
      <c r="G595" s="7">
        <f t="shared" si="147"/>
        <v>8.8000000000000007</v>
      </c>
      <c r="H595" s="16">
        <f t="shared" si="148"/>
        <v>10.199999999999999</v>
      </c>
      <c r="I595" s="11">
        <f t="shared" si="151"/>
        <v>0.10093927473308457</v>
      </c>
      <c r="J595" s="33">
        <f t="shared" si="152"/>
        <v>7.4376307698062307E-3</v>
      </c>
      <c r="K595" s="33">
        <f t="shared" si="153"/>
        <v>134.45141752123473</v>
      </c>
      <c r="L595" s="8">
        <v>0</v>
      </c>
      <c r="M595" s="9">
        <v>1</v>
      </c>
      <c r="N595" s="8">
        <v>0</v>
      </c>
      <c r="O595" s="9">
        <v>0</v>
      </c>
      <c r="P595" s="9">
        <v>0</v>
      </c>
      <c r="Q595" s="9">
        <v>1</v>
      </c>
      <c r="R595" s="9">
        <v>0</v>
      </c>
      <c r="S595" s="8">
        <v>17907</v>
      </c>
      <c r="T595" s="9">
        <v>13</v>
      </c>
      <c r="U595" s="9">
        <f t="shared" si="149"/>
        <v>17893</v>
      </c>
      <c r="V595" s="9">
        <f t="shared" si="150"/>
        <v>50</v>
      </c>
      <c r="W595" s="7">
        <f t="shared" si="144"/>
        <v>9.4307999999999996</v>
      </c>
      <c r="X595" s="7">
        <f t="shared" si="145"/>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46"/>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v>0</v>
      </c>
      <c r="BF595" s="18">
        <v>0</v>
      </c>
      <c r="BG595">
        <v>1</v>
      </c>
      <c r="BH595">
        <v>0</v>
      </c>
      <c r="BI595" s="18">
        <v>0</v>
      </c>
      <c r="BJ595">
        <v>25208</v>
      </c>
      <c r="BK595">
        <v>1486</v>
      </c>
      <c r="BL595" s="25">
        <v>39.1</v>
      </c>
      <c r="BM595">
        <v>0</v>
      </c>
      <c r="BN595">
        <v>0</v>
      </c>
      <c r="BO595">
        <v>0</v>
      </c>
      <c r="BP595">
        <v>0</v>
      </c>
      <c r="BQ595">
        <v>0</v>
      </c>
      <c r="BR595">
        <v>0</v>
      </c>
      <c r="BS595">
        <v>0</v>
      </c>
      <c r="BT595" s="18">
        <v>1</v>
      </c>
      <c r="BU595">
        <v>0</v>
      </c>
      <c r="BV595">
        <v>0</v>
      </c>
      <c r="BW595">
        <v>1</v>
      </c>
      <c r="BX595" s="18">
        <v>0</v>
      </c>
      <c r="BY595">
        <v>0</v>
      </c>
      <c r="BZ595">
        <v>0</v>
      </c>
      <c r="CA595">
        <v>0</v>
      </c>
      <c r="CB595">
        <v>0</v>
      </c>
      <c r="CC595" s="18">
        <v>1</v>
      </c>
      <c r="CD595">
        <v>1</v>
      </c>
      <c r="CE595">
        <v>1</v>
      </c>
      <c r="CF595">
        <v>0</v>
      </c>
      <c r="CG595">
        <v>0</v>
      </c>
      <c r="CH595">
        <v>0</v>
      </c>
      <c r="CI595">
        <v>1</v>
      </c>
      <c r="CJ595">
        <v>0</v>
      </c>
      <c r="CK595">
        <v>0</v>
      </c>
      <c r="CL595">
        <v>0</v>
      </c>
      <c r="CM595">
        <v>0</v>
      </c>
      <c r="CN595" s="18">
        <v>1</v>
      </c>
      <c r="CO595">
        <v>0</v>
      </c>
      <c r="CP595">
        <v>43</v>
      </c>
      <c r="CQ595">
        <v>0</v>
      </c>
      <c r="CR595">
        <v>1</v>
      </c>
      <c r="CS595">
        <v>6</v>
      </c>
      <c r="CY595" s="34"/>
    </row>
    <row r="596" spans="1:103" x14ac:dyDescent="0.25">
      <c r="A596">
        <v>595</v>
      </c>
      <c r="B596">
        <v>38</v>
      </c>
      <c r="C596" s="25" t="s">
        <v>328</v>
      </c>
      <c r="D596" s="12">
        <v>6.4</v>
      </c>
      <c r="E596" s="14">
        <v>0.2</v>
      </c>
      <c r="F596" s="7">
        <f t="shared" si="139"/>
        <v>32</v>
      </c>
      <c r="G596" s="7">
        <f t="shared" si="147"/>
        <v>6.2</v>
      </c>
      <c r="H596" s="16">
        <f t="shared" si="148"/>
        <v>6.6000000000000005</v>
      </c>
      <c r="I596" s="11">
        <f t="shared" si="151"/>
        <v>0.33193163431017081</v>
      </c>
      <c r="J596" s="33">
        <f t="shared" si="152"/>
        <v>1.0372863572192838E-2</v>
      </c>
      <c r="K596" s="33">
        <f t="shared" si="153"/>
        <v>96.405394039960228</v>
      </c>
      <c r="L596" s="8">
        <v>0</v>
      </c>
      <c r="M596" s="9">
        <v>1</v>
      </c>
      <c r="N596" s="8">
        <v>0</v>
      </c>
      <c r="O596" s="9">
        <v>0</v>
      </c>
      <c r="P596" s="9">
        <v>0</v>
      </c>
      <c r="Q596" s="9">
        <v>1</v>
      </c>
      <c r="R596" s="9">
        <v>0</v>
      </c>
      <c r="S596" s="8">
        <v>8284</v>
      </c>
      <c r="T596" s="9">
        <v>13</v>
      </c>
      <c r="U596" s="9">
        <f t="shared" si="149"/>
        <v>8270</v>
      </c>
      <c r="V596" s="9">
        <f t="shared" si="150"/>
        <v>50</v>
      </c>
      <c r="W596" s="7">
        <f t="shared" si="144"/>
        <v>9.4307999999999996</v>
      </c>
      <c r="X596" s="7">
        <f t="shared" si="145"/>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46"/>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v>0</v>
      </c>
      <c r="BF596" s="18">
        <v>0</v>
      </c>
      <c r="BG596">
        <v>1</v>
      </c>
      <c r="BH596">
        <v>0</v>
      </c>
      <c r="BI596" s="18">
        <v>0</v>
      </c>
      <c r="BJ596">
        <v>25208</v>
      </c>
      <c r="BK596">
        <v>1486</v>
      </c>
      <c r="BL596" s="25">
        <v>39.1</v>
      </c>
      <c r="BM596">
        <v>1</v>
      </c>
      <c r="BN596">
        <v>0</v>
      </c>
      <c r="BO596">
        <v>0</v>
      </c>
      <c r="BP596">
        <v>0</v>
      </c>
      <c r="BQ596">
        <v>0</v>
      </c>
      <c r="BR596">
        <v>0</v>
      </c>
      <c r="BS596">
        <v>0</v>
      </c>
      <c r="BT596" s="18">
        <v>0</v>
      </c>
      <c r="BU596">
        <v>0</v>
      </c>
      <c r="BV596">
        <v>0</v>
      </c>
      <c r="BW596">
        <v>1</v>
      </c>
      <c r="BX596" s="18">
        <v>0</v>
      </c>
      <c r="BY596">
        <v>0</v>
      </c>
      <c r="BZ596">
        <v>0</v>
      </c>
      <c r="CA596">
        <v>0</v>
      </c>
      <c r="CB596">
        <v>0</v>
      </c>
      <c r="CC596" s="18">
        <v>1</v>
      </c>
      <c r="CD596">
        <v>1</v>
      </c>
      <c r="CE596">
        <v>1</v>
      </c>
      <c r="CF596">
        <v>0</v>
      </c>
      <c r="CG596">
        <v>0</v>
      </c>
      <c r="CH596">
        <v>0</v>
      </c>
      <c r="CI596">
        <v>1</v>
      </c>
      <c r="CJ596">
        <v>0</v>
      </c>
      <c r="CK596">
        <v>0</v>
      </c>
      <c r="CL596">
        <v>0</v>
      </c>
      <c r="CM596">
        <v>0</v>
      </c>
      <c r="CN596" s="18">
        <v>1</v>
      </c>
      <c r="CO596">
        <v>0</v>
      </c>
      <c r="CP596">
        <v>43</v>
      </c>
      <c r="CQ596">
        <v>0</v>
      </c>
      <c r="CR596">
        <v>1</v>
      </c>
      <c r="CS596">
        <v>6</v>
      </c>
      <c r="CY596" s="34"/>
    </row>
    <row r="597" spans="1:103" x14ac:dyDescent="0.25">
      <c r="A597">
        <v>596</v>
      </c>
      <c r="B597">
        <v>38</v>
      </c>
      <c r="C597" s="25" t="s">
        <v>328</v>
      </c>
      <c r="D597" s="12">
        <v>20.9</v>
      </c>
      <c r="E597" s="14">
        <v>1.4</v>
      </c>
      <c r="F597" s="7">
        <f t="shared" si="139"/>
        <v>14.928571428571429</v>
      </c>
      <c r="G597" s="7">
        <f t="shared" si="147"/>
        <v>19.5</v>
      </c>
      <c r="H597" s="16">
        <f t="shared" si="148"/>
        <v>22.299999999999997</v>
      </c>
      <c r="I597" s="11">
        <f t="shared" si="151"/>
        <v>0.1619911208929482</v>
      </c>
      <c r="J597" s="33">
        <f t="shared" si="152"/>
        <v>1.0851079868427153E-2</v>
      </c>
      <c r="K597" s="33">
        <f t="shared" si="153"/>
        <v>92.156726530937277</v>
      </c>
      <c r="L597" s="8">
        <v>0</v>
      </c>
      <c r="M597" s="9">
        <v>1</v>
      </c>
      <c r="N597" s="8">
        <v>0</v>
      </c>
      <c r="O597" s="9">
        <v>0</v>
      </c>
      <c r="P597" s="9">
        <v>0</v>
      </c>
      <c r="Q597" s="9">
        <v>1</v>
      </c>
      <c r="R597" s="9">
        <v>0</v>
      </c>
      <c r="S597" s="8">
        <v>8284</v>
      </c>
      <c r="T597" s="9">
        <v>13</v>
      </c>
      <c r="U597" s="9">
        <f t="shared" si="149"/>
        <v>8270</v>
      </c>
      <c r="V597" s="9">
        <f t="shared" si="150"/>
        <v>50</v>
      </c>
      <c r="W597" s="7">
        <f t="shared" si="144"/>
        <v>9.4307999999999996</v>
      </c>
      <c r="X597" s="7">
        <f t="shared" si="145"/>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46"/>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v>0</v>
      </c>
      <c r="BF597" s="18">
        <v>0</v>
      </c>
      <c r="BG597">
        <v>1</v>
      </c>
      <c r="BH597">
        <v>0</v>
      </c>
      <c r="BI597" s="18">
        <v>0</v>
      </c>
      <c r="BJ597">
        <v>25208</v>
      </c>
      <c r="BK597">
        <v>1486</v>
      </c>
      <c r="BL597" s="25">
        <v>39.1</v>
      </c>
      <c r="BM597">
        <v>0</v>
      </c>
      <c r="BN597">
        <v>0</v>
      </c>
      <c r="BO597">
        <v>0</v>
      </c>
      <c r="BP597">
        <v>0</v>
      </c>
      <c r="BQ597">
        <v>0</v>
      </c>
      <c r="BR597">
        <v>0</v>
      </c>
      <c r="BS597">
        <v>0</v>
      </c>
      <c r="BT597" s="18">
        <v>1</v>
      </c>
      <c r="BU597">
        <v>0</v>
      </c>
      <c r="BV597">
        <v>0</v>
      </c>
      <c r="BW597">
        <v>1</v>
      </c>
      <c r="BX597" s="18">
        <v>0</v>
      </c>
      <c r="BY597">
        <v>0</v>
      </c>
      <c r="BZ597">
        <v>0</v>
      </c>
      <c r="CA597">
        <v>0</v>
      </c>
      <c r="CB597">
        <v>0</v>
      </c>
      <c r="CC597" s="18">
        <v>1</v>
      </c>
      <c r="CD597">
        <v>1</v>
      </c>
      <c r="CE597">
        <v>1</v>
      </c>
      <c r="CF597">
        <v>0</v>
      </c>
      <c r="CG597">
        <v>0</v>
      </c>
      <c r="CH597">
        <v>0</v>
      </c>
      <c r="CI597">
        <v>1</v>
      </c>
      <c r="CJ597">
        <v>0</v>
      </c>
      <c r="CK597">
        <v>0</v>
      </c>
      <c r="CL597">
        <v>0</v>
      </c>
      <c r="CM597">
        <v>0</v>
      </c>
      <c r="CN597" s="18">
        <v>1</v>
      </c>
      <c r="CO597">
        <v>0</v>
      </c>
      <c r="CP597">
        <v>43</v>
      </c>
      <c r="CQ597">
        <v>0</v>
      </c>
      <c r="CR597">
        <v>1</v>
      </c>
      <c r="CS597">
        <v>6</v>
      </c>
      <c r="CY597" s="34"/>
    </row>
    <row r="598" spans="1:103" x14ac:dyDescent="0.25">
      <c r="A598">
        <v>597</v>
      </c>
      <c r="B598">
        <v>38</v>
      </c>
      <c r="C598" s="25" t="s">
        <v>328</v>
      </c>
      <c r="D598" s="12">
        <v>7.5</v>
      </c>
      <c r="E598" s="14">
        <v>0.5</v>
      </c>
      <c r="F598" s="7">
        <f t="shared" si="139"/>
        <v>15</v>
      </c>
      <c r="G598" s="7">
        <f t="shared" si="147"/>
        <v>7</v>
      </c>
      <c r="H598" s="16">
        <f t="shared" si="148"/>
        <v>8</v>
      </c>
      <c r="I598" s="11">
        <f t="shared" si="151"/>
        <v>0.25800784355766804</v>
      </c>
      <c r="J598" s="33">
        <f t="shared" si="152"/>
        <v>1.7200522903844537E-2</v>
      </c>
      <c r="K598" s="33">
        <f t="shared" si="153"/>
        <v>58.137767414994528</v>
      </c>
      <c r="L598" s="8">
        <v>0</v>
      </c>
      <c r="M598" s="9">
        <v>1</v>
      </c>
      <c r="N598" s="8">
        <v>0</v>
      </c>
      <c r="O598" s="9">
        <v>0</v>
      </c>
      <c r="P598" s="9">
        <v>0</v>
      </c>
      <c r="Q598" s="9">
        <v>1</v>
      </c>
      <c r="R598" s="9">
        <v>0</v>
      </c>
      <c r="S598" s="8">
        <v>3169</v>
      </c>
      <c r="T598" s="9">
        <v>13</v>
      </c>
      <c r="U598" s="9">
        <f t="shared" si="149"/>
        <v>3155</v>
      </c>
      <c r="V598" s="9">
        <f t="shared" si="150"/>
        <v>50</v>
      </c>
      <c r="W598" s="7">
        <f t="shared" si="144"/>
        <v>9.4307999999999996</v>
      </c>
      <c r="X598" s="7">
        <f t="shared" si="145"/>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46"/>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v>0</v>
      </c>
      <c r="BF598" s="18">
        <v>0</v>
      </c>
      <c r="BG598">
        <v>1</v>
      </c>
      <c r="BH598">
        <v>0</v>
      </c>
      <c r="BI598" s="18">
        <v>0</v>
      </c>
      <c r="BJ598">
        <v>25208</v>
      </c>
      <c r="BK598">
        <v>1486</v>
      </c>
      <c r="BL598" s="25">
        <v>39.1</v>
      </c>
      <c r="BM598">
        <v>1</v>
      </c>
      <c r="BN598">
        <v>0</v>
      </c>
      <c r="BO598">
        <v>0</v>
      </c>
      <c r="BP598">
        <v>0</v>
      </c>
      <c r="BQ598">
        <v>0</v>
      </c>
      <c r="BR598">
        <v>0</v>
      </c>
      <c r="BS598">
        <v>0</v>
      </c>
      <c r="BT598" s="18">
        <v>0</v>
      </c>
      <c r="BU598">
        <v>0</v>
      </c>
      <c r="BV598">
        <v>0</v>
      </c>
      <c r="BW598">
        <v>1</v>
      </c>
      <c r="BX598" s="18">
        <v>0</v>
      </c>
      <c r="BY598">
        <v>0</v>
      </c>
      <c r="BZ598">
        <v>0</v>
      </c>
      <c r="CA598">
        <v>0</v>
      </c>
      <c r="CB598">
        <v>0</v>
      </c>
      <c r="CC598" s="18">
        <v>1</v>
      </c>
      <c r="CD598">
        <v>1</v>
      </c>
      <c r="CE598">
        <v>1</v>
      </c>
      <c r="CF598">
        <v>0</v>
      </c>
      <c r="CG598">
        <v>0</v>
      </c>
      <c r="CH598">
        <v>0</v>
      </c>
      <c r="CI598">
        <v>1</v>
      </c>
      <c r="CJ598">
        <v>0</v>
      </c>
      <c r="CK598">
        <v>0</v>
      </c>
      <c r="CL598">
        <v>0</v>
      </c>
      <c r="CM598">
        <v>0</v>
      </c>
      <c r="CN598" s="18">
        <v>1</v>
      </c>
      <c r="CO598">
        <v>0</v>
      </c>
      <c r="CP598">
        <v>43</v>
      </c>
      <c r="CQ598">
        <v>0</v>
      </c>
      <c r="CR598">
        <v>1</v>
      </c>
      <c r="CS598">
        <v>6</v>
      </c>
      <c r="CY598" s="34"/>
    </row>
    <row r="599" spans="1:103" x14ac:dyDescent="0.25">
      <c r="A599">
        <v>598</v>
      </c>
      <c r="B599">
        <v>38</v>
      </c>
      <c r="C599" s="25" t="s">
        <v>328</v>
      </c>
      <c r="D599" s="12">
        <v>20.3</v>
      </c>
      <c r="E599" s="14">
        <v>2.9</v>
      </c>
      <c r="F599" s="7">
        <f t="shared" si="139"/>
        <v>7.0000000000000009</v>
      </c>
      <c r="G599" s="7">
        <f t="shared" si="147"/>
        <v>17.400000000000002</v>
      </c>
      <c r="H599" s="16">
        <f t="shared" si="148"/>
        <v>23.2</v>
      </c>
      <c r="I599" s="11">
        <f t="shared" si="151"/>
        <v>0.12382109909351439</v>
      </c>
      <c r="J599" s="33">
        <f t="shared" si="152"/>
        <v>1.7688728441930625E-2</v>
      </c>
      <c r="K599" s="33">
        <f t="shared" si="153"/>
        <v>56.53317610041028</v>
      </c>
      <c r="L599" s="8">
        <v>0</v>
      </c>
      <c r="M599" s="9">
        <v>1</v>
      </c>
      <c r="N599" s="8">
        <v>0</v>
      </c>
      <c r="O599" s="9">
        <v>0</v>
      </c>
      <c r="P599" s="9">
        <v>0</v>
      </c>
      <c r="Q599" s="9">
        <v>1</v>
      </c>
      <c r="R599" s="9">
        <v>0</v>
      </c>
      <c r="S599" s="8">
        <v>3161</v>
      </c>
      <c r="T599" s="9">
        <v>13</v>
      </c>
      <c r="U599" s="9">
        <f t="shared" si="149"/>
        <v>3147</v>
      </c>
      <c r="V599" s="9">
        <f t="shared" si="150"/>
        <v>50</v>
      </c>
      <c r="W599" s="7">
        <f t="shared" si="144"/>
        <v>9.4307999999999996</v>
      </c>
      <c r="X599" s="7">
        <f t="shared" si="145"/>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46"/>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v>0</v>
      </c>
      <c r="BF599" s="18">
        <v>0</v>
      </c>
      <c r="BG599">
        <v>1</v>
      </c>
      <c r="BH599">
        <v>0</v>
      </c>
      <c r="BI599" s="18">
        <v>0</v>
      </c>
      <c r="BJ599">
        <v>25208</v>
      </c>
      <c r="BK599">
        <v>1486</v>
      </c>
      <c r="BL599" s="25">
        <v>39.1</v>
      </c>
      <c r="BM599">
        <v>0</v>
      </c>
      <c r="BN599">
        <v>0</v>
      </c>
      <c r="BO599">
        <v>0</v>
      </c>
      <c r="BP599">
        <v>0</v>
      </c>
      <c r="BQ599">
        <v>0</v>
      </c>
      <c r="BR599">
        <v>0</v>
      </c>
      <c r="BS599">
        <v>0</v>
      </c>
      <c r="BT599" s="18">
        <v>1</v>
      </c>
      <c r="BU599">
        <v>0</v>
      </c>
      <c r="BV599">
        <v>0</v>
      </c>
      <c r="BW599">
        <v>1</v>
      </c>
      <c r="BX599" s="18">
        <v>0</v>
      </c>
      <c r="BY599">
        <v>0</v>
      </c>
      <c r="BZ599">
        <v>0</v>
      </c>
      <c r="CA599">
        <v>0</v>
      </c>
      <c r="CB599">
        <v>0</v>
      </c>
      <c r="CC599" s="18">
        <v>1</v>
      </c>
      <c r="CD599">
        <v>1</v>
      </c>
      <c r="CE599">
        <v>1</v>
      </c>
      <c r="CF599">
        <v>0</v>
      </c>
      <c r="CG599">
        <v>0</v>
      </c>
      <c r="CH599">
        <v>0</v>
      </c>
      <c r="CI599">
        <v>1</v>
      </c>
      <c r="CJ599">
        <v>0</v>
      </c>
      <c r="CK599">
        <v>0</v>
      </c>
      <c r="CL599">
        <v>0</v>
      </c>
      <c r="CM599">
        <v>0</v>
      </c>
      <c r="CN599" s="18">
        <v>1</v>
      </c>
      <c r="CO599">
        <v>0</v>
      </c>
      <c r="CP599">
        <v>43</v>
      </c>
      <c r="CQ599">
        <v>0</v>
      </c>
      <c r="CR599">
        <v>1</v>
      </c>
      <c r="CS599">
        <v>6</v>
      </c>
      <c r="CY599" s="34"/>
    </row>
    <row r="600" spans="1:103" x14ac:dyDescent="0.25">
      <c r="A600">
        <v>599</v>
      </c>
      <c r="B600">
        <v>38</v>
      </c>
      <c r="C600" s="25" t="s">
        <v>328</v>
      </c>
      <c r="D600" s="12">
        <v>8.4</v>
      </c>
      <c r="E600" s="14">
        <v>3</v>
      </c>
      <c r="F600" s="7">
        <f t="shared" si="139"/>
        <v>2.8000000000000003</v>
      </c>
      <c r="G600" s="7">
        <f t="shared" si="147"/>
        <v>5.4</v>
      </c>
      <c r="H600" s="16">
        <f t="shared" si="148"/>
        <v>11.4</v>
      </c>
      <c r="I600" s="11">
        <f t="shared" si="151"/>
        <v>5.6227166832005605E-2</v>
      </c>
      <c r="J600" s="33">
        <f t="shared" si="152"/>
        <v>2.008113101143057E-2</v>
      </c>
      <c r="K600" s="33">
        <f t="shared" si="153"/>
        <v>49.797991927385986</v>
      </c>
      <c r="L600" s="8">
        <v>0</v>
      </c>
      <c r="M600" s="9">
        <v>1</v>
      </c>
      <c r="N600" s="8">
        <v>0</v>
      </c>
      <c r="O600" s="9">
        <v>0</v>
      </c>
      <c r="P600" s="9">
        <v>0</v>
      </c>
      <c r="Q600" s="9">
        <v>1</v>
      </c>
      <c r="R600" s="9">
        <v>0</v>
      </c>
      <c r="S600" s="8">
        <v>2486</v>
      </c>
      <c r="T600" s="9">
        <v>13</v>
      </c>
      <c r="U600" s="9">
        <f t="shared" si="149"/>
        <v>2472</v>
      </c>
      <c r="V600" s="9">
        <f t="shared" si="150"/>
        <v>50</v>
      </c>
      <c r="W600" s="7">
        <f t="shared" si="144"/>
        <v>9.4307999999999996</v>
      </c>
      <c r="X600" s="7">
        <f t="shared" si="145"/>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46"/>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v>0</v>
      </c>
      <c r="BF600" s="18">
        <v>0</v>
      </c>
      <c r="BG600">
        <v>1</v>
      </c>
      <c r="BH600">
        <v>0</v>
      </c>
      <c r="BI600" s="18">
        <v>0</v>
      </c>
      <c r="BJ600">
        <v>25208</v>
      </c>
      <c r="BK600">
        <v>1486</v>
      </c>
      <c r="BL600" s="25">
        <v>39.1</v>
      </c>
      <c r="BM600">
        <v>0</v>
      </c>
      <c r="BN600">
        <v>0</v>
      </c>
      <c r="BO600">
        <v>0</v>
      </c>
      <c r="BP600">
        <v>0</v>
      </c>
      <c r="BQ600">
        <v>0</v>
      </c>
      <c r="BR600">
        <v>0</v>
      </c>
      <c r="BS600">
        <v>0</v>
      </c>
      <c r="BT600" s="18">
        <v>1</v>
      </c>
      <c r="BU600">
        <v>0</v>
      </c>
      <c r="BV600">
        <v>0</v>
      </c>
      <c r="BW600">
        <v>1</v>
      </c>
      <c r="BX600" s="18">
        <v>0</v>
      </c>
      <c r="BY600">
        <v>0</v>
      </c>
      <c r="BZ600">
        <v>0</v>
      </c>
      <c r="CA600">
        <v>0</v>
      </c>
      <c r="CB600">
        <v>0</v>
      </c>
      <c r="CC600" s="18">
        <v>1</v>
      </c>
      <c r="CD600">
        <v>1</v>
      </c>
      <c r="CE600">
        <v>1</v>
      </c>
      <c r="CF600">
        <v>0</v>
      </c>
      <c r="CG600">
        <v>0</v>
      </c>
      <c r="CH600">
        <v>0</v>
      </c>
      <c r="CI600">
        <v>1</v>
      </c>
      <c r="CJ600">
        <v>0</v>
      </c>
      <c r="CK600">
        <v>0</v>
      </c>
      <c r="CL600">
        <v>0</v>
      </c>
      <c r="CM600">
        <v>0</v>
      </c>
      <c r="CN600" s="18">
        <v>1</v>
      </c>
      <c r="CO600">
        <v>0</v>
      </c>
      <c r="CP600">
        <v>43</v>
      </c>
      <c r="CQ600">
        <v>0</v>
      </c>
      <c r="CR600">
        <v>1</v>
      </c>
      <c r="CS600">
        <v>6</v>
      </c>
      <c r="CY600" s="34"/>
    </row>
    <row r="601" spans="1:103" x14ac:dyDescent="0.25">
      <c r="A601">
        <v>600</v>
      </c>
      <c r="B601">
        <v>38</v>
      </c>
      <c r="C601" s="25" t="s">
        <v>328</v>
      </c>
      <c r="D601" s="12">
        <v>6.1</v>
      </c>
      <c r="E601" s="14">
        <v>0.6</v>
      </c>
      <c r="F601" s="7">
        <f t="shared" si="139"/>
        <v>10.166666666666666</v>
      </c>
      <c r="G601" s="7">
        <f t="shared" si="147"/>
        <v>5.5</v>
      </c>
      <c r="H601" s="16">
        <f t="shared" si="148"/>
        <v>6.6999999999999993</v>
      </c>
      <c r="I601" s="11">
        <f t="shared" si="151"/>
        <v>0.17810617536526374</v>
      </c>
      <c r="J601" s="33">
        <f t="shared" si="152"/>
        <v>1.7518640199862007E-2</v>
      </c>
      <c r="K601" s="33">
        <f t="shared" si="153"/>
        <v>57.082055946778155</v>
      </c>
      <c r="L601" s="8">
        <v>0</v>
      </c>
      <c r="M601" s="9">
        <v>1</v>
      </c>
      <c r="N601" s="8">
        <v>0</v>
      </c>
      <c r="O601" s="9">
        <v>0</v>
      </c>
      <c r="P601" s="9">
        <v>0</v>
      </c>
      <c r="Q601" s="9">
        <v>1</v>
      </c>
      <c r="R601" s="9">
        <v>0</v>
      </c>
      <c r="S601" s="8">
        <v>3169</v>
      </c>
      <c r="T601" s="9">
        <v>13</v>
      </c>
      <c r="U601" s="9">
        <f t="shared" si="149"/>
        <v>3155</v>
      </c>
      <c r="V601" s="9">
        <f t="shared" si="150"/>
        <v>50</v>
      </c>
      <c r="W601" s="7">
        <f t="shared" si="144"/>
        <v>9.4307999999999996</v>
      </c>
      <c r="X601" s="7">
        <f t="shared" si="145"/>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46"/>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v>0</v>
      </c>
      <c r="BF601" s="18">
        <v>0</v>
      </c>
      <c r="BG601">
        <v>1</v>
      </c>
      <c r="BH601">
        <v>0</v>
      </c>
      <c r="BI601" s="18">
        <v>0</v>
      </c>
      <c r="BJ601">
        <v>25208</v>
      </c>
      <c r="BK601">
        <v>1486</v>
      </c>
      <c r="BL601" s="25">
        <v>39.1</v>
      </c>
      <c r="BM601">
        <v>1</v>
      </c>
      <c r="BN601">
        <v>0</v>
      </c>
      <c r="BO601">
        <v>0</v>
      </c>
      <c r="BP601">
        <v>0</v>
      </c>
      <c r="BQ601">
        <v>0</v>
      </c>
      <c r="BR601">
        <v>0</v>
      </c>
      <c r="BS601">
        <v>0</v>
      </c>
      <c r="BT601" s="18">
        <v>0</v>
      </c>
      <c r="BU601">
        <v>0</v>
      </c>
      <c r="BV601">
        <v>0</v>
      </c>
      <c r="BW601">
        <v>1</v>
      </c>
      <c r="BX601" s="18">
        <v>0</v>
      </c>
      <c r="BY601">
        <v>0</v>
      </c>
      <c r="BZ601">
        <v>0</v>
      </c>
      <c r="CA601">
        <v>0</v>
      </c>
      <c r="CB601">
        <v>0</v>
      </c>
      <c r="CC601" s="18">
        <v>1</v>
      </c>
      <c r="CD601">
        <v>1</v>
      </c>
      <c r="CE601">
        <v>1</v>
      </c>
      <c r="CF601">
        <v>0</v>
      </c>
      <c r="CG601">
        <v>0</v>
      </c>
      <c r="CH601">
        <v>0</v>
      </c>
      <c r="CI601">
        <v>1</v>
      </c>
      <c r="CJ601">
        <v>0</v>
      </c>
      <c r="CK601">
        <v>0</v>
      </c>
      <c r="CL601">
        <v>0</v>
      </c>
      <c r="CM601">
        <v>0</v>
      </c>
      <c r="CN601" s="18">
        <v>1</v>
      </c>
      <c r="CO601">
        <v>0</v>
      </c>
      <c r="CP601">
        <v>43</v>
      </c>
      <c r="CQ601">
        <v>0</v>
      </c>
      <c r="CR601">
        <v>1</v>
      </c>
      <c r="CS601">
        <v>6</v>
      </c>
      <c r="CY601" s="34"/>
    </row>
    <row r="602" spans="1:103" x14ac:dyDescent="0.25">
      <c r="A602">
        <v>601</v>
      </c>
      <c r="B602">
        <v>38</v>
      </c>
      <c r="C602" s="25" t="s">
        <v>328</v>
      </c>
      <c r="D602" s="12">
        <v>19.100000000000001</v>
      </c>
      <c r="E602" s="14">
        <v>3.1</v>
      </c>
      <c r="F602" s="7">
        <f t="shared" si="139"/>
        <v>6.161290322580645</v>
      </c>
      <c r="G602" s="7">
        <f t="shared" si="147"/>
        <v>16</v>
      </c>
      <c r="H602" s="16">
        <f t="shared" si="148"/>
        <v>22.200000000000003</v>
      </c>
      <c r="I602" s="11">
        <f t="shared" si="151"/>
        <v>0.12750634932750621</v>
      </c>
      <c r="J602" s="33">
        <f t="shared" si="152"/>
        <v>2.0694747796610954E-2</v>
      </c>
      <c r="K602" s="33">
        <f t="shared" si="153"/>
        <v>48.321439324994508</v>
      </c>
      <c r="L602" s="8">
        <v>0</v>
      </c>
      <c r="M602" s="9">
        <v>1</v>
      </c>
      <c r="N602" s="8">
        <v>0</v>
      </c>
      <c r="O602" s="9">
        <v>0</v>
      </c>
      <c r="P602" s="9">
        <v>0</v>
      </c>
      <c r="Q602" s="9">
        <v>1</v>
      </c>
      <c r="R602" s="9">
        <v>0</v>
      </c>
      <c r="S602" s="8">
        <v>2311</v>
      </c>
      <c r="T602" s="9">
        <v>13</v>
      </c>
      <c r="U602" s="9">
        <f t="shared" si="149"/>
        <v>2297</v>
      </c>
      <c r="V602" s="9">
        <f t="shared" si="150"/>
        <v>50</v>
      </c>
      <c r="W602" s="7">
        <f t="shared" si="144"/>
        <v>9.4307999999999996</v>
      </c>
      <c r="X602" s="7">
        <f t="shared" si="145"/>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46"/>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v>0</v>
      </c>
      <c r="BF602" s="18">
        <v>0</v>
      </c>
      <c r="BG602">
        <v>1</v>
      </c>
      <c r="BH602">
        <v>0</v>
      </c>
      <c r="BI602" s="18">
        <v>0</v>
      </c>
      <c r="BJ602">
        <v>25208</v>
      </c>
      <c r="BK602">
        <v>1486</v>
      </c>
      <c r="BL602" s="25">
        <v>39.1</v>
      </c>
      <c r="BM602">
        <v>0</v>
      </c>
      <c r="BN602">
        <v>0</v>
      </c>
      <c r="BO602">
        <v>0</v>
      </c>
      <c r="BP602">
        <v>0</v>
      </c>
      <c r="BQ602">
        <v>0</v>
      </c>
      <c r="BR602">
        <v>0</v>
      </c>
      <c r="BS602">
        <v>0</v>
      </c>
      <c r="BT602" s="18">
        <v>1</v>
      </c>
      <c r="BU602">
        <v>0</v>
      </c>
      <c r="BV602">
        <v>0</v>
      </c>
      <c r="BW602">
        <v>1</v>
      </c>
      <c r="BX602" s="18">
        <v>0</v>
      </c>
      <c r="BY602">
        <v>0</v>
      </c>
      <c r="BZ602">
        <v>0</v>
      </c>
      <c r="CA602">
        <v>0</v>
      </c>
      <c r="CB602">
        <v>0</v>
      </c>
      <c r="CC602" s="18">
        <v>1</v>
      </c>
      <c r="CD602">
        <v>1</v>
      </c>
      <c r="CE602">
        <v>1</v>
      </c>
      <c r="CF602">
        <v>0</v>
      </c>
      <c r="CG602">
        <v>0</v>
      </c>
      <c r="CH602">
        <v>0</v>
      </c>
      <c r="CI602">
        <v>1</v>
      </c>
      <c r="CJ602">
        <v>0</v>
      </c>
      <c r="CK602">
        <v>0</v>
      </c>
      <c r="CL602">
        <v>0</v>
      </c>
      <c r="CM602">
        <v>0</v>
      </c>
      <c r="CN602" s="18">
        <v>1</v>
      </c>
      <c r="CO602">
        <v>0</v>
      </c>
      <c r="CP602">
        <v>43</v>
      </c>
      <c r="CQ602">
        <v>0</v>
      </c>
      <c r="CR602">
        <v>1</v>
      </c>
      <c r="CS602">
        <v>6</v>
      </c>
      <c r="CY602" s="34"/>
    </row>
    <row r="603" spans="1:103" x14ac:dyDescent="0.25">
      <c r="A603">
        <v>602</v>
      </c>
      <c r="B603">
        <v>38</v>
      </c>
      <c r="C603" s="25" t="s">
        <v>328</v>
      </c>
      <c r="D603" s="12">
        <v>8</v>
      </c>
      <c r="E603" s="14">
        <v>3.3</v>
      </c>
      <c r="F603" s="7">
        <f t="shared" si="139"/>
        <v>2.4242424242424243</v>
      </c>
      <c r="G603" s="7">
        <f t="shared" si="147"/>
        <v>4.7</v>
      </c>
      <c r="H603" s="16">
        <f t="shared" si="148"/>
        <v>11.3</v>
      </c>
      <c r="I603" s="11">
        <f t="shared" si="151"/>
        <v>5.4703978219744508E-2</v>
      </c>
      <c r="J603" s="33">
        <f t="shared" si="152"/>
        <v>2.2565391015644611E-2</v>
      </c>
      <c r="K603" s="33">
        <f t="shared" si="153"/>
        <v>44.31565131340728</v>
      </c>
      <c r="L603" s="8">
        <v>0</v>
      </c>
      <c r="M603" s="9">
        <v>1</v>
      </c>
      <c r="N603" s="8">
        <v>0</v>
      </c>
      <c r="O603" s="9">
        <v>0</v>
      </c>
      <c r="P603" s="9">
        <v>0</v>
      </c>
      <c r="Q603" s="9">
        <v>1</v>
      </c>
      <c r="R603" s="9">
        <v>0</v>
      </c>
      <c r="S603" s="8">
        <v>1972</v>
      </c>
      <c r="T603" s="9">
        <v>13</v>
      </c>
      <c r="U603" s="9">
        <f t="shared" si="149"/>
        <v>1958</v>
      </c>
      <c r="V603" s="9">
        <f t="shared" si="150"/>
        <v>50</v>
      </c>
      <c r="W603" s="7">
        <f t="shared" si="144"/>
        <v>9.4307999999999996</v>
      </c>
      <c r="X603" s="7">
        <f t="shared" si="145"/>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46"/>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v>0</v>
      </c>
      <c r="BF603" s="18">
        <v>0</v>
      </c>
      <c r="BG603">
        <v>1</v>
      </c>
      <c r="BH603">
        <v>0</v>
      </c>
      <c r="BI603" s="18">
        <v>0</v>
      </c>
      <c r="BJ603">
        <v>25208</v>
      </c>
      <c r="BK603">
        <v>1486</v>
      </c>
      <c r="BL603" s="25">
        <v>39.1</v>
      </c>
      <c r="BM603">
        <v>0</v>
      </c>
      <c r="BN603">
        <v>0</v>
      </c>
      <c r="BO603">
        <v>0</v>
      </c>
      <c r="BP603">
        <v>0</v>
      </c>
      <c r="BQ603">
        <v>0</v>
      </c>
      <c r="BR603">
        <v>0</v>
      </c>
      <c r="BS603">
        <v>0</v>
      </c>
      <c r="BT603" s="18">
        <v>1</v>
      </c>
      <c r="BU603">
        <v>0</v>
      </c>
      <c r="BV603">
        <v>0</v>
      </c>
      <c r="BW603">
        <v>1</v>
      </c>
      <c r="BX603" s="18">
        <v>0</v>
      </c>
      <c r="BY603">
        <v>0</v>
      </c>
      <c r="BZ603">
        <v>0</v>
      </c>
      <c r="CA603">
        <v>0</v>
      </c>
      <c r="CB603">
        <v>0</v>
      </c>
      <c r="CC603" s="18">
        <v>1</v>
      </c>
      <c r="CD603">
        <v>1</v>
      </c>
      <c r="CE603">
        <v>1</v>
      </c>
      <c r="CF603">
        <v>0</v>
      </c>
      <c r="CG603">
        <v>0</v>
      </c>
      <c r="CH603">
        <v>0</v>
      </c>
      <c r="CI603">
        <v>1</v>
      </c>
      <c r="CJ603">
        <v>0</v>
      </c>
      <c r="CK603">
        <v>0</v>
      </c>
      <c r="CL603">
        <v>0</v>
      </c>
      <c r="CM603">
        <v>0</v>
      </c>
      <c r="CN603" s="18">
        <v>1</v>
      </c>
      <c r="CO603">
        <v>0</v>
      </c>
      <c r="CP603">
        <v>43</v>
      </c>
      <c r="CQ603">
        <v>0</v>
      </c>
      <c r="CR603">
        <v>1</v>
      </c>
      <c r="CS603">
        <v>6</v>
      </c>
      <c r="CY603" s="34"/>
    </row>
    <row r="604" spans="1:103" x14ac:dyDescent="0.25">
      <c r="A604">
        <v>603</v>
      </c>
      <c r="B604">
        <v>38</v>
      </c>
      <c r="C604" s="25" t="s">
        <v>328</v>
      </c>
      <c r="D604" s="12">
        <v>9.1999999999999993</v>
      </c>
      <c r="E604" s="14">
        <v>0.2</v>
      </c>
      <c r="F604" s="7">
        <f t="shared" si="139"/>
        <v>45.999999999999993</v>
      </c>
      <c r="G604" s="7">
        <f t="shared" si="147"/>
        <v>9</v>
      </c>
      <c r="H604" s="16">
        <f t="shared" si="148"/>
        <v>9.3999999999999986</v>
      </c>
      <c r="I604" s="11">
        <f t="shared" si="151"/>
        <v>0.39071541861692216</v>
      </c>
      <c r="J604" s="33">
        <f t="shared" si="152"/>
        <v>8.4938134481939605E-3</v>
      </c>
      <c r="K604" s="33">
        <f t="shared" si="153"/>
        <v>117.7327482054165</v>
      </c>
      <c r="L604" s="8">
        <v>0</v>
      </c>
      <c r="M604" s="9">
        <v>1</v>
      </c>
      <c r="N604" s="8">
        <v>0</v>
      </c>
      <c r="O604" s="9">
        <v>0</v>
      </c>
      <c r="P604" s="9">
        <v>0</v>
      </c>
      <c r="Q604" s="9">
        <v>1</v>
      </c>
      <c r="R604" s="9">
        <v>0</v>
      </c>
      <c r="S604" s="8">
        <v>11759</v>
      </c>
      <c r="T604" s="9">
        <v>13</v>
      </c>
      <c r="U604" s="9">
        <f t="shared" si="149"/>
        <v>11745</v>
      </c>
      <c r="V604" s="9">
        <f t="shared" si="150"/>
        <v>50</v>
      </c>
      <c r="W604" s="7">
        <f t="shared" si="144"/>
        <v>9.4307999999999996</v>
      </c>
      <c r="X604" s="7">
        <f t="shared" si="145"/>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46"/>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v>0</v>
      </c>
      <c r="BF604" s="18">
        <v>0</v>
      </c>
      <c r="BG604">
        <v>1</v>
      </c>
      <c r="BH604">
        <v>0</v>
      </c>
      <c r="BI604" s="18">
        <v>0</v>
      </c>
      <c r="BJ604">
        <v>25208</v>
      </c>
      <c r="BK604">
        <v>1486</v>
      </c>
      <c r="BL604" s="25">
        <v>39.1</v>
      </c>
      <c r="BM604">
        <v>1</v>
      </c>
      <c r="BN604">
        <v>0</v>
      </c>
      <c r="BO604">
        <v>0</v>
      </c>
      <c r="BP604">
        <v>0</v>
      </c>
      <c r="BQ604">
        <v>0</v>
      </c>
      <c r="BR604">
        <v>0</v>
      </c>
      <c r="BS604">
        <v>0</v>
      </c>
      <c r="BT604" s="18">
        <v>0</v>
      </c>
      <c r="BU604">
        <v>0</v>
      </c>
      <c r="BV604">
        <v>0</v>
      </c>
      <c r="BW604">
        <v>1</v>
      </c>
      <c r="BX604" s="18">
        <v>0</v>
      </c>
      <c r="BY604">
        <v>0</v>
      </c>
      <c r="BZ604">
        <v>0</v>
      </c>
      <c r="CA604">
        <v>0</v>
      </c>
      <c r="CB604">
        <v>0</v>
      </c>
      <c r="CC604" s="18">
        <v>1</v>
      </c>
      <c r="CD604">
        <v>1</v>
      </c>
      <c r="CE604">
        <v>1</v>
      </c>
      <c r="CF604">
        <v>0</v>
      </c>
      <c r="CG604">
        <v>0</v>
      </c>
      <c r="CH604">
        <v>0</v>
      </c>
      <c r="CI604">
        <v>1</v>
      </c>
      <c r="CJ604">
        <v>0</v>
      </c>
      <c r="CK604">
        <v>0</v>
      </c>
      <c r="CL604">
        <v>0</v>
      </c>
      <c r="CM604">
        <v>0</v>
      </c>
      <c r="CN604" s="18">
        <v>1</v>
      </c>
      <c r="CO604">
        <v>0</v>
      </c>
      <c r="CP604">
        <v>43</v>
      </c>
      <c r="CQ604">
        <v>0</v>
      </c>
      <c r="CR604">
        <v>1</v>
      </c>
      <c r="CS604">
        <v>6</v>
      </c>
      <c r="CY604" s="34"/>
    </row>
    <row r="605" spans="1:103" x14ac:dyDescent="0.25">
      <c r="A605">
        <v>604</v>
      </c>
      <c r="B605">
        <v>38</v>
      </c>
      <c r="C605" s="25" t="s">
        <v>328</v>
      </c>
      <c r="D605" s="12">
        <v>16.3</v>
      </c>
      <c r="E605" s="14">
        <v>1.1000000000000001</v>
      </c>
      <c r="F605" s="7">
        <f t="shared" si="139"/>
        <v>14.818181818181818</v>
      </c>
      <c r="G605" s="7">
        <f t="shared" si="147"/>
        <v>15.200000000000001</v>
      </c>
      <c r="H605" s="16">
        <f t="shared" si="148"/>
        <v>17.400000000000002</v>
      </c>
      <c r="I605" s="11">
        <f t="shared" si="151"/>
        <v>0.13547096277416754</v>
      </c>
      <c r="J605" s="33">
        <f t="shared" si="152"/>
        <v>9.1422122117536374E-3</v>
      </c>
      <c r="K605" s="33">
        <f t="shared" si="153"/>
        <v>109.38271578451824</v>
      </c>
      <c r="L605" s="8">
        <v>0</v>
      </c>
      <c r="M605" s="9">
        <v>1</v>
      </c>
      <c r="N605" s="8">
        <v>0</v>
      </c>
      <c r="O605" s="9">
        <v>0</v>
      </c>
      <c r="P605" s="9">
        <v>0</v>
      </c>
      <c r="Q605" s="9">
        <v>1</v>
      </c>
      <c r="R605" s="9">
        <v>0</v>
      </c>
      <c r="S605" s="8">
        <v>11759</v>
      </c>
      <c r="T605" s="9">
        <v>13</v>
      </c>
      <c r="U605" s="9">
        <f t="shared" si="149"/>
        <v>11745</v>
      </c>
      <c r="V605" s="9">
        <f t="shared" si="150"/>
        <v>50</v>
      </c>
      <c r="W605" s="7">
        <f t="shared" si="144"/>
        <v>9.4307999999999996</v>
      </c>
      <c r="X605" s="7">
        <f t="shared" si="145"/>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46"/>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v>0</v>
      </c>
      <c r="BF605" s="18">
        <v>0</v>
      </c>
      <c r="BG605">
        <v>1</v>
      </c>
      <c r="BH605">
        <v>0</v>
      </c>
      <c r="BI605" s="18">
        <v>0</v>
      </c>
      <c r="BJ605">
        <v>25208</v>
      </c>
      <c r="BK605">
        <v>1486</v>
      </c>
      <c r="BL605" s="25">
        <v>39.1</v>
      </c>
      <c r="BM605">
        <v>0</v>
      </c>
      <c r="BN605">
        <v>0</v>
      </c>
      <c r="BO605">
        <v>0</v>
      </c>
      <c r="BP605">
        <v>0</v>
      </c>
      <c r="BQ605">
        <v>0</v>
      </c>
      <c r="BR605">
        <v>0</v>
      </c>
      <c r="BS605">
        <v>0</v>
      </c>
      <c r="BT605" s="18">
        <v>1</v>
      </c>
      <c r="BU605">
        <v>0</v>
      </c>
      <c r="BV605">
        <v>0</v>
      </c>
      <c r="BW605">
        <v>1</v>
      </c>
      <c r="BX605" s="18">
        <v>0</v>
      </c>
      <c r="BY605">
        <v>0</v>
      </c>
      <c r="BZ605">
        <v>0</v>
      </c>
      <c r="CA605">
        <v>0</v>
      </c>
      <c r="CB605">
        <v>0</v>
      </c>
      <c r="CC605" s="18">
        <v>1</v>
      </c>
      <c r="CD605">
        <v>1</v>
      </c>
      <c r="CE605">
        <v>1</v>
      </c>
      <c r="CF605">
        <v>0</v>
      </c>
      <c r="CG605">
        <v>0</v>
      </c>
      <c r="CH605">
        <v>0</v>
      </c>
      <c r="CI605">
        <v>1</v>
      </c>
      <c r="CJ605">
        <v>0</v>
      </c>
      <c r="CK605">
        <v>0</v>
      </c>
      <c r="CL605">
        <v>0</v>
      </c>
      <c r="CM605">
        <v>0</v>
      </c>
      <c r="CN605" s="18">
        <v>1</v>
      </c>
      <c r="CO605">
        <v>0</v>
      </c>
      <c r="CP605">
        <v>43</v>
      </c>
      <c r="CQ605">
        <v>0</v>
      </c>
      <c r="CR605">
        <v>1</v>
      </c>
      <c r="CS605">
        <v>6</v>
      </c>
      <c r="CY605" s="34"/>
    </row>
    <row r="606" spans="1:103" x14ac:dyDescent="0.25">
      <c r="A606">
        <v>605</v>
      </c>
      <c r="B606">
        <v>38</v>
      </c>
      <c r="C606" s="25" t="s">
        <v>328</v>
      </c>
      <c r="D606" s="12">
        <v>12.6</v>
      </c>
      <c r="E606" s="14">
        <v>0.8</v>
      </c>
      <c r="F606" s="7">
        <f t="shared" si="139"/>
        <v>15.749999999999998</v>
      </c>
      <c r="G606" s="7">
        <f t="shared" si="147"/>
        <v>11.799999999999999</v>
      </c>
      <c r="H606" s="16">
        <f t="shared" si="148"/>
        <v>13.4</v>
      </c>
      <c r="I606" s="11">
        <f t="shared" si="151"/>
        <v>0.11981062609680501</v>
      </c>
      <c r="J606" s="33">
        <f t="shared" si="152"/>
        <v>7.607023879162224E-3</v>
      </c>
      <c r="K606" s="33">
        <f t="shared" si="153"/>
        <v>131.45745509479482</v>
      </c>
      <c r="L606" s="8">
        <v>0</v>
      </c>
      <c r="M606" s="9">
        <v>1</v>
      </c>
      <c r="N606" s="8">
        <v>0</v>
      </c>
      <c r="O606" s="9">
        <v>0</v>
      </c>
      <c r="P606" s="9">
        <v>0</v>
      </c>
      <c r="Q606" s="9">
        <v>1</v>
      </c>
      <c r="R606" s="9">
        <v>0</v>
      </c>
      <c r="S606" s="8">
        <v>17047</v>
      </c>
      <c r="T606" s="9">
        <v>13</v>
      </c>
      <c r="U606" s="9">
        <f t="shared" si="149"/>
        <v>17033</v>
      </c>
      <c r="V606" s="9">
        <f t="shared" si="150"/>
        <v>50</v>
      </c>
      <c r="W606" s="7">
        <f t="shared" si="144"/>
        <v>9.4307999999999996</v>
      </c>
      <c r="X606" s="7">
        <f t="shared" si="145"/>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46"/>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v>0</v>
      </c>
      <c r="BF606" s="18">
        <v>0</v>
      </c>
      <c r="BG606">
        <v>1</v>
      </c>
      <c r="BH606">
        <v>0</v>
      </c>
      <c r="BI606" s="18">
        <v>0</v>
      </c>
      <c r="BJ606">
        <v>25208</v>
      </c>
      <c r="BK606">
        <v>1486</v>
      </c>
      <c r="BL606" s="25">
        <v>39.1</v>
      </c>
      <c r="BM606">
        <v>0</v>
      </c>
      <c r="BN606">
        <v>0</v>
      </c>
      <c r="BO606">
        <v>0</v>
      </c>
      <c r="BP606">
        <v>0</v>
      </c>
      <c r="BQ606">
        <v>0</v>
      </c>
      <c r="BR606">
        <v>0</v>
      </c>
      <c r="BS606">
        <v>0</v>
      </c>
      <c r="BT606" s="18">
        <v>1</v>
      </c>
      <c r="BU606">
        <v>0</v>
      </c>
      <c r="BV606">
        <v>0</v>
      </c>
      <c r="BW606">
        <v>1</v>
      </c>
      <c r="BX606" s="18">
        <v>0</v>
      </c>
      <c r="BY606">
        <v>0</v>
      </c>
      <c r="BZ606">
        <v>0</v>
      </c>
      <c r="CA606">
        <v>0</v>
      </c>
      <c r="CB606">
        <v>0</v>
      </c>
      <c r="CC606" s="18">
        <v>1</v>
      </c>
      <c r="CD606">
        <v>1</v>
      </c>
      <c r="CE606">
        <v>1</v>
      </c>
      <c r="CF606">
        <v>0</v>
      </c>
      <c r="CG606">
        <v>0</v>
      </c>
      <c r="CH606">
        <v>0</v>
      </c>
      <c r="CI606">
        <v>1</v>
      </c>
      <c r="CJ606">
        <v>0</v>
      </c>
      <c r="CK606">
        <v>0</v>
      </c>
      <c r="CL606">
        <v>0</v>
      </c>
      <c r="CM606">
        <v>0</v>
      </c>
      <c r="CN606" s="18">
        <v>1</v>
      </c>
      <c r="CO606">
        <v>0</v>
      </c>
      <c r="CP606">
        <v>43</v>
      </c>
      <c r="CQ606">
        <v>0</v>
      </c>
      <c r="CR606">
        <v>1</v>
      </c>
      <c r="CS606">
        <v>6</v>
      </c>
      <c r="CY606" s="34"/>
    </row>
    <row r="607" spans="1:103" x14ac:dyDescent="0.25">
      <c r="A607">
        <v>606</v>
      </c>
      <c r="B607">
        <v>38</v>
      </c>
      <c r="C607" s="25" t="s">
        <v>328</v>
      </c>
      <c r="D607" s="12">
        <v>10.3</v>
      </c>
      <c r="E607" s="14">
        <v>0.2</v>
      </c>
      <c r="F607" s="7">
        <f t="shared" si="139"/>
        <v>51.5</v>
      </c>
      <c r="G607" s="7">
        <f t="shared" si="147"/>
        <v>10.100000000000001</v>
      </c>
      <c r="H607" s="16">
        <f t="shared" si="148"/>
        <v>10.5</v>
      </c>
      <c r="I607" s="11">
        <f t="shared" si="151"/>
        <v>0.47764592668287958</v>
      </c>
      <c r="J607" s="33">
        <f t="shared" si="152"/>
        <v>9.2746781880170773E-3</v>
      </c>
      <c r="K607" s="33">
        <f t="shared" si="153"/>
        <v>107.82045260524555</v>
      </c>
      <c r="L607" s="8">
        <v>0</v>
      </c>
      <c r="M607" s="9">
        <v>1</v>
      </c>
      <c r="N607" s="8">
        <v>0</v>
      </c>
      <c r="O607" s="9">
        <v>0</v>
      </c>
      <c r="P607" s="9">
        <v>0</v>
      </c>
      <c r="Q607" s="9">
        <v>1</v>
      </c>
      <c r="R607" s="9">
        <v>0</v>
      </c>
      <c r="S607" s="8">
        <v>8987</v>
      </c>
      <c r="T607" s="9">
        <v>13</v>
      </c>
      <c r="U607" s="9">
        <f t="shared" si="149"/>
        <v>8973</v>
      </c>
      <c r="V607" s="9">
        <f t="shared" si="150"/>
        <v>50</v>
      </c>
      <c r="W607" s="7">
        <f t="shared" si="144"/>
        <v>9.4307999999999996</v>
      </c>
      <c r="X607" s="7">
        <f t="shared" si="145"/>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46"/>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v>0</v>
      </c>
      <c r="BF607" s="18">
        <v>0</v>
      </c>
      <c r="BG607">
        <v>1</v>
      </c>
      <c r="BH607">
        <v>0</v>
      </c>
      <c r="BI607" s="18">
        <v>0</v>
      </c>
      <c r="BJ607">
        <v>25208</v>
      </c>
      <c r="BK607">
        <v>1486</v>
      </c>
      <c r="BL607" s="25">
        <v>39.1</v>
      </c>
      <c r="BM607">
        <v>1</v>
      </c>
      <c r="BN607">
        <v>0</v>
      </c>
      <c r="BO607">
        <v>0</v>
      </c>
      <c r="BP607">
        <v>0</v>
      </c>
      <c r="BQ607">
        <v>0</v>
      </c>
      <c r="BR607">
        <v>0</v>
      </c>
      <c r="BS607">
        <v>0</v>
      </c>
      <c r="BT607" s="18">
        <v>0</v>
      </c>
      <c r="BU607">
        <v>0</v>
      </c>
      <c r="BV607">
        <v>0</v>
      </c>
      <c r="BW607">
        <v>1</v>
      </c>
      <c r="BX607" s="18">
        <v>0</v>
      </c>
      <c r="BY607">
        <v>0</v>
      </c>
      <c r="BZ607">
        <v>0</v>
      </c>
      <c r="CA607">
        <v>0</v>
      </c>
      <c r="CB607">
        <v>0</v>
      </c>
      <c r="CC607" s="18">
        <v>1</v>
      </c>
      <c r="CD607">
        <v>1</v>
      </c>
      <c r="CE607">
        <v>1</v>
      </c>
      <c r="CF607">
        <v>0</v>
      </c>
      <c r="CG607">
        <v>0</v>
      </c>
      <c r="CH607">
        <v>0</v>
      </c>
      <c r="CI607">
        <v>1</v>
      </c>
      <c r="CJ607">
        <v>0</v>
      </c>
      <c r="CK607">
        <v>0</v>
      </c>
      <c r="CL607">
        <v>0</v>
      </c>
      <c r="CM607">
        <v>0</v>
      </c>
      <c r="CN607" s="18">
        <v>1</v>
      </c>
      <c r="CO607">
        <v>0</v>
      </c>
      <c r="CP607">
        <v>43</v>
      </c>
      <c r="CQ607">
        <v>0</v>
      </c>
      <c r="CR607">
        <v>1</v>
      </c>
      <c r="CS607">
        <v>6</v>
      </c>
      <c r="CY607" s="34"/>
    </row>
    <row r="608" spans="1:103" x14ac:dyDescent="0.25">
      <c r="A608">
        <v>607</v>
      </c>
      <c r="B608">
        <v>38</v>
      </c>
      <c r="C608" s="25" t="s">
        <v>328</v>
      </c>
      <c r="D608" s="12">
        <v>16.8</v>
      </c>
      <c r="E608" s="14">
        <v>1.1000000000000001</v>
      </c>
      <c r="F608" s="7">
        <f t="shared" ref="F608:F646" si="154">D608/E608</f>
        <v>15.272727272727272</v>
      </c>
      <c r="G608" s="7">
        <f t="shared" si="147"/>
        <v>15.700000000000001</v>
      </c>
      <c r="H608" s="16">
        <f t="shared" si="148"/>
        <v>17.900000000000002</v>
      </c>
      <c r="I608" s="11">
        <f t="shared" si="151"/>
        <v>0.15917507687208587</v>
      </c>
      <c r="J608" s="33">
        <f t="shared" si="152"/>
        <v>1.0422177652338957E-2</v>
      </c>
      <c r="K608" s="33">
        <f t="shared" si="153"/>
        <v>95.949237612120243</v>
      </c>
      <c r="L608" s="8">
        <v>0</v>
      </c>
      <c r="M608" s="9">
        <v>1</v>
      </c>
      <c r="N608" s="8">
        <v>0</v>
      </c>
      <c r="O608" s="9">
        <v>0</v>
      </c>
      <c r="P608" s="9">
        <v>0</v>
      </c>
      <c r="Q608" s="9">
        <v>1</v>
      </c>
      <c r="R608" s="9">
        <v>0</v>
      </c>
      <c r="S608" s="8">
        <v>8987</v>
      </c>
      <c r="T608" s="9">
        <v>13</v>
      </c>
      <c r="U608" s="9">
        <f t="shared" si="149"/>
        <v>8973</v>
      </c>
      <c r="V608" s="9">
        <f t="shared" si="150"/>
        <v>50</v>
      </c>
      <c r="W608" s="7">
        <f t="shared" si="144"/>
        <v>9.4307999999999996</v>
      </c>
      <c r="X608" s="7">
        <f t="shared" si="145"/>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46"/>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v>0</v>
      </c>
      <c r="BF608" s="18">
        <v>0</v>
      </c>
      <c r="BG608">
        <v>1</v>
      </c>
      <c r="BH608">
        <v>0</v>
      </c>
      <c r="BI608" s="18">
        <v>0</v>
      </c>
      <c r="BJ608">
        <v>25208</v>
      </c>
      <c r="BK608">
        <v>1486</v>
      </c>
      <c r="BL608" s="25">
        <v>39.1</v>
      </c>
      <c r="BM608">
        <v>0</v>
      </c>
      <c r="BN608">
        <v>0</v>
      </c>
      <c r="BO608">
        <v>0</v>
      </c>
      <c r="BP608">
        <v>0</v>
      </c>
      <c r="BQ608">
        <v>0</v>
      </c>
      <c r="BR608">
        <v>0</v>
      </c>
      <c r="BS608">
        <v>0</v>
      </c>
      <c r="BT608" s="18">
        <v>1</v>
      </c>
      <c r="BU608">
        <v>0</v>
      </c>
      <c r="BV608">
        <v>0</v>
      </c>
      <c r="BW608">
        <v>1</v>
      </c>
      <c r="BX608" s="18">
        <v>0</v>
      </c>
      <c r="BY608">
        <v>0</v>
      </c>
      <c r="BZ608">
        <v>0</v>
      </c>
      <c r="CA608">
        <v>0</v>
      </c>
      <c r="CB608">
        <v>0</v>
      </c>
      <c r="CC608" s="18">
        <v>1</v>
      </c>
      <c r="CD608">
        <v>1</v>
      </c>
      <c r="CE608">
        <v>1</v>
      </c>
      <c r="CF608">
        <v>0</v>
      </c>
      <c r="CG608">
        <v>0</v>
      </c>
      <c r="CH608">
        <v>0</v>
      </c>
      <c r="CI608">
        <v>1</v>
      </c>
      <c r="CJ608">
        <v>0</v>
      </c>
      <c r="CK608">
        <v>0</v>
      </c>
      <c r="CL608">
        <v>0</v>
      </c>
      <c r="CM608">
        <v>0</v>
      </c>
      <c r="CN608" s="18">
        <v>1</v>
      </c>
      <c r="CO608">
        <v>0</v>
      </c>
      <c r="CP608">
        <v>43</v>
      </c>
      <c r="CQ608">
        <v>0</v>
      </c>
      <c r="CR608">
        <v>1</v>
      </c>
      <c r="CS608">
        <v>6</v>
      </c>
      <c r="CY608" s="34"/>
    </row>
    <row r="609" spans="1:103" x14ac:dyDescent="0.25">
      <c r="A609">
        <v>608</v>
      </c>
      <c r="B609">
        <v>38</v>
      </c>
      <c r="C609" s="25" t="s">
        <v>328</v>
      </c>
      <c r="D609" s="12">
        <v>12</v>
      </c>
      <c r="E609" s="14">
        <v>0.6</v>
      </c>
      <c r="F609" s="7">
        <f t="shared" si="154"/>
        <v>20</v>
      </c>
      <c r="G609" s="7">
        <f t="shared" si="147"/>
        <v>11.4</v>
      </c>
      <c r="H609" s="16">
        <f t="shared" si="148"/>
        <v>12.6</v>
      </c>
      <c r="I609" s="11">
        <f t="shared" si="151"/>
        <v>0.38454428462686413</v>
      </c>
      <c r="J609" s="33">
        <f t="shared" si="152"/>
        <v>1.9227214231343204E-2</v>
      </c>
      <c r="K609" s="33">
        <f t="shared" si="153"/>
        <v>52.009614495783381</v>
      </c>
      <c r="L609" s="8">
        <v>0</v>
      </c>
      <c r="M609" s="9">
        <v>1</v>
      </c>
      <c r="N609" s="8">
        <v>0</v>
      </c>
      <c r="O609" s="9">
        <v>0</v>
      </c>
      <c r="P609" s="9">
        <v>0</v>
      </c>
      <c r="Q609" s="9">
        <v>1</v>
      </c>
      <c r="R609" s="9">
        <v>0</v>
      </c>
      <c r="S609" s="8">
        <v>2319</v>
      </c>
      <c r="T609" s="9">
        <v>13</v>
      </c>
      <c r="U609" s="9">
        <f t="shared" si="149"/>
        <v>2305</v>
      </c>
      <c r="V609" s="9">
        <f t="shared" si="150"/>
        <v>50</v>
      </c>
      <c r="W609" s="7">
        <f t="shared" si="144"/>
        <v>9.4307999999999996</v>
      </c>
      <c r="X609" s="7">
        <f t="shared" si="145"/>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46"/>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v>0</v>
      </c>
      <c r="BF609" s="18">
        <v>0</v>
      </c>
      <c r="BG609">
        <v>1</v>
      </c>
      <c r="BH609">
        <v>0</v>
      </c>
      <c r="BI609" s="18">
        <v>0</v>
      </c>
      <c r="BJ609">
        <v>25208</v>
      </c>
      <c r="BK609">
        <v>1486</v>
      </c>
      <c r="BL609" s="25">
        <v>39.1</v>
      </c>
      <c r="BM609">
        <v>1</v>
      </c>
      <c r="BN609">
        <v>0</v>
      </c>
      <c r="BO609">
        <v>0</v>
      </c>
      <c r="BP609">
        <v>0</v>
      </c>
      <c r="BQ609">
        <v>0</v>
      </c>
      <c r="BR609">
        <v>0</v>
      </c>
      <c r="BS609">
        <v>0</v>
      </c>
      <c r="BT609" s="18">
        <v>0</v>
      </c>
      <c r="BU609">
        <v>0</v>
      </c>
      <c r="BV609">
        <v>0</v>
      </c>
      <c r="BW609">
        <v>1</v>
      </c>
      <c r="BX609" s="18">
        <v>0</v>
      </c>
      <c r="BY609">
        <v>0</v>
      </c>
      <c r="BZ609">
        <v>0</v>
      </c>
      <c r="CA609">
        <v>0</v>
      </c>
      <c r="CB609">
        <v>0</v>
      </c>
      <c r="CC609" s="18">
        <v>1</v>
      </c>
      <c r="CD609">
        <v>1</v>
      </c>
      <c r="CE609">
        <v>1</v>
      </c>
      <c r="CF609">
        <v>0</v>
      </c>
      <c r="CG609">
        <v>0</v>
      </c>
      <c r="CH609">
        <v>0</v>
      </c>
      <c r="CI609">
        <v>1</v>
      </c>
      <c r="CJ609">
        <v>0</v>
      </c>
      <c r="CK609">
        <v>0</v>
      </c>
      <c r="CL609">
        <v>0</v>
      </c>
      <c r="CM609">
        <v>0</v>
      </c>
      <c r="CN609" s="18">
        <v>1</v>
      </c>
      <c r="CO609">
        <v>0</v>
      </c>
      <c r="CP609">
        <v>43</v>
      </c>
      <c r="CQ609">
        <v>0</v>
      </c>
      <c r="CR609">
        <v>1</v>
      </c>
      <c r="CS609">
        <v>6</v>
      </c>
      <c r="CY609" s="34"/>
    </row>
    <row r="610" spans="1:103" x14ac:dyDescent="0.25">
      <c r="A610">
        <v>609</v>
      </c>
      <c r="B610">
        <v>38</v>
      </c>
      <c r="C610" s="25" t="s">
        <v>328</v>
      </c>
      <c r="D610" s="12">
        <v>24.1</v>
      </c>
      <c r="E610" s="14">
        <v>3</v>
      </c>
      <c r="F610" s="7">
        <f t="shared" si="154"/>
        <v>8.0333333333333332</v>
      </c>
      <c r="G610" s="7">
        <f t="shared" si="147"/>
        <v>21.1</v>
      </c>
      <c r="H610" s="16">
        <f t="shared" si="148"/>
        <v>27.1</v>
      </c>
      <c r="I610" s="11">
        <f t="shared" si="151"/>
        <v>0.15218210253381906</v>
      </c>
      <c r="J610" s="33">
        <f t="shared" si="152"/>
        <v>1.8943830190931835E-2</v>
      </c>
      <c r="K610" s="33">
        <f t="shared" si="153"/>
        <v>52.787635336738134</v>
      </c>
      <c r="L610" s="8">
        <v>0</v>
      </c>
      <c r="M610" s="9">
        <v>1</v>
      </c>
      <c r="N610" s="8">
        <v>0</v>
      </c>
      <c r="O610" s="9">
        <v>0</v>
      </c>
      <c r="P610" s="9">
        <v>0</v>
      </c>
      <c r="Q610" s="9">
        <v>1</v>
      </c>
      <c r="R610" s="9">
        <v>0</v>
      </c>
      <c r="S610" s="8">
        <v>2736</v>
      </c>
      <c r="T610" s="9">
        <v>13</v>
      </c>
      <c r="U610" s="9">
        <f t="shared" si="149"/>
        <v>2722</v>
      </c>
      <c r="V610" s="9">
        <f t="shared" si="150"/>
        <v>50</v>
      </c>
      <c r="W610" s="7">
        <f t="shared" si="144"/>
        <v>9.4307999999999996</v>
      </c>
      <c r="X610" s="7">
        <f t="shared" si="145"/>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46"/>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v>0</v>
      </c>
      <c r="BF610" s="18">
        <v>0</v>
      </c>
      <c r="BG610">
        <v>1</v>
      </c>
      <c r="BH610">
        <v>0</v>
      </c>
      <c r="BI610" s="18">
        <v>0</v>
      </c>
      <c r="BJ610">
        <v>25208</v>
      </c>
      <c r="BK610">
        <v>1486</v>
      </c>
      <c r="BL610" s="25">
        <v>39.1</v>
      </c>
      <c r="BM610">
        <v>0</v>
      </c>
      <c r="BN610">
        <v>0</v>
      </c>
      <c r="BO610">
        <v>0</v>
      </c>
      <c r="BP610">
        <v>0</v>
      </c>
      <c r="BQ610">
        <v>0</v>
      </c>
      <c r="BR610">
        <v>0</v>
      </c>
      <c r="BS610">
        <v>0</v>
      </c>
      <c r="BT610" s="18">
        <v>1</v>
      </c>
      <c r="BU610">
        <v>0</v>
      </c>
      <c r="BV610">
        <v>0</v>
      </c>
      <c r="BW610">
        <v>1</v>
      </c>
      <c r="BX610" s="18">
        <v>0</v>
      </c>
      <c r="BY610">
        <v>0</v>
      </c>
      <c r="BZ610">
        <v>0</v>
      </c>
      <c r="CA610">
        <v>0</v>
      </c>
      <c r="CB610">
        <v>0</v>
      </c>
      <c r="CC610" s="18">
        <v>1</v>
      </c>
      <c r="CD610">
        <v>1</v>
      </c>
      <c r="CE610">
        <v>1</v>
      </c>
      <c r="CF610">
        <v>0</v>
      </c>
      <c r="CG610">
        <v>0</v>
      </c>
      <c r="CH610">
        <v>0</v>
      </c>
      <c r="CI610">
        <v>1</v>
      </c>
      <c r="CJ610">
        <v>0</v>
      </c>
      <c r="CK610">
        <v>0</v>
      </c>
      <c r="CL610">
        <v>0</v>
      </c>
      <c r="CM610">
        <v>0</v>
      </c>
      <c r="CN610" s="18">
        <v>1</v>
      </c>
      <c r="CO610">
        <v>0</v>
      </c>
      <c r="CP610">
        <v>43</v>
      </c>
      <c r="CQ610">
        <v>0</v>
      </c>
      <c r="CR610">
        <v>1</v>
      </c>
      <c r="CS610">
        <v>6</v>
      </c>
      <c r="CY610" s="34"/>
    </row>
    <row r="611" spans="1:103" x14ac:dyDescent="0.25">
      <c r="A611">
        <v>610</v>
      </c>
      <c r="B611">
        <v>38</v>
      </c>
      <c r="C611" s="25" t="s">
        <v>328</v>
      </c>
      <c r="D611" s="12">
        <v>21.9</v>
      </c>
      <c r="E611" s="14">
        <v>2.5</v>
      </c>
      <c r="F611" s="7">
        <f t="shared" si="154"/>
        <v>8.76</v>
      </c>
      <c r="G611" s="7">
        <f t="shared" si="147"/>
        <v>19.399999999999999</v>
      </c>
      <c r="H611" s="16">
        <f t="shared" si="148"/>
        <v>24.4</v>
      </c>
      <c r="I611" s="11">
        <f t="shared" si="151"/>
        <v>0.18622549971585556</v>
      </c>
      <c r="J611" s="33">
        <f t="shared" si="152"/>
        <v>2.1258618689024608E-2</v>
      </c>
      <c r="K611" s="33">
        <f t="shared" si="153"/>
        <v>47.039744897267461</v>
      </c>
      <c r="L611" s="8">
        <v>0</v>
      </c>
      <c r="M611" s="9">
        <v>1</v>
      </c>
      <c r="N611" s="8">
        <v>0</v>
      </c>
      <c r="O611" s="9">
        <v>0</v>
      </c>
      <c r="P611" s="9">
        <v>0</v>
      </c>
      <c r="Q611" s="9">
        <v>1</v>
      </c>
      <c r="R611" s="9">
        <v>0</v>
      </c>
      <c r="S611" s="8">
        <v>2150</v>
      </c>
      <c r="T611" s="9">
        <v>13</v>
      </c>
      <c r="U611" s="9">
        <f t="shared" si="149"/>
        <v>2136</v>
      </c>
      <c r="V611" s="9">
        <f t="shared" si="150"/>
        <v>50</v>
      </c>
      <c r="W611" s="7">
        <f t="shared" si="144"/>
        <v>9.4307999999999996</v>
      </c>
      <c r="X611" s="7">
        <f t="shared" si="145"/>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46"/>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v>0</v>
      </c>
      <c r="BF611" s="18">
        <v>0</v>
      </c>
      <c r="BG611">
        <v>1</v>
      </c>
      <c r="BH611">
        <v>0</v>
      </c>
      <c r="BI611" s="18">
        <v>0</v>
      </c>
      <c r="BJ611">
        <v>25208</v>
      </c>
      <c r="BK611">
        <v>1486</v>
      </c>
      <c r="BL611" s="25">
        <v>39.1</v>
      </c>
      <c r="BM611">
        <v>0</v>
      </c>
      <c r="BN611">
        <v>0</v>
      </c>
      <c r="BO611">
        <v>0</v>
      </c>
      <c r="BP611">
        <v>0</v>
      </c>
      <c r="BQ611">
        <v>0</v>
      </c>
      <c r="BR611">
        <v>0</v>
      </c>
      <c r="BS611">
        <v>0</v>
      </c>
      <c r="BT611" s="18">
        <v>1</v>
      </c>
      <c r="BU611">
        <v>0</v>
      </c>
      <c r="BV611">
        <v>0</v>
      </c>
      <c r="BW611">
        <v>1</v>
      </c>
      <c r="BX611" s="18">
        <v>0</v>
      </c>
      <c r="BY611">
        <v>0</v>
      </c>
      <c r="BZ611">
        <v>0</v>
      </c>
      <c r="CA611">
        <v>0</v>
      </c>
      <c r="CB611">
        <v>0</v>
      </c>
      <c r="CC611" s="18">
        <v>1</v>
      </c>
      <c r="CD611">
        <v>1</v>
      </c>
      <c r="CE611">
        <v>1</v>
      </c>
      <c r="CF611">
        <v>0</v>
      </c>
      <c r="CG611">
        <v>0</v>
      </c>
      <c r="CH611">
        <v>0</v>
      </c>
      <c r="CI611">
        <v>1</v>
      </c>
      <c r="CJ611">
        <v>0</v>
      </c>
      <c r="CK611">
        <v>0</v>
      </c>
      <c r="CL611">
        <v>0</v>
      </c>
      <c r="CM611">
        <v>0</v>
      </c>
      <c r="CN611" s="18">
        <v>1</v>
      </c>
      <c r="CO611">
        <v>0</v>
      </c>
      <c r="CP611">
        <v>43</v>
      </c>
      <c r="CQ611">
        <v>0</v>
      </c>
      <c r="CR611">
        <v>1</v>
      </c>
      <c r="CS611">
        <v>6</v>
      </c>
      <c r="CY611" s="34"/>
    </row>
    <row r="612" spans="1:103" x14ac:dyDescent="0.25">
      <c r="A612">
        <v>611</v>
      </c>
      <c r="B612">
        <v>38</v>
      </c>
      <c r="C612" s="25" t="s">
        <v>328</v>
      </c>
      <c r="D612" s="12">
        <v>10.7</v>
      </c>
      <c r="E612" s="14">
        <v>0.7</v>
      </c>
      <c r="F612" s="7">
        <f t="shared" si="154"/>
        <v>15.285714285714286</v>
      </c>
      <c r="G612" s="7">
        <f t="shared" si="147"/>
        <v>10</v>
      </c>
      <c r="H612" s="16">
        <f t="shared" si="148"/>
        <v>11.399999999999999</v>
      </c>
      <c r="I612" s="11">
        <f t="shared" si="151"/>
        <v>0.32584416439046376</v>
      </c>
      <c r="J612" s="33">
        <f t="shared" si="152"/>
        <v>2.1316907950777998E-2</v>
      </c>
      <c r="K612" s="33">
        <f t="shared" si="153"/>
        <v>46.911118737720273</v>
      </c>
      <c r="L612" s="8">
        <v>0</v>
      </c>
      <c r="M612" s="9">
        <v>1</v>
      </c>
      <c r="N612" s="8">
        <v>0</v>
      </c>
      <c r="O612" s="9">
        <v>0</v>
      </c>
      <c r="P612" s="9">
        <v>0</v>
      </c>
      <c r="Q612" s="9">
        <v>1</v>
      </c>
      <c r="R612" s="9">
        <v>0</v>
      </c>
      <c r="S612" s="8">
        <v>1981</v>
      </c>
      <c r="T612" s="9">
        <v>13</v>
      </c>
      <c r="U612" s="9">
        <f t="shared" si="149"/>
        <v>1967</v>
      </c>
      <c r="V612" s="9">
        <f t="shared" si="150"/>
        <v>50</v>
      </c>
      <c r="W612" s="7">
        <f t="shared" si="144"/>
        <v>9.4307999999999996</v>
      </c>
      <c r="X612" s="7">
        <f t="shared" si="145"/>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46"/>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v>0</v>
      </c>
      <c r="BF612" s="18">
        <v>0</v>
      </c>
      <c r="BG612">
        <v>1</v>
      </c>
      <c r="BH612">
        <v>0</v>
      </c>
      <c r="BI612" s="18">
        <v>0</v>
      </c>
      <c r="BJ612">
        <v>25208</v>
      </c>
      <c r="BK612">
        <v>1486</v>
      </c>
      <c r="BL612" s="25">
        <v>39.1</v>
      </c>
      <c r="BM612">
        <v>1</v>
      </c>
      <c r="BN612">
        <v>0</v>
      </c>
      <c r="BO612">
        <v>0</v>
      </c>
      <c r="BP612">
        <v>0</v>
      </c>
      <c r="BQ612">
        <v>0</v>
      </c>
      <c r="BR612">
        <v>0</v>
      </c>
      <c r="BS612">
        <v>0</v>
      </c>
      <c r="BT612" s="18">
        <v>0</v>
      </c>
      <c r="BU612">
        <v>0</v>
      </c>
      <c r="BV612">
        <v>0</v>
      </c>
      <c r="BW612">
        <v>1</v>
      </c>
      <c r="BX612" s="18">
        <v>0</v>
      </c>
      <c r="BY612">
        <v>0</v>
      </c>
      <c r="BZ612">
        <v>0</v>
      </c>
      <c r="CA612">
        <v>0</v>
      </c>
      <c r="CB612">
        <v>0</v>
      </c>
      <c r="CC612" s="18">
        <v>1</v>
      </c>
      <c r="CD612">
        <v>1</v>
      </c>
      <c r="CE612">
        <v>1</v>
      </c>
      <c r="CF612">
        <v>0</v>
      </c>
      <c r="CG612">
        <v>0</v>
      </c>
      <c r="CH612">
        <v>0</v>
      </c>
      <c r="CI612">
        <v>1</v>
      </c>
      <c r="CJ612">
        <v>0</v>
      </c>
      <c r="CK612">
        <v>0</v>
      </c>
      <c r="CL612">
        <v>0</v>
      </c>
      <c r="CM612">
        <v>0</v>
      </c>
      <c r="CN612" s="18">
        <v>1</v>
      </c>
      <c r="CO612">
        <v>0</v>
      </c>
      <c r="CP612">
        <v>43</v>
      </c>
      <c r="CQ612">
        <v>0</v>
      </c>
      <c r="CR612">
        <v>1</v>
      </c>
      <c r="CS612">
        <v>6</v>
      </c>
      <c r="CY612" s="34"/>
    </row>
    <row r="613" spans="1:103" x14ac:dyDescent="0.25">
      <c r="A613">
        <v>612</v>
      </c>
      <c r="B613">
        <v>38</v>
      </c>
      <c r="C613" s="25" t="s">
        <v>328</v>
      </c>
      <c r="D613" s="12">
        <v>21.5</v>
      </c>
      <c r="E613" s="14">
        <v>4.3</v>
      </c>
      <c r="F613" s="7">
        <f t="shared" si="154"/>
        <v>5</v>
      </c>
      <c r="G613" s="7">
        <f t="shared" si="147"/>
        <v>17.2</v>
      </c>
      <c r="H613" s="16">
        <f t="shared" si="148"/>
        <v>25.8</v>
      </c>
      <c r="I613" s="11">
        <f t="shared" si="151"/>
        <v>0.11211213233271874</v>
      </c>
      <c r="J613" s="33">
        <f t="shared" si="152"/>
        <v>2.242242646654375E-2</v>
      </c>
      <c r="K613" s="33">
        <f t="shared" si="153"/>
        <v>44.598206241955516</v>
      </c>
      <c r="L613" s="8">
        <v>0</v>
      </c>
      <c r="M613" s="9">
        <v>1</v>
      </c>
      <c r="N613" s="8">
        <v>0</v>
      </c>
      <c r="O613" s="9">
        <v>0</v>
      </c>
      <c r="P613" s="9">
        <v>0</v>
      </c>
      <c r="Q613" s="9">
        <v>1</v>
      </c>
      <c r="R613" s="9">
        <v>0</v>
      </c>
      <c r="S613" s="8">
        <v>1978</v>
      </c>
      <c r="T613" s="9">
        <v>13</v>
      </c>
      <c r="U613" s="9">
        <f t="shared" si="149"/>
        <v>1964</v>
      </c>
      <c r="V613" s="9">
        <f t="shared" si="150"/>
        <v>50</v>
      </c>
      <c r="W613" s="7">
        <f t="shared" si="144"/>
        <v>9.4307999999999996</v>
      </c>
      <c r="X613" s="7">
        <f t="shared" si="145"/>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46"/>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v>0</v>
      </c>
      <c r="BF613" s="18">
        <v>0</v>
      </c>
      <c r="BG613">
        <v>1</v>
      </c>
      <c r="BH613">
        <v>0</v>
      </c>
      <c r="BI613" s="18">
        <v>0</v>
      </c>
      <c r="BJ613">
        <v>25208</v>
      </c>
      <c r="BK613">
        <v>1486</v>
      </c>
      <c r="BL613" s="25">
        <v>39.1</v>
      </c>
      <c r="BM613">
        <v>0</v>
      </c>
      <c r="BN613">
        <v>0</v>
      </c>
      <c r="BO613">
        <v>0</v>
      </c>
      <c r="BP613">
        <v>0</v>
      </c>
      <c r="BQ613">
        <v>0</v>
      </c>
      <c r="BR613">
        <v>0</v>
      </c>
      <c r="BS613">
        <v>0</v>
      </c>
      <c r="BT613" s="18">
        <v>1</v>
      </c>
      <c r="BU613">
        <v>0</v>
      </c>
      <c r="BV613">
        <v>0</v>
      </c>
      <c r="BW613">
        <v>1</v>
      </c>
      <c r="BX613" s="18">
        <v>0</v>
      </c>
      <c r="BY613">
        <v>0</v>
      </c>
      <c r="BZ613">
        <v>0</v>
      </c>
      <c r="CA613">
        <v>0</v>
      </c>
      <c r="CB613">
        <v>0</v>
      </c>
      <c r="CC613" s="18">
        <v>1</v>
      </c>
      <c r="CD613">
        <v>1</v>
      </c>
      <c r="CE613">
        <v>1</v>
      </c>
      <c r="CF613">
        <v>0</v>
      </c>
      <c r="CG613">
        <v>0</v>
      </c>
      <c r="CH613">
        <v>0</v>
      </c>
      <c r="CI613">
        <v>1</v>
      </c>
      <c r="CJ613">
        <v>0</v>
      </c>
      <c r="CK613">
        <v>0</v>
      </c>
      <c r="CL613">
        <v>0</v>
      </c>
      <c r="CM613">
        <v>0</v>
      </c>
      <c r="CN613" s="18">
        <v>1</v>
      </c>
      <c r="CO613">
        <v>0</v>
      </c>
      <c r="CP613">
        <v>43</v>
      </c>
      <c r="CQ613">
        <v>0</v>
      </c>
      <c r="CR613">
        <v>1</v>
      </c>
      <c r="CS613">
        <v>6</v>
      </c>
      <c r="CY613" s="34"/>
    </row>
    <row r="614" spans="1:103" s="142" customFormat="1" x14ac:dyDescent="0.25">
      <c r="A614" s="142">
        <v>613</v>
      </c>
      <c r="B614" s="142">
        <v>38</v>
      </c>
      <c r="C614" s="143" t="s">
        <v>328</v>
      </c>
      <c r="D614" s="144">
        <v>20.7</v>
      </c>
      <c r="E614" s="145">
        <v>3.2</v>
      </c>
      <c r="F614" s="146">
        <f t="shared" si="154"/>
        <v>6.4687499999999991</v>
      </c>
      <c r="G614" s="146">
        <f t="shared" si="147"/>
        <v>17.5</v>
      </c>
      <c r="H614" s="147">
        <f t="shared" si="148"/>
        <v>23.9</v>
      </c>
      <c r="I614" s="11">
        <f t="shared" si="151"/>
        <v>0.15598245363248828</v>
      </c>
      <c r="J614" s="33">
        <f t="shared" si="152"/>
        <v>2.4113229547051335E-2</v>
      </c>
      <c r="K614" s="33">
        <f t="shared" si="153"/>
        <v>41.471010676887289</v>
      </c>
      <c r="L614" s="149">
        <v>0</v>
      </c>
      <c r="M614" s="150">
        <v>1</v>
      </c>
      <c r="N614" s="149">
        <v>0</v>
      </c>
      <c r="O614" s="150">
        <v>0</v>
      </c>
      <c r="P614" s="150">
        <v>0</v>
      </c>
      <c r="Q614" s="150">
        <v>1</v>
      </c>
      <c r="R614" s="150">
        <v>0</v>
      </c>
      <c r="S614" s="149">
        <v>1692</v>
      </c>
      <c r="T614" s="150">
        <v>13</v>
      </c>
      <c r="U614" s="150">
        <f t="shared" si="149"/>
        <v>1678</v>
      </c>
      <c r="V614" s="150">
        <f t="shared" si="150"/>
        <v>50</v>
      </c>
      <c r="W614" s="146">
        <f t="shared" si="144"/>
        <v>9.4307999999999996</v>
      </c>
      <c r="X614" s="146">
        <f t="shared" si="145"/>
        <v>23.669200000000004</v>
      </c>
      <c r="Y614" s="150">
        <v>1</v>
      </c>
      <c r="Z614" s="150">
        <v>0</v>
      </c>
      <c r="AA614" s="150">
        <v>1</v>
      </c>
      <c r="AB614" s="150">
        <v>0</v>
      </c>
      <c r="AC614" s="150">
        <v>0</v>
      </c>
      <c r="AD614" s="150">
        <v>0</v>
      </c>
      <c r="AE614" s="149">
        <v>1</v>
      </c>
      <c r="AF614" s="150">
        <v>0</v>
      </c>
      <c r="AG614" s="151">
        <v>0</v>
      </c>
      <c r="AH614" s="150">
        <v>0</v>
      </c>
      <c r="AI614" s="151">
        <v>1</v>
      </c>
      <c r="AJ614" s="152">
        <v>2001</v>
      </c>
      <c r="AK614" s="148">
        <v>0.13719999999999999</v>
      </c>
      <c r="AL614" s="148">
        <f t="shared" si="146"/>
        <v>0.2238</v>
      </c>
      <c r="AM614" s="148">
        <v>0.28599999999999998</v>
      </c>
      <c r="AN614" s="153">
        <v>0.35299999999999998</v>
      </c>
      <c r="AO614" s="154">
        <v>0.56999999999999995</v>
      </c>
      <c r="AP614" s="155">
        <v>0.43</v>
      </c>
      <c r="AQ614" s="142">
        <v>0</v>
      </c>
      <c r="AR614" s="156">
        <v>1</v>
      </c>
      <c r="AS614" s="142" t="s">
        <v>98</v>
      </c>
      <c r="AT614" s="156" t="s">
        <v>98</v>
      </c>
      <c r="AU614">
        <v>1</v>
      </c>
      <c r="AV614" s="155">
        <v>0</v>
      </c>
      <c r="AW614" s="142" t="s">
        <v>98</v>
      </c>
      <c r="AX614" s="155" t="s">
        <v>98</v>
      </c>
      <c r="AY614" s="155" t="s">
        <v>329</v>
      </c>
      <c r="AZ614">
        <v>1</v>
      </c>
      <c r="BA614">
        <v>0</v>
      </c>
      <c r="BB614">
        <v>1</v>
      </c>
      <c r="BC614">
        <v>0</v>
      </c>
      <c r="BD614">
        <v>0</v>
      </c>
      <c r="BE614">
        <v>0</v>
      </c>
      <c r="BF614" s="155">
        <v>0</v>
      </c>
      <c r="BG614">
        <v>1</v>
      </c>
      <c r="BH614">
        <v>0</v>
      </c>
      <c r="BI614" s="155">
        <v>0</v>
      </c>
      <c r="BJ614">
        <v>25208</v>
      </c>
      <c r="BK614">
        <v>1486</v>
      </c>
      <c r="BL614" s="143">
        <v>39.1</v>
      </c>
      <c r="BM614" s="142">
        <v>0</v>
      </c>
      <c r="BN614" s="142">
        <v>0</v>
      </c>
      <c r="BO614" s="142">
        <v>0</v>
      </c>
      <c r="BP614" s="142">
        <v>0</v>
      </c>
      <c r="BQ614" s="142">
        <v>0</v>
      </c>
      <c r="BR614" s="142">
        <v>0</v>
      </c>
      <c r="BS614" s="142">
        <v>0</v>
      </c>
      <c r="BT614" s="155">
        <v>1</v>
      </c>
      <c r="BU614" s="142">
        <v>0</v>
      </c>
      <c r="BV614" s="142">
        <v>0</v>
      </c>
      <c r="BW614" s="142">
        <v>1</v>
      </c>
      <c r="BX614" s="155">
        <v>0</v>
      </c>
      <c r="BY614" s="142">
        <v>0</v>
      </c>
      <c r="BZ614" s="142">
        <v>0</v>
      </c>
      <c r="CA614" s="142">
        <v>0</v>
      </c>
      <c r="CB614" s="142">
        <v>0</v>
      </c>
      <c r="CC614" s="155">
        <v>1</v>
      </c>
      <c r="CD614" s="142">
        <v>1</v>
      </c>
      <c r="CE614" s="142">
        <v>1</v>
      </c>
      <c r="CF614" s="142">
        <v>0</v>
      </c>
      <c r="CG614" s="142">
        <v>0</v>
      </c>
      <c r="CH614" s="142">
        <v>0</v>
      </c>
      <c r="CI614" s="142">
        <v>1</v>
      </c>
      <c r="CJ614" s="142">
        <v>0</v>
      </c>
      <c r="CK614" s="142">
        <v>0</v>
      </c>
      <c r="CL614" s="142">
        <v>0</v>
      </c>
      <c r="CM614" s="142">
        <v>0</v>
      </c>
      <c r="CN614" s="155">
        <v>1</v>
      </c>
      <c r="CO614">
        <v>0</v>
      </c>
      <c r="CP614">
        <v>43</v>
      </c>
      <c r="CQ614">
        <v>0</v>
      </c>
      <c r="CR614" s="142">
        <v>1</v>
      </c>
      <c r="CS614" s="142">
        <v>6</v>
      </c>
      <c r="CT614" s="157"/>
      <c r="CY614" s="157"/>
    </row>
    <row r="615" spans="1:103" x14ac:dyDescent="0.25">
      <c r="A615">
        <v>614</v>
      </c>
      <c r="B615">
        <v>39</v>
      </c>
      <c r="C615" s="25" t="s">
        <v>330</v>
      </c>
      <c r="D615" s="12">
        <v>5.6</v>
      </c>
      <c r="E615" s="14">
        <v>0.08</v>
      </c>
      <c r="F615" s="7">
        <f t="shared" si="154"/>
        <v>70</v>
      </c>
      <c r="G615" s="7">
        <f t="shared" si="147"/>
        <v>5.52</v>
      </c>
      <c r="H615" s="16">
        <f t="shared" si="148"/>
        <v>5.68</v>
      </c>
      <c r="I615" s="11">
        <f t="shared" si="151"/>
        <v>0.45067594598575533</v>
      </c>
      <c r="J615" s="33">
        <f t="shared" si="152"/>
        <v>6.4382277997965046E-3</v>
      </c>
      <c r="K615" s="33">
        <f t="shared" si="153"/>
        <v>155.32224567009067</v>
      </c>
      <c r="L615" s="8">
        <v>0</v>
      </c>
      <c r="M615" s="9">
        <v>1</v>
      </c>
      <c r="N615" s="8">
        <v>0</v>
      </c>
      <c r="O615" s="9">
        <v>0</v>
      </c>
      <c r="P615" s="9">
        <v>1</v>
      </c>
      <c r="Q615" s="9">
        <v>0</v>
      </c>
      <c r="R615" s="9">
        <v>0</v>
      </c>
      <c r="S615" s="8">
        <v>19234</v>
      </c>
      <c r="T615" s="9">
        <v>8</v>
      </c>
      <c r="U615" s="9">
        <f t="shared" si="149"/>
        <v>19225</v>
      </c>
      <c r="V615" s="9">
        <f t="shared" si="150"/>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55">1-AQ615</f>
        <v>0.35780000000000001</v>
      </c>
      <c r="AS615">
        <v>0</v>
      </c>
      <c r="AT615" s="40">
        <v>1</v>
      </c>
      <c r="AU615">
        <v>1</v>
      </c>
      <c r="AV615" s="18">
        <v>0</v>
      </c>
      <c r="AW615" t="s">
        <v>98</v>
      </c>
      <c r="AX615" s="18" t="s">
        <v>98</v>
      </c>
      <c r="AY615" s="18" t="s">
        <v>26</v>
      </c>
      <c r="AZ615">
        <v>1</v>
      </c>
      <c r="BA615">
        <v>0</v>
      </c>
      <c r="BB615">
        <v>0</v>
      </c>
      <c r="BC615">
        <v>0</v>
      </c>
      <c r="BD615">
        <v>0</v>
      </c>
      <c r="BE615">
        <v>0</v>
      </c>
      <c r="BF615" s="18">
        <v>0</v>
      </c>
      <c r="BG615">
        <v>1</v>
      </c>
      <c r="BH615">
        <v>0</v>
      </c>
      <c r="BI615" s="18">
        <v>0</v>
      </c>
      <c r="BJ615">
        <v>15116</v>
      </c>
      <c r="BK615">
        <v>12548</v>
      </c>
      <c r="BL615" s="93">
        <f t="shared" ref="BL615:BL641" si="156">6+W615+X615</f>
        <v>33</v>
      </c>
      <c r="BM615">
        <v>1</v>
      </c>
      <c r="BN615">
        <v>0</v>
      </c>
      <c r="BO615">
        <v>0</v>
      </c>
      <c r="BP615">
        <v>0</v>
      </c>
      <c r="BQ615">
        <v>0</v>
      </c>
      <c r="BR615">
        <v>0</v>
      </c>
      <c r="BS615">
        <v>0</v>
      </c>
      <c r="BT615" s="18">
        <v>0</v>
      </c>
      <c r="BU615">
        <v>0</v>
      </c>
      <c r="BV615">
        <v>0</v>
      </c>
      <c r="BW615">
        <v>0</v>
      </c>
      <c r="BX615" s="18">
        <v>1</v>
      </c>
      <c r="BY615">
        <v>0</v>
      </c>
      <c r="BZ615">
        <v>0</v>
      </c>
      <c r="CA615">
        <v>0</v>
      </c>
      <c r="CB615">
        <v>0</v>
      </c>
      <c r="CC615" s="18">
        <v>1</v>
      </c>
      <c r="CD615">
        <v>0</v>
      </c>
      <c r="CE615">
        <v>0</v>
      </c>
      <c r="CF615">
        <v>1</v>
      </c>
      <c r="CG615">
        <v>1</v>
      </c>
      <c r="CH615">
        <v>0</v>
      </c>
      <c r="CI615">
        <v>0</v>
      </c>
      <c r="CJ615">
        <v>0</v>
      </c>
      <c r="CK615">
        <v>0</v>
      </c>
      <c r="CL615">
        <v>0</v>
      </c>
      <c r="CM615">
        <v>0</v>
      </c>
      <c r="CN615" s="18">
        <v>0</v>
      </c>
      <c r="CO615">
        <v>0</v>
      </c>
      <c r="CP615">
        <v>0</v>
      </c>
      <c r="CQ615">
        <v>0</v>
      </c>
      <c r="CR615">
        <v>1</v>
      </c>
      <c r="CS615">
        <v>10</v>
      </c>
      <c r="CY615" s="34"/>
    </row>
    <row r="616" spans="1:103" x14ac:dyDescent="0.25">
      <c r="A616">
        <v>615</v>
      </c>
      <c r="B616">
        <v>39</v>
      </c>
      <c r="C616" s="25" t="s">
        <v>330</v>
      </c>
      <c r="D616" s="12">
        <v>6.8</v>
      </c>
      <c r="E616" s="14">
        <v>0.18</v>
      </c>
      <c r="F616" s="7">
        <f t="shared" si="154"/>
        <v>37.777777777777779</v>
      </c>
      <c r="G616" s="7">
        <f t="shared" si="147"/>
        <v>6.62</v>
      </c>
      <c r="H616" s="16">
        <f t="shared" si="148"/>
        <v>6.9799999999999995</v>
      </c>
      <c r="I616" s="11">
        <f t="shared" si="151"/>
        <v>0.26685477272919289</v>
      </c>
      <c r="J616" s="33">
        <f t="shared" si="152"/>
        <v>7.0638028075374589E-3</v>
      </c>
      <c r="K616" s="33">
        <f t="shared" si="153"/>
        <v>141.5668057626051</v>
      </c>
      <c r="L616" s="8">
        <v>0</v>
      </c>
      <c r="M616" s="9">
        <v>1</v>
      </c>
      <c r="N616" s="8">
        <v>0</v>
      </c>
      <c r="O616" s="9">
        <v>0</v>
      </c>
      <c r="P616" s="9">
        <v>1</v>
      </c>
      <c r="Q616" s="9">
        <v>0</v>
      </c>
      <c r="R616" s="9">
        <v>0</v>
      </c>
      <c r="S616" s="8">
        <v>18623</v>
      </c>
      <c r="T616" s="9">
        <v>8</v>
      </c>
      <c r="U616" s="9">
        <f t="shared" si="149"/>
        <v>18614</v>
      </c>
      <c r="V616" s="9">
        <f t="shared" si="150"/>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55"/>
        <v>0.35780000000000001</v>
      </c>
      <c r="AS616">
        <v>0</v>
      </c>
      <c r="AT616" s="40">
        <v>1</v>
      </c>
      <c r="AU616">
        <v>1</v>
      </c>
      <c r="AV616" s="18">
        <v>0</v>
      </c>
      <c r="AW616" t="s">
        <v>98</v>
      </c>
      <c r="AX616" s="18" t="s">
        <v>98</v>
      </c>
      <c r="AY616" s="18" t="s">
        <v>26</v>
      </c>
      <c r="AZ616">
        <v>1</v>
      </c>
      <c r="BA616">
        <v>0</v>
      </c>
      <c r="BB616">
        <v>0</v>
      </c>
      <c r="BC616">
        <v>0</v>
      </c>
      <c r="BD616">
        <v>0</v>
      </c>
      <c r="BE616">
        <v>0</v>
      </c>
      <c r="BF616" s="18">
        <v>0</v>
      </c>
      <c r="BG616">
        <v>1</v>
      </c>
      <c r="BH616">
        <v>0</v>
      </c>
      <c r="BI616" s="18">
        <v>0</v>
      </c>
      <c r="BJ616">
        <v>15116</v>
      </c>
      <c r="BK616">
        <v>12548</v>
      </c>
      <c r="BL616" s="93">
        <f t="shared" si="156"/>
        <v>33</v>
      </c>
      <c r="BM616">
        <v>0</v>
      </c>
      <c r="BN616">
        <v>0</v>
      </c>
      <c r="BO616">
        <v>0</v>
      </c>
      <c r="BP616">
        <v>0</v>
      </c>
      <c r="BQ616">
        <v>0</v>
      </c>
      <c r="BR616">
        <v>0</v>
      </c>
      <c r="BS616">
        <v>0</v>
      </c>
      <c r="BT616" s="18">
        <v>1</v>
      </c>
      <c r="BU616">
        <v>0</v>
      </c>
      <c r="BV616">
        <v>0</v>
      </c>
      <c r="BW616">
        <v>0</v>
      </c>
      <c r="BX616" s="18">
        <v>1</v>
      </c>
      <c r="BY616">
        <v>0</v>
      </c>
      <c r="BZ616">
        <v>0</v>
      </c>
      <c r="CA616">
        <v>0</v>
      </c>
      <c r="CB616">
        <v>0</v>
      </c>
      <c r="CC616" s="18">
        <v>1</v>
      </c>
      <c r="CD616">
        <v>0</v>
      </c>
      <c r="CE616">
        <v>0</v>
      </c>
      <c r="CF616">
        <v>1</v>
      </c>
      <c r="CG616">
        <v>1</v>
      </c>
      <c r="CH616">
        <v>0</v>
      </c>
      <c r="CI616">
        <v>0</v>
      </c>
      <c r="CJ616">
        <v>0</v>
      </c>
      <c r="CK616">
        <v>0</v>
      </c>
      <c r="CL616">
        <v>0</v>
      </c>
      <c r="CM616">
        <v>0</v>
      </c>
      <c r="CN616" s="18">
        <v>0</v>
      </c>
      <c r="CO616">
        <v>0</v>
      </c>
      <c r="CP616">
        <v>0</v>
      </c>
      <c r="CQ616">
        <v>0</v>
      </c>
      <c r="CR616">
        <v>1</v>
      </c>
      <c r="CS616">
        <v>10</v>
      </c>
      <c r="CY616" s="34"/>
    </row>
    <row r="617" spans="1:103" x14ac:dyDescent="0.25">
      <c r="A617">
        <v>616</v>
      </c>
      <c r="B617">
        <v>39</v>
      </c>
      <c r="C617" s="25" t="s">
        <v>330</v>
      </c>
      <c r="D617" s="12">
        <v>4.54</v>
      </c>
      <c r="E617" s="14">
        <v>0.45</v>
      </c>
      <c r="F617" s="7">
        <f t="shared" si="154"/>
        <v>10.088888888888889</v>
      </c>
      <c r="G617" s="7">
        <f t="shared" si="147"/>
        <v>4.09</v>
      </c>
      <c r="H617" s="16">
        <f t="shared" si="148"/>
        <v>4.99</v>
      </c>
      <c r="I617" s="11">
        <f t="shared" si="151"/>
        <v>0.31287540391824742</v>
      </c>
      <c r="J617" s="33">
        <f t="shared" si="152"/>
        <v>3.101187924299809E-2</v>
      </c>
      <c r="K617" s="33">
        <f t="shared" si="153"/>
        <v>32.245707916129639</v>
      </c>
      <c r="L617" s="8">
        <v>0</v>
      </c>
      <c r="M617" s="9">
        <v>1</v>
      </c>
      <c r="N617" s="8">
        <v>0</v>
      </c>
      <c r="O617" s="9">
        <v>0</v>
      </c>
      <c r="P617" s="9">
        <v>1</v>
      </c>
      <c r="Q617" s="9">
        <v>0</v>
      </c>
      <c r="R617" s="9">
        <v>0</v>
      </c>
      <c r="S617" s="8">
        <v>947</v>
      </c>
      <c r="T617" s="9">
        <v>8</v>
      </c>
      <c r="U617" s="9">
        <f t="shared" si="149"/>
        <v>938</v>
      </c>
      <c r="V617" s="9">
        <f t="shared" si="150"/>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55"/>
        <v>0.35780000000000001</v>
      </c>
      <c r="AS617">
        <v>0</v>
      </c>
      <c r="AT617" s="40">
        <v>1</v>
      </c>
      <c r="AU617">
        <v>1</v>
      </c>
      <c r="AV617" s="18">
        <v>0</v>
      </c>
      <c r="AW617" t="s">
        <v>98</v>
      </c>
      <c r="AX617" s="18" t="s">
        <v>98</v>
      </c>
      <c r="AY617" s="18" t="s">
        <v>26</v>
      </c>
      <c r="AZ617">
        <v>1</v>
      </c>
      <c r="BA617">
        <v>0</v>
      </c>
      <c r="BB617">
        <v>0</v>
      </c>
      <c r="BC617">
        <v>0</v>
      </c>
      <c r="BD617">
        <v>0</v>
      </c>
      <c r="BE617">
        <v>0</v>
      </c>
      <c r="BF617" s="18">
        <v>0</v>
      </c>
      <c r="BG617">
        <v>1</v>
      </c>
      <c r="BH617">
        <v>0</v>
      </c>
      <c r="BI617" s="18">
        <v>0</v>
      </c>
      <c r="BJ617">
        <v>15116</v>
      </c>
      <c r="BK617">
        <v>12548</v>
      </c>
      <c r="BL617" s="93">
        <f t="shared" si="156"/>
        <v>43.75</v>
      </c>
      <c r="BM617">
        <v>1</v>
      </c>
      <c r="BN617">
        <v>0</v>
      </c>
      <c r="BO617">
        <v>0</v>
      </c>
      <c r="BP617">
        <v>0</v>
      </c>
      <c r="BQ617">
        <v>0</v>
      </c>
      <c r="BR617">
        <v>0</v>
      </c>
      <c r="BS617">
        <v>0</v>
      </c>
      <c r="BT617" s="18">
        <v>0</v>
      </c>
      <c r="BU617">
        <v>0</v>
      </c>
      <c r="BV617">
        <v>0</v>
      </c>
      <c r="BW617">
        <v>0</v>
      </c>
      <c r="BX617" s="18">
        <v>1</v>
      </c>
      <c r="BY617">
        <v>0</v>
      </c>
      <c r="BZ617">
        <v>0</v>
      </c>
      <c r="CA617">
        <v>0</v>
      </c>
      <c r="CB617">
        <v>0</v>
      </c>
      <c r="CC617" s="18">
        <v>1</v>
      </c>
      <c r="CD617">
        <v>0</v>
      </c>
      <c r="CE617">
        <v>0</v>
      </c>
      <c r="CF617">
        <v>1</v>
      </c>
      <c r="CG617">
        <v>1</v>
      </c>
      <c r="CH617">
        <v>0</v>
      </c>
      <c r="CI617">
        <v>0</v>
      </c>
      <c r="CJ617">
        <v>0</v>
      </c>
      <c r="CK617">
        <v>0</v>
      </c>
      <c r="CL617">
        <v>0</v>
      </c>
      <c r="CM617">
        <v>0</v>
      </c>
      <c r="CN617" s="18">
        <v>0</v>
      </c>
      <c r="CO617">
        <v>0</v>
      </c>
      <c r="CP617">
        <v>0</v>
      </c>
      <c r="CQ617">
        <v>0</v>
      </c>
      <c r="CR617">
        <v>1</v>
      </c>
      <c r="CS617">
        <v>10</v>
      </c>
      <c r="CY617" s="34"/>
    </row>
    <row r="618" spans="1:103" x14ac:dyDescent="0.25">
      <c r="A618">
        <v>617</v>
      </c>
      <c r="B618">
        <v>39</v>
      </c>
      <c r="C618" s="25" t="s">
        <v>330</v>
      </c>
      <c r="D618" s="12">
        <v>7.51</v>
      </c>
      <c r="E618" s="14">
        <v>1.1399999999999999</v>
      </c>
      <c r="F618" s="7">
        <f t="shared" si="154"/>
        <v>6.5877192982456148</v>
      </c>
      <c r="G618" s="7">
        <f t="shared" si="147"/>
        <v>6.37</v>
      </c>
      <c r="H618" s="16">
        <f t="shared" si="148"/>
        <v>8.65</v>
      </c>
      <c r="I618" s="11">
        <f t="shared" si="151"/>
        <v>0.21346458722465919</v>
      </c>
      <c r="J618" s="33">
        <f t="shared" si="152"/>
        <v>3.2403412707871032E-2</v>
      </c>
      <c r="K618" s="33">
        <f t="shared" si="153"/>
        <v>30.860946932206698</v>
      </c>
      <c r="L618" s="8">
        <v>0</v>
      </c>
      <c r="M618" s="9">
        <v>1</v>
      </c>
      <c r="N618" s="8">
        <v>0</v>
      </c>
      <c r="O618" s="9">
        <v>0</v>
      </c>
      <c r="P618" s="9">
        <v>1</v>
      </c>
      <c r="Q618" s="9">
        <v>0</v>
      </c>
      <c r="R618" s="9">
        <v>0</v>
      </c>
      <c r="S618" s="8">
        <v>918</v>
      </c>
      <c r="T618" s="9">
        <v>8</v>
      </c>
      <c r="U618" s="9">
        <f t="shared" si="149"/>
        <v>909</v>
      </c>
      <c r="V618" s="9">
        <f t="shared" si="150"/>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55"/>
        <v>0.35780000000000001</v>
      </c>
      <c r="AS618">
        <v>0</v>
      </c>
      <c r="AT618" s="40">
        <v>1</v>
      </c>
      <c r="AU618">
        <v>1</v>
      </c>
      <c r="AV618" s="18">
        <v>0</v>
      </c>
      <c r="AW618" t="s">
        <v>98</v>
      </c>
      <c r="AX618" s="18" t="s">
        <v>98</v>
      </c>
      <c r="AY618" s="18" t="s">
        <v>26</v>
      </c>
      <c r="AZ618">
        <v>1</v>
      </c>
      <c r="BA618">
        <v>0</v>
      </c>
      <c r="BB618">
        <v>0</v>
      </c>
      <c r="BC618">
        <v>0</v>
      </c>
      <c r="BD618">
        <v>0</v>
      </c>
      <c r="BE618">
        <v>0</v>
      </c>
      <c r="BF618" s="18">
        <v>0</v>
      </c>
      <c r="BG618">
        <v>1</v>
      </c>
      <c r="BH618">
        <v>0</v>
      </c>
      <c r="BI618" s="18">
        <v>0</v>
      </c>
      <c r="BJ618">
        <v>15116</v>
      </c>
      <c r="BK618">
        <v>12548</v>
      </c>
      <c r="BL618" s="93">
        <f t="shared" si="156"/>
        <v>43.75</v>
      </c>
      <c r="BM618">
        <v>0</v>
      </c>
      <c r="BN618">
        <v>0</v>
      </c>
      <c r="BO618">
        <v>0</v>
      </c>
      <c r="BP618">
        <v>0</v>
      </c>
      <c r="BQ618">
        <v>0</v>
      </c>
      <c r="BR618">
        <v>0</v>
      </c>
      <c r="BS618">
        <v>0</v>
      </c>
      <c r="BT618" s="18">
        <v>1</v>
      </c>
      <c r="BU618">
        <v>0</v>
      </c>
      <c r="BV618">
        <v>0</v>
      </c>
      <c r="BW618">
        <v>0</v>
      </c>
      <c r="BX618" s="18">
        <v>1</v>
      </c>
      <c r="BY618">
        <v>0</v>
      </c>
      <c r="BZ618">
        <v>0</v>
      </c>
      <c r="CA618">
        <v>0</v>
      </c>
      <c r="CB618">
        <v>0</v>
      </c>
      <c r="CC618" s="18">
        <v>1</v>
      </c>
      <c r="CD618">
        <v>0</v>
      </c>
      <c r="CE618">
        <v>0</v>
      </c>
      <c r="CF618">
        <v>1</v>
      </c>
      <c r="CG618">
        <v>1</v>
      </c>
      <c r="CH618">
        <v>0</v>
      </c>
      <c r="CI618">
        <v>0</v>
      </c>
      <c r="CJ618">
        <v>0</v>
      </c>
      <c r="CK618">
        <v>0</v>
      </c>
      <c r="CL618">
        <v>0</v>
      </c>
      <c r="CM618">
        <v>0</v>
      </c>
      <c r="CN618" s="18">
        <v>0</v>
      </c>
      <c r="CO618">
        <v>0</v>
      </c>
      <c r="CP618">
        <v>0</v>
      </c>
      <c r="CQ618">
        <v>0</v>
      </c>
      <c r="CR618">
        <v>1</v>
      </c>
      <c r="CS618">
        <v>10</v>
      </c>
      <c r="CY618" s="34"/>
    </row>
    <row r="619" spans="1:103" x14ac:dyDescent="0.25">
      <c r="A619">
        <v>618</v>
      </c>
      <c r="B619">
        <v>39</v>
      </c>
      <c r="C619" s="25" t="s">
        <v>330</v>
      </c>
      <c r="D619" s="12">
        <v>3.05</v>
      </c>
      <c r="E619" s="14">
        <v>3.6</v>
      </c>
      <c r="F619" s="7">
        <f t="shared" si="154"/>
        <v>0.8472222222222221</v>
      </c>
      <c r="G619" s="7">
        <f t="shared" si="147"/>
        <v>-0.55000000000000027</v>
      </c>
      <c r="H619" s="16">
        <f t="shared" si="148"/>
        <v>6.65</v>
      </c>
      <c r="I619" s="11">
        <f t="shared" si="151"/>
        <v>2.3582057357347679E-2</v>
      </c>
      <c r="J619" s="33">
        <f t="shared" si="152"/>
        <v>2.7834559503754644E-2</v>
      </c>
      <c r="K619" s="33">
        <f t="shared" si="153"/>
        <v>35.926561002882352</v>
      </c>
      <c r="L619" s="8">
        <v>0</v>
      </c>
      <c r="M619" s="9">
        <v>1</v>
      </c>
      <c r="N619" s="8">
        <v>0</v>
      </c>
      <c r="O619" s="9">
        <v>0</v>
      </c>
      <c r="P619" s="9">
        <v>1</v>
      </c>
      <c r="Q619" s="9">
        <v>0</v>
      </c>
      <c r="R619" s="9">
        <v>0</v>
      </c>
      <c r="S619" s="8">
        <v>1299</v>
      </c>
      <c r="T619" s="9">
        <v>8</v>
      </c>
      <c r="U619" s="9">
        <f t="shared" si="149"/>
        <v>1290</v>
      </c>
      <c r="V619" s="9">
        <f t="shared" si="150"/>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55"/>
        <v>0.35780000000000001</v>
      </c>
      <c r="AS619">
        <v>0</v>
      </c>
      <c r="AT619" s="40">
        <v>1</v>
      </c>
      <c r="AU619">
        <v>1</v>
      </c>
      <c r="AV619" s="18">
        <v>0</v>
      </c>
      <c r="AW619" t="s">
        <v>98</v>
      </c>
      <c r="AX619" s="18" t="s">
        <v>98</v>
      </c>
      <c r="AY619" s="18" t="s">
        <v>26</v>
      </c>
      <c r="AZ619">
        <v>1</v>
      </c>
      <c r="BA619">
        <v>0</v>
      </c>
      <c r="BB619">
        <v>0</v>
      </c>
      <c r="BC619">
        <v>0</v>
      </c>
      <c r="BD619">
        <v>0</v>
      </c>
      <c r="BE619">
        <v>0</v>
      </c>
      <c r="BF619" s="18">
        <v>0</v>
      </c>
      <c r="BG619">
        <v>1</v>
      </c>
      <c r="BH619">
        <v>0</v>
      </c>
      <c r="BI619" s="18">
        <v>0</v>
      </c>
      <c r="BJ619">
        <v>15116</v>
      </c>
      <c r="BK619">
        <v>12548</v>
      </c>
      <c r="BL619" s="93">
        <f t="shared" si="156"/>
        <v>24.799999999999997</v>
      </c>
      <c r="BM619">
        <v>1</v>
      </c>
      <c r="BN619">
        <v>0</v>
      </c>
      <c r="BO619">
        <v>0</v>
      </c>
      <c r="BP619">
        <v>0</v>
      </c>
      <c r="BQ619">
        <v>0</v>
      </c>
      <c r="BR619">
        <v>0</v>
      </c>
      <c r="BS619">
        <v>0</v>
      </c>
      <c r="BT619" s="18">
        <v>0</v>
      </c>
      <c r="BU619">
        <v>0</v>
      </c>
      <c r="BV619">
        <v>0</v>
      </c>
      <c r="BW619">
        <v>0</v>
      </c>
      <c r="BX619" s="18">
        <v>1</v>
      </c>
      <c r="BY619">
        <v>0</v>
      </c>
      <c r="BZ619">
        <v>0</v>
      </c>
      <c r="CA619">
        <v>0</v>
      </c>
      <c r="CB619">
        <v>0</v>
      </c>
      <c r="CC619" s="18">
        <v>1</v>
      </c>
      <c r="CD619">
        <v>0</v>
      </c>
      <c r="CE619">
        <v>0</v>
      </c>
      <c r="CF619">
        <v>1</v>
      </c>
      <c r="CG619">
        <v>1</v>
      </c>
      <c r="CH619">
        <v>0</v>
      </c>
      <c r="CI619">
        <v>0</v>
      </c>
      <c r="CJ619">
        <v>0</v>
      </c>
      <c r="CK619">
        <v>0</v>
      </c>
      <c r="CL619">
        <v>0</v>
      </c>
      <c r="CM619">
        <v>0</v>
      </c>
      <c r="CN619" s="18">
        <v>0</v>
      </c>
      <c r="CO619">
        <v>0</v>
      </c>
      <c r="CP619">
        <v>0</v>
      </c>
      <c r="CQ619">
        <v>0</v>
      </c>
      <c r="CR619">
        <v>1</v>
      </c>
      <c r="CS619">
        <v>10</v>
      </c>
      <c r="CY619" s="34"/>
    </row>
    <row r="620" spans="1:103" x14ac:dyDescent="0.25">
      <c r="A620">
        <v>619</v>
      </c>
      <c r="B620">
        <v>39</v>
      </c>
      <c r="C620" s="25" t="s">
        <v>330</v>
      </c>
      <c r="D620" s="12">
        <v>5.65</v>
      </c>
      <c r="E620" s="14">
        <v>1.1000000000000001</v>
      </c>
      <c r="F620" s="7">
        <f t="shared" si="154"/>
        <v>5.1363636363636367</v>
      </c>
      <c r="G620" s="7">
        <f t="shared" si="147"/>
        <v>4.5500000000000007</v>
      </c>
      <c r="H620" s="16">
        <f t="shared" si="148"/>
        <v>6.75</v>
      </c>
      <c r="I620" s="11">
        <f t="shared" si="151"/>
        <v>0.1445068320716868</v>
      </c>
      <c r="J620" s="33">
        <f t="shared" si="152"/>
        <v>2.8134073500682387E-2</v>
      </c>
      <c r="K620" s="33">
        <f t="shared" si="153"/>
        <v>35.544088557803235</v>
      </c>
      <c r="L620" s="8">
        <v>0</v>
      </c>
      <c r="M620" s="9">
        <v>1</v>
      </c>
      <c r="N620" s="8">
        <v>0</v>
      </c>
      <c r="O620" s="9">
        <v>0</v>
      </c>
      <c r="P620" s="9">
        <v>1</v>
      </c>
      <c r="Q620" s="9">
        <v>0</v>
      </c>
      <c r="R620" s="9">
        <v>0</v>
      </c>
      <c r="S620" s="8">
        <v>1246</v>
      </c>
      <c r="T620" s="9">
        <v>8</v>
      </c>
      <c r="U620" s="9">
        <f t="shared" si="149"/>
        <v>1237</v>
      </c>
      <c r="V620" s="9">
        <f t="shared" si="150"/>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55"/>
        <v>0.35780000000000001</v>
      </c>
      <c r="AS620">
        <v>0</v>
      </c>
      <c r="AT620" s="40">
        <v>1</v>
      </c>
      <c r="AU620">
        <v>1</v>
      </c>
      <c r="AV620" s="18">
        <v>0</v>
      </c>
      <c r="AW620" t="s">
        <v>98</v>
      </c>
      <c r="AX620" s="18" t="s">
        <v>98</v>
      </c>
      <c r="AY620" s="18" t="s">
        <v>26</v>
      </c>
      <c r="AZ620">
        <v>1</v>
      </c>
      <c r="BA620">
        <v>0</v>
      </c>
      <c r="BB620">
        <v>0</v>
      </c>
      <c r="BC620">
        <v>0</v>
      </c>
      <c r="BD620">
        <v>0</v>
      </c>
      <c r="BE620">
        <v>0</v>
      </c>
      <c r="BF620" s="18">
        <v>0</v>
      </c>
      <c r="BG620">
        <v>1</v>
      </c>
      <c r="BH620">
        <v>0</v>
      </c>
      <c r="BI620" s="18">
        <v>0</v>
      </c>
      <c r="BJ620">
        <v>15116</v>
      </c>
      <c r="BK620">
        <v>12548</v>
      </c>
      <c r="BL620" s="93">
        <f t="shared" si="156"/>
        <v>24.799999999999997</v>
      </c>
      <c r="BM620">
        <v>0</v>
      </c>
      <c r="BN620">
        <v>0</v>
      </c>
      <c r="BO620">
        <v>0</v>
      </c>
      <c r="BP620">
        <v>0</v>
      </c>
      <c r="BQ620">
        <v>0</v>
      </c>
      <c r="BR620">
        <v>0</v>
      </c>
      <c r="BS620">
        <v>0</v>
      </c>
      <c r="BT620" s="18">
        <v>1</v>
      </c>
      <c r="BU620">
        <v>0</v>
      </c>
      <c r="BV620">
        <v>0</v>
      </c>
      <c r="BW620">
        <v>0</v>
      </c>
      <c r="BX620" s="18">
        <v>1</v>
      </c>
      <c r="BY620">
        <v>0</v>
      </c>
      <c r="BZ620">
        <v>0</v>
      </c>
      <c r="CA620">
        <v>0</v>
      </c>
      <c r="CB620">
        <v>0</v>
      </c>
      <c r="CC620" s="18">
        <v>1</v>
      </c>
      <c r="CD620">
        <v>0</v>
      </c>
      <c r="CE620">
        <v>0</v>
      </c>
      <c r="CF620">
        <v>1</v>
      </c>
      <c r="CG620">
        <v>1</v>
      </c>
      <c r="CH620">
        <v>0</v>
      </c>
      <c r="CI620">
        <v>0</v>
      </c>
      <c r="CJ620">
        <v>0</v>
      </c>
      <c r="CK620">
        <v>0</v>
      </c>
      <c r="CL620">
        <v>0</v>
      </c>
      <c r="CM620">
        <v>0</v>
      </c>
      <c r="CN620" s="18">
        <v>0</v>
      </c>
      <c r="CO620">
        <v>0</v>
      </c>
      <c r="CP620">
        <v>0</v>
      </c>
      <c r="CQ620">
        <v>0</v>
      </c>
      <c r="CR620">
        <v>1</v>
      </c>
      <c r="CS620">
        <v>10</v>
      </c>
      <c r="CY620" s="34"/>
    </row>
    <row r="621" spans="1:103" x14ac:dyDescent="0.25">
      <c r="A621">
        <v>620</v>
      </c>
      <c r="B621">
        <v>39</v>
      </c>
      <c r="C621" s="25" t="s">
        <v>330</v>
      </c>
      <c r="D621" s="12">
        <v>4.4000000000000004</v>
      </c>
      <c r="E621" s="14">
        <v>0.37</v>
      </c>
      <c r="F621" s="7">
        <f t="shared" si="154"/>
        <v>11.891891891891893</v>
      </c>
      <c r="G621" s="7">
        <f t="shared" si="147"/>
        <v>4.03</v>
      </c>
      <c r="H621" s="16">
        <f t="shared" si="148"/>
        <v>4.7700000000000005</v>
      </c>
      <c r="I621" s="11">
        <f t="shared" si="151"/>
        <v>0.30417954748127174</v>
      </c>
      <c r="J621" s="33">
        <f t="shared" si="152"/>
        <v>2.5578734674561485E-2</v>
      </c>
      <c r="K621" s="33">
        <f t="shared" si="153"/>
        <v>39.09497528798866</v>
      </c>
      <c r="L621" s="8">
        <v>0</v>
      </c>
      <c r="M621" s="9">
        <v>1</v>
      </c>
      <c r="N621" s="8">
        <v>0</v>
      </c>
      <c r="O621" s="9">
        <v>0</v>
      </c>
      <c r="P621" s="9">
        <v>1</v>
      </c>
      <c r="Q621" s="9">
        <v>0</v>
      </c>
      <c r="R621" s="9">
        <v>0</v>
      </c>
      <c r="S621" s="8">
        <v>1396</v>
      </c>
      <c r="T621" s="9">
        <v>8</v>
      </c>
      <c r="U621" s="9">
        <f t="shared" si="149"/>
        <v>1387</v>
      </c>
      <c r="V621" s="9">
        <f t="shared" si="150"/>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v>0</v>
      </c>
      <c r="BF621" s="18">
        <v>0</v>
      </c>
      <c r="BG621">
        <v>1</v>
      </c>
      <c r="BH621">
        <v>0</v>
      </c>
      <c r="BI621" s="18">
        <v>0</v>
      </c>
      <c r="BJ621">
        <v>15116</v>
      </c>
      <c r="BK621">
        <v>12548</v>
      </c>
      <c r="BL621" s="93">
        <f t="shared" si="156"/>
        <v>34.86</v>
      </c>
      <c r="BM621">
        <v>1</v>
      </c>
      <c r="BN621">
        <v>0</v>
      </c>
      <c r="BO621">
        <v>0</v>
      </c>
      <c r="BP621">
        <v>0</v>
      </c>
      <c r="BQ621">
        <v>0</v>
      </c>
      <c r="BR621">
        <v>0</v>
      </c>
      <c r="BS621">
        <v>0</v>
      </c>
      <c r="BT621" s="18">
        <v>0</v>
      </c>
      <c r="BU621">
        <v>0</v>
      </c>
      <c r="BV621">
        <v>0</v>
      </c>
      <c r="BW621">
        <v>0</v>
      </c>
      <c r="BX621" s="18">
        <v>1</v>
      </c>
      <c r="BY621">
        <v>0</v>
      </c>
      <c r="BZ621">
        <v>0</v>
      </c>
      <c r="CA621">
        <v>0</v>
      </c>
      <c r="CB621">
        <v>0</v>
      </c>
      <c r="CC621" s="18">
        <v>1</v>
      </c>
      <c r="CD621">
        <v>0</v>
      </c>
      <c r="CE621">
        <v>0</v>
      </c>
      <c r="CF621">
        <v>1</v>
      </c>
      <c r="CG621">
        <v>1</v>
      </c>
      <c r="CH621">
        <v>0</v>
      </c>
      <c r="CI621">
        <v>0</v>
      </c>
      <c r="CJ621">
        <v>0</v>
      </c>
      <c r="CK621">
        <v>0</v>
      </c>
      <c r="CL621">
        <v>0</v>
      </c>
      <c r="CM621">
        <v>0</v>
      </c>
      <c r="CN621" s="18">
        <v>0</v>
      </c>
      <c r="CO621">
        <v>0</v>
      </c>
      <c r="CP621">
        <v>0</v>
      </c>
      <c r="CQ621">
        <v>0</v>
      </c>
      <c r="CR621">
        <v>1</v>
      </c>
      <c r="CS621">
        <v>10</v>
      </c>
      <c r="CY621" s="34"/>
    </row>
    <row r="622" spans="1:103" x14ac:dyDescent="0.25">
      <c r="A622">
        <v>621</v>
      </c>
      <c r="B622">
        <v>39</v>
      </c>
      <c r="C622" s="25" t="s">
        <v>330</v>
      </c>
      <c r="D622" s="12">
        <v>8.39</v>
      </c>
      <c r="E622" s="14">
        <v>1.0900000000000001</v>
      </c>
      <c r="F622" s="7">
        <f t="shared" si="154"/>
        <v>7.6972477064220186</v>
      </c>
      <c r="G622" s="7">
        <f t="shared" si="147"/>
        <v>7.3000000000000007</v>
      </c>
      <c r="H622" s="16">
        <f t="shared" si="148"/>
        <v>9.48</v>
      </c>
      <c r="I622" s="11">
        <f t="shared" si="151"/>
        <v>0.20547940779494051</v>
      </c>
      <c r="J622" s="33">
        <f t="shared" si="152"/>
        <v>2.6695179320200848E-2</v>
      </c>
      <c r="K622" s="33">
        <f t="shared" si="153"/>
        <v>37.459946906716496</v>
      </c>
      <c r="L622" s="8">
        <v>0</v>
      </c>
      <c r="M622" s="9">
        <v>1</v>
      </c>
      <c r="N622" s="8">
        <v>0</v>
      </c>
      <c r="O622" s="9">
        <v>0</v>
      </c>
      <c r="P622" s="9">
        <v>1</v>
      </c>
      <c r="Q622" s="9">
        <v>0</v>
      </c>
      <c r="R622" s="9">
        <v>0</v>
      </c>
      <c r="S622" s="8">
        <v>1353</v>
      </c>
      <c r="T622" s="9">
        <v>8</v>
      </c>
      <c r="U622" s="9">
        <f t="shared" si="149"/>
        <v>1344</v>
      </c>
      <c r="V622" s="9">
        <f t="shared" si="150"/>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v>0</v>
      </c>
      <c r="BF622" s="18">
        <v>0</v>
      </c>
      <c r="BG622">
        <v>1</v>
      </c>
      <c r="BH622">
        <v>0</v>
      </c>
      <c r="BI622" s="18">
        <v>0</v>
      </c>
      <c r="BJ622">
        <v>15116</v>
      </c>
      <c r="BK622">
        <v>12548</v>
      </c>
      <c r="BL622" s="93">
        <f t="shared" si="156"/>
        <v>34.86</v>
      </c>
      <c r="BM622">
        <v>0</v>
      </c>
      <c r="BN622">
        <v>0</v>
      </c>
      <c r="BO622">
        <v>0</v>
      </c>
      <c r="BP622">
        <v>0</v>
      </c>
      <c r="BQ622">
        <v>0</v>
      </c>
      <c r="BR622">
        <v>0</v>
      </c>
      <c r="BS622">
        <v>0</v>
      </c>
      <c r="BT622" s="18">
        <v>1</v>
      </c>
      <c r="BU622">
        <v>0</v>
      </c>
      <c r="BV622">
        <v>0</v>
      </c>
      <c r="BW622">
        <v>0</v>
      </c>
      <c r="BX622" s="18">
        <v>1</v>
      </c>
      <c r="BY622">
        <v>0</v>
      </c>
      <c r="BZ622">
        <v>0</v>
      </c>
      <c r="CA622">
        <v>0</v>
      </c>
      <c r="CB622">
        <v>0</v>
      </c>
      <c r="CC622" s="18">
        <v>1</v>
      </c>
      <c r="CD622">
        <v>0</v>
      </c>
      <c r="CE622">
        <v>0</v>
      </c>
      <c r="CF622">
        <v>1</v>
      </c>
      <c r="CG622">
        <v>1</v>
      </c>
      <c r="CH622">
        <v>0</v>
      </c>
      <c r="CI622">
        <v>0</v>
      </c>
      <c r="CJ622">
        <v>0</v>
      </c>
      <c r="CK622">
        <v>0</v>
      </c>
      <c r="CL622">
        <v>0</v>
      </c>
      <c r="CM622">
        <v>0</v>
      </c>
      <c r="CN622" s="18">
        <v>0</v>
      </c>
      <c r="CO622">
        <v>0</v>
      </c>
      <c r="CP622">
        <v>0</v>
      </c>
      <c r="CQ622">
        <v>0</v>
      </c>
      <c r="CR622">
        <v>1</v>
      </c>
      <c r="CS622">
        <v>10</v>
      </c>
      <c r="CY622" s="34"/>
    </row>
    <row r="623" spans="1:103" x14ac:dyDescent="0.25">
      <c r="A623">
        <v>622</v>
      </c>
      <c r="B623">
        <v>39</v>
      </c>
      <c r="C623" s="25" t="s">
        <v>330</v>
      </c>
      <c r="D623" s="12">
        <v>2.58</v>
      </c>
      <c r="E623" s="14">
        <v>0.39</v>
      </c>
      <c r="F623" s="7">
        <f t="shared" si="154"/>
        <v>6.615384615384615</v>
      </c>
      <c r="G623" s="7">
        <f t="shared" si="147"/>
        <v>2.19</v>
      </c>
      <c r="H623" s="16">
        <f t="shared" si="148"/>
        <v>2.97</v>
      </c>
      <c r="I623" s="11">
        <f t="shared" si="151"/>
        <v>0.21637359917513771</v>
      </c>
      <c r="J623" s="33">
        <f t="shared" si="152"/>
        <v>3.2707637084613848E-2</v>
      </c>
      <c r="K623" s="33">
        <f t="shared" si="153"/>
        <v>30.573899221549535</v>
      </c>
      <c r="L623" s="8">
        <v>0</v>
      </c>
      <c r="M623" s="9">
        <v>1</v>
      </c>
      <c r="N623" s="8">
        <v>0</v>
      </c>
      <c r="O623" s="9">
        <v>0</v>
      </c>
      <c r="P623" s="9">
        <v>1</v>
      </c>
      <c r="Q623" s="9">
        <v>0</v>
      </c>
      <c r="R623" s="9">
        <v>0</v>
      </c>
      <c r="S623" s="8">
        <v>900</v>
      </c>
      <c r="T623" s="9">
        <v>8</v>
      </c>
      <c r="U623" s="9">
        <f t="shared" si="149"/>
        <v>891</v>
      </c>
      <c r="V623" s="9">
        <f t="shared" si="150"/>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v>0</v>
      </c>
      <c r="BF623" s="18">
        <v>0</v>
      </c>
      <c r="BG623">
        <v>1</v>
      </c>
      <c r="BH623">
        <v>0</v>
      </c>
      <c r="BI623" s="18">
        <v>0</v>
      </c>
      <c r="BJ623">
        <v>15116</v>
      </c>
      <c r="BK623">
        <v>12548</v>
      </c>
      <c r="BL623" s="93">
        <f t="shared" si="156"/>
        <v>30.17</v>
      </c>
      <c r="BM623">
        <v>1</v>
      </c>
      <c r="BN623">
        <v>0</v>
      </c>
      <c r="BO623">
        <v>0</v>
      </c>
      <c r="BP623">
        <v>0</v>
      </c>
      <c r="BQ623">
        <v>0</v>
      </c>
      <c r="BR623">
        <v>0</v>
      </c>
      <c r="BS623">
        <v>0</v>
      </c>
      <c r="BT623" s="18">
        <v>0</v>
      </c>
      <c r="BU623">
        <v>0</v>
      </c>
      <c r="BV623">
        <v>0</v>
      </c>
      <c r="BW623">
        <v>0</v>
      </c>
      <c r="BX623" s="18">
        <v>1</v>
      </c>
      <c r="BY623">
        <v>0</v>
      </c>
      <c r="BZ623">
        <v>0</v>
      </c>
      <c r="CA623">
        <v>0</v>
      </c>
      <c r="CB623">
        <v>0</v>
      </c>
      <c r="CC623" s="18">
        <v>1</v>
      </c>
      <c r="CD623">
        <v>0</v>
      </c>
      <c r="CE623">
        <v>0</v>
      </c>
      <c r="CF623">
        <v>1</v>
      </c>
      <c r="CG623">
        <v>1</v>
      </c>
      <c r="CH623">
        <v>0</v>
      </c>
      <c r="CI623">
        <v>0</v>
      </c>
      <c r="CJ623">
        <v>0</v>
      </c>
      <c r="CK623">
        <v>0</v>
      </c>
      <c r="CL623">
        <v>0</v>
      </c>
      <c r="CM623">
        <v>0</v>
      </c>
      <c r="CN623" s="18">
        <v>0</v>
      </c>
      <c r="CO623">
        <v>0</v>
      </c>
      <c r="CP623">
        <v>0</v>
      </c>
      <c r="CQ623">
        <v>0</v>
      </c>
      <c r="CR623">
        <v>1</v>
      </c>
      <c r="CS623">
        <v>10</v>
      </c>
      <c r="CY623" s="34"/>
    </row>
    <row r="624" spans="1:103" s="142" customFormat="1" x14ac:dyDescent="0.25">
      <c r="A624" s="142">
        <v>623</v>
      </c>
      <c r="B624" s="142">
        <v>39</v>
      </c>
      <c r="C624" s="143" t="s">
        <v>330</v>
      </c>
      <c r="D624" s="144">
        <v>3.13</v>
      </c>
      <c r="E624" s="145">
        <v>1.03</v>
      </c>
      <c r="F624" s="146">
        <f t="shared" si="154"/>
        <v>3.0388349514563107</v>
      </c>
      <c r="G624" s="146">
        <f t="shared" si="147"/>
        <v>2.0999999999999996</v>
      </c>
      <c r="H624" s="147">
        <f t="shared" si="148"/>
        <v>4.16</v>
      </c>
      <c r="I624" s="11">
        <f t="shared" si="151"/>
        <v>0.10366955995013886</v>
      </c>
      <c r="J624" s="33">
        <f t="shared" si="152"/>
        <v>3.4114903114582436E-2</v>
      </c>
      <c r="K624" s="33">
        <f t="shared" si="153"/>
        <v>29.312702329573654</v>
      </c>
      <c r="L624" s="149">
        <v>0</v>
      </c>
      <c r="M624" s="150">
        <v>1</v>
      </c>
      <c r="N624" s="149">
        <v>0</v>
      </c>
      <c r="O624" s="150">
        <v>0</v>
      </c>
      <c r="P624" s="150">
        <v>1</v>
      </c>
      <c r="Q624" s="150">
        <v>0</v>
      </c>
      <c r="R624" s="150">
        <v>0</v>
      </c>
      <c r="S624" s="149">
        <v>859</v>
      </c>
      <c r="T624" s="150">
        <v>8</v>
      </c>
      <c r="U624" s="150">
        <f t="shared" si="149"/>
        <v>850</v>
      </c>
      <c r="V624" s="150">
        <f t="shared" si="150"/>
        <v>10</v>
      </c>
      <c r="W624" s="146">
        <v>9.9600000000000009</v>
      </c>
      <c r="X624" s="146">
        <v>14.21</v>
      </c>
      <c r="Y624" s="150">
        <v>1</v>
      </c>
      <c r="Z624" s="150">
        <v>0</v>
      </c>
      <c r="AA624" s="150">
        <v>0</v>
      </c>
      <c r="AB624" s="150">
        <v>0</v>
      </c>
      <c r="AC624" s="150">
        <v>1</v>
      </c>
      <c r="AD624" s="150">
        <v>0</v>
      </c>
      <c r="AE624" s="149">
        <v>0</v>
      </c>
      <c r="AF624" s="150">
        <v>1</v>
      </c>
      <c r="AG624" s="151">
        <v>0</v>
      </c>
      <c r="AH624" s="150">
        <v>0</v>
      </c>
      <c r="AI624" s="151">
        <v>1</v>
      </c>
      <c r="AJ624" s="152">
        <v>2001</v>
      </c>
      <c r="AK624" s="148" t="s">
        <v>98</v>
      </c>
      <c r="AL624" s="148" t="s">
        <v>98</v>
      </c>
      <c r="AM624" s="148" t="s">
        <v>98</v>
      </c>
      <c r="AN624" s="153" t="s">
        <v>98</v>
      </c>
      <c r="AO624" s="154">
        <v>1</v>
      </c>
      <c r="AP624" s="155">
        <v>0</v>
      </c>
      <c r="AQ624" s="142">
        <v>0</v>
      </c>
      <c r="AR624" s="156">
        <v>1</v>
      </c>
      <c r="AS624" s="142">
        <v>0</v>
      </c>
      <c r="AT624" s="156">
        <v>1</v>
      </c>
      <c r="AU624">
        <v>1</v>
      </c>
      <c r="AV624" s="155">
        <v>0</v>
      </c>
      <c r="AW624" s="142" t="s">
        <v>98</v>
      </c>
      <c r="AX624" s="155" t="s">
        <v>98</v>
      </c>
      <c r="AY624" s="155" t="s">
        <v>26</v>
      </c>
      <c r="AZ624">
        <v>1</v>
      </c>
      <c r="BA624">
        <v>0</v>
      </c>
      <c r="BB624">
        <v>0</v>
      </c>
      <c r="BC624">
        <v>0</v>
      </c>
      <c r="BD624">
        <v>0</v>
      </c>
      <c r="BE624">
        <v>0</v>
      </c>
      <c r="BF624" s="155">
        <v>0</v>
      </c>
      <c r="BG624">
        <v>1</v>
      </c>
      <c r="BH624">
        <v>0</v>
      </c>
      <c r="BI624" s="155">
        <v>0</v>
      </c>
      <c r="BJ624">
        <v>15116</v>
      </c>
      <c r="BK624">
        <v>12548</v>
      </c>
      <c r="BL624" s="168">
        <f t="shared" si="156"/>
        <v>30.17</v>
      </c>
      <c r="BM624" s="142">
        <v>0</v>
      </c>
      <c r="BN624" s="142">
        <v>0</v>
      </c>
      <c r="BO624" s="142">
        <v>0</v>
      </c>
      <c r="BP624" s="142">
        <v>0</v>
      </c>
      <c r="BQ624" s="142">
        <v>0</v>
      </c>
      <c r="BR624" s="142">
        <v>0</v>
      </c>
      <c r="BS624" s="142">
        <v>0</v>
      </c>
      <c r="BT624" s="155">
        <v>1</v>
      </c>
      <c r="BU624" s="142">
        <v>0</v>
      </c>
      <c r="BV624" s="142">
        <v>0</v>
      </c>
      <c r="BW624" s="142">
        <v>0</v>
      </c>
      <c r="BX624" s="155">
        <v>1</v>
      </c>
      <c r="BY624" s="142">
        <v>0</v>
      </c>
      <c r="BZ624" s="142">
        <v>0</v>
      </c>
      <c r="CA624" s="142">
        <v>0</v>
      </c>
      <c r="CB624" s="142">
        <v>0</v>
      </c>
      <c r="CC624" s="155">
        <v>1</v>
      </c>
      <c r="CD624" s="142">
        <v>0</v>
      </c>
      <c r="CE624" s="142">
        <v>0</v>
      </c>
      <c r="CF624" s="142">
        <v>1</v>
      </c>
      <c r="CG624" s="142">
        <v>1</v>
      </c>
      <c r="CH624" s="142">
        <v>0</v>
      </c>
      <c r="CI624" s="142">
        <v>0</v>
      </c>
      <c r="CJ624" s="142">
        <v>0</v>
      </c>
      <c r="CK624" s="142">
        <v>0</v>
      </c>
      <c r="CL624" s="142">
        <v>0</v>
      </c>
      <c r="CM624" s="142">
        <v>0</v>
      </c>
      <c r="CN624" s="155">
        <v>0</v>
      </c>
      <c r="CO624">
        <v>0</v>
      </c>
      <c r="CP624">
        <v>0</v>
      </c>
      <c r="CQ624">
        <v>0</v>
      </c>
      <c r="CR624">
        <v>1</v>
      </c>
      <c r="CS624">
        <v>10</v>
      </c>
      <c r="CT624" s="157"/>
      <c r="CY624" s="157"/>
    </row>
    <row r="625" spans="1:103" x14ac:dyDescent="0.25">
      <c r="A625">
        <v>624</v>
      </c>
      <c r="B625">
        <v>40</v>
      </c>
      <c r="C625" s="25" t="s">
        <v>333</v>
      </c>
      <c r="D625" s="12">
        <v>8.6</v>
      </c>
      <c r="E625" s="14">
        <v>0.3</v>
      </c>
      <c r="F625" s="7">
        <f t="shared" si="154"/>
        <v>28.666666666666668</v>
      </c>
      <c r="G625" s="7">
        <f t="shared" si="147"/>
        <v>8.2999999999999989</v>
      </c>
      <c r="H625" s="16">
        <f t="shared" si="148"/>
        <v>8.9</v>
      </c>
      <c r="I625" s="11">
        <f t="shared" si="151"/>
        <v>0.30072687606952542</v>
      </c>
      <c r="J625" s="33">
        <f t="shared" si="152"/>
        <v>1.0490472421029956E-2</v>
      </c>
      <c r="K625" s="33">
        <f t="shared" si="153"/>
        <v>95.324591673805656</v>
      </c>
      <c r="L625" s="8">
        <v>1</v>
      </c>
      <c r="M625" s="9">
        <v>0</v>
      </c>
      <c r="N625" s="8">
        <v>0</v>
      </c>
      <c r="O625" s="9">
        <v>0</v>
      </c>
      <c r="P625" s="9">
        <v>1</v>
      </c>
      <c r="Q625" s="9">
        <v>0</v>
      </c>
      <c r="R625" s="9">
        <v>0</v>
      </c>
      <c r="S625" s="8">
        <v>8270</v>
      </c>
      <c r="T625" s="9">
        <v>4</v>
      </c>
      <c r="U625" s="9">
        <f t="shared" si="149"/>
        <v>8265</v>
      </c>
      <c r="V625" s="9">
        <f t="shared" si="150"/>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57">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v>0</v>
      </c>
      <c r="BF625" s="18">
        <v>0</v>
      </c>
      <c r="BG625">
        <v>0</v>
      </c>
      <c r="BH625">
        <v>1</v>
      </c>
      <c r="BI625" s="18">
        <v>0</v>
      </c>
      <c r="BJ625">
        <v>942</v>
      </c>
      <c r="BK625">
        <v>131</v>
      </c>
      <c r="BL625" s="25">
        <f t="shared" si="156"/>
        <v>37.39</v>
      </c>
      <c r="BM625">
        <v>1</v>
      </c>
      <c r="BN625">
        <v>0</v>
      </c>
      <c r="BO625">
        <v>0</v>
      </c>
      <c r="BP625">
        <v>0</v>
      </c>
      <c r="BQ625">
        <v>0</v>
      </c>
      <c r="BR625">
        <v>0</v>
      </c>
      <c r="BS625">
        <v>0</v>
      </c>
      <c r="BT625" s="18">
        <v>0</v>
      </c>
      <c r="BU625">
        <v>0</v>
      </c>
      <c r="BV625">
        <v>0</v>
      </c>
      <c r="BW625">
        <v>1</v>
      </c>
      <c r="BX625" s="18">
        <v>0</v>
      </c>
      <c r="BY625">
        <v>0</v>
      </c>
      <c r="BZ625">
        <v>0</v>
      </c>
      <c r="CA625">
        <v>0</v>
      </c>
      <c r="CB625">
        <v>0</v>
      </c>
      <c r="CC625" s="18">
        <v>0</v>
      </c>
      <c r="CD625">
        <v>0</v>
      </c>
      <c r="CE625">
        <v>0</v>
      </c>
      <c r="CF625">
        <v>1</v>
      </c>
      <c r="CG625">
        <v>1</v>
      </c>
      <c r="CH625">
        <v>0</v>
      </c>
      <c r="CI625">
        <v>0</v>
      </c>
      <c r="CJ625">
        <v>1</v>
      </c>
      <c r="CK625">
        <v>0</v>
      </c>
      <c r="CL625">
        <v>0</v>
      </c>
      <c r="CM625">
        <v>0</v>
      </c>
      <c r="CN625" s="18">
        <v>0</v>
      </c>
      <c r="CO625">
        <v>0.17100000000000001</v>
      </c>
      <c r="CP625">
        <v>66</v>
      </c>
      <c r="CQ625">
        <v>1</v>
      </c>
      <c r="CR625">
        <v>0</v>
      </c>
      <c r="CS625">
        <v>15</v>
      </c>
      <c r="CY625" s="34"/>
    </row>
    <row r="626" spans="1:103" x14ac:dyDescent="0.25">
      <c r="A626">
        <v>625</v>
      </c>
      <c r="B626">
        <v>40</v>
      </c>
      <c r="C626" s="25" t="s">
        <v>333</v>
      </c>
      <c r="D626" s="12">
        <v>8.3000000000000007</v>
      </c>
      <c r="E626" s="14">
        <v>0.2</v>
      </c>
      <c r="F626" s="7">
        <f t="shared" si="154"/>
        <v>41.5</v>
      </c>
      <c r="G626" s="7">
        <f t="shared" si="147"/>
        <v>8.1000000000000014</v>
      </c>
      <c r="H626" s="16">
        <f t="shared" si="148"/>
        <v>8.5</v>
      </c>
      <c r="I626" s="11">
        <f t="shared" si="151"/>
        <v>0.41530640149835174</v>
      </c>
      <c r="J626" s="33">
        <f t="shared" si="152"/>
        <v>1.0007383168634981E-2</v>
      </c>
      <c r="K626" s="33">
        <f t="shared" si="153"/>
        <v>99.926222784612449</v>
      </c>
      <c r="L626" s="8">
        <v>1</v>
      </c>
      <c r="M626" s="9">
        <v>0</v>
      </c>
      <c r="N626" s="8">
        <v>0</v>
      </c>
      <c r="O626" s="9">
        <v>0</v>
      </c>
      <c r="P626" s="9">
        <v>1</v>
      </c>
      <c r="Q626" s="9">
        <v>0</v>
      </c>
      <c r="R626" s="9">
        <v>0</v>
      </c>
      <c r="S626" s="8">
        <v>8270</v>
      </c>
      <c r="T626" s="9">
        <v>6</v>
      </c>
      <c r="U626" s="9">
        <f t="shared" si="149"/>
        <v>8263</v>
      </c>
      <c r="V626" s="9">
        <f t="shared" si="150"/>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57"/>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v>0</v>
      </c>
      <c r="BF626" s="18">
        <v>0</v>
      </c>
      <c r="BG626">
        <v>0</v>
      </c>
      <c r="BH626">
        <v>1</v>
      </c>
      <c r="BI626" s="18">
        <v>0</v>
      </c>
      <c r="BJ626">
        <v>942</v>
      </c>
      <c r="BK626">
        <v>131</v>
      </c>
      <c r="BL626" s="25">
        <f t="shared" si="156"/>
        <v>37.39</v>
      </c>
      <c r="BM626">
        <v>1</v>
      </c>
      <c r="BN626">
        <v>0</v>
      </c>
      <c r="BO626">
        <v>0</v>
      </c>
      <c r="BP626">
        <v>0</v>
      </c>
      <c r="BQ626">
        <v>0</v>
      </c>
      <c r="BR626">
        <v>0</v>
      </c>
      <c r="BS626">
        <v>0</v>
      </c>
      <c r="BT626" s="18">
        <v>0</v>
      </c>
      <c r="BU626">
        <v>0</v>
      </c>
      <c r="BV626">
        <v>0</v>
      </c>
      <c r="BW626">
        <v>1</v>
      </c>
      <c r="BX626" s="18">
        <v>0</v>
      </c>
      <c r="BY626">
        <v>0</v>
      </c>
      <c r="BZ626">
        <v>0</v>
      </c>
      <c r="CA626">
        <v>0</v>
      </c>
      <c r="CB626">
        <v>0</v>
      </c>
      <c r="CC626" s="18">
        <v>0</v>
      </c>
      <c r="CD626">
        <v>0</v>
      </c>
      <c r="CE626">
        <v>0</v>
      </c>
      <c r="CF626">
        <v>1</v>
      </c>
      <c r="CG626">
        <v>1</v>
      </c>
      <c r="CH626">
        <v>1</v>
      </c>
      <c r="CI626">
        <v>0</v>
      </c>
      <c r="CJ626">
        <v>1</v>
      </c>
      <c r="CK626">
        <v>0</v>
      </c>
      <c r="CL626">
        <v>0</v>
      </c>
      <c r="CM626">
        <v>0</v>
      </c>
      <c r="CN626" s="18">
        <v>1</v>
      </c>
      <c r="CO626">
        <v>0.17100000000000001</v>
      </c>
      <c r="CP626">
        <v>66</v>
      </c>
      <c r="CQ626">
        <v>1</v>
      </c>
      <c r="CR626">
        <v>0</v>
      </c>
      <c r="CS626">
        <v>15</v>
      </c>
      <c r="CY626" s="34"/>
    </row>
    <row r="627" spans="1:103" x14ac:dyDescent="0.25">
      <c r="A627">
        <v>626</v>
      </c>
      <c r="B627">
        <v>40</v>
      </c>
      <c r="C627" s="25" t="s">
        <v>333</v>
      </c>
      <c r="D627" s="12">
        <v>6.6</v>
      </c>
      <c r="E627" s="14">
        <v>0.2</v>
      </c>
      <c r="F627" s="7">
        <f t="shared" si="154"/>
        <v>32.999999999999993</v>
      </c>
      <c r="G627" s="7">
        <f t="shared" si="147"/>
        <v>6.3999999999999995</v>
      </c>
      <c r="H627" s="16">
        <f t="shared" si="148"/>
        <v>6.8</v>
      </c>
      <c r="I627" s="11">
        <f t="shared" si="151"/>
        <v>0.34124138094380424</v>
      </c>
      <c r="J627" s="33">
        <f t="shared" si="152"/>
        <v>1.034064790738801E-2</v>
      </c>
      <c r="K627" s="33">
        <f t="shared" si="153"/>
        <v>96.705739229892643</v>
      </c>
      <c r="L627" s="8">
        <v>1</v>
      </c>
      <c r="M627" s="9">
        <v>0</v>
      </c>
      <c r="N627" s="8">
        <v>0</v>
      </c>
      <c r="O627" s="9">
        <v>0</v>
      </c>
      <c r="P627" s="9">
        <v>1</v>
      </c>
      <c r="Q627" s="9">
        <v>0</v>
      </c>
      <c r="R627" s="9">
        <v>0</v>
      </c>
      <c r="S627" s="8">
        <v>8270</v>
      </c>
      <c r="T627" s="9">
        <v>6</v>
      </c>
      <c r="U627" s="9">
        <f t="shared" si="149"/>
        <v>8263</v>
      </c>
      <c r="V627" s="9">
        <f t="shared" si="150"/>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57"/>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v>0</v>
      </c>
      <c r="BF627" s="18">
        <v>0</v>
      </c>
      <c r="BG627">
        <v>0</v>
      </c>
      <c r="BH627">
        <v>1</v>
      </c>
      <c r="BI627" s="18">
        <v>0</v>
      </c>
      <c r="BJ627">
        <v>942</v>
      </c>
      <c r="BK627">
        <v>131</v>
      </c>
      <c r="BL627" s="25">
        <f t="shared" si="156"/>
        <v>37.39</v>
      </c>
      <c r="BM627">
        <v>1</v>
      </c>
      <c r="BN627">
        <v>0</v>
      </c>
      <c r="BO627">
        <v>0</v>
      </c>
      <c r="BP627">
        <v>0</v>
      </c>
      <c r="BQ627">
        <v>0</v>
      </c>
      <c r="BR627">
        <v>0</v>
      </c>
      <c r="BS627">
        <v>0</v>
      </c>
      <c r="BT627" s="18">
        <v>0</v>
      </c>
      <c r="BU627">
        <v>0</v>
      </c>
      <c r="BV627">
        <v>0</v>
      </c>
      <c r="BW627">
        <v>1</v>
      </c>
      <c r="BX627" s="18">
        <v>0</v>
      </c>
      <c r="BY627">
        <v>0</v>
      </c>
      <c r="BZ627">
        <v>0</v>
      </c>
      <c r="CA627">
        <v>0</v>
      </c>
      <c r="CB627">
        <v>0</v>
      </c>
      <c r="CC627" s="18">
        <v>0</v>
      </c>
      <c r="CD627">
        <v>0</v>
      </c>
      <c r="CE627">
        <v>0</v>
      </c>
      <c r="CF627">
        <v>1</v>
      </c>
      <c r="CG627">
        <v>1</v>
      </c>
      <c r="CH627">
        <v>0</v>
      </c>
      <c r="CI627">
        <v>0</v>
      </c>
      <c r="CJ627">
        <v>1</v>
      </c>
      <c r="CK627">
        <v>0</v>
      </c>
      <c r="CL627">
        <v>1</v>
      </c>
      <c r="CM627">
        <v>0</v>
      </c>
      <c r="CN627" s="18">
        <v>0</v>
      </c>
      <c r="CO627">
        <v>0.17100000000000001</v>
      </c>
      <c r="CP627">
        <v>66</v>
      </c>
      <c r="CQ627">
        <v>1</v>
      </c>
      <c r="CR627">
        <v>0</v>
      </c>
      <c r="CS627">
        <v>15</v>
      </c>
      <c r="CY627" s="34"/>
    </row>
    <row r="628" spans="1:103" x14ac:dyDescent="0.25">
      <c r="A628">
        <v>627</v>
      </c>
      <c r="B628">
        <v>40</v>
      </c>
      <c r="C628" s="25" t="s">
        <v>333</v>
      </c>
      <c r="D628" s="12">
        <v>6.8</v>
      </c>
      <c r="E628" s="14">
        <v>0.3</v>
      </c>
      <c r="F628" s="7">
        <f t="shared" si="154"/>
        <v>22.666666666666668</v>
      </c>
      <c r="G628" s="7">
        <f t="shared" si="147"/>
        <v>6.5</v>
      </c>
      <c r="H628" s="16">
        <f t="shared" si="148"/>
        <v>7.1</v>
      </c>
      <c r="I628" s="11">
        <f t="shared" si="151"/>
        <v>0.24202966751607363</v>
      </c>
      <c r="J628" s="33">
        <f t="shared" si="152"/>
        <v>1.0677779449238542E-2</v>
      </c>
      <c r="K628" s="33">
        <f t="shared" si="153"/>
        <v>93.652430709393641</v>
      </c>
      <c r="L628" s="8">
        <v>1</v>
      </c>
      <c r="M628" s="9">
        <v>0</v>
      </c>
      <c r="N628" s="8">
        <v>0</v>
      </c>
      <c r="O628" s="9">
        <v>0</v>
      </c>
      <c r="P628" s="9">
        <v>1</v>
      </c>
      <c r="Q628" s="9">
        <v>0</v>
      </c>
      <c r="R628" s="9">
        <v>0</v>
      </c>
      <c r="S628" s="8">
        <v>8270</v>
      </c>
      <c r="T628" s="9">
        <v>12</v>
      </c>
      <c r="U628" s="9">
        <f t="shared" si="149"/>
        <v>8257</v>
      </c>
      <c r="V628" s="9">
        <f t="shared" si="150"/>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57"/>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v>0</v>
      </c>
      <c r="BF628" s="18">
        <v>0</v>
      </c>
      <c r="BG628">
        <v>0</v>
      </c>
      <c r="BH628">
        <v>1</v>
      </c>
      <c r="BI628" s="18">
        <v>0</v>
      </c>
      <c r="BJ628">
        <v>942</v>
      </c>
      <c r="BK628">
        <v>131</v>
      </c>
      <c r="BL628" s="25">
        <f t="shared" si="156"/>
        <v>37.39</v>
      </c>
      <c r="BM628">
        <v>1</v>
      </c>
      <c r="BN628">
        <v>0</v>
      </c>
      <c r="BO628">
        <v>0</v>
      </c>
      <c r="BP628">
        <v>0</v>
      </c>
      <c r="BQ628">
        <v>0</v>
      </c>
      <c r="BR628">
        <v>0</v>
      </c>
      <c r="BS628">
        <v>0</v>
      </c>
      <c r="BT628" s="18">
        <v>0</v>
      </c>
      <c r="BU628">
        <v>0</v>
      </c>
      <c r="BV628">
        <v>0</v>
      </c>
      <c r="BW628">
        <v>1</v>
      </c>
      <c r="BX628" s="18">
        <v>0</v>
      </c>
      <c r="BY628">
        <v>0</v>
      </c>
      <c r="BZ628">
        <v>0</v>
      </c>
      <c r="CA628">
        <v>0</v>
      </c>
      <c r="CB628">
        <v>0</v>
      </c>
      <c r="CC628" s="18">
        <v>0</v>
      </c>
      <c r="CD628">
        <v>0</v>
      </c>
      <c r="CE628">
        <v>0</v>
      </c>
      <c r="CF628">
        <v>1</v>
      </c>
      <c r="CG628">
        <v>1</v>
      </c>
      <c r="CH628">
        <v>0</v>
      </c>
      <c r="CI628">
        <v>0</v>
      </c>
      <c r="CJ628">
        <v>0</v>
      </c>
      <c r="CK628">
        <v>0</v>
      </c>
      <c r="CL628">
        <v>0</v>
      </c>
      <c r="CM628">
        <v>0</v>
      </c>
      <c r="CN628" s="18">
        <v>0</v>
      </c>
      <c r="CO628">
        <v>0.17100000000000001</v>
      </c>
      <c r="CP628">
        <v>66</v>
      </c>
      <c r="CQ628">
        <v>1</v>
      </c>
      <c r="CR628">
        <v>0</v>
      </c>
      <c r="CS628">
        <v>15</v>
      </c>
      <c r="CY628" s="34"/>
    </row>
    <row r="629" spans="1:103" x14ac:dyDescent="0.25">
      <c r="A629">
        <v>628</v>
      </c>
      <c r="B629">
        <v>40</v>
      </c>
      <c r="C629" s="25" t="s">
        <v>333</v>
      </c>
      <c r="D629" s="12">
        <v>6.8</v>
      </c>
      <c r="E629" s="14">
        <v>0.3</v>
      </c>
      <c r="F629" s="7">
        <f t="shared" si="154"/>
        <v>22.666666666666668</v>
      </c>
      <c r="G629" s="7">
        <f t="shared" si="147"/>
        <v>6.5</v>
      </c>
      <c r="H629" s="16">
        <f t="shared" si="148"/>
        <v>7.1</v>
      </c>
      <c r="I629" s="11">
        <f t="shared" si="151"/>
        <v>0.24202966751607363</v>
      </c>
      <c r="J629" s="33">
        <f t="shared" si="152"/>
        <v>1.0677779449238542E-2</v>
      </c>
      <c r="K629" s="33">
        <f t="shared" si="153"/>
        <v>93.652430709393641</v>
      </c>
      <c r="L629" s="8">
        <v>1</v>
      </c>
      <c r="M629" s="9">
        <v>0</v>
      </c>
      <c r="N629" s="8">
        <v>0</v>
      </c>
      <c r="O629" s="9">
        <v>0</v>
      </c>
      <c r="P629" s="9">
        <v>1</v>
      </c>
      <c r="Q629" s="9">
        <v>0</v>
      </c>
      <c r="R629" s="9">
        <v>0</v>
      </c>
      <c r="S629" s="8">
        <v>8270</v>
      </c>
      <c r="T629" s="9">
        <v>12</v>
      </c>
      <c r="U629" s="9">
        <f t="shared" si="149"/>
        <v>8257</v>
      </c>
      <c r="V629" s="9">
        <f t="shared" si="150"/>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57"/>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v>0</v>
      </c>
      <c r="BF629" s="18">
        <v>0</v>
      </c>
      <c r="BG629">
        <v>0</v>
      </c>
      <c r="BH629">
        <v>1</v>
      </c>
      <c r="BI629" s="18">
        <v>0</v>
      </c>
      <c r="BJ629">
        <v>942</v>
      </c>
      <c r="BK629">
        <v>131</v>
      </c>
      <c r="BL629" s="25">
        <f t="shared" si="156"/>
        <v>37.39</v>
      </c>
      <c r="BM629">
        <v>1</v>
      </c>
      <c r="BN629">
        <v>0</v>
      </c>
      <c r="BO629">
        <v>0</v>
      </c>
      <c r="BP629">
        <v>0</v>
      </c>
      <c r="BQ629">
        <v>0</v>
      </c>
      <c r="BR629">
        <v>0</v>
      </c>
      <c r="BS629">
        <v>0</v>
      </c>
      <c r="BT629" s="18">
        <v>0</v>
      </c>
      <c r="BU629">
        <v>0</v>
      </c>
      <c r="BV629">
        <v>0</v>
      </c>
      <c r="BW629">
        <v>1</v>
      </c>
      <c r="BX629" s="18">
        <v>0</v>
      </c>
      <c r="BY629">
        <v>0</v>
      </c>
      <c r="BZ629">
        <v>0</v>
      </c>
      <c r="CA629">
        <v>0</v>
      </c>
      <c r="CB629">
        <v>0</v>
      </c>
      <c r="CC629" s="18">
        <v>0</v>
      </c>
      <c r="CD629">
        <v>0</v>
      </c>
      <c r="CE629">
        <v>0</v>
      </c>
      <c r="CF629">
        <v>1</v>
      </c>
      <c r="CG629">
        <v>1</v>
      </c>
      <c r="CH629">
        <v>0</v>
      </c>
      <c r="CI629">
        <v>0</v>
      </c>
      <c r="CJ629">
        <v>0</v>
      </c>
      <c r="CK629">
        <v>0</v>
      </c>
      <c r="CL629">
        <v>0</v>
      </c>
      <c r="CM629">
        <v>0</v>
      </c>
      <c r="CN629" s="18">
        <v>0</v>
      </c>
      <c r="CO629">
        <v>0.17100000000000001</v>
      </c>
      <c r="CP629">
        <v>66</v>
      </c>
      <c r="CQ629">
        <v>1</v>
      </c>
      <c r="CR629">
        <v>0</v>
      </c>
      <c r="CS629">
        <v>15</v>
      </c>
      <c r="CY629" s="34"/>
    </row>
    <row r="630" spans="1:103" x14ac:dyDescent="0.25">
      <c r="A630">
        <v>629</v>
      </c>
      <c r="B630">
        <v>40</v>
      </c>
      <c r="C630" s="25" t="s">
        <v>333</v>
      </c>
      <c r="D630" s="12">
        <v>6</v>
      </c>
      <c r="E630" s="14">
        <v>0.4</v>
      </c>
      <c r="F630" s="7">
        <f t="shared" si="154"/>
        <v>15</v>
      </c>
      <c r="G630" s="7">
        <f t="shared" si="147"/>
        <v>5.6</v>
      </c>
      <c r="H630" s="16">
        <f t="shared" si="148"/>
        <v>6.4</v>
      </c>
      <c r="I630" s="11">
        <f t="shared" si="151"/>
        <v>0.16287038575505658</v>
      </c>
      <c r="J630" s="33">
        <f t="shared" si="152"/>
        <v>1.0858025717003773E-2</v>
      </c>
      <c r="K630" s="33">
        <f t="shared" si="153"/>
        <v>92.097774131626011</v>
      </c>
      <c r="L630" s="8">
        <v>1</v>
      </c>
      <c r="M630" s="9">
        <v>0</v>
      </c>
      <c r="N630" s="8">
        <v>0</v>
      </c>
      <c r="O630" s="9">
        <v>0</v>
      </c>
      <c r="P630" s="9">
        <v>1</v>
      </c>
      <c r="Q630" s="9">
        <v>0</v>
      </c>
      <c r="R630" s="9">
        <v>0</v>
      </c>
      <c r="S630" s="8">
        <v>8270</v>
      </c>
      <c r="T630" s="9">
        <v>12</v>
      </c>
      <c r="U630" s="9">
        <f t="shared" si="149"/>
        <v>8257</v>
      </c>
      <c r="V630" s="9">
        <f t="shared" si="150"/>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57"/>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v>0</v>
      </c>
      <c r="BF630" s="18">
        <v>0</v>
      </c>
      <c r="BG630">
        <v>0</v>
      </c>
      <c r="BH630">
        <v>1</v>
      </c>
      <c r="BI630" s="18">
        <v>0</v>
      </c>
      <c r="BJ630">
        <v>942</v>
      </c>
      <c r="BK630">
        <v>131</v>
      </c>
      <c r="BL630" s="25">
        <f t="shared" si="156"/>
        <v>37.39</v>
      </c>
      <c r="BM630">
        <v>1</v>
      </c>
      <c r="BN630">
        <v>0</v>
      </c>
      <c r="BO630">
        <v>0</v>
      </c>
      <c r="BP630">
        <v>0</v>
      </c>
      <c r="BQ630">
        <v>0</v>
      </c>
      <c r="BR630">
        <v>0</v>
      </c>
      <c r="BS630">
        <v>0</v>
      </c>
      <c r="BT630" s="18">
        <v>0</v>
      </c>
      <c r="BU630">
        <v>0</v>
      </c>
      <c r="BV630">
        <v>0</v>
      </c>
      <c r="BW630">
        <v>1</v>
      </c>
      <c r="BX630" s="18">
        <v>0</v>
      </c>
      <c r="BY630">
        <v>0</v>
      </c>
      <c r="BZ630">
        <v>0</v>
      </c>
      <c r="CA630">
        <v>0</v>
      </c>
      <c r="CB630">
        <v>0</v>
      </c>
      <c r="CC630" s="18">
        <v>0</v>
      </c>
      <c r="CD630">
        <v>0</v>
      </c>
      <c r="CE630">
        <v>0</v>
      </c>
      <c r="CF630">
        <v>1</v>
      </c>
      <c r="CG630">
        <v>1</v>
      </c>
      <c r="CH630">
        <v>0</v>
      </c>
      <c r="CI630">
        <v>0</v>
      </c>
      <c r="CJ630">
        <v>0</v>
      </c>
      <c r="CK630">
        <v>0</v>
      </c>
      <c r="CL630">
        <v>0</v>
      </c>
      <c r="CM630">
        <v>0</v>
      </c>
      <c r="CN630" s="18">
        <v>0</v>
      </c>
      <c r="CO630">
        <v>0.17100000000000001</v>
      </c>
      <c r="CP630">
        <v>66</v>
      </c>
      <c r="CQ630">
        <v>1</v>
      </c>
      <c r="CR630">
        <v>0</v>
      </c>
      <c r="CS630">
        <v>15</v>
      </c>
      <c r="CY630" s="34"/>
    </row>
    <row r="631" spans="1:103" x14ac:dyDescent="0.25">
      <c r="A631">
        <v>630</v>
      </c>
      <c r="B631">
        <v>40</v>
      </c>
      <c r="C631" s="25" t="s">
        <v>333</v>
      </c>
      <c r="D631" s="12">
        <v>6</v>
      </c>
      <c r="E631" s="14">
        <v>0.4</v>
      </c>
      <c r="F631" s="7">
        <f t="shared" si="154"/>
        <v>15</v>
      </c>
      <c r="G631" s="7">
        <f t="shared" si="147"/>
        <v>5.6</v>
      </c>
      <c r="H631" s="16">
        <f t="shared" si="148"/>
        <v>6.4</v>
      </c>
      <c r="I631" s="11">
        <f t="shared" si="151"/>
        <v>0.16287038575505658</v>
      </c>
      <c r="J631" s="33">
        <f t="shared" si="152"/>
        <v>1.0858025717003773E-2</v>
      </c>
      <c r="K631" s="33">
        <f t="shared" si="153"/>
        <v>92.097774131626011</v>
      </c>
      <c r="L631" s="8">
        <v>1</v>
      </c>
      <c r="M631" s="9">
        <v>0</v>
      </c>
      <c r="N631" s="8">
        <v>0</v>
      </c>
      <c r="O631" s="9">
        <v>0</v>
      </c>
      <c r="P631" s="9">
        <v>1</v>
      </c>
      <c r="Q631" s="9">
        <v>0</v>
      </c>
      <c r="R631" s="9">
        <v>0</v>
      </c>
      <c r="S631" s="8">
        <v>8270</v>
      </c>
      <c r="T631" s="9">
        <v>12</v>
      </c>
      <c r="U631" s="9">
        <f t="shared" si="149"/>
        <v>8257</v>
      </c>
      <c r="V631" s="9">
        <f t="shared" si="150"/>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57"/>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v>0</v>
      </c>
      <c r="BF631" s="18">
        <v>0</v>
      </c>
      <c r="BG631">
        <v>0</v>
      </c>
      <c r="BH631">
        <v>1</v>
      </c>
      <c r="BI631" s="18">
        <v>0</v>
      </c>
      <c r="BJ631">
        <v>942</v>
      </c>
      <c r="BK631">
        <v>131</v>
      </c>
      <c r="BL631" s="25">
        <f t="shared" si="156"/>
        <v>37.39</v>
      </c>
      <c r="BM631">
        <v>1</v>
      </c>
      <c r="BN631">
        <v>0</v>
      </c>
      <c r="BO631">
        <v>0</v>
      </c>
      <c r="BP631">
        <v>0</v>
      </c>
      <c r="BQ631">
        <v>0</v>
      </c>
      <c r="BR631">
        <v>0</v>
      </c>
      <c r="BS631">
        <v>0</v>
      </c>
      <c r="BT631" s="18">
        <v>0</v>
      </c>
      <c r="BU631">
        <v>0</v>
      </c>
      <c r="BV631">
        <v>0</v>
      </c>
      <c r="BW631">
        <v>1</v>
      </c>
      <c r="BX631" s="18">
        <v>0</v>
      </c>
      <c r="BY631">
        <v>0</v>
      </c>
      <c r="BZ631">
        <v>0</v>
      </c>
      <c r="CA631">
        <v>0</v>
      </c>
      <c r="CB631">
        <v>0</v>
      </c>
      <c r="CC631" s="18">
        <v>0</v>
      </c>
      <c r="CD631">
        <v>0</v>
      </c>
      <c r="CE631">
        <v>0</v>
      </c>
      <c r="CF631">
        <v>1</v>
      </c>
      <c r="CG631">
        <v>1</v>
      </c>
      <c r="CH631">
        <v>0</v>
      </c>
      <c r="CI631">
        <v>0</v>
      </c>
      <c r="CJ631">
        <v>0</v>
      </c>
      <c r="CK631">
        <v>0</v>
      </c>
      <c r="CL631">
        <v>0</v>
      </c>
      <c r="CM631">
        <v>0</v>
      </c>
      <c r="CN631" s="18">
        <v>0</v>
      </c>
      <c r="CO631">
        <v>0.17100000000000001</v>
      </c>
      <c r="CP631">
        <v>66</v>
      </c>
      <c r="CQ631">
        <v>1</v>
      </c>
      <c r="CR631">
        <v>0</v>
      </c>
      <c r="CS631">
        <v>15</v>
      </c>
      <c r="CY631" s="34"/>
    </row>
    <row r="632" spans="1:103" x14ac:dyDescent="0.25">
      <c r="A632">
        <v>631</v>
      </c>
      <c r="B632">
        <v>40</v>
      </c>
      <c r="C632" s="25" t="s">
        <v>333</v>
      </c>
      <c r="D632" s="12">
        <v>7.2</v>
      </c>
      <c r="E632" s="14">
        <v>0.4</v>
      </c>
      <c r="F632" s="7">
        <f t="shared" si="154"/>
        <v>18</v>
      </c>
      <c r="G632" s="7">
        <f t="shared" si="147"/>
        <v>6.8</v>
      </c>
      <c r="H632" s="16">
        <f t="shared" si="148"/>
        <v>7.6000000000000005</v>
      </c>
      <c r="I632" s="11">
        <f t="shared" si="151"/>
        <v>0.19431375937366141</v>
      </c>
      <c r="J632" s="33">
        <f t="shared" si="152"/>
        <v>1.0795208854092301E-2</v>
      </c>
      <c r="K632" s="33">
        <f t="shared" si="153"/>
        <v>92.633687176966021</v>
      </c>
      <c r="L632" s="8">
        <v>1</v>
      </c>
      <c r="M632" s="9">
        <v>0</v>
      </c>
      <c r="N632" s="8">
        <v>0</v>
      </c>
      <c r="O632" s="9">
        <v>0</v>
      </c>
      <c r="P632" s="9">
        <v>1</v>
      </c>
      <c r="Q632" s="9">
        <v>0</v>
      </c>
      <c r="R632" s="9">
        <v>0</v>
      </c>
      <c r="S632" s="8">
        <v>8270</v>
      </c>
      <c r="T632" s="9">
        <v>12</v>
      </c>
      <c r="U632" s="9">
        <f t="shared" si="149"/>
        <v>8257</v>
      </c>
      <c r="V632" s="9">
        <f t="shared" si="150"/>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57"/>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v>0</v>
      </c>
      <c r="BF632" s="18">
        <v>0</v>
      </c>
      <c r="BG632">
        <v>0</v>
      </c>
      <c r="BH632">
        <v>1</v>
      </c>
      <c r="BI632" s="18">
        <v>0</v>
      </c>
      <c r="BJ632">
        <v>942</v>
      </c>
      <c r="BK632">
        <v>131</v>
      </c>
      <c r="BL632" s="25">
        <f t="shared" si="156"/>
        <v>37.39</v>
      </c>
      <c r="BM632">
        <v>0</v>
      </c>
      <c r="BN632">
        <v>0</v>
      </c>
      <c r="BO632">
        <v>1</v>
      </c>
      <c r="BP632">
        <v>0</v>
      </c>
      <c r="BQ632">
        <v>0</v>
      </c>
      <c r="BR632">
        <v>0</v>
      </c>
      <c r="BS632">
        <v>0</v>
      </c>
      <c r="BT632" s="18">
        <v>0</v>
      </c>
      <c r="BU632">
        <v>0</v>
      </c>
      <c r="BV632">
        <v>0</v>
      </c>
      <c r="BW632">
        <v>1</v>
      </c>
      <c r="BX632" s="18">
        <v>0</v>
      </c>
      <c r="BY632">
        <v>0</v>
      </c>
      <c r="BZ632">
        <v>0</v>
      </c>
      <c r="CA632">
        <v>0</v>
      </c>
      <c r="CB632">
        <v>0</v>
      </c>
      <c r="CC632" s="18">
        <v>0</v>
      </c>
      <c r="CD632">
        <v>0</v>
      </c>
      <c r="CE632">
        <v>0</v>
      </c>
      <c r="CF632">
        <v>1</v>
      </c>
      <c r="CG632">
        <v>1</v>
      </c>
      <c r="CH632">
        <v>0</v>
      </c>
      <c r="CI632">
        <v>0</v>
      </c>
      <c r="CJ632">
        <v>0</v>
      </c>
      <c r="CK632">
        <v>0</v>
      </c>
      <c r="CL632">
        <v>0</v>
      </c>
      <c r="CM632">
        <v>0</v>
      </c>
      <c r="CN632" s="18">
        <v>0</v>
      </c>
      <c r="CO632">
        <v>0.17100000000000001</v>
      </c>
      <c r="CP632">
        <v>66</v>
      </c>
      <c r="CQ632">
        <v>1</v>
      </c>
      <c r="CR632">
        <v>0</v>
      </c>
      <c r="CS632">
        <v>15</v>
      </c>
      <c r="CY632" s="34"/>
    </row>
    <row r="633" spans="1:103" x14ac:dyDescent="0.25">
      <c r="A633">
        <v>632</v>
      </c>
      <c r="B633">
        <v>40</v>
      </c>
      <c r="C633" s="25" t="s">
        <v>333</v>
      </c>
      <c r="D633" s="12">
        <v>7.2</v>
      </c>
      <c r="E633" s="14">
        <v>0.4</v>
      </c>
      <c r="F633" s="7">
        <f t="shared" si="154"/>
        <v>18</v>
      </c>
      <c r="G633" s="7">
        <f t="shared" si="147"/>
        <v>6.8</v>
      </c>
      <c r="H633" s="16">
        <f t="shared" si="148"/>
        <v>7.6000000000000005</v>
      </c>
      <c r="I633" s="11">
        <f t="shared" si="151"/>
        <v>0.19431375937366141</v>
      </c>
      <c r="J633" s="33">
        <f t="shared" si="152"/>
        <v>1.0795208854092301E-2</v>
      </c>
      <c r="K633" s="33">
        <f t="shared" si="153"/>
        <v>92.633687176966021</v>
      </c>
      <c r="L633" s="8">
        <v>1</v>
      </c>
      <c r="M633" s="9">
        <v>0</v>
      </c>
      <c r="N633" s="8">
        <v>0</v>
      </c>
      <c r="O633" s="9">
        <v>0</v>
      </c>
      <c r="P633" s="9">
        <v>1</v>
      </c>
      <c r="Q633" s="9">
        <v>0</v>
      </c>
      <c r="R633" s="9">
        <v>0</v>
      </c>
      <c r="S633" s="8">
        <v>8270</v>
      </c>
      <c r="T633" s="9">
        <v>12</v>
      </c>
      <c r="U633" s="9">
        <f t="shared" si="149"/>
        <v>8257</v>
      </c>
      <c r="V633" s="9">
        <f t="shared" si="150"/>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57"/>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v>0</v>
      </c>
      <c r="BF633" s="18">
        <v>0</v>
      </c>
      <c r="BG633">
        <v>0</v>
      </c>
      <c r="BH633">
        <v>1</v>
      </c>
      <c r="BI633" s="18">
        <v>0</v>
      </c>
      <c r="BJ633">
        <v>942</v>
      </c>
      <c r="BK633">
        <v>131</v>
      </c>
      <c r="BL633" s="25">
        <f t="shared" si="156"/>
        <v>37.39</v>
      </c>
      <c r="BM633">
        <v>0</v>
      </c>
      <c r="BN633">
        <v>0</v>
      </c>
      <c r="BO633">
        <v>1</v>
      </c>
      <c r="BP633">
        <v>0</v>
      </c>
      <c r="BQ633">
        <v>0</v>
      </c>
      <c r="BR633">
        <v>0</v>
      </c>
      <c r="BS633">
        <v>0</v>
      </c>
      <c r="BT633" s="18">
        <v>0</v>
      </c>
      <c r="BU633">
        <v>0</v>
      </c>
      <c r="BV633">
        <v>0</v>
      </c>
      <c r="BW633">
        <v>1</v>
      </c>
      <c r="BX633" s="18">
        <v>0</v>
      </c>
      <c r="BY633">
        <v>0</v>
      </c>
      <c r="BZ633">
        <v>0</v>
      </c>
      <c r="CA633">
        <v>0</v>
      </c>
      <c r="CB633">
        <v>0</v>
      </c>
      <c r="CC633" s="18">
        <v>0</v>
      </c>
      <c r="CD633">
        <v>0</v>
      </c>
      <c r="CE633">
        <v>0</v>
      </c>
      <c r="CF633">
        <v>1</v>
      </c>
      <c r="CG633">
        <v>1</v>
      </c>
      <c r="CH633">
        <v>0</v>
      </c>
      <c r="CI633">
        <v>0</v>
      </c>
      <c r="CJ633">
        <v>0</v>
      </c>
      <c r="CK633">
        <v>0</v>
      </c>
      <c r="CL633">
        <v>0</v>
      </c>
      <c r="CM633">
        <v>0</v>
      </c>
      <c r="CN633" s="18">
        <v>0</v>
      </c>
      <c r="CO633">
        <v>0.17100000000000001</v>
      </c>
      <c r="CP633">
        <v>66</v>
      </c>
      <c r="CQ633">
        <v>1</v>
      </c>
      <c r="CR633">
        <v>0</v>
      </c>
      <c r="CS633">
        <v>15</v>
      </c>
      <c r="CY633" s="34"/>
    </row>
    <row r="634" spans="1:103" x14ac:dyDescent="0.25">
      <c r="A634">
        <v>633</v>
      </c>
      <c r="B634">
        <v>40</v>
      </c>
      <c r="C634" s="25" t="s">
        <v>333</v>
      </c>
      <c r="D634" s="12">
        <v>7.4</v>
      </c>
      <c r="E634" s="14">
        <v>0.5</v>
      </c>
      <c r="F634" s="7">
        <f t="shared" si="154"/>
        <v>14.8</v>
      </c>
      <c r="G634" s="7">
        <f t="shared" si="147"/>
        <v>6.9</v>
      </c>
      <c r="H634" s="16">
        <f t="shared" si="148"/>
        <v>7.9</v>
      </c>
      <c r="I634" s="11">
        <f t="shared" si="151"/>
        <v>0.16075526904413717</v>
      </c>
      <c r="J634" s="33">
        <f t="shared" si="152"/>
        <v>1.0861842502982241E-2</v>
      </c>
      <c r="K634" s="33">
        <f t="shared" si="153"/>
        <v>92.065411528977592</v>
      </c>
      <c r="L634" s="8">
        <v>1</v>
      </c>
      <c r="M634" s="9">
        <v>0</v>
      </c>
      <c r="N634" s="8">
        <v>0</v>
      </c>
      <c r="O634" s="9">
        <v>0</v>
      </c>
      <c r="P634" s="9">
        <v>1</v>
      </c>
      <c r="Q634" s="9">
        <v>0</v>
      </c>
      <c r="R634" s="9">
        <v>0</v>
      </c>
      <c r="S634" s="8">
        <v>8270</v>
      </c>
      <c r="T634" s="9">
        <v>12</v>
      </c>
      <c r="U634" s="9">
        <f t="shared" si="149"/>
        <v>8257</v>
      </c>
      <c r="V634" s="9">
        <f t="shared" si="150"/>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57"/>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v>0</v>
      </c>
      <c r="BF634" s="18">
        <v>0</v>
      </c>
      <c r="BG634">
        <v>0</v>
      </c>
      <c r="BH634">
        <v>1</v>
      </c>
      <c r="BI634" s="18">
        <v>0</v>
      </c>
      <c r="BJ634">
        <v>942</v>
      </c>
      <c r="BK634">
        <v>131</v>
      </c>
      <c r="BL634" s="25">
        <f t="shared" si="156"/>
        <v>37.39</v>
      </c>
      <c r="BM634">
        <v>0</v>
      </c>
      <c r="BN634">
        <v>0</v>
      </c>
      <c r="BO634">
        <v>1</v>
      </c>
      <c r="BP634">
        <v>0</v>
      </c>
      <c r="BQ634">
        <v>0</v>
      </c>
      <c r="BR634">
        <v>0</v>
      </c>
      <c r="BS634">
        <v>0</v>
      </c>
      <c r="BT634" s="18">
        <v>0</v>
      </c>
      <c r="BU634">
        <v>0</v>
      </c>
      <c r="BV634">
        <v>0</v>
      </c>
      <c r="BW634">
        <v>1</v>
      </c>
      <c r="BX634" s="18">
        <v>0</v>
      </c>
      <c r="BY634">
        <v>0</v>
      </c>
      <c r="BZ634">
        <v>0</v>
      </c>
      <c r="CA634">
        <v>0</v>
      </c>
      <c r="CB634">
        <v>0</v>
      </c>
      <c r="CC634" s="18">
        <v>0</v>
      </c>
      <c r="CD634">
        <v>0</v>
      </c>
      <c r="CE634">
        <v>0</v>
      </c>
      <c r="CF634">
        <v>1</v>
      </c>
      <c r="CG634">
        <v>1</v>
      </c>
      <c r="CH634">
        <v>0</v>
      </c>
      <c r="CI634">
        <v>0</v>
      </c>
      <c r="CJ634">
        <v>0</v>
      </c>
      <c r="CK634">
        <v>0</v>
      </c>
      <c r="CL634">
        <v>0</v>
      </c>
      <c r="CM634">
        <v>0</v>
      </c>
      <c r="CN634" s="18">
        <v>0</v>
      </c>
      <c r="CO634">
        <v>0.17100000000000001</v>
      </c>
      <c r="CP634">
        <v>66</v>
      </c>
      <c r="CQ634">
        <v>1</v>
      </c>
      <c r="CR634">
        <v>0</v>
      </c>
      <c r="CS634">
        <v>15</v>
      </c>
      <c r="CY634" s="34"/>
    </row>
    <row r="635" spans="1:103" x14ac:dyDescent="0.25">
      <c r="A635">
        <v>634</v>
      </c>
      <c r="B635">
        <v>40</v>
      </c>
      <c r="C635" s="25" t="s">
        <v>333</v>
      </c>
      <c r="D635" s="12">
        <v>7.3</v>
      </c>
      <c r="E635" s="14">
        <v>0.5</v>
      </c>
      <c r="F635" s="7">
        <f t="shared" si="154"/>
        <v>14.6</v>
      </c>
      <c r="G635" s="7">
        <f t="shared" si="147"/>
        <v>6.8</v>
      </c>
      <c r="H635" s="16">
        <f t="shared" si="148"/>
        <v>7.8</v>
      </c>
      <c r="I635" s="11">
        <f t="shared" si="151"/>
        <v>0.15863793525842246</v>
      </c>
      <c r="J635" s="33">
        <f t="shared" si="152"/>
        <v>1.0865612004001537E-2</v>
      </c>
      <c r="K635" s="33">
        <f t="shared" si="153"/>
        <v>92.033472171813671</v>
      </c>
      <c r="L635" s="8">
        <v>1</v>
      </c>
      <c r="M635" s="9">
        <v>0</v>
      </c>
      <c r="N635" s="8">
        <v>0</v>
      </c>
      <c r="O635" s="9">
        <v>0</v>
      </c>
      <c r="P635" s="9">
        <v>1</v>
      </c>
      <c r="Q635" s="9">
        <v>0</v>
      </c>
      <c r="R635" s="9">
        <v>0</v>
      </c>
      <c r="S635" s="8">
        <v>8270</v>
      </c>
      <c r="T635" s="9">
        <v>12</v>
      </c>
      <c r="U635" s="9">
        <f t="shared" si="149"/>
        <v>8257</v>
      </c>
      <c r="V635" s="9">
        <f t="shared" si="150"/>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57"/>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v>0</v>
      </c>
      <c r="BF635" s="18">
        <v>0</v>
      </c>
      <c r="BG635">
        <v>0</v>
      </c>
      <c r="BH635">
        <v>1</v>
      </c>
      <c r="BI635" s="18">
        <v>0</v>
      </c>
      <c r="BJ635">
        <v>942</v>
      </c>
      <c r="BK635">
        <v>131</v>
      </c>
      <c r="BL635" s="25">
        <f t="shared" si="156"/>
        <v>37.39</v>
      </c>
      <c r="BM635">
        <v>0</v>
      </c>
      <c r="BN635">
        <v>0</v>
      </c>
      <c r="BO635">
        <v>1</v>
      </c>
      <c r="BP635">
        <v>0</v>
      </c>
      <c r="BQ635">
        <v>0</v>
      </c>
      <c r="BR635">
        <v>0</v>
      </c>
      <c r="BS635">
        <v>0</v>
      </c>
      <c r="BT635" s="18">
        <v>0</v>
      </c>
      <c r="BU635">
        <v>0</v>
      </c>
      <c r="BV635">
        <v>0</v>
      </c>
      <c r="BW635">
        <v>1</v>
      </c>
      <c r="BX635" s="18">
        <v>0</v>
      </c>
      <c r="BY635">
        <v>0</v>
      </c>
      <c r="BZ635">
        <v>0</v>
      </c>
      <c r="CA635">
        <v>0</v>
      </c>
      <c r="CB635">
        <v>0</v>
      </c>
      <c r="CC635" s="18">
        <v>0</v>
      </c>
      <c r="CD635">
        <v>0</v>
      </c>
      <c r="CE635">
        <v>0</v>
      </c>
      <c r="CF635">
        <v>1</v>
      </c>
      <c r="CG635">
        <v>1</v>
      </c>
      <c r="CH635">
        <v>0</v>
      </c>
      <c r="CI635">
        <v>0</v>
      </c>
      <c r="CJ635">
        <v>0</v>
      </c>
      <c r="CK635">
        <v>0</v>
      </c>
      <c r="CL635">
        <v>0</v>
      </c>
      <c r="CM635">
        <v>0</v>
      </c>
      <c r="CN635" s="18">
        <v>0</v>
      </c>
      <c r="CO635">
        <v>0.17100000000000001</v>
      </c>
      <c r="CP635">
        <v>66</v>
      </c>
      <c r="CQ635">
        <v>1</v>
      </c>
      <c r="CR635">
        <v>0</v>
      </c>
      <c r="CS635">
        <v>15</v>
      </c>
      <c r="CY635" s="34"/>
    </row>
    <row r="636" spans="1:103" x14ac:dyDescent="0.25">
      <c r="A636">
        <v>635</v>
      </c>
      <c r="B636">
        <v>40</v>
      </c>
      <c r="C636" s="25" t="s">
        <v>333</v>
      </c>
      <c r="D636" s="12">
        <v>7.6</v>
      </c>
      <c r="E636" s="14">
        <v>0.8</v>
      </c>
      <c r="F636" s="7">
        <f t="shared" si="154"/>
        <v>9.4999999999999982</v>
      </c>
      <c r="G636" s="7">
        <f t="shared" si="147"/>
        <v>6.8</v>
      </c>
      <c r="H636" s="16">
        <f t="shared" si="148"/>
        <v>8.4</v>
      </c>
      <c r="I636" s="11">
        <f t="shared" si="151"/>
        <v>0.10398049842845901</v>
      </c>
      <c r="J636" s="33">
        <f t="shared" si="152"/>
        <v>1.0945315624048319E-2</v>
      </c>
      <c r="K636" s="33">
        <f t="shared" si="153"/>
        <v>91.363285842837328</v>
      </c>
      <c r="L636" s="8">
        <v>1</v>
      </c>
      <c r="M636" s="9">
        <v>0</v>
      </c>
      <c r="N636" s="8">
        <v>0</v>
      </c>
      <c r="O636" s="9">
        <v>0</v>
      </c>
      <c r="P636" s="9">
        <v>1</v>
      </c>
      <c r="Q636" s="9">
        <v>0</v>
      </c>
      <c r="R636" s="9">
        <v>0</v>
      </c>
      <c r="S636" s="8">
        <v>8270</v>
      </c>
      <c r="T636" s="9">
        <v>12</v>
      </c>
      <c r="U636" s="9">
        <f t="shared" si="149"/>
        <v>8257</v>
      </c>
      <c r="V636" s="9">
        <f t="shared" si="150"/>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57"/>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v>0</v>
      </c>
      <c r="BF636" s="18">
        <v>0</v>
      </c>
      <c r="BG636">
        <v>0</v>
      </c>
      <c r="BH636">
        <v>1</v>
      </c>
      <c r="BI636" s="18">
        <v>0</v>
      </c>
      <c r="BJ636">
        <v>942</v>
      </c>
      <c r="BK636">
        <v>131</v>
      </c>
      <c r="BL636" s="25">
        <f t="shared" si="156"/>
        <v>37.39</v>
      </c>
      <c r="BM636">
        <v>0</v>
      </c>
      <c r="BN636">
        <v>0</v>
      </c>
      <c r="BO636">
        <v>1</v>
      </c>
      <c r="BP636">
        <v>0</v>
      </c>
      <c r="BQ636">
        <v>0</v>
      </c>
      <c r="BR636">
        <v>0</v>
      </c>
      <c r="BS636">
        <v>0</v>
      </c>
      <c r="BT636" s="18">
        <v>0</v>
      </c>
      <c r="BU636">
        <v>0</v>
      </c>
      <c r="BV636">
        <v>0</v>
      </c>
      <c r="BW636">
        <v>1</v>
      </c>
      <c r="BX636" s="18">
        <v>0</v>
      </c>
      <c r="BY636">
        <v>0</v>
      </c>
      <c r="BZ636">
        <v>0</v>
      </c>
      <c r="CA636">
        <v>0</v>
      </c>
      <c r="CB636">
        <v>0</v>
      </c>
      <c r="CC636" s="18">
        <v>0</v>
      </c>
      <c r="CD636">
        <v>0</v>
      </c>
      <c r="CE636">
        <v>0</v>
      </c>
      <c r="CF636">
        <v>1</v>
      </c>
      <c r="CG636">
        <v>1</v>
      </c>
      <c r="CH636">
        <v>0</v>
      </c>
      <c r="CI636">
        <v>0</v>
      </c>
      <c r="CJ636">
        <v>0</v>
      </c>
      <c r="CK636">
        <v>0</v>
      </c>
      <c r="CL636">
        <v>0</v>
      </c>
      <c r="CM636">
        <v>0</v>
      </c>
      <c r="CN636" s="18">
        <v>0</v>
      </c>
      <c r="CO636">
        <v>0.17100000000000001</v>
      </c>
      <c r="CP636">
        <v>66</v>
      </c>
      <c r="CQ636">
        <v>1</v>
      </c>
      <c r="CR636">
        <v>0</v>
      </c>
      <c r="CS636">
        <v>15</v>
      </c>
      <c r="CY636" s="34"/>
    </row>
    <row r="637" spans="1:103" x14ac:dyDescent="0.25">
      <c r="A637">
        <v>636</v>
      </c>
      <c r="B637">
        <v>40</v>
      </c>
      <c r="C637" s="25" t="s">
        <v>333</v>
      </c>
      <c r="D637" s="12">
        <v>7.5</v>
      </c>
      <c r="E637" s="14">
        <v>0.8</v>
      </c>
      <c r="F637" s="7">
        <f t="shared" si="154"/>
        <v>9.375</v>
      </c>
      <c r="G637" s="7">
        <f t="shared" si="147"/>
        <v>6.7</v>
      </c>
      <c r="H637" s="16">
        <f t="shared" si="148"/>
        <v>8.3000000000000007</v>
      </c>
      <c r="I637" s="11">
        <f t="shared" si="151"/>
        <v>0.10262683889087333</v>
      </c>
      <c r="J637" s="33">
        <f t="shared" si="152"/>
        <v>1.0946862815026489E-2</v>
      </c>
      <c r="K637" s="33">
        <f t="shared" si="153"/>
        <v>91.35037287827565</v>
      </c>
      <c r="L637" s="8">
        <v>1</v>
      </c>
      <c r="M637" s="9">
        <v>0</v>
      </c>
      <c r="N637" s="8">
        <v>0</v>
      </c>
      <c r="O637" s="9">
        <v>0</v>
      </c>
      <c r="P637" s="9">
        <v>1</v>
      </c>
      <c r="Q637" s="9">
        <v>0</v>
      </c>
      <c r="R637" s="9">
        <v>0</v>
      </c>
      <c r="S637" s="8">
        <v>8270</v>
      </c>
      <c r="T637" s="9">
        <v>12</v>
      </c>
      <c r="U637" s="9">
        <f t="shared" si="149"/>
        <v>8257</v>
      </c>
      <c r="V637" s="9">
        <f t="shared" si="150"/>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57"/>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v>0</v>
      </c>
      <c r="BF637" s="18">
        <v>0</v>
      </c>
      <c r="BG637">
        <v>0</v>
      </c>
      <c r="BH637">
        <v>1</v>
      </c>
      <c r="BI637" s="18">
        <v>0</v>
      </c>
      <c r="BJ637">
        <v>942</v>
      </c>
      <c r="BK637">
        <v>131</v>
      </c>
      <c r="BL637" s="25">
        <f t="shared" si="156"/>
        <v>37.39</v>
      </c>
      <c r="BM637">
        <v>0</v>
      </c>
      <c r="BN637">
        <v>0</v>
      </c>
      <c r="BO637">
        <v>1</v>
      </c>
      <c r="BP637">
        <v>0</v>
      </c>
      <c r="BQ637">
        <v>0</v>
      </c>
      <c r="BR637">
        <v>0</v>
      </c>
      <c r="BS637">
        <v>0</v>
      </c>
      <c r="BT637" s="18">
        <v>0</v>
      </c>
      <c r="BU637">
        <v>0</v>
      </c>
      <c r="BV637">
        <v>0</v>
      </c>
      <c r="BW637">
        <v>1</v>
      </c>
      <c r="BX637" s="18">
        <v>0</v>
      </c>
      <c r="BY637">
        <v>0</v>
      </c>
      <c r="BZ637">
        <v>0</v>
      </c>
      <c r="CA637">
        <v>0</v>
      </c>
      <c r="CB637">
        <v>0</v>
      </c>
      <c r="CC637" s="18">
        <v>0</v>
      </c>
      <c r="CD637">
        <v>0</v>
      </c>
      <c r="CE637">
        <v>0</v>
      </c>
      <c r="CF637">
        <v>1</v>
      </c>
      <c r="CG637">
        <v>1</v>
      </c>
      <c r="CH637">
        <v>0</v>
      </c>
      <c r="CI637">
        <v>0</v>
      </c>
      <c r="CJ637">
        <v>0</v>
      </c>
      <c r="CK637">
        <v>0</v>
      </c>
      <c r="CL637">
        <v>0</v>
      </c>
      <c r="CM637">
        <v>0</v>
      </c>
      <c r="CN637" s="18">
        <v>0</v>
      </c>
      <c r="CO637">
        <v>0.17100000000000001</v>
      </c>
      <c r="CP637">
        <v>66</v>
      </c>
      <c r="CQ637">
        <v>1</v>
      </c>
      <c r="CR637">
        <v>0</v>
      </c>
      <c r="CS637">
        <v>15</v>
      </c>
      <c r="CY637" s="34"/>
    </row>
    <row r="638" spans="1:103" x14ac:dyDescent="0.25">
      <c r="A638">
        <v>637</v>
      </c>
      <c r="B638">
        <v>40</v>
      </c>
      <c r="C638" s="25" t="s">
        <v>333</v>
      </c>
      <c r="D638" s="12">
        <v>6.5</v>
      </c>
      <c r="E638" s="14">
        <v>0.3</v>
      </c>
      <c r="F638" s="7">
        <f t="shared" si="154"/>
        <v>21.666666666666668</v>
      </c>
      <c r="G638" s="7">
        <f t="shared" si="147"/>
        <v>6.2</v>
      </c>
      <c r="H638" s="16">
        <f t="shared" si="148"/>
        <v>6.8</v>
      </c>
      <c r="I638" s="11">
        <f t="shared" si="151"/>
        <v>0.23193881706518138</v>
      </c>
      <c r="J638" s="33">
        <f t="shared" si="152"/>
        <v>1.0704868479931448E-2</v>
      </c>
      <c r="K638" s="33">
        <f t="shared" si="153"/>
        <v>93.415440075206206</v>
      </c>
      <c r="L638" s="8">
        <v>1</v>
      </c>
      <c r="M638" s="9">
        <v>0</v>
      </c>
      <c r="N638" s="8">
        <v>0</v>
      </c>
      <c r="O638" s="9">
        <v>0</v>
      </c>
      <c r="P638" s="9">
        <v>1</v>
      </c>
      <c r="Q638" s="9">
        <v>0</v>
      </c>
      <c r="R638" s="9">
        <v>0</v>
      </c>
      <c r="S638" s="8">
        <v>8270</v>
      </c>
      <c r="T638" s="9">
        <v>12</v>
      </c>
      <c r="U638" s="9">
        <f t="shared" si="149"/>
        <v>8257</v>
      </c>
      <c r="V638" s="9">
        <f t="shared" si="150"/>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57"/>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v>0</v>
      </c>
      <c r="BF638" s="18">
        <v>0</v>
      </c>
      <c r="BG638">
        <v>0</v>
      </c>
      <c r="BH638">
        <v>1</v>
      </c>
      <c r="BI638" s="18">
        <v>0</v>
      </c>
      <c r="BJ638">
        <v>942</v>
      </c>
      <c r="BK638">
        <v>131</v>
      </c>
      <c r="BL638" s="25">
        <f t="shared" si="156"/>
        <v>37.39</v>
      </c>
      <c r="BM638">
        <v>0</v>
      </c>
      <c r="BN638">
        <v>0</v>
      </c>
      <c r="BO638">
        <v>1</v>
      </c>
      <c r="BP638">
        <v>0</v>
      </c>
      <c r="BQ638">
        <v>0</v>
      </c>
      <c r="BR638">
        <v>0</v>
      </c>
      <c r="BS638">
        <v>0</v>
      </c>
      <c r="BT638" s="18">
        <v>0</v>
      </c>
      <c r="BU638">
        <v>0</v>
      </c>
      <c r="BV638">
        <v>0</v>
      </c>
      <c r="BW638">
        <v>1</v>
      </c>
      <c r="BX638" s="18">
        <v>0</v>
      </c>
      <c r="BY638">
        <v>0</v>
      </c>
      <c r="BZ638">
        <v>0</v>
      </c>
      <c r="CA638">
        <v>0</v>
      </c>
      <c r="CB638">
        <v>0</v>
      </c>
      <c r="CC638" s="18">
        <v>0</v>
      </c>
      <c r="CD638">
        <v>0</v>
      </c>
      <c r="CE638">
        <v>0</v>
      </c>
      <c r="CF638">
        <v>1</v>
      </c>
      <c r="CG638">
        <v>1</v>
      </c>
      <c r="CH638">
        <v>0</v>
      </c>
      <c r="CI638">
        <v>0</v>
      </c>
      <c r="CJ638">
        <v>0</v>
      </c>
      <c r="CK638">
        <v>0</v>
      </c>
      <c r="CL638">
        <v>0</v>
      </c>
      <c r="CM638">
        <v>0</v>
      </c>
      <c r="CN638" s="18">
        <v>0</v>
      </c>
      <c r="CO638">
        <v>0.17100000000000001</v>
      </c>
      <c r="CP638">
        <v>66</v>
      </c>
      <c r="CQ638">
        <v>1</v>
      </c>
      <c r="CR638">
        <v>0</v>
      </c>
      <c r="CS638">
        <v>15</v>
      </c>
      <c r="CY638" s="34"/>
    </row>
    <row r="639" spans="1:103" x14ac:dyDescent="0.25">
      <c r="A639">
        <v>638</v>
      </c>
      <c r="B639">
        <v>40</v>
      </c>
      <c r="C639" s="25" t="s">
        <v>333</v>
      </c>
      <c r="D639" s="12">
        <v>6.5</v>
      </c>
      <c r="E639" s="14">
        <v>0.3</v>
      </c>
      <c r="F639" s="7">
        <f t="shared" si="154"/>
        <v>21.666666666666668</v>
      </c>
      <c r="G639" s="7">
        <f t="shared" si="147"/>
        <v>6.2</v>
      </c>
      <c r="H639" s="16">
        <f t="shared" si="148"/>
        <v>6.8</v>
      </c>
      <c r="I639" s="11">
        <f t="shared" si="151"/>
        <v>0.23193881706518138</v>
      </c>
      <c r="J639" s="33">
        <f t="shared" si="152"/>
        <v>1.0704868479931448E-2</v>
      </c>
      <c r="K639" s="33">
        <f t="shared" si="153"/>
        <v>93.415440075206206</v>
      </c>
      <c r="L639" s="8">
        <v>1</v>
      </c>
      <c r="M639" s="9">
        <v>0</v>
      </c>
      <c r="N639" s="8">
        <v>0</v>
      </c>
      <c r="O639" s="9">
        <v>0</v>
      </c>
      <c r="P639" s="9">
        <v>1</v>
      </c>
      <c r="Q639" s="9">
        <v>0</v>
      </c>
      <c r="R639" s="9">
        <v>0</v>
      </c>
      <c r="S639" s="8">
        <v>8270</v>
      </c>
      <c r="T639" s="9">
        <v>12</v>
      </c>
      <c r="U639" s="9">
        <f t="shared" si="149"/>
        <v>8257</v>
      </c>
      <c r="V639" s="9">
        <f t="shared" si="150"/>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57"/>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v>0</v>
      </c>
      <c r="BF639" s="18">
        <v>0</v>
      </c>
      <c r="BG639">
        <v>0</v>
      </c>
      <c r="BH639">
        <v>1</v>
      </c>
      <c r="BI639" s="18">
        <v>0</v>
      </c>
      <c r="BJ639">
        <v>942</v>
      </c>
      <c r="BK639">
        <v>131</v>
      </c>
      <c r="BL639" s="25">
        <f t="shared" si="156"/>
        <v>37.39</v>
      </c>
      <c r="BM639">
        <v>0</v>
      </c>
      <c r="BN639">
        <v>0</v>
      </c>
      <c r="BO639">
        <v>1</v>
      </c>
      <c r="BP639">
        <v>0</v>
      </c>
      <c r="BQ639">
        <v>0</v>
      </c>
      <c r="BR639">
        <v>0</v>
      </c>
      <c r="BS639">
        <v>0</v>
      </c>
      <c r="BT639" s="18">
        <v>0</v>
      </c>
      <c r="BU639">
        <v>0</v>
      </c>
      <c r="BV639">
        <v>0</v>
      </c>
      <c r="BW639">
        <v>1</v>
      </c>
      <c r="BX639" s="18">
        <v>0</v>
      </c>
      <c r="BY639">
        <v>0</v>
      </c>
      <c r="BZ639">
        <v>0</v>
      </c>
      <c r="CA639">
        <v>0</v>
      </c>
      <c r="CB639">
        <v>0</v>
      </c>
      <c r="CC639" s="18">
        <v>0</v>
      </c>
      <c r="CD639">
        <v>0</v>
      </c>
      <c r="CE639">
        <v>0</v>
      </c>
      <c r="CF639">
        <v>1</v>
      </c>
      <c r="CG639">
        <v>1</v>
      </c>
      <c r="CH639">
        <v>0</v>
      </c>
      <c r="CI639">
        <v>0</v>
      </c>
      <c r="CJ639">
        <v>0</v>
      </c>
      <c r="CK639">
        <v>0</v>
      </c>
      <c r="CL639">
        <v>0</v>
      </c>
      <c r="CM639">
        <v>0</v>
      </c>
      <c r="CN639" s="18">
        <v>0</v>
      </c>
      <c r="CO639">
        <v>0.17100000000000001</v>
      </c>
      <c r="CP639">
        <v>66</v>
      </c>
      <c r="CQ639">
        <v>1</v>
      </c>
      <c r="CR639">
        <v>0</v>
      </c>
      <c r="CS639">
        <v>15</v>
      </c>
      <c r="CY639" s="34"/>
    </row>
    <row r="640" spans="1:103" x14ac:dyDescent="0.25">
      <c r="A640">
        <v>639</v>
      </c>
      <c r="B640">
        <v>40</v>
      </c>
      <c r="C640" s="25" t="s">
        <v>333</v>
      </c>
      <c r="D640" s="12">
        <v>4.3</v>
      </c>
      <c r="E640" s="14">
        <v>0.4</v>
      </c>
      <c r="F640" s="7">
        <f t="shared" si="154"/>
        <v>10.749999999999998</v>
      </c>
      <c r="G640" s="7">
        <f t="shared" si="147"/>
        <v>3.9</v>
      </c>
      <c r="H640" s="16">
        <f t="shared" si="148"/>
        <v>4.7</v>
      </c>
      <c r="I640" s="11">
        <f t="shared" si="151"/>
        <v>0.11748414622991958</v>
      </c>
      <c r="J640" s="33">
        <f t="shared" si="152"/>
        <v>1.092875778882973E-2</v>
      </c>
      <c r="K640" s="33">
        <f t="shared" si="153"/>
        <v>91.501707634338715</v>
      </c>
      <c r="L640" s="8">
        <v>1</v>
      </c>
      <c r="M640" s="9">
        <v>0</v>
      </c>
      <c r="N640" s="8">
        <v>0</v>
      </c>
      <c r="O640" s="9">
        <v>0</v>
      </c>
      <c r="P640" s="9">
        <v>1</v>
      </c>
      <c r="Q640" s="9">
        <v>0</v>
      </c>
      <c r="R640" s="9">
        <v>0</v>
      </c>
      <c r="S640" s="8">
        <v>8270</v>
      </c>
      <c r="T640" s="9">
        <v>12</v>
      </c>
      <c r="U640" s="9">
        <f t="shared" si="149"/>
        <v>8257</v>
      </c>
      <c r="V640" s="9">
        <f t="shared" si="150"/>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57"/>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v>0</v>
      </c>
      <c r="BF640" s="18">
        <v>0</v>
      </c>
      <c r="BG640">
        <v>0</v>
      </c>
      <c r="BH640">
        <v>1</v>
      </c>
      <c r="BI640" s="18">
        <v>0</v>
      </c>
      <c r="BJ640">
        <v>942</v>
      </c>
      <c r="BK640">
        <v>131</v>
      </c>
      <c r="BL640" s="25">
        <f t="shared" si="156"/>
        <v>37.39</v>
      </c>
      <c r="BM640">
        <v>0</v>
      </c>
      <c r="BN640">
        <v>0</v>
      </c>
      <c r="BO640">
        <v>1</v>
      </c>
      <c r="BP640">
        <v>0</v>
      </c>
      <c r="BQ640">
        <v>0</v>
      </c>
      <c r="BR640">
        <v>0</v>
      </c>
      <c r="BS640">
        <v>0</v>
      </c>
      <c r="BT640" s="18">
        <v>0</v>
      </c>
      <c r="BU640">
        <v>0</v>
      </c>
      <c r="BV640">
        <v>0</v>
      </c>
      <c r="BW640">
        <v>1</v>
      </c>
      <c r="BX640" s="18">
        <v>0</v>
      </c>
      <c r="BY640">
        <v>0</v>
      </c>
      <c r="BZ640">
        <v>0</v>
      </c>
      <c r="CA640">
        <v>0</v>
      </c>
      <c r="CB640">
        <v>0</v>
      </c>
      <c r="CC640" s="18">
        <v>0</v>
      </c>
      <c r="CD640">
        <v>0</v>
      </c>
      <c r="CE640">
        <v>0</v>
      </c>
      <c r="CF640">
        <v>1</v>
      </c>
      <c r="CG640">
        <v>1</v>
      </c>
      <c r="CH640">
        <v>0</v>
      </c>
      <c r="CI640">
        <v>0</v>
      </c>
      <c r="CJ640">
        <v>0</v>
      </c>
      <c r="CK640">
        <v>0</v>
      </c>
      <c r="CL640">
        <v>0</v>
      </c>
      <c r="CM640">
        <v>0</v>
      </c>
      <c r="CN640" s="18">
        <v>0</v>
      </c>
      <c r="CO640">
        <v>0.17100000000000001</v>
      </c>
      <c r="CP640">
        <v>66</v>
      </c>
      <c r="CQ640">
        <v>1</v>
      </c>
      <c r="CR640">
        <v>0</v>
      </c>
      <c r="CS640">
        <v>15</v>
      </c>
      <c r="CY640" s="34"/>
    </row>
    <row r="641" spans="1:103" s="142" customFormat="1" x14ac:dyDescent="0.25">
      <c r="A641" s="142">
        <v>640</v>
      </c>
      <c r="B641" s="142">
        <v>40</v>
      </c>
      <c r="C641" s="143" t="s">
        <v>333</v>
      </c>
      <c r="D641" s="144">
        <v>4.2</v>
      </c>
      <c r="E641" s="145">
        <v>0.4</v>
      </c>
      <c r="F641" s="146">
        <f t="shared" si="154"/>
        <v>10.5</v>
      </c>
      <c r="G641" s="146">
        <f t="shared" si="147"/>
        <v>3.8000000000000003</v>
      </c>
      <c r="H641" s="147">
        <f t="shared" si="148"/>
        <v>4.6000000000000005</v>
      </c>
      <c r="I641" s="11">
        <f t="shared" si="151"/>
        <v>0.11478837992273992</v>
      </c>
      <c r="J641" s="33">
        <f t="shared" si="152"/>
        <v>1.0932226659308564E-2</v>
      </c>
      <c r="K641" s="33">
        <f t="shared" si="153"/>
        <v>91.472673515099572</v>
      </c>
      <c r="L641" s="149">
        <v>1</v>
      </c>
      <c r="M641" s="150">
        <v>0</v>
      </c>
      <c r="N641" s="149">
        <v>0</v>
      </c>
      <c r="O641" s="150">
        <v>0</v>
      </c>
      <c r="P641" s="150">
        <v>1</v>
      </c>
      <c r="Q641" s="150">
        <v>0</v>
      </c>
      <c r="R641" s="150">
        <v>0</v>
      </c>
      <c r="S641" s="149">
        <v>8270</v>
      </c>
      <c r="T641" s="150">
        <v>12</v>
      </c>
      <c r="U641" s="150">
        <f t="shared" si="149"/>
        <v>8257</v>
      </c>
      <c r="V641" s="150">
        <f t="shared" si="150"/>
        <v>17</v>
      </c>
      <c r="W641" s="146">
        <v>11.13</v>
      </c>
      <c r="X641" s="146">
        <v>20.260000000000002</v>
      </c>
      <c r="Y641" s="150">
        <v>1</v>
      </c>
      <c r="Z641" s="150">
        <v>0</v>
      </c>
      <c r="AA641" s="150">
        <v>1</v>
      </c>
      <c r="AB641" s="150">
        <v>0</v>
      </c>
      <c r="AC641" s="150">
        <v>0</v>
      </c>
      <c r="AD641" s="150">
        <v>0</v>
      </c>
      <c r="AE641" s="149">
        <v>1</v>
      </c>
      <c r="AF641" s="150">
        <v>0</v>
      </c>
      <c r="AG641" s="151">
        <v>0</v>
      </c>
      <c r="AH641" s="150">
        <v>1</v>
      </c>
      <c r="AI641" s="151">
        <v>0</v>
      </c>
      <c r="AJ641" s="152">
        <v>2002</v>
      </c>
      <c r="AK641" s="148">
        <f t="shared" si="157"/>
        <v>3.0000000000000027E-2</v>
      </c>
      <c r="AL641" s="148">
        <v>0.26100000000000001</v>
      </c>
      <c r="AM641" s="148">
        <v>0.45100000000000001</v>
      </c>
      <c r="AN641" s="153">
        <v>0.25800000000000001</v>
      </c>
      <c r="AO641" s="154">
        <v>1</v>
      </c>
      <c r="AP641" s="155">
        <v>0</v>
      </c>
      <c r="AQ641" s="142">
        <v>0.55100000000000005</v>
      </c>
      <c r="AR641" s="156">
        <v>0.44900000000000001</v>
      </c>
      <c r="AS641" s="142" t="s">
        <v>98</v>
      </c>
      <c r="AT641" s="156" t="s">
        <v>98</v>
      </c>
      <c r="AU641">
        <v>0</v>
      </c>
      <c r="AV641" s="155">
        <v>1</v>
      </c>
      <c r="AW641" s="142">
        <v>0</v>
      </c>
      <c r="AX641" s="155">
        <v>1</v>
      </c>
      <c r="AY641" s="155" t="s">
        <v>5</v>
      </c>
      <c r="AZ641">
        <v>0</v>
      </c>
      <c r="BA641">
        <v>1</v>
      </c>
      <c r="BB641">
        <v>0</v>
      </c>
      <c r="BC641">
        <v>0</v>
      </c>
      <c r="BD641">
        <v>0</v>
      </c>
      <c r="BE641">
        <v>0</v>
      </c>
      <c r="BF641" s="155">
        <v>0</v>
      </c>
      <c r="BG641">
        <v>0</v>
      </c>
      <c r="BH641">
        <v>1</v>
      </c>
      <c r="BI641" s="155">
        <v>0</v>
      </c>
      <c r="BJ641">
        <v>942</v>
      </c>
      <c r="BK641">
        <v>131</v>
      </c>
      <c r="BL641" s="143">
        <f t="shared" si="156"/>
        <v>37.39</v>
      </c>
      <c r="BM641" s="142">
        <v>0</v>
      </c>
      <c r="BN641" s="142">
        <v>0</v>
      </c>
      <c r="BO641" s="142">
        <v>1</v>
      </c>
      <c r="BP641" s="142">
        <v>0</v>
      </c>
      <c r="BQ641" s="142">
        <v>0</v>
      </c>
      <c r="BR641" s="142">
        <v>0</v>
      </c>
      <c r="BS641" s="142">
        <v>0</v>
      </c>
      <c r="BT641" s="155">
        <v>0</v>
      </c>
      <c r="BU641" s="142">
        <v>0</v>
      </c>
      <c r="BV641" s="142">
        <v>0</v>
      </c>
      <c r="BW641" s="142">
        <v>1</v>
      </c>
      <c r="BX641" s="155">
        <v>0</v>
      </c>
      <c r="BY641" s="142">
        <v>0</v>
      </c>
      <c r="BZ641" s="142">
        <v>0</v>
      </c>
      <c r="CA641" s="142">
        <v>0</v>
      </c>
      <c r="CB641" s="142">
        <v>0</v>
      </c>
      <c r="CC641" s="155">
        <v>0</v>
      </c>
      <c r="CD641" s="142">
        <v>0</v>
      </c>
      <c r="CE641" s="142">
        <v>0</v>
      </c>
      <c r="CF641" s="142">
        <v>1</v>
      </c>
      <c r="CG641" s="142">
        <v>1</v>
      </c>
      <c r="CH641" s="142">
        <v>0</v>
      </c>
      <c r="CI641" s="142">
        <v>0</v>
      </c>
      <c r="CJ641" s="142">
        <v>0</v>
      </c>
      <c r="CK641" s="142">
        <v>0</v>
      </c>
      <c r="CL641" s="142">
        <v>0</v>
      </c>
      <c r="CM641" s="142">
        <v>0</v>
      </c>
      <c r="CN641" s="155">
        <v>0</v>
      </c>
      <c r="CO641">
        <v>0.17100000000000001</v>
      </c>
      <c r="CP641">
        <v>66</v>
      </c>
      <c r="CQ641">
        <v>1</v>
      </c>
      <c r="CR641" s="142">
        <v>0</v>
      </c>
      <c r="CS641" s="142">
        <v>15</v>
      </c>
      <c r="CT641" s="157"/>
      <c r="CY641" s="157"/>
    </row>
    <row r="642" spans="1:103" x14ac:dyDescent="0.25">
      <c r="A642">
        <v>641</v>
      </c>
      <c r="B642">
        <v>41</v>
      </c>
      <c r="C642" s="25" t="s">
        <v>334</v>
      </c>
      <c r="D642" s="12">
        <v>4.0999999999999996</v>
      </c>
      <c r="E642" s="14">
        <v>0.2</v>
      </c>
      <c r="F642" s="7">
        <f t="shared" si="154"/>
        <v>20.499999999999996</v>
      </c>
      <c r="G642" s="7">
        <f t="shared" ref="G642:G705" si="158">D642-E642</f>
        <v>3.8999999999999995</v>
      </c>
      <c r="H642" s="16">
        <f t="shared" ref="H642:H705" si="159">D642+E642</f>
        <v>4.3</v>
      </c>
      <c r="I642" s="11">
        <f t="shared" si="151"/>
        <v>0.21871410847199574</v>
      </c>
      <c r="J642" s="33">
        <f t="shared" si="152"/>
        <v>1.0668980901072963E-2</v>
      </c>
      <c r="K642" s="33">
        <f t="shared" si="153"/>
        <v>93.729664461151259</v>
      </c>
      <c r="L642" s="8">
        <v>1</v>
      </c>
      <c r="M642" s="9">
        <v>0</v>
      </c>
      <c r="N642" s="8">
        <v>0</v>
      </c>
      <c r="O642" s="9">
        <v>1</v>
      </c>
      <c r="P642" s="9">
        <v>0</v>
      </c>
      <c r="Q642" s="9">
        <v>0</v>
      </c>
      <c r="R642" s="9">
        <v>0</v>
      </c>
      <c r="S642" s="8">
        <v>8369</v>
      </c>
      <c r="T642" s="9">
        <v>3</v>
      </c>
      <c r="U642" s="9">
        <f t="shared" ref="U642:U705" si="160">S642-T642-1</f>
        <v>8365</v>
      </c>
      <c r="V642" s="9">
        <f t="shared" ref="V642:V705" si="161">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62">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0</v>
      </c>
      <c r="BD642">
        <v>1</v>
      </c>
      <c r="BE642">
        <v>0</v>
      </c>
      <c r="BF642" s="18">
        <v>0</v>
      </c>
      <c r="BG642">
        <v>0</v>
      </c>
      <c r="BH642">
        <v>1</v>
      </c>
      <c r="BI642" s="18">
        <v>0</v>
      </c>
      <c r="BJ642">
        <v>2675</v>
      </c>
      <c r="BK642">
        <v>153</v>
      </c>
      <c r="BL642" s="25">
        <v>35.5</v>
      </c>
      <c r="BM642">
        <v>1</v>
      </c>
      <c r="BN642">
        <v>0</v>
      </c>
      <c r="BO642">
        <v>0</v>
      </c>
      <c r="BP642">
        <v>0</v>
      </c>
      <c r="BQ642">
        <v>0</v>
      </c>
      <c r="BR642">
        <v>0</v>
      </c>
      <c r="BS642">
        <v>0</v>
      </c>
      <c r="BT642" s="18">
        <v>0</v>
      </c>
      <c r="BU642">
        <v>0</v>
      </c>
      <c r="BV642">
        <v>0</v>
      </c>
      <c r="BW642">
        <v>1</v>
      </c>
      <c r="BX642" s="18">
        <v>0</v>
      </c>
      <c r="BY642">
        <v>0</v>
      </c>
      <c r="BZ642">
        <v>0</v>
      </c>
      <c r="CA642">
        <v>0</v>
      </c>
      <c r="CB642">
        <v>0</v>
      </c>
      <c r="CC642" s="18">
        <v>0</v>
      </c>
      <c r="CD642">
        <v>0</v>
      </c>
      <c r="CE642">
        <v>0</v>
      </c>
      <c r="CF642">
        <v>1</v>
      </c>
      <c r="CG642">
        <v>1</v>
      </c>
      <c r="CH642">
        <v>0</v>
      </c>
      <c r="CI642">
        <v>0</v>
      </c>
      <c r="CJ642">
        <v>0</v>
      </c>
      <c r="CK642">
        <v>0</v>
      </c>
      <c r="CL642">
        <v>0</v>
      </c>
      <c r="CM642">
        <v>0</v>
      </c>
      <c r="CN642" s="18">
        <v>0</v>
      </c>
      <c r="CO642">
        <v>0.13900000000000001</v>
      </c>
      <c r="CP642">
        <v>42</v>
      </c>
      <c r="CQ642">
        <v>1</v>
      </c>
      <c r="CR642">
        <v>0</v>
      </c>
      <c r="CS642">
        <v>22</v>
      </c>
      <c r="CY642" s="34"/>
    </row>
    <row r="643" spans="1:103" x14ac:dyDescent="0.25">
      <c r="A643">
        <v>642</v>
      </c>
      <c r="B643">
        <v>41</v>
      </c>
      <c r="C643" s="25" t="s">
        <v>334</v>
      </c>
      <c r="D643" s="12">
        <v>2.2000000000000002</v>
      </c>
      <c r="E643" s="14">
        <v>0.2</v>
      </c>
      <c r="F643" s="7">
        <f t="shared" si="154"/>
        <v>11</v>
      </c>
      <c r="G643" s="7">
        <f t="shared" si="158"/>
        <v>2</v>
      </c>
      <c r="H643" s="16">
        <f t="shared" si="159"/>
        <v>2.4000000000000004</v>
      </c>
      <c r="I643" s="11">
        <f t="shared" si="151"/>
        <v>0.15786943985836729</v>
      </c>
      <c r="J643" s="33">
        <f t="shared" si="152"/>
        <v>1.4351767259851572E-2</v>
      </c>
      <c r="K643" s="33">
        <f t="shared" si="153"/>
        <v>69.677830046579373</v>
      </c>
      <c r="L643" s="8">
        <v>1</v>
      </c>
      <c r="M643" s="9">
        <v>0</v>
      </c>
      <c r="N643" s="8">
        <v>0</v>
      </c>
      <c r="O643" s="9">
        <v>1</v>
      </c>
      <c r="P643" s="9">
        <v>0</v>
      </c>
      <c r="Q643" s="9">
        <v>0</v>
      </c>
      <c r="R643" s="9">
        <v>0</v>
      </c>
      <c r="S643" s="8">
        <v>4738</v>
      </c>
      <c r="T643" s="9">
        <v>3</v>
      </c>
      <c r="U643" s="9">
        <f t="shared" si="160"/>
        <v>4734</v>
      </c>
      <c r="V643" s="9">
        <f t="shared" si="161"/>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62"/>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0</v>
      </c>
      <c r="BD643">
        <v>1</v>
      </c>
      <c r="BE643">
        <v>0</v>
      </c>
      <c r="BF643" s="18">
        <v>0</v>
      </c>
      <c r="BG643">
        <v>0</v>
      </c>
      <c r="BH643">
        <v>1</v>
      </c>
      <c r="BI643" s="18">
        <v>0</v>
      </c>
      <c r="BJ643">
        <v>2675</v>
      </c>
      <c r="BK643">
        <v>153</v>
      </c>
      <c r="BL643" s="25">
        <v>35.5</v>
      </c>
      <c r="BM643">
        <v>1</v>
      </c>
      <c r="BN643">
        <v>0</v>
      </c>
      <c r="BO643">
        <v>0</v>
      </c>
      <c r="BP643">
        <v>0</v>
      </c>
      <c r="BQ643">
        <v>0</v>
      </c>
      <c r="BR643">
        <v>0</v>
      </c>
      <c r="BS643">
        <v>0</v>
      </c>
      <c r="BT643" s="18">
        <v>0</v>
      </c>
      <c r="BU643">
        <v>0</v>
      </c>
      <c r="BV643">
        <v>0</v>
      </c>
      <c r="BW643">
        <v>1</v>
      </c>
      <c r="BX643" s="18">
        <v>0</v>
      </c>
      <c r="BY643">
        <v>0</v>
      </c>
      <c r="BZ643">
        <v>0</v>
      </c>
      <c r="CA643">
        <v>0</v>
      </c>
      <c r="CB643">
        <v>0</v>
      </c>
      <c r="CC643" s="18">
        <v>0</v>
      </c>
      <c r="CD643">
        <v>0</v>
      </c>
      <c r="CE643">
        <v>0</v>
      </c>
      <c r="CF643">
        <v>1</v>
      </c>
      <c r="CG643">
        <v>1</v>
      </c>
      <c r="CH643">
        <v>0</v>
      </c>
      <c r="CI643">
        <v>0</v>
      </c>
      <c r="CJ643">
        <v>0</v>
      </c>
      <c r="CK643">
        <v>0</v>
      </c>
      <c r="CL643">
        <v>0</v>
      </c>
      <c r="CM643">
        <v>0</v>
      </c>
      <c r="CN643" s="18">
        <v>0</v>
      </c>
      <c r="CO643">
        <v>0.13900000000000001</v>
      </c>
      <c r="CP643">
        <v>42</v>
      </c>
      <c r="CQ643">
        <v>1</v>
      </c>
      <c r="CR643">
        <v>0</v>
      </c>
      <c r="CS643">
        <v>22</v>
      </c>
      <c r="CY643" s="34"/>
    </row>
    <row r="644" spans="1:103" x14ac:dyDescent="0.25">
      <c r="A644">
        <v>643</v>
      </c>
      <c r="B644">
        <v>41</v>
      </c>
      <c r="C644" s="25" t="s">
        <v>334</v>
      </c>
      <c r="D644" s="12">
        <v>5.3</v>
      </c>
      <c r="E644" s="14">
        <v>0.2</v>
      </c>
      <c r="F644" s="7">
        <f t="shared" si="154"/>
        <v>26.499999999999996</v>
      </c>
      <c r="G644" s="7">
        <f t="shared" si="158"/>
        <v>5.0999999999999996</v>
      </c>
      <c r="H644" s="16">
        <f t="shared" si="159"/>
        <v>5.5</v>
      </c>
      <c r="I644" s="11">
        <f t="shared" si="151"/>
        <v>0.40275370209545769</v>
      </c>
      <c r="J644" s="33">
        <f t="shared" si="152"/>
        <v>1.5198252909262555E-2</v>
      </c>
      <c r="K644" s="33">
        <f t="shared" si="153"/>
        <v>65.797036407424912</v>
      </c>
      <c r="L644" s="8">
        <v>1</v>
      </c>
      <c r="M644" s="9">
        <v>0</v>
      </c>
      <c r="N644" s="8">
        <v>0</v>
      </c>
      <c r="O644" s="9">
        <v>1</v>
      </c>
      <c r="P644" s="9">
        <v>0</v>
      </c>
      <c r="Q644" s="9">
        <v>0</v>
      </c>
      <c r="R644" s="9">
        <v>0</v>
      </c>
      <c r="S644" s="8">
        <v>3631</v>
      </c>
      <c r="T644" s="9">
        <v>3</v>
      </c>
      <c r="U644" s="9">
        <f t="shared" si="160"/>
        <v>3627</v>
      </c>
      <c r="V644" s="9">
        <f t="shared" si="161"/>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62"/>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0</v>
      </c>
      <c r="BD644">
        <v>1</v>
      </c>
      <c r="BE644">
        <v>0</v>
      </c>
      <c r="BF644" s="18">
        <v>0</v>
      </c>
      <c r="BG644">
        <v>0</v>
      </c>
      <c r="BH644">
        <v>1</v>
      </c>
      <c r="BI644" s="18">
        <v>0</v>
      </c>
      <c r="BJ644">
        <v>2675</v>
      </c>
      <c r="BK644">
        <v>153</v>
      </c>
      <c r="BL644" s="25">
        <v>35.5</v>
      </c>
      <c r="BM644">
        <v>1</v>
      </c>
      <c r="BN644">
        <v>0</v>
      </c>
      <c r="BO644">
        <v>0</v>
      </c>
      <c r="BP644">
        <v>0</v>
      </c>
      <c r="BQ644">
        <v>0</v>
      </c>
      <c r="BR644">
        <v>0</v>
      </c>
      <c r="BS644">
        <v>0</v>
      </c>
      <c r="BT644" s="18">
        <v>0</v>
      </c>
      <c r="BU644">
        <v>0</v>
      </c>
      <c r="BV644">
        <v>0</v>
      </c>
      <c r="BW644">
        <v>1</v>
      </c>
      <c r="BX644" s="18">
        <v>0</v>
      </c>
      <c r="BY644">
        <v>0</v>
      </c>
      <c r="BZ644">
        <v>0</v>
      </c>
      <c r="CA644">
        <v>0</v>
      </c>
      <c r="CB644">
        <v>0</v>
      </c>
      <c r="CC644" s="18">
        <v>0</v>
      </c>
      <c r="CD644">
        <v>0</v>
      </c>
      <c r="CE644">
        <v>0</v>
      </c>
      <c r="CF644">
        <v>1</v>
      </c>
      <c r="CG644">
        <v>1</v>
      </c>
      <c r="CH644">
        <v>0</v>
      </c>
      <c r="CI644">
        <v>0</v>
      </c>
      <c r="CJ644">
        <v>0</v>
      </c>
      <c r="CK644">
        <v>0</v>
      </c>
      <c r="CL644">
        <v>0</v>
      </c>
      <c r="CM644">
        <v>0</v>
      </c>
      <c r="CN644" s="18">
        <v>0</v>
      </c>
      <c r="CO644">
        <v>0.13900000000000001</v>
      </c>
      <c r="CP644">
        <v>42</v>
      </c>
      <c r="CQ644">
        <v>1</v>
      </c>
      <c r="CR644">
        <v>0</v>
      </c>
      <c r="CS644">
        <v>22</v>
      </c>
      <c r="CY644" s="34"/>
    </row>
    <row r="645" spans="1:103" x14ac:dyDescent="0.25">
      <c r="A645">
        <v>644</v>
      </c>
      <c r="B645">
        <v>41</v>
      </c>
      <c r="C645" s="25" t="s">
        <v>334</v>
      </c>
      <c r="D645" s="12">
        <v>1.8</v>
      </c>
      <c r="E645" s="14">
        <v>0.5</v>
      </c>
      <c r="F645" s="7">
        <f t="shared" si="154"/>
        <v>3.6</v>
      </c>
      <c r="G645" s="7">
        <f t="shared" si="158"/>
        <v>1.3</v>
      </c>
      <c r="H645" s="16">
        <f t="shared" si="159"/>
        <v>2.2999999999999998</v>
      </c>
      <c r="I645" s="11">
        <f t="shared" si="151"/>
        <v>7.4951869287651629E-2</v>
      </c>
      <c r="J645" s="33">
        <f t="shared" si="152"/>
        <v>2.081996369101434E-2</v>
      </c>
      <c r="K645" s="33">
        <f t="shared" si="153"/>
        <v>48.030823436622448</v>
      </c>
      <c r="L645" s="8">
        <v>1</v>
      </c>
      <c r="M645" s="9">
        <v>0</v>
      </c>
      <c r="N645" s="8">
        <v>0</v>
      </c>
      <c r="O645" s="9">
        <v>1</v>
      </c>
      <c r="P645" s="9">
        <v>0</v>
      </c>
      <c r="Q645" s="9">
        <v>0</v>
      </c>
      <c r="R645" s="9">
        <v>0</v>
      </c>
      <c r="S645" s="8">
        <v>2298</v>
      </c>
      <c r="T645" s="9">
        <v>3</v>
      </c>
      <c r="U645" s="9">
        <f t="shared" si="160"/>
        <v>2294</v>
      </c>
      <c r="V645" s="9">
        <f t="shared" si="161"/>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62"/>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0</v>
      </c>
      <c r="BD645">
        <v>1</v>
      </c>
      <c r="BE645">
        <v>0</v>
      </c>
      <c r="BF645" s="18">
        <v>0</v>
      </c>
      <c r="BG645">
        <v>0</v>
      </c>
      <c r="BH645">
        <v>1</v>
      </c>
      <c r="BI645" s="18">
        <v>0</v>
      </c>
      <c r="BJ645">
        <v>2675</v>
      </c>
      <c r="BK645">
        <v>153</v>
      </c>
      <c r="BL645" s="25">
        <v>29.52</v>
      </c>
      <c r="BM645">
        <v>0</v>
      </c>
      <c r="BN645">
        <v>0</v>
      </c>
      <c r="BO645">
        <v>0</v>
      </c>
      <c r="BP645">
        <v>1</v>
      </c>
      <c r="BQ645">
        <v>0</v>
      </c>
      <c r="BR645">
        <v>0</v>
      </c>
      <c r="BS645">
        <v>0</v>
      </c>
      <c r="BT645" s="18">
        <v>0</v>
      </c>
      <c r="BU645">
        <v>0</v>
      </c>
      <c r="BV645">
        <v>0</v>
      </c>
      <c r="BW645">
        <v>1</v>
      </c>
      <c r="BX645" s="18">
        <v>0</v>
      </c>
      <c r="BY645">
        <v>0</v>
      </c>
      <c r="BZ645">
        <v>0</v>
      </c>
      <c r="CA645">
        <v>0</v>
      </c>
      <c r="CB645">
        <v>0</v>
      </c>
      <c r="CC645" s="18">
        <v>0</v>
      </c>
      <c r="CD645">
        <v>0</v>
      </c>
      <c r="CE645">
        <v>0</v>
      </c>
      <c r="CF645">
        <v>0</v>
      </c>
      <c r="CG645">
        <v>0</v>
      </c>
      <c r="CH645">
        <v>0</v>
      </c>
      <c r="CI645">
        <v>0</v>
      </c>
      <c r="CJ645">
        <v>0</v>
      </c>
      <c r="CK645">
        <v>0</v>
      </c>
      <c r="CL645">
        <v>0</v>
      </c>
      <c r="CM645">
        <v>0</v>
      </c>
      <c r="CN645" s="18">
        <v>0</v>
      </c>
      <c r="CO645">
        <v>0.13900000000000001</v>
      </c>
      <c r="CP645">
        <v>42</v>
      </c>
      <c r="CQ645">
        <v>1</v>
      </c>
      <c r="CR645">
        <v>0</v>
      </c>
      <c r="CS645">
        <v>22</v>
      </c>
      <c r="CY645" s="34"/>
    </row>
    <row r="646" spans="1:103" x14ac:dyDescent="0.25">
      <c r="A646">
        <v>645</v>
      </c>
      <c r="B646">
        <v>41</v>
      </c>
      <c r="C646" s="25" t="s">
        <v>334</v>
      </c>
      <c r="D646" s="12">
        <v>0.7</v>
      </c>
      <c r="E646" s="14">
        <v>0.7</v>
      </c>
      <c r="F646" s="7">
        <f t="shared" si="154"/>
        <v>1</v>
      </c>
      <c r="G646" s="7">
        <f t="shared" si="158"/>
        <v>0</v>
      </c>
      <c r="H646" s="16">
        <f t="shared" si="159"/>
        <v>1.4</v>
      </c>
      <c r="I646" s="11">
        <f t="shared" si="151"/>
        <v>2.4640709031819093E-2</v>
      </c>
      <c r="J646" s="33">
        <f t="shared" si="152"/>
        <v>2.4640709031819093E-2</v>
      </c>
      <c r="K646" s="33">
        <f t="shared" si="153"/>
        <v>40.583247775406051</v>
      </c>
      <c r="L646" s="8">
        <v>1</v>
      </c>
      <c r="M646" s="9">
        <v>0</v>
      </c>
      <c r="N646" s="8">
        <v>0</v>
      </c>
      <c r="O646" s="9">
        <v>1</v>
      </c>
      <c r="P646" s="9">
        <v>0</v>
      </c>
      <c r="Q646" s="9">
        <v>0</v>
      </c>
      <c r="R646" s="9">
        <v>0</v>
      </c>
      <c r="S646" s="8">
        <v>1650</v>
      </c>
      <c r="T646" s="9">
        <v>3</v>
      </c>
      <c r="U646" s="9">
        <f t="shared" si="160"/>
        <v>1646</v>
      </c>
      <c r="V646" s="9">
        <f t="shared" si="161"/>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62"/>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0</v>
      </c>
      <c r="BD646">
        <v>1</v>
      </c>
      <c r="BE646">
        <v>0</v>
      </c>
      <c r="BF646" s="18">
        <v>0</v>
      </c>
      <c r="BG646">
        <v>0</v>
      </c>
      <c r="BH646">
        <v>1</v>
      </c>
      <c r="BI646" s="18">
        <v>0</v>
      </c>
      <c r="BJ646">
        <v>2675</v>
      </c>
      <c r="BK646">
        <v>153</v>
      </c>
      <c r="BL646" s="25">
        <v>29.52</v>
      </c>
      <c r="BM646">
        <v>0</v>
      </c>
      <c r="BN646">
        <v>0</v>
      </c>
      <c r="BO646">
        <v>0</v>
      </c>
      <c r="BP646">
        <v>1</v>
      </c>
      <c r="BQ646">
        <v>0</v>
      </c>
      <c r="BR646">
        <v>0</v>
      </c>
      <c r="BS646">
        <v>0</v>
      </c>
      <c r="BT646" s="18">
        <v>0</v>
      </c>
      <c r="BU646">
        <v>0</v>
      </c>
      <c r="BV646">
        <v>0</v>
      </c>
      <c r="BW646">
        <v>1</v>
      </c>
      <c r="BX646" s="18">
        <v>0</v>
      </c>
      <c r="BY646">
        <v>0</v>
      </c>
      <c r="BZ646">
        <v>0</v>
      </c>
      <c r="CA646">
        <v>0</v>
      </c>
      <c r="CB646">
        <v>0</v>
      </c>
      <c r="CC646" s="18">
        <v>0</v>
      </c>
      <c r="CD646">
        <v>0</v>
      </c>
      <c r="CE646">
        <v>0</v>
      </c>
      <c r="CF646">
        <v>1</v>
      </c>
      <c r="CG646">
        <v>1</v>
      </c>
      <c r="CH646">
        <v>0</v>
      </c>
      <c r="CI646">
        <v>0</v>
      </c>
      <c r="CJ646">
        <v>0</v>
      </c>
      <c r="CK646">
        <v>1</v>
      </c>
      <c r="CL646">
        <v>0</v>
      </c>
      <c r="CM646">
        <v>0</v>
      </c>
      <c r="CN646" s="18">
        <v>0</v>
      </c>
      <c r="CO646">
        <v>0.13900000000000001</v>
      </c>
      <c r="CP646">
        <v>42</v>
      </c>
      <c r="CQ646">
        <v>1</v>
      </c>
      <c r="CR646">
        <v>0</v>
      </c>
      <c r="CS646">
        <v>22</v>
      </c>
      <c r="CY646" s="34"/>
    </row>
    <row r="647" spans="1:103" x14ac:dyDescent="0.25">
      <c r="A647">
        <v>646</v>
      </c>
      <c r="B647">
        <v>41</v>
      </c>
      <c r="C647" s="25" t="s">
        <v>334</v>
      </c>
      <c r="D647" s="12">
        <v>0.5750039497608439</v>
      </c>
      <c r="E647" s="14">
        <v>0.44357447552979379</v>
      </c>
      <c r="F647" s="7">
        <v>1.2962962962962969</v>
      </c>
      <c r="G647" s="7">
        <f t="shared" si="158"/>
        <v>0.13142947423105011</v>
      </c>
      <c r="H647" s="16">
        <f t="shared" si="159"/>
        <v>1.0185784252906376</v>
      </c>
      <c r="I647" s="11">
        <f t="shared" si="151"/>
        <v>1.4173581477609E-2</v>
      </c>
      <c r="J647" s="33">
        <f t="shared" si="152"/>
        <v>1.0933905711298366E-2</v>
      </c>
      <c r="K647" s="33">
        <f t="shared" si="153"/>
        <v>91.458626624762914</v>
      </c>
      <c r="L647" s="8">
        <v>1</v>
      </c>
      <c r="M647" s="9">
        <v>0</v>
      </c>
      <c r="N647" s="8">
        <v>0</v>
      </c>
      <c r="O647" s="9">
        <v>1</v>
      </c>
      <c r="P647" s="9">
        <v>0</v>
      </c>
      <c r="Q647" s="9">
        <v>0</v>
      </c>
      <c r="R647" s="9">
        <v>0</v>
      </c>
      <c r="S647" s="8">
        <v>8371</v>
      </c>
      <c r="T647" s="9">
        <v>7</v>
      </c>
      <c r="U647" s="9">
        <f t="shared" si="160"/>
        <v>8363</v>
      </c>
      <c r="V647" s="9">
        <f t="shared" si="161"/>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62"/>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0</v>
      </c>
      <c r="BD647">
        <v>1</v>
      </c>
      <c r="BE647">
        <v>0</v>
      </c>
      <c r="BF647" s="18">
        <v>0</v>
      </c>
      <c r="BG647">
        <v>0</v>
      </c>
      <c r="BH647">
        <v>1</v>
      </c>
      <c r="BI647" s="18">
        <v>0</v>
      </c>
      <c r="BJ647">
        <v>2675</v>
      </c>
      <c r="BK647">
        <v>153</v>
      </c>
      <c r="BL647" s="25">
        <v>35.5</v>
      </c>
      <c r="BM647">
        <v>1</v>
      </c>
      <c r="BN647">
        <v>0</v>
      </c>
      <c r="BO647">
        <v>0</v>
      </c>
      <c r="BP647">
        <v>0</v>
      </c>
      <c r="BQ647">
        <v>0</v>
      </c>
      <c r="BR647">
        <v>0</v>
      </c>
      <c r="BS647">
        <v>0</v>
      </c>
      <c r="BT647" s="18">
        <v>0</v>
      </c>
      <c r="BU647">
        <v>0</v>
      </c>
      <c r="BV647">
        <v>0</v>
      </c>
      <c r="BW647">
        <v>1</v>
      </c>
      <c r="BX647" s="18">
        <v>0</v>
      </c>
      <c r="BY647">
        <v>0</v>
      </c>
      <c r="BZ647">
        <v>0</v>
      </c>
      <c r="CA647">
        <v>0</v>
      </c>
      <c r="CB647">
        <v>0</v>
      </c>
      <c r="CC647" s="18">
        <v>0</v>
      </c>
      <c r="CD647">
        <v>0</v>
      </c>
      <c r="CE647">
        <v>0</v>
      </c>
      <c r="CF647">
        <v>1</v>
      </c>
      <c r="CG647">
        <v>1</v>
      </c>
      <c r="CH647">
        <v>0</v>
      </c>
      <c r="CI647">
        <v>0</v>
      </c>
      <c r="CJ647">
        <v>0</v>
      </c>
      <c r="CK647">
        <v>1</v>
      </c>
      <c r="CL647">
        <v>0</v>
      </c>
      <c r="CM647">
        <v>0</v>
      </c>
      <c r="CN647" s="18">
        <v>0</v>
      </c>
      <c r="CO647">
        <v>0.13900000000000001</v>
      </c>
      <c r="CP647">
        <v>42</v>
      </c>
      <c r="CQ647">
        <v>1</v>
      </c>
      <c r="CR647">
        <v>0</v>
      </c>
      <c r="CS647">
        <v>22</v>
      </c>
      <c r="CY647" s="34"/>
    </row>
    <row r="648" spans="1:103" x14ac:dyDescent="0.25">
      <c r="A648">
        <v>647</v>
      </c>
      <c r="B648">
        <v>41</v>
      </c>
      <c r="C648" s="25" t="s">
        <v>334</v>
      </c>
      <c r="D648" s="12">
        <v>1.2184273858862</v>
      </c>
      <c r="E648" s="14">
        <v>0.50767807745258353</v>
      </c>
      <c r="F648" s="7">
        <v>2.4</v>
      </c>
      <c r="G648" s="7">
        <f t="shared" si="158"/>
        <v>0.7107493084336165</v>
      </c>
      <c r="H648" s="16">
        <f t="shared" si="159"/>
        <v>1.7261054633387836</v>
      </c>
      <c r="I648" s="11">
        <f t="shared" ref="I648:I711" si="163">IFERROR(F648/SQRT(F648^2+U648), "X")</f>
        <v>2.6234976834956101E-2</v>
      </c>
      <c r="J648" s="33">
        <f t="shared" ref="J648:J711" si="164">IFERROR(SQRT((1-I648^2)/U648), "X")</f>
        <v>1.0931240347898375E-2</v>
      </c>
      <c r="K648" s="33">
        <f t="shared" ref="K648:K711" si="165">IFERROR(1/J648, "X")</f>
        <v>91.480926973877999</v>
      </c>
      <c r="L648" s="8">
        <v>1</v>
      </c>
      <c r="M648" s="9">
        <v>0</v>
      </c>
      <c r="N648" s="8">
        <v>0</v>
      </c>
      <c r="O648" s="9">
        <v>1</v>
      </c>
      <c r="P648" s="9">
        <v>0</v>
      </c>
      <c r="Q648" s="9">
        <v>0</v>
      </c>
      <c r="R648" s="9">
        <v>0</v>
      </c>
      <c r="S648" s="8">
        <v>8371</v>
      </c>
      <c r="T648" s="9">
        <v>7</v>
      </c>
      <c r="U648" s="9">
        <f t="shared" si="160"/>
        <v>8363</v>
      </c>
      <c r="V648" s="9">
        <f t="shared" si="161"/>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62"/>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0</v>
      </c>
      <c r="BD648">
        <v>1</v>
      </c>
      <c r="BE648">
        <v>0</v>
      </c>
      <c r="BF648" s="18">
        <v>0</v>
      </c>
      <c r="BG648">
        <v>0</v>
      </c>
      <c r="BH648">
        <v>1</v>
      </c>
      <c r="BI648" s="18">
        <v>0</v>
      </c>
      <c r="BJ648">
        <v>2675</v>
      </c>
      <c r="BK648">
        <v>153</v>
      </c>
      <c r="BL648" s="25">
        <v>35.5</v>
      </c>
      <c r="BM648">
        <v>1</v>
      </c>
      <c r="BN648">
        <v>0</v>
      </c>
      <c r="BO648">
        <v>0</v>
      </c>
      <c r="BP648">
        <v>0</v>
      </c>
      <c r="BQ648">
        <v>0</v>
      </c>
      <c r="BR648">
        <v>0</v>
      </c>
      <c r="BS648">
        <v>0</v>
      </c>
      <c r="BT648" s="18">
        <v>0</v>
      </c>
      <c r="BU648">
        <v>0</v>
      </c>
      <c r="BV648">
        <v>0</v>
      </c>
      <c r="BW648">
        <v>1</v>
      </c>
      <c r="BX648" s="18">
        <v>0</v>
      </c>
      <c r="BY648">
        <v>0</v>
      </c>
      <c r="BZ648">
        <v>0</v>
      </c>
      <c r="CA648">
        <v>0</v>
      </c>
      <c r="CB648">
        <v>0</v>
      </c>
      <c r="CC648" s="18">
        <v>0</v>
      </c>
      <c r="CD648">
        <v>0</v>
      </c>
      <c r="CE648">
        <v>0</v>
      </c>
      <c r="CF648">
        <v>1</v>
      </c>
      <c r="CG648">
        <v>1</v>
      </c>
      <c r="CH648">
        <v>0</v>
      </c>
      <c r="CI648">
        <v>0</v>
      </c>
      <c r="CJ648">
        <v>0</v>
      </c>
      <c r="CK648">
        <v>1</v>
      </c>
      <c r="CL648">
        <v>0</v>
      </c>
      <c r="CM648">
        <v>0</v>
      </c>
      <c r="CN648" s="18">
        <v>0</v>
      </c>
      <c r="CO648">
        <v>0.13900000000000001</v>
      </c>
      <c r="CP648">
        <v>42</v>
      </c>
      <c r="CQ648">
        <v>1</v>
      </c>
      <c r="CR648">
        <v>0</v>
      </c>
      <c r="CS648">
        <v>22</v>
      </c>
      <c r="CY648" s="34"/>
    </row>
    <row r="649" spans="1:103" x14ac:dyDescent="0.25">
      <c r="A649">
        <v>648</v>
      </c>
      <c r="B649">
        <v>41</v>
      </c>
      <c r="C649" s="25" t="s">
        <v>334</v>
      </c>
      <c r="D649" s="12">
        <v>4.6168956617874226</v>
      </c>
      <c r="E649" s="14">
        <v>0.44679635436652487</v>
      </c>
      <c r="F649" s="7">
        <v>10.33333333333333</v>
      </c>
      <c r="G649" s="7">
        <f t="shared" si="158"/>
        <v>4.1700993074208981</v>
      </c>
      <c r="H649" s="16">
        <f t="shared" si="159"/>
        <v>5.0636920161539472</v>
      </c>
      <c r="I649" s="11">
        <f t="shared" si="163"/>
        <v>0.1122805241073615</v>
      </c>
      <c r="J649" s="33">
        <f t="shared" si="164"/>
        <v>1.0865857171680147E-2</v>
      </c>
      <c r="K649" s="33">
        <f t="shared" si="165"/>
        <v>92.031395609203813</v>
      </c>
      <c r="L649" s="8">
        <v>1</v>
      </c>
      <c r="M649" s="9">
        <v>0</v>
      </c>
      <c r="N649" s="8">
        <v>0</v>
      </c>
      <c r="O649" s="9">
        <v>1</v>
      </c>
      <c r="P649" s="9">
        <v>0</v>
      </c>
      <c r="Q649" s="9">
        <v>0</v>
      </c>
      <c r="R649" s="9">
        <v>0</v>
      </c>
      <c r="S649" s="8">
        <v>8371</v>
      </c>
      <c r="T649" s="9">
        <v>7</v>
      </c>
      <c r="U649" s="9">
        <f t="shared" si="160"/>
        <v>8363</v>
      </c>
      <c r="V649" s="9">
        <f t="shared" si="161"/>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62"/>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0</v>
      </c>
      <c r="BD649">
        <v>1</v>
      </c>
      <c r="BE649">
        <v>0</v>
      </c>
      <c r="BF649" s="18">
        <v>0</v>
      </c>
      <c r="BG649">
        <v>0</v>
      </c>
      <c r="BH649">
        <v>1</v>
      </c>
      <c r="BI649" s="18">
        <v>0</v>
      </c>
      <c r="BJ649">
        <v>2675</v>
      </c>
      <c r="BK649">
        <v>153</v>
      </c>
      <c r="BL649" s="25">
        <v>35.5</v>
      </c>
      <c r="BM649">
        <v>1</v>
      </c>
      <c r="BN649">
        <v>0</v>
      </c>
      <c r="BO649">
        <v>0</v>
      </c>
      <c r="BP649">
        <v>0</v>
      </c>
      <c r="BQ649">
        <v>0</v>
      </c>
      <c r="BR649">
        <v>0</v>
      </c>
      <c r="BS649">
        <v>0</v>
      </c>
      <c r="BT649" s="18">
        <v>0</v>
      </c>
      <c r="BU649">
        <v>0</v>
      </c>
      <c r="BV649">
        <v>0</v>
      </c>
      <c r="BW649">
        <v>1</v>
      </c>
      <c r="BX649" s="18">
        <v>0</v>
      </c>
      <c r="BY649">
        <v>0</v>
      </c>
      <c r="BZ649">
        <v>0</v>
      </c>
      <c r="CA649">
        <v>0</v>
      </c>
      <c r="CB649">
        <v>0</v>
      </c>
      <c r="CC649" s="18">
        <v>0</v>
      </c>
      <c r="CD649">
        <v>0</v>
      </c>
      <c r="CE649">
        <v>0</v>
      </c>
      <c r="CF649">
        <v>1</v>
      </c>
      <c r="CG649">
        <v>1</v>
      </c>
      <c r="CH649">
        <v>0</v>
      </c>
      <c r="CI649">
        <v>0</v>
      </c>
      <c r="CJ649">
        <v>0</v>
      </c>
      <c r="CK649">
        <v>1</v>
      </c>
      <c r="CL649">
        <v>0</v>
      </c>
      <c r="CM649">
        <v>0</v>
      </c>
      <c r="CN649" s="18">
        <v>0</v>
      </c>
      <c r="CO649">
        <v>0.13900000000000001</v>
      </c>
      <c r="CP649">
        <v>42</v>
      </c>
      <c r="CQ649">
        <v>1</v>
      </c>
      <c r="CR649">
        <v>0</v>
      </c>
      <c r="CS649">
        <v>22</v>
      </c>
      <c r="CY649" s="34"/>
    </row>
    <row r="650" spans="1:103" x14ac:dyDescent="0.25">
      <c r="A650">
        <v>649</v>
      </c>
      <c r="B650">
        <v>41</v>
      </c>
      <c r="C650" s="25" t="s">
        <v>334</v>
      </c>
      <c r="D650" s="12">
        <v>5.1923910316380004</v>
      </c>
      <c r="E650" s="14">
        <v>0.99007456111741521</v>
      </c>
      <c r="F650" s="7">
        <v>5.2444444444444436</v>
      </c>
      <c r="G650" s="7">
        <f t="shared" si="158"/>
        <v>4.2023164705205849</v>
      </c>
      <c r="H650" s="16">
        <f t="shared" si="159"/>
        <v>6.182465592755416</v>
      </c>
      <c r="I650" s="11">
        <f t="shared" si="163"/>
        <v>5.7253950698126874E-2</v>
      </c>
      <c r="J650" s="33">
        <f t="shared" si="164"/>
        <v>1.0917066870405549E-2</v>
      </c>
      <c r="K650" s="33">
        <f t="shared" si="165"/>
        <v>91.599695400862913</v>
      </c>
      <c r="L650" s="8">
        <v>1</v>
      </c>
      <c r="M650" s="9">
        <v>0</v>
      </c>
      <c r="N650" s="8">
        <v>0</v>
      </c>
      <c r="O650" s="9">
        <v>1</v>
      </c>
      <c r="P650" s="9">
        <v>0</v>
      </c>
      <c r="Q650" s="9">
        <v>0</v>
      </c>
      <c r="R650" s="9">
        <v>0</v>
      </c>
      <c r="S650" s="8">
        <v>8371</v>
      </c>
      <c r="T650" s="9">
        <v>7</v>
      </c>
      <c r="U650" s="9">
        <f t="shared" si="160"/>
        <v>8363</v>
      </c>
      <c r="V650" s="9">
        <f t="shared" si="161"/>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62"/>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0</v>
      </c>
      <c r="BD650">
        <v>1</v>
      </c>
      <c r="BE650">
        <v>0</v>
      </c>
      <c r="BF650" s="18">
        <v>0</v>
      </c>
      <c r="BG650">
        <v>0</v>
      </c>
      <c r="BH650">
        <v>1</v>
      </c>
      <c r="BI650" s="18">
        <v>0</v>
      </c>
      <c r="BJ650">
        <v>2675</v>
      </c>
      <c r="BK650">
        <v>153</v>
      </c>
      <c r="BL650" s="25">
        <v>35.5</v>
      </c>
      <c r="BM650">
        <v>1</v>
      </c>
      <c r="BN650">
        <v>0</v>
      </c>
      <c r="BO650">
        <v>0</v>
      </c>
      <c r="BP650">
        <v>0</v>
      </c>
      <c r="BQ650">
        <v>0</v>
      </c>
      <c r="BR650">
        <v>0</v>
      </c>
      <c r="BS650">
        <v>0</v>
      </c>
      <c r="BT650" s="18">
        <v>0</v>
      </c>
      <c r="BU650">
        <v>0</v>
      </c>
      <c r="BV650">
        <v>0</v>
      </c>
      <c r="BW650">
        <v>1</v>
      </c>
      <c r="BX650" s="18">
        <v>0</v>
      </c>
      <c r="BY650">
        <v>0</v>
      </c>
      <c r="BZ650">
        <v>0</v>
      </c>
      <c r="CA650">
        <v>0</v>
      </c>
      <c r="CB650">
        <v>0</v>
      </c>
      <c r="CC650" s="18">
        <v>0</v>
      </c>
      <c r="CD650">
        <v>0</v>
      </c>
      <c r="CE650">
        <v>0</v>
      </c>
      <c r="CF650">
        <v>1</v>
      </c>
      <c r="CG650">
        <v>1</v>
      </c>
      <c r="CH650">
        <v>0</v>
      </c>
      <c r="CI650">
        <v>0</v>
      </c>
      <c r="CJ650">
        <v>0</v>
      </c>
      <c r="CK650">
        <v>1</v>
      </c>
      <c r="CL650">
        <v>0</v>
      </c>
      <c r="CM650">
        <v>0</v>
      </c>
      <c r="CN650" s="18">
        <v>0</v>
      </c>
      <c r="CO650">
        <v>0.13900000000000001</v>
      </c>
      <c r="CP650">
        <v>42</v>
      </c>
      <c r="CQ650">
        <v>1</v>
      </c>
      <c r="CR650">
        <v>0</v>
      </c>
      <c r="CS650">
        <v>22</v>
      </c>
      <c r="CY650" s="34"/>
    </row>
    <row r="651" spans="1:103" x14ac:dyDescent="0.25">
      <c r="A651">
        <v>650</v>
      </c>
      <c r="B651">
        <v>41</v>
      </c>
      <c r="C651" s="25" t="s">
        <v>334</v>
      </c>
      <c r="D651" s="12">
        <v>7.36957776560212</v>
      </c>
      <c r="E651" s="14">
        <v>0.31304401128221399</v>
      </c>
      <c r="F651" s="7">
        <v>23.541666666666661</v>
      </c>
      <c r="G651" s="7">
        <f t="shared" si="158"/>
        <v>7.056533754319906</v>
      </c>
      <c r="H651" s="16">
        <f t="shared" si="159"/>
        <v>7.6826217768843339</v>
      </c>
      <c r="I651" s="11">
        <f t="shared" si="163"/>
        <v>0.24930024610104234</v>
      </c>
      <c r="J651" s="33">
        <f t="shared" si="164"/>
        <v>1.0589744967123924E-2</v>
      </c>
      <c r="K651" s="33">
        <f t="shared" si="165"/>
        <v>94.43098045368609</v>
      </c>
      <c r="L651" s="8">
        <v>1</v>
      </c>
      <c r="M651" s="9">
        <v>0</v>
      </c>
      <c r="N651" s="8">
        <v>0</v>
      </c>
      <c r="O651" s="9">
        <v>1</v>
      </c>
      <c r="P651" s="9">
        <v>0</v>
      </c>
      <c r="Q651" s="9">
        <v>0</v>
      </c>
      <c r="R651" s="9">
        <v>0</v>
      </c>
      <c r="S651" s="8">
        <v>8371</v>
      </c>
      <c r="T651" s="9">
        <v>7</v>
      </c>
      <c r="U651" s="9">
        <f t="shared" si="160"/>
        <v>8363</v>
      </c>
      <c r="V651" s="9">
        <f t="shared" si="161"/>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62"/>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0</v>
      </c>
      <c r="BD651">
        <v>1</v>
      </c>
      <c r="BE651">
        <v>0</v>
      </c>
      <c r="BF651" s="18">
        <v>0</v>
      </c>
      <c r="BG651">
        <v>0</v>
      </c>
      <c r="BH651">
        <v>1</v>
      </c>
      <c r="BI651" s="18">
        <v>0</v>
      </c>
      <c r="BJ651">
        <v>2675</v>
      </c>
      <c r="BK651">
        <v>153</v>
      </c>
      <c r="BL651" s="25">
        <v>35.5</v>
      </c>
      <c r="BM651">
        <v>1</v>
      </c>
      <c r="BN651">
        <v>0</v>
      </c>
      <c r="BO651">
        <v>0</v>
      </c>
      <c r="BP651">
        <v>0</v>
      </c>
      <c r="BQ651">
        <v>0</v>
      </c>
      <c r="BR651">
        <v>0</v>
      </c>
      <c r="BS651">
        <v>0</v>
      </c>
      <c r="BT651" s="18">
        <v>0</v>
      </c>
      <c r="BU651">
        <v>0</v>
      </c>
      <c r="BV651">
        <v>0</v>
      </c>
      <c r="BW651">
        <v>1</v>
      </c>
      <c r="BX651" s="18">
        <v>0</v>
      </c>
      <c r="BY651">
        <v>0</v>
      </c>
      <c r="BZ651">
        <v>0</v>
      </c>
      <c r="CA651">
        <v>0</v>
      </c>
      <c r="CB651">
        <v>0</v>
      </c>
      <c r="CC651" s="18">
        <v>0</v>
      </c>
      <c r="CD651">
        <v>0</v>
      </c>
      <c r="CE651">
        <v>0</v>
      </c>
      <c r="CF651">
        <v>1</v>
      </c>
      <c r="CG651">
        <v>1</v>
      </c>
      <c r="CH651">
        <v>0</v>
      </c>
      <c r="CI651">
        <v>0</v>
      </c>
      <c r="CJ651">
        <v>0</v>
      </c>
      <c r="CK651">
        <v>1</v>
      </c>
      <c r="CL651">
        <v>0</v>
      </c>
      <c r="CM651">
        <v>0</v>
      </c>
      <c r="CN651" s="18">
        <v>0</v>
      </c>
      <c r="CO651">
        <v>0.13900000000000001</v>
      </c>
      <c r="CP651">
        <v>42</v>
      </c>
      <c r="CQ651">
        <v>1</v>
      </c>
      <c r="CR651">
        <v>0</v>
      </c>
      <c r="CS651">
        <v>22</v>
      </c>
      <c r="CY651" s="34"/>
    </row>
    <row r="652" spans="1:103" x14ac:dyDescent="0.25">
      <c r="A652">
        <v>651</v>
      </c>
      <c r="B652">
        <v>41</v>
      </c>
      <c r="C652" s="25" t="s">
        <v>334</v>
      </c>
      <c r="D652" s="12">
        <v>0.88039370359296321</v>
      </c>
      <c r="E652" s="14">
        <v>0.92930446490368346</v>
      </c>
      <c r="F652" s="7">
        <v>0.94736842105263153</v>
      </c>
      <c r="G652" s="7">
        <f t="shared" si="158"/>
        <v>-4.8910761310720252E-2</v>
      </c>
      <c r="H652" s="16">
        <f t="shared" si="159"/>
        <v>1.8096981684966467</v>
      </c>
      <c r="I652" s="11">
        <f t="shared" si="163"/>
        <v>1.9784568514971724E-2</v>
      </c>
      <c r="J652" s="33">
        <f t="shared" si="164"/>
        <v>2.0883711210247929E-2</v>
      </c>
      <c r="K652" s="33">
        <f t="shared" si="165"/>
        <v>47.884209369323493</v>
      </c>
      <c r="L652" s="8">
        <v>1</v>
      </c>
      <c r="M652" s="9">
        <v>0</v>
      </c>
      <c r="N652" s="8">
        <v>0</v>
      </c>
      <c r="O652" s="9">
        <v>1</v>
      </c>
      <c r="P652" s="9">
        <v>0</v>
      </c>
      <c r="Q652" s="9">
        <v>0</v>
      </c>
      <c r="R652" s="9">
        <v>0</v>
      </c>
      <c r="S652" s="8">
        <v>2300</v>
      </c>
      <c r="T652" s="9">
        <v>7</v>
      </c>
      <c r="U652" s="9">
        <f t="shared" si="160"/>
        <v>2292</v>
      </c>
      <c r="V652" s="9">
        <f t="shared" si="161"/>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62"/>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0</v>
      </c>
      <c r="BD652">
        <v>1</v>
      </c>
      <c r="BE652">
        <v>0</v>
      </c>
      <c r="BF652" s="18">
        <v>0</v>
      </c>
      <c r="BG652">
        <v>0</v>
      </c>
      <c r="BH652">
        <v>1</v>
      </c>
      <c r="BI652" s="18">
        <v>0</v>
      </c>
      <c r="BJ652">
        <v>2675</v>
      </c>
      <c r="BK652">
        <v>153</v>
      </c>
      <c r="BL652" s="25">
        <v>29.52</v>
      </c>
      <c r="BM652">
        <v>0</v>
      </c>
      <c r="BN652">
        <v>0</v>
      </c>
      <c r="BO652">
        <v>0</v>
      </c>
      <c r="BP652">
        <v>1</v>
      </c>
      <c r="BQ652">
        <v>0</v>
      </c>
      <c r="BR652">
        <v>0</v>
      </c>
      <c r="BS652">
        <v>0</v>
      </c>
      <c r="BT652" s="18">
        <v>0</v>
      </c>
      <c r="BU652">
        <v>0</v>
      </c>
      <c r="BV652">
        <v>0</v>
      </c>
      <c r="BW652">
        <v>1</v>
      </c>
      <c r="BX652" s="18">
        <v>0</v>
      </c>
      <c r="BY652">
        <v>0</v>
      </c>
      <c r="BZ652">
        <v>0</v>
      </c>
      <c r="CA652">
        <v>0</v>
      </c>
      <c r="CB652">
        <v>0</v>
      </c>
      <c r="CC652" s="18">
        <v>0</v>
      </c>
      <c r="CD652">
        <v>0</v>
      </c>
      <c r="CE652">
        <v>0</v>
      </c>
      <c r="CF652">
        <v>1</v>
      </c>
      <c r="CG652">
        <v>1</v>
      </c>
      <c r="CH652">
        <v>0</v>
      </c>
      <c r="CI652">
        <v>0</v>
      </c>
      <c r="CJ652">
        <v>0</v>
      </c>
      <c r="CK652">
        <v>1</v>
      </c>
      <c r="CL652">
        <v>0</v>
      </c>
      <c r="CM652">
        <v>0</v>
      </c>
      <c r="CN652" s="18">
        <v>0</v>
      </c>
      <c r="CO652">
        <v>0.13900000000000001</v>
      </c>
      <c r="CP652">
        <v>42</v>
      </c>
      <c r="CQ652">
        <v>1</v>
      </c>
      <c r="CR652">
        <v>0</v>
      </c>
      <c r="CS652">
        <v>22</v>
      </c>
      <c r="CY652" s="34"/>
    </row>
    <row r="653" spans="1:103" x14ac:dyDescent="0.25">
      <c r="A653">
        <v>652</v>
      </c>
      <c r="B653">
        <v>41</v>
      </c>
      <c r="C653" s="25" t="s">
        <v>334</v>
      </c>
      <c r="D653" s="12">
        <v>-0.84037586596127367</v>
      </c>
      <c r="E653" s="14">
        <v>-1.9995149914251</v>
      </c>
      <c r="F653" s="7">
        <v>0.42028985507246369</v>
      </c>
      <c r="G653" s="7">
        <f t="shared" si="158"/>
        <v>1.1591391254638264</v>
      </c>
      <c r="H653" s="16">
        <f t="shared" si="159"/>
        <v>-2.8398908573863739</v>
      </c>
      <c r="I653" s="11">
        <f t="shared" si="163"/>
        <v>8.7785920158698506E-3</v>
      </c>
      <c r="J653" s="33">
        <f t="shared" si="164"/>
        <v>2.0886994796379989E-2</v>
      </c>
      <c r="K653" s="33">
        <f t="shared" si="165"/>
        <v>47.876681626469029</v>
      </c>
      <c r="L653" s="8">
        <v>1</v>
      </c>
      <c r="M653" s="9">
        <v>0</v>
      </c>
      <c r="N653" s="8">
        <v>0</v>
      </c>
      <c r="O653" s="9">
        <v>1</v>
      </c>
      <c r="P653" s="9">
        <v>0</v>
      </c>
      <c r="Q653" s="9">
        <v>0</v>
      </c>
      <c r="R653" s="9">
        <v>0</v>
      </c>
      <c r="S653" s="8">
        <v>2300</v>
      </c>
      <c r="T653" s="9">
        <v>7</v>
      </c>
      <c r="U653" s="9">
        <f t="shared" si="160"/>
        <v>2292</v>
      </c>
      <c r="V653" s="9">
        <f t="shared" si="161"/>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62"/>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0</v>
      </c>
      <c r="BD653">
        <v>1</v>
      </c>
      <c r="BE653">
        <v>0</v>
      </c>
      <c r="BF653" s="18">
        <v>0</v>
      </c>
      <c r="BG653">
        <v>0</v>
      </c>
      <c r="BH653">
        <v>1</v>
      </c>
      <c r="BI653" s="18">
        <v>0</v>
      </c>
      <c r="BJ653">
        <v>2675</v>
      </c>
      <c r="BK653">
        <v>153</v>
      </c>
      <c r="BL653" s="25">
        <v>29.52</v>
      </c>
      <c r="BM653">
        <v>0</v>
      </c>
      <c r="BN653">
        <v>0</v>
      </c>
      <c r="BO653">
        <v>0</v>
      </c>
      <c r="BP653">
        <v>1</v>
      </c>
      <c r="BQ653">
        <v>0</v>
      </c>
      <c r="BR653">
        <v>0</v>
      </c>
      <c r="BS653">
        <v>0</v>
      </c>
      <c r="BT653" s="18">
        <v>0</v>
      </c>
      <c r="BU653">
        <v>0</v>
      </c>
      <c r="BV653">
        <v>0</v>
      </c>
      <c r="BW653">
        <v>1</v>
      </c>
      <c r="BX653" s="18">
        <v>0</v>
      </c>
      <c r="BY653">
        <v>0</v>
      </c>
      <c r="BZ653">
        <v>0</v>
      </c>
      <c r="CA653">
        <v>0</v>
      </c>
      <c r="CB653">
        <v>0</v>
      </c>
      <c r="CC653" s="18">
        <v>0</v>
      </c>
      <c r="CD653">
        <v>0</v>
      </c>
      <c r="CE653">
        <v>0</v>
      </c>
      <c r="CF653">
        <v>1</v>
      </c>
      <c r="CG653">
        <v>1</v>
      </c>
      <c r="CH653">
        <v>0</v>
      </c>
      <c r="CI653">
        <v>0</v>
      </c>
      <c r="CJ653">
        <v>0</v>
      </c>
      <c r="CK653">
        <v>1</v>
      </c>
      <c r="CL653">
        <v>0</v>
      </c>
      <c r="CM653">
        <v>0</v>
      </c>
      <c r="CN653" s="18">
        <v>0</v>
      </c>
      <c r="CO653">
        <v>0.13900000000000001</v>
      </c>
      <c r="CP653">
        <v>42</v>
      </c>
      <c r="CQ653">
        <v>1</v>
      </c>
      <c r="CR653">
        <v>0</v>
      </c>
      <c r="CS653">
        <v>22</v>
      </c>
      <c r="CY653" s="34"/>
    </row>
    <row r="654" spans="1:103" x14ac:dyDescent="0.25">
      <c r="A654">
        <v>653</v>
      </c>
      <c r="B654">
        <v>41</v>
      </c>
      <c r="C654" s="25" t="s">
        <v>334</v>
      </c>
      <c r="D654" s="12">
        <v>2.376412617299128</v>
      </c>
      <c r="E654" s="14">
        <v>1.281398960308354</v>
      </c>
      <c r="F654" s="7">
        <v>1.8545454545454541</v>
      </c>
      <c r="G654" s="7">
        <f t="shared" si="158"/>
        <v>1.095013656990774</v>
      </c>
      <c r="H654" s="16">
        <f t="shared" si="159"/>
        <v>3.657811577607482</v>
      </c>
      <c r="I654" s="11">
        <f t="shared" si="163"/>
        <v>3.8708342234612926E-2</v>
      </c>
      <c r="J654" s="33">
        <f t="shared" si="164"/>
        <v>2.0872145322585408E-2</v>
      </c>
      <c r="K654" s="33">
        <f t="shared" si="165"/>
        <v>47.910743459509952</v>
      </c>
      <c r="L654" s="8">
        <v>1</v>
      </c>
      <c r="M654" s="9">
        <v>0</v>
      </c>
      <c r="N654" s="8">
        <v>0</v>
      </c>
      <c r="O654" s="9">
        <v>1</v>
      </c>
      <c r="P654" s="9">
        <v>0</v>
      </c>
      <c r="Q654" s="9">
        <v>0</v>
      </c>
      <c r="R654" s="9">
        <v>0</v>
      </c>
      <c r="S654" s="8">
        <v>2300</v>
      </c>
      <c r="T654" s="9">
        <v>7</v>
      </c>
      <c r="U654" s="9">
        <f t="shared" si="160"/>
        <v>2292</v>
      </c>
      <c r="V654" s="9">
        <f t="shared" si="161"/>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62"/>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0</v>
      </c>
      <c r="BD654">
        <v>1</v>
      </c>
      <c r="BE654">
        <v>0</v>
      </c>
      <c r="BF654" s="18">
        <v>0</v>
      </c>
      <c r="BG654">
        <v>0</v>
      </c>
      <c r="BH654">
        <v>1</v>
      </c>
      <c r="BI654" s="18">
        <v>0</v>
      </c>
      <c r="BJ654">
        <v>2675</v>
      </c>
      <c r="BK654">
        <v>153</v>
      </c>
      <c r="BL654" s="25">
        <v>29.52</v>
      </c>
      <c r="BM654">
        <v>0</v>
      </c>
      <c r="BN654">
        <v>0</v>
      </c>
      <c r="BO654">
        <v>0</v>
      </c>
      <c r="BP654">
        <v>1</v>
      </c>
      <c r="BQ654">
        <v>0</v>
      </c>
      <c r="BR654">
        <v>0</v>
      </c>
      <c r="BS654">
        <v>0</v>
      </c>
      <c r="BT654" s="18">
        <v>0</v>
      </c>
      <c r="BU654">
        <v>0</v>
      </c>
      <c r="BV654">
        <v>0</v>
      </c>
      <c r="BW654">
        <v>1</v>
      </c>
      <c r="BX654" s="18">
        <v>0</v>
      </c>
      <c r="BY654">
        <v>0</v>
      </c>
      <c r="BZ654">
        <v>0</v>
      </c>
      <c r="CA654">
        <v>0</v>
      </c>
      <c r="CB654">
        <v>0</v>
      </c>
      <c r="CC654" s="18">
        <v>0</v>
      </c>
      <c r="CD654">
        <v>0</v>
      </c>
      <c r="CE654">
        <v>0</v>
      </c>
      <c r="CF654">
        <v>1</v>
      </c>
      <c r="CG654">
        <v>1</v>
      </c>
      <c r="CH654">
        <v>0</v>
      </c>
      <c r="CI654">
        <v>0</v>
      </c>
      <c r="CJ654">
        <v>0</v>
      </c>
      <c r="CK654">
        <v>1</v>
      </c>
      <c r="CL654">
        <v>0</v>
      </c>
      <c r="CM654">
        <v>0</v>
      </c>
      <c r="CN654" s="18">
        <v>0</v>
      </c>
      <c r="CO654">
        <v>0.13900000000000001</v>
      </c>
      <c r="CP654">
        <v>42</v>
      </c>
      <c r="CQ654">
        <v>1</v>
      </c>
      <c r="CR654">
        <v>0</v>
      </c>
      <c r="CS654">
        <v>22</v>
      </c>
      <c r="CY654" s="34"/>
    </row>
    <row r="655" spans="1:103" x14ac:dyDescent="0.25">
      <c r="A655">
        <v>654</v>
      </c>
      <c r="B655">
        <v>41</v>
      </c>
      <c r="C655" s="25" t="s">
        <v>334</v>
      </c>
      <c r="D655" s="12">
        <v>2.312765468399514</v>
      </c>
      <c r="E655" s="14">
        <v>2.6134249792914499</v>
      </c>
      <c r="F655" s="7">
        <v>0.88495575221238942</v>
      </c>
      <c r="G655" s="7">
        <f t="shared" si="158"/>
        <v>-0.30065951089193588</v>
      </c>
      <c r="H655" s="16">
        <f t="shared" si="159"/>
        <v>4.9261904476909635</v>
      </c>
      <c r="I655" s="11">
        <f t="shared" si="163"/>
        <v>1.848162126220294E-2</v>
      </c>
      <c r="J655" s="33">
        <f t="shared" si="164"/>
        <v>2.0884232026289321E-2</v>
      </c>
      <c r="K655" s="33">
        <f t="shared" si="165"/>
        <v>47.883015221301321</v>
      </c>
      <c r="L655" s="8">
        <v>1</v>
      </c>
      <c r="M655" s="9">
        <v>0</v>
      </c>
      <c r="N655" s="8">
        <v>0</v>
      </c>
      <c r="O655" s="9">
        <v>1</v>
      </c>
      <c r="P655" s="9">
        <v>0</v>
      </c>
      <c r="Q655" s="9">
        <v>0</v>
      </c>
      <c r="R655" s="9">
        <v>0</v>
      </c>
      <c r="S655" s="8">
        <v>2300</v>
      </c>
      <c r="T655" s="9">
        <v>7</v>
      </c>
      <c r="U655" s="9">
        <f t="shared" si="160"/>
        <v>2292</v>
      </c>
      <c r="V655" s="9">
        <f t="shared" si="161"/>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62"/>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0</v>
      </c>
      <c r="BD655">
        <v>1</v>
      </c>
      <c r="BE655">
        <v>0</v>
      </c>
      <c r="BF655" s="18">
        <v>0</v>
      </c>
      <c r="BG655">
        <v>0</v>
      </c>
      <c r="BH655">
        <v>1</v>
      </c>
      <c r="BI655" s="18">
        <v>0</v>
      </c>
      <c r="BJ655">
        <v>2675</v>
      </c>
      <c r="BK655">
        <v>153</v>
      </c>
      <c r="BL655" s="25">
        <v>29.52</v>
      </c>
      <c r="BM655">
        <v>0</v>
      </c>
      <c r="BN655">
        <v>0</v>
      </c>
      <c r="BO655">
        <v>0</v>
      </c>
      <c r="BP655">
        <v>1</v>
      </c>
      <c r="BQ655">
        <v>0</v>
      </c>
      <c r="BR655">
        <v>0</v>
      </c>
      <c r="BS655">
        <v>0</v>
      </c>
      <c r="BT655" s="18">
        <v>0</v>
      </c>
      <c r="BU655">
        <v>0</v>
      </c>
      <c r="BV655">
        <v>0</v>
      </c>
      <c r="BW655">
        <v>1</v>
      </c>
      <c r="BX655" s="18">
        <v>0</v>
      </c>
      <c r="BY655">
        <v>0</v>
      </c>
      <c r="BZ655">
        <v>0</v>
      </c>
      <c r="CA655">
        <v>0</v>
      </c>
      <c r="CB655">
        <v>0</v>
      </c>
      <c r="CC655" s="18">
        <v>0</v>
      </c>
      <c r="CD655">
        <v>0</v>
      </c>
      <c r="CE655">
        <v>0</v>
      </c>
      <c r="CF655">
        <v>1</v>
      </c>
      <c r="CG655">
        <v>1</v>
      </c>
      <c r="CH655">
        <v>0</v>
      </c>
      <c r="CI655">
        <v>0</v>
      </c>
      <c r="CJ655">
        <v>0</v>
      </c>
      <c r="CK655">
        <v>1</v>
      </c>
      <c r="CL655">
        <v>0</v>
      </c>
      <c r="CM655">
        <v>0</v>
      </c>
      <c r="CN655" s="18">
        <v>0</v>
      </c>
      <c r="CO655">
        <v>0.13900000000000001</v>
      </c>
      <c r="CP655">
        <v>42</v>
      </c>
      <c r="CQ655">
        <v>1</v>
      </c>
      <c r="CR655">
        <v>0</v>
      </c>
      <c r="CS655">
        <v>22</v>
      </c>
      <c r="CY655" s="34"/>
    </row>
    <row r="656" spans="1:103" s="142" customFormat="1" x14ac:dyDescent="0.25">
      <c r="A656" s="142">
        <v>655</v>
      </c>
      <c r="B656" s="142">
        <v>41</v>
      </c>
      <c r="C656" s="143" t="s">
        <v>334</v>
      </c>
      <c r="D656" s="144">
        <v>3.9364104664247002</v>
      </c>
      <c r="E656" s="145">
        <v>1.090990166724449</v>
      </c>
      <c r="F656" s="146">
        <v>3.6081081081081079</v>
      </c>
      <c r="G656" s="146">
        <f t="shared" si="158"/>
        <v>2.8454202997002511</v>
      </c>
      <c r="H656" s="147">
        <f t="shared" si="159"/>
        <v>5.0274006331491492</v>
      </c>
      <c r="I656" s="11">
        <f t="shared" si="163"/>
        <v>7.5152310851901452E-2</v>
      </c>
      <c r="J656" s="33">
        <f t="shared" si="164"/>
        <v>2.0828730348467071E-2</v>
      </c>
      <c r="K656" s="33">
        <f t="shared" si="165"/>
        <v>48.010607620814334</v>
      </c>
      <c r="L656" s="149">
        <v>1</v>
      </c>
      <c r="M656" s="150">
        <v>0</v>
      </c>
      <c r="N656" s="149">
        <v>0</v>
      </c>
      <c r="O656" s="150">
        <v>1</v>
      </c>
      <c r="P656" s="150">
        <v>0</v>
      </c>
      <c r="Q656" s="150">
        <v>0</v>
      </c>
      <c r="R656" s="150">
        <v>0</v>
      </c>
      <c r="S656" s="149">
        <v>2300</v>
      </c>
      <c r="T656" s="150">
        <v>7</v>
      </c>
      <c r="U656" s="150">
        <f t="shared" si="160"/>
        <v>2292</v>
      </c>
      <c r="V656" s="150">
        <f t="shared" si="161"/>
        <v>15</v>
      </c>
      <c r="W656" s="146">
        <v>9.81</v>
      </c>
      <c r="X656" s="146">
        <v>11.78</v>
      </c>
      <c r="Y656" s="150">
        <v>0</v>
      </c>
      <c r="Z656" s="150">
        <v>1</v>
      </c>
      <c r="AA656" s="150">
        <v>1</v>
      </c>
      <c r="AB656" s="150">
        <v>0</v>
      </c>
      <c r="AC656" s="150">
        <v>0</v>
      </c>
      <c r="AD656" s="150">
        <v>0</v>
      </c>
      <c r="AE656" s="149">
        <v>0</v>
      </c>
      <c r="AF656" s="150">
        <v>1</v>
      </c>
      <c r="AG656" s="151">
        <v>0</v>
      </c>
      <c r="AH656" s="150">
        <v>0</v>
      </c>
      <c r="AI656" s="151">
        <v>1</v>
      </c>
      <c r="AJ656" s="152">
        <v>2012</v>
      </c>
      <c r="AK656" s="148">
        <v>0.19700000000000001</v>
      </c>
      <c r="AL656" s="148">
        <v>0.12</v>
      </c>
      <c r="AM656" s="148">
        <f t="shared" si="162"/>
        <v>0.43999999999999995</v>
      </c>
      <c r="AN656" s="153">
        <v>0.24299999999999999</v>
      </c>
      <c r="AO656" s="154">
        <v>1</v>
      </c>
      <c r="AP656" s="155">
        <v>0</v>
      </c>
      <c r="AQ656" s="142">
        <v>1</v>
      </c>
      <c r="AR656" s="156">
        <v>0</v>
      </c>
      <c r="AS656" s="142">
        <v>55.2</v>
      </c>
      <c r="AT656" s="156">
        <v>44.8</v>
      </c>
      <c r="AU656">
        <v>0</v>
      </c>
      <c r="AV656" s="155">
        <v>1</v>
      </c>
      <c r="AW656" s="142" t="s">
        <v>98</v>
      </c>
      <c r="AX656" s="155" t="s">
        <v>98</v>
      </c>
      <c r="AY656" s="155" t="s">
        <v>6</v>
      </c>
      <c r="AZ656">
        <v>0</v>
      </c>
      <c r="BA656">
        <v>0</v>
      </c>
      <c r="BB656">
        <v>0</v>
      </c>
      <c r="BC656">
        <v>0</v>
      </c>
      <c r="BD656">
        <v>1</v>
      </c>
      <c r="BE656">
        <v>0</v>
      </c>
      <c r="BF656" s="155">
        <v>0</v>
      </c>
      <c r="BG656">
        <v>0</v>
      </c>
      <c r="BH656">
        <v>1</v>
      </c>
      <c r="BI656" s="155">
        <v>0</v>
      </c>
      <c r="BJ656">
        <v>2675</v>
      </c>
      <c r="BK656">
        <v>153</v>
      </c>
      <c r="BL656" s="143">
        <v>29.52</v>
      </c>
      <c r="BM656" s="142">
        <v>0</v>
      </c>
      <c r="BN656" s="142">
        <v>0</v>
      </c>
      <c r="BO656" s="142">
        <v>0</v>
      </c>
      <c r="BP656" s="142">
        <v>1</v>
      </c>
      <c r="BQ656" s="142">
        <v>0</v>
      </c>
      <c r="BR656" s="142">
        <v>0</v>
      </c>
      <c r="BS656" s="142">
        <v>0</v>
      </c>
      <c r="BT656" s="155">
        <v>0</v>
      </c>
      <c r="BU656" s="142">
        <v>0</v>
      </c>
      <c r="BV656" s="142">
        <v>0</v>
      </c>
      <c r="BW656" s="142">
        <v>1</v>
      </c>
      <c r="BX656" s="155">
        <v>0</v>
      </c>
      <c r="BY656" s="142">
        <v>0</v>
      </c>
      <c r="BZ656" s="142">
        <v>0</v>
      </c>
      <c r="CA656" s="142">
        <v>0</v>
      </c>
      <c r="CB656" s="142">
        <v>0</v>
      </c>
      <c r="CC656" s="155">
        <v>0</v>
      </c>
      <c r="CD656" s="142">
        <v>0</v>
      </c>
      <c r="CE656" s="142">
        <v>0</v>
      </c>
      <c r="CF656" s="142">
        <v>1</v>
      </c>
      <c r="CG656" s="142">
        <v>1</v>
      </c>
      <c r="CH656" s="142">
        <v>0</v>
      </c>
      <c r="CI656" s="142">
        <v>0</v>
      </c>
      <c r="CJ656" s="142">
        <v>0</v>
      </c>
      <c r="CK656" s="142">
        <v>1</v>
      </c>
      <c r="CL656" s="142">
        <v>0</v>
      </c>
      <c r="CM656" s="142">
        <v>0</v>
      </c>
      <c r="CN656" s="155">
        <v>0</v>
      </c>
      <c r="CO656">
        <v>0.13900000000000001</v>
      </c>
      <c r="CP656">
        <v>42</v>
      </c>
      <c r="CQ656">
        <v>1</v>
      </c>
      <c r="CR656">
        <v>0</v>
      </c>
      <c r="CS656">
        <v>22</v>
      </c>
      <c r="CT656" s="157"/>
      <c r="CY656" s="157"/>
    </row>
    <row r="657" spans="1:103" x14ac:dyDescent="0.25">
      <c r="A657">
        <v>656</v>
      </c>
      <c r="B657">
        <v>42</v>
      </c>
      <c r="C657" s="25" t="s">
        <v>446</v>
      </c>
      <c r="D657" s="12">
        <v>6.56022367666107</v>
      </c>
      <c r="E657" s="14">
        <v>0.6247832073010543</v>
      </c>
      <c r="F657" s="7">
        <v>10.5</v>
      </c>
      <c r="G657" s="7">
        <f t="shared" si="158"/>
        <v>5.9354404693600156</v>
      </c>
      <c r="H657" s="16">
        <f t="shared" si="159"/>
        <v>7.1850068839621244</v>
      </c>
      <c r="I657" s="11">
        <f t="shared" si="163"/>
        <v>0.18043874177926347</v>
      </c>
      <c r="J657" s="33">
        <f t="shared" si="164"/>
        <v>1.7184642074215568E-2</v>
      </c>
      <c r="K657" s="33">
        <f t="shared" si="165"/>
        <v>58.191494223812469</v>
      </c>
      <c r="L657" s="8">
        <v>1</v>
      </c>
      <c r="M657" s="9">
        <v>0</v>
      </c>
      <c r="N657" s="8">
        <v>0</v>
      </c>
      <c r="O657" s="9">
        <v>0</v>
      </c>
      <c r="P657" s="9">
        <v>1</v>
      </c>
      <c r="Q657" s="9">
        <v>0</v>
      </c>
      <c r="R657" s="9">
        <v>0</v>
      </c>
      <c r="S657" s="8">
        <v>3302</v>
      </c>
      <c r="T657" s="9">
        <v>25</v>
      </c>
      <c r="U657" s="9">
        <f t="shared" si="160"/>
        <v>3276</v>
      </c>
      <c r="V657" s="9">
        <f t="shared" si="161"/>
        <v>24</v>
      </c>
      <c r="W657" s="7">
        <v>15</v>
      </c>
      <c r="X657" s="7">
        <f t="shared" ref="X657:X698" si="166">BL657-W657-6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v>0</v>
      </c>
      <c r="BF657" s="18">
        <v>0</v>
      </c>
      <c r="BG657">
        <v>1</v>
      </c>
      <c r="BH657">
        <v>0</v>
      </c>
      <c r="BI657" s="18">
        <v>0</v>
      </c>
      <c r="BJ657">
        <v>23477</v>
      </c>
      <c r="BK657">
        <v>1423</v>
      </c>
      <c r="BL657" s="25">
        <v>50</v>
      </c>
      <c r="BM657">
        <v>0</v>
      </c>
      <c r="BN657">
        <v>0</v>
      </c>
      <c r="BO657">
        <v>1</v>
      </c>
      <c r="BP657">
        <v>0</v>
      </c>
      <c r="BQ657">
        <v>0</v>
      </c>
      <c r="BR657">
        <v>0</v>
      </c>
      <c r="BS657">
        <v>0</v>
      </c>
      <c r="BT657" s="18">
        <v>0</v>
      </c>
      <c r="BU657">
        <v>0</v>
      </c>
      <c r="BV657">
        <v>0</v>
      </c>
      <c r="BW657">
        <v>0</v>
      </c>
      <c r="BX657" s="18">
        <v>1</v>
      </c>
      <c r="BY657">
        <v>0</v>
      </c>
      <c r="BZ657">
        <v>0</v>
      </c>
      <c r="CA657">
        <v>0</v>
      </c>
      <c r="CB657">
        <v>0</v>
      </c>
      <c r="CC657" s="18">
        <v>0</v>
      </c>
      <c r="CD657">
        <v>1</v>
      </c>
      <c r="CE657">
        <v>1</v>
      </c>
      <c r="CF657">
        <v>0</v>
      </c>
      <c r="CG657">
        <v>0</v>
      </c>
      <c r="CH657">
        <v>1</v>
      </c>
      <c r="CI657">
        <v>1</v>
      </c>
      <c r="CJ657">
        <v>0</v>
      </c>
      <c r="CK657">
        <v>1</v>
      </c>
      <c r="CL657">
        <v>1</v>
      </c>
      <c r="CM657">
        <v>1</v>
      </c>
      <c r="CN657" s="18">
        <v>1</v>
      </c>
      <c r="CO657">
        <v>0.63</v>
      </c>
      <c r="CP657">
        <v>335</v>
      </c>
      <c r="CQ657">
        <v>1</v>
      </c>
      <c r="CR657">
        <v>0</v>
      </c>
      <c r="CS657">
        <v>12</v>
      </c>
      <c r="CY657" s="34"/>
    </row>
    <row r="658" spans="1:103" x14ac:dyDescent="0.25">
      <c r="A658">
        <v>657</v>
      </c>
      <c r="B658">
        <v>42</v>
      </c>
      <c r="C658" s="25" t="s">
        <v>446</v>
      </c>
      <c r="D658" s="12">
        <v>10.79316513508928</v>
      </c>
      <c r="E658" s="14">
        <v>0.5996202852827377</v>
      </c>
      <c r="F658" s="7">
        <v>18</v>
      </c>
      <c r="G658" s="7">
        <f t="shared" si="158"/>
        <v>10.193544849806543</v>
      </c>
      <c r="H658" s="16">
        <f t="shared" si="159"/>
        <v>11.392785420372018</v>
      </c>
      <c r="I658" s="11">
        <f t="shared" si="163"/>
        <v>0.37598039382992116</v>
      </c>
      <c r="J658" s="33">
        <f t="shared" si="164"/>
        <v>2.0887799657217841E-2</v>
      </c>
      <c r="K658" s="33">
        <f t="shared" si="165"/>
        <v>47.874836814343297</v>
      </c>
      <c r="L658" s="8">
        <v>1</v>
      </c>
      <c r="M658" s="9">
        <v>0</v>
      </c>
      <c r="N658" s="8">
        <v>0</v>
      </c>
      <c r="O658" s="9">
        <v>0</v>
      </c>
      <c r="P658" s="9">
        <v>1</v>
      </c>
      <c r="Q658" s="9">
        <v>0</v>
      </c>
      <c r="R658" s="9">
        <v>0</v>
      </c>
      <c r="S658" s="8">
        <v>1994</v>
      </c>
      <c r="T658" s="9">
        <v>25</v>
      </c>
      <c r="U658" s="9">
        <f t="shared" si="160"/>
        <v>1968</v>
      </c>
      <c r="V658" s="9">
        <f t="shared" si="161"/>
        <v>24</v>
      </c>
      <c r="W658" s="7">
        <v>15</v>
      </c>
      <c r="X658" s="7">
        <f t="shared" si="166"/>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v>0</v>
      </c>
      <c r="BF658" s="18">
        <v>0</v>
      </c>
      <c r="BG658">
        <v>1</v>
      </c>
      <c r="BH658">
        <v>0</v>
      </c>
      <c r="BI658" s="18">
        <v>0</v>
      </c>
      <c r="BJ658">
        <v>23477</v>
      </c>
      <c r="BK658">
        <v>1423</v>
      </c>
      <c r="BL658" s="25">
        <v>50</v>
      </c>
      <c r="BM658">
        <v>0</v>
      </c>
      <c r="BN658">
        <v>0</v>
      </c>
      <c r="BO658">
        <v>1</v>
      </c>
      <c r="BP658">
        <v>0</v>
      </c>
      <c r="BQ658">
        <v>0</v>
      </c>
      <c r="BR658">
        <v>0</v>
      </c>
      <c r="BS658">
        <v>0</v>
      </c>
      <c r="BT658" s="18">
        <v>0</v>
      </c>
      <c r="BU658">
        <v>0</v>
      </c>
      <c r="BV658">
        <v>0</v>
      </c>
      <c r="BW658">
        <v>0</v>
      </c>
      <c r="BX658" s="18">
        <v>1</v>
      </c>
      <c r="BY658">
        <v>0</v>
      </c>
      <c r="BZ658">
        <v>0</v>
      </c>
      <c r="CA658">
        <v>0</v>
      </c>
      <c r="CB658">
        <v>0</v>
      </c>
      <c r="CC658" s="18">
        <v>0</v>
      </c>
      <c r="CD658">
        <v>1</v>
      </c>
      <c r="CE658">
        <v>1</v>
      </c>
      <c r="CF658">
        <v>0</v>
      </c>
      <c r="CG658">
        <v>0</v>
      </c>
      <c r="CH658">
        <v>1</v>
      </c>
      <c r="CI658">
        <v>1</v>
      </c>
      <c r="CJ658">
        <v>0</v>
      </c>
      <c r="CK658">
        <v>1</v>
      </c>
      <c r="CL658">
        <v>1</v>
      </c>
      <c r="CM658">
        <v>1</v>
      </c>
      <c r="CN658" s="18">
        <v>1</v>
      </c>
      <c r="CO658">
        <v>0.63</v>
      </c>
      <c r="CP658">
        <v>335</v>
      </c>
      <c r="CQ658">
        <v>1</v>
      </c>
      <c r="CR658">
        <v>0</v>
      </c>
      <c r="CS658">
        <v>12</v>
      </c>
      <c r="CY658" s="34"/>
    </row>
    <row r="659" spans="1:103" x14ac:dyDescent="0.25">
      <c r="A659">
        <v>658</v>
      </c>
      <c r="B659">
        <v>42</v>
      </c>
      <c r="C659" s="25" t="s">
        <v>446</v>
      </c>
      <c r="D659" s="12">
        <v>8.2932132831999397</v>
      </c>
      <c r="E659" s="14">
        <v>0.61431209505184736</v>
      </c>
      <c r="F659" s="7">
        <v>13.5</v>
      </c>
      <c r="G659" s="7">
        <f t="shared" si="158"/>
        <v>7.6789011881480924</v>
      </c>
      <c r="H659" s="16">
        <f t="shared" si="159"/>
        <v>8.9075253782517869</v>
      </c>
      <c r="I659" s="11">
        <f t="shared" si="163"/>
        <v>0.22979763706829784</v>
      </c>
      <c r="J659" s="33">
        <f t="shared" si="164"/>
        <v>1.7022047190244284E-2</v>
      </c>
      <c r="K659" s="33">
        <f t="shared" si="165"/>
        <v>58.747340365330579</v>
      </c>
      <c r="L659" s="8">
        <v>1</v>
      </c>
      <c r="M659" s="9">
        <v>0</v>
      </c>
      <c r="N659" s="8">
        <v>0</v>
      </c>
      <c r="O659" s="9">
        <v>0</v>
      </c>
      <c r="P659" s="9">
        <v>1</v>
      </c>
      <c r="Q659" s="9">
        <v>0</v>
      </c>
      <c r="R659" s="9">
        <v>0</v>
      </c>
      <c r="S659" s="8">
        <v>3295</v>
      </c>
      <c r="T659" s="9">
        <v>25</v>
      </c>
      <c r="U659" s="9">
        <f t="shared" si="160"/>
        <v>3269</v>
      </c>
      <c r="V659" s="9">
        <f t="shared" si="161"/>
        <v>24</v>
      </c>
      <c r="W659" s="7">
        <v>15</v>
      </c>
      <c r="X659" s="7">
        <f t="shared" si="166"/>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v>0</v>
      </c>
      <c r="BF659" s="18">
        <v>0</v>
      </c>
      <c r="BG659">
        <v>1</v>
      </c>
      <c r="BH659">
        <v>0</v>
      </c>
      <c r="BI659" s="18">
        <v>0</v>
      </c>
      <c r="BJ659">
        <v>23477</v>
      </c>
      <c r="BK659">
        <v>1423</v>
      </c>
      <c r="BL659" s="25">
        <v>50</v>
      </c>
      <c r="BM659">
        <v>0</v>
      </c>
      <c r="BN659">
        <v>0</v>
      </c>
      <c r="BO659">
        <v>1</v>
      </c>
      <c r="BP659">
        <v>0</v>
      </c>
      <c r="BQ659">
        <v>0</v>
      </c>
      <c r="BR659">
        <v>0</v>
      </c>
      <c r="BS659">
        <v>0</v>
      </c>
      <c r="BT659" s="18">
        <v>0</v>
      </c>
      <c r="BU659">
        <v>0</v>
      </c>
      <c r="BV659">
        <v>0</v>
      </c>
      <c r="BW659">
        <v>0</v>
      </c>
      <c r="BX659" s="18">
        <v>1</v>
      </c>
      <c r="BY659">
        <v>0</v>
      </c>
      <c r="BZ659">
        <v>0</v>
      </c>
      <c r="CA659">
        <v>0</v>
      </c>
      <c r="CB659">
        <v>0</v>
      </c>
      <c r="CC659" s="18">
        <v>0</v>
      </c>
      <c r="CD659">
        <v>1</v>
      </c>
      <c r="CE659">
        <v>1</v>
      </c>
      <c r="CF659">
        <v>0</v>
      </c>
      <c r="CG659">
        <v>0</v>
      </c>
      <c r="CH659">
        <v>1</v>
      </c>
      <c r="CI659">
        <v>1</v>
      </c>
      <c r="CJ659">
        <v>0</v>
      </c>
      <c r="CK659">
        <v>1</v>
      </c>
      <c r="CL659">
        <v>1</v>
      </c>
      <c r="CM659">
        <v>1</v>
      </c>
      <c r="CN659" s="18">
        <v>1</v>
      </c>
      <c r="CO659">
        <v>0.63</v>
      </c>
      <c r="CP659">
        <v>335</v>
      </c>
      <c r="CQ659">
        <v>1</v>
      </c>
      <c r="CR659">
        <v>0</v>
      </c>
      <c r="CS659">
        <v>12</v>
      </c>
      <c r="CY659" s="34"/>
    </row>
    <row r="660" spans="1:103" x14ac:dyDescent="0.25">
      <c r="A660">
        <v>659</v>
      </c>
      <c r="B660">
        <v>42</v>
      </c>
      <c r="C660" s="25" t="s">
        <v>446</v>
      </c>
      <c r="D660" s="12">
        <v>10.79316513508928</v>
      </c>
      <c r="E660" s="14">
        <v>0.89943042792410655</v>
      </c>
      <c r="F660" s="7">
        <v>12</v>
      </c>
      <c r="G660" s="7">
        <f t="shared" si="158"/>
        <v>9.8937347071651729</v>
      </c>
      <c r="H660" s="16">
        <f t="shared" si="159"/>
        <v>11.692595563013388</v>
      </c>
      <c r="I660" s="11">
        <f t="shared" si="163"/>
        <v>0.24150198296582928</v>
      </c>
      <c r="J660" s="33">
        <f t="shared" si="164"/>
        <v>2.0125165247152441E-2</v>
      </c>
      <c r="K660" s="33">
        <f t="shared" si="165"/>
        <v>49.689032995219378</v>
      </c>
      <c r="L660" s="8">
        <v>1</v>
      </c>
      <c r="M660" s="9">
        <v>0</v>
      </c>
      <c r="N660" s="8">
        <v>0</v>
      </c>
      <c r="O660" s="9">
        <v>0</v>
      </c>
      <c r="P660" s="9">
        <v>1</v>
      </c>
      <c r="Q660" s="9">
        <v>0</v>
      </c>
      <c r="R660" s="9">
        <v>0</v>
      </c>
      <c r="S660" s="8">
        <v>2351</v>
      </c>
      <c r="T660" s="9">
        <v>25</v>
      </c>
      <c r="U660" s="9">
        <f t="shared" si="160"/>
        <v>2325</v>
      </c>
      <c r="V660" s="9">
        <f t="shared" si="161"/>
        <v>24</v>
      </c>
      <c r="W660" s="7">
        <v>15</v>
      </c>
      <c r="X660" s="7">
        <f t="shared" si="166"/>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v>0</v>
      </c>
      <c r="BF660" s="18">
        <v>0</v>
      </c>
      <c r="BG660">
        <v>1</v>
      </c>
      <c r="BH660">
        <v>0</v>
      </c>
      <c r="BI660" s="18">
        <v>0</v>
      </c>
      <c r="BJ660">
        <v>23477</v>
      </c>
      <c r="BK660">
        <v>1423</v>
      </c>
      <c r="BL660" s="25">
        <v>50</v>
      </c>
      <c r="BM660">
        <v>0</v>
      </c>
      <c r="BN660">
        <v>0</v>
      </c>
      <c r="BO660">
        <v>1</v>
      </c>
      <c r="BP660">
        <v>0</v>
      </c>
      <c r="BQ660">
        <v>0</v>
      </c>
      <c r="BR660">
        <v>0</v>
      </c>
      <c r="BS660">
        <v>0</v>
      </c>
      <c r="BT660" s="18">
        <v>0</v>
      </c>
      <c r="BU660">
        <v>0</v>
      </c>
      <c r="BV660">
        <v>0</v>
      </c>
      <c r="BW660">
        <v>0</v>
      </c>
      <c r="BX660" s="18">
        <v>1</v>
      </c>
      <c r="BY660">
        <v>0</v>
      </c>
      <c r="BZ660">
        <v>0</v>
      </c>
      <c r="CA660">
        <v>0</v>
      </c>
      <c r="CB660">
        <v>0</v>
      </c>
      <c r="CC660" s="18">
        <v>0</v>
      </c>
      <c r="CD660">
        <v>1</v>
      </c>
      <c r="CE660">
        <v>1</v>
      </c>
      <c r="CF660">
        <v>0</v>
      </c>
      <c r="CG660">
        <v>0</v>
      </c>
      <c r="CH660">
        <v>1</v>
      </c>
      <c r="CI660">
        <v>1</v>
      </c>
      <c r="CJ660">
        <v>0</v>
      </c>
      <c r="CK660">
        <v>1</v>
      </c>
      <c r="CL660">
        <v>1</v>
      </c>
      <c r="CM660">
        <v>1</v>
      </c>
      <c r="CN660" s="18">
        <v>1</v>
      </c>
      <c r="CO660">
        <v>0.63</v>
      </c>
      <c r="CP660">
        <v>335</v>
      </c>
      <c r="CQ660">
        <v>1</v>
      </c>
      <c r="CR660">
        <v>0</v>
      </c>
      <c r="CS660">
        <v>12</v>
      </c>
      <c r="CY660" s="34"/>
    </row>
    <row r="661" spans="1:103" x14ac:dyDescent="0.25">
      <c r="A661">
        <v>660</v>
      </c>
      <c r="B661">
        <v>42</v>
      </c>
      <c r="C661" s="25" t="s">
        <v>446</v>
      </c>
      <c r="D661" s="12">
        <v>8.576704663796253</v>
      </c>
      <c r="E661" s="14">
        <v>1.225243523399465</v>
      </c>
      <c r="F661" s="7">
        <v>7.0000000000000009</v>
      </c>
      <c r="G661" s="7">
        <f t="shared" si="158"/>
        <v>7.351461140396788</v>
      </c>
      <c r="H661" s="16">
        <f t="shared" si="159"/>
        <v>9.8019481871957179</v>
      </c>
      <c r="I661" s="11">
        <f t="shared" si="163"/>
        <v>0.20198844988866643</v>
      </c>
      <c r="J661" s="33">
        <f t="shared" si="164"/>
        <v>2.8855492841238062E-2</v>
      </c>
      <c r="K661" s="33">
        <f t="shared" si="165"/>
        <v>34.655446902326915</v>
      </c>
      <c r="L661" s="8">
        <v>1</v>
      </c>
      <c r="M661" s="9">
        <v>0</v>
      </c>
      <c r="N661" s="8">
        <v>0</v>
      </c>
      <c r="O661" s="9">
        <v>0</v>
      </c>
      <c r="P661" s="9">
        <v>1</v>
      </c>
      <c r="Q661" s="9">
        <v>0</v>
      </c>
      <c r="R661" s="9">
        <v>0</v>
      </c>
      <c r="S661" s="8">
        <v>1178</v>
      </c>
      <c r="T661" s="9">
        <v>25</v>
      </c>
      <c r="U661" s="9">
        <f t="shared" si="160"/>
        <v>1152</v>
      </c>
      <c r="V661" s="9">
        <f t="shared" si="161"/>
        <v>24</v>
      </c>
      <c r="W661" s="7">
        <v>15</v>
      </c>
      <c r="X661" s="7">
        <f t="shared" si="166"/>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v>0</v>
      </c>
      <c r="BF661" s="18">
        <v>0</v>
      </c>
      <c r="BG661">
        <v>1</v>
      </c>
      <c r="BH661">
        <v>0</v>
      </c>
      <c r="BI661" s="18">
        <v>0</v>
      </c>
      <c r="BJ661">
        <v>23477</v>
      </c>
      <c r="BK661">
        <v>1423</v>
      </c>
      <c r="BL661" s="25">
        <v>41.5</v>
      </c>
      <c r="BM661">
        <v>0</v>
      </c>
      <c r="BN661">
        <v>0</v>
      </c>
      <c r="BO661">
        <v>1</v>
      </c>
      <c r="BP661">
        <v>0</v>
      </c>
      <c r="BQ661">
        <v>0</v>
      </c>
      <c r="BR661">
        <v>0</v>
      </c>
      <c r="BS661">
        <v>0</v>
      </c>
      <c r="BT661" s="18">
        <v>0</v>
      </c>
      <c r="BU661">
        <v>0</v>
      </c>
      <c r="BV661">
        <v>0</v>
      </c>
      <c r="BW661">
        <v>0</v>
      </c>
      <c r="BX661" s="18">
        <v>1</v>
      </c>
      <c r="BY661">
        <v>0</v>
      </c>
      <c r="BZ661">
        <v>0</v>
      </c>
      <c r="CA661">
        <v>0</v>
      </c>
      <c r="CB661">
        <v>0</v>
      </c>
      <c r="CC661" s="18">
        <v>0</v>
      </c>
      <c r="CD661">
        <v>1</v>
      </c>
      <c r="CE661">
        <v>1</v>
      </c>
      <c r="CF661">
        <v>0</v>
      </c>
      <c r="CG661">
        <v>0</v>
      </c>
      <c r="CH661">
        <v>1</v>
      </c>
      <c r="CI661">
        <v>1</v>
      </c>
      <c r="CJ661">
        <v>0</v>
      </c>
      <c r="CK661">
        <v>1</v>
      </c>
      <c r="CL661">
        <v>1</v>
      </c>
      <c r="CM661">
        <v>1</v>
      </c>
      <c r="CN661" s="18">
        <v>1</v>
      </c>
      <c r="CO661">
        <v>0.63</v>
      </c>
      <c r="CP661">
        <v>335</v>
      </c>
      <c r="CQ661">
        <v>1</v>
      </c>
      <c r="CR661">
        <v>0</v>
      </c>
      <c r="CS661">
        <v>12</v>
      </c>
      <c r="CY661" s="34"/>
    </row>
    <row r="662" spans="1:103" x14ac:dyDescent="0.25">
      <c r="A662">
        <v>661</v>
      </c>
      <c r="B662">
        <v>42</v>
      </c>
      <c r="C662" s="25" t="s">
        <v>446</v>
      </c>
      <c r="D662" s="12">
        <v>10.79316513508928</v>
      </c>
      <c r="E662" s="14">
        <v>0.89943042792410655</v>
      </c>
      <c r="F662" s="7">
        <v>12</v>
      </c>
      <c r="G662" s="7">
        <f t="shared" si="158"/>
        <v>9.8937347071651729</v>
      </c>
      <c r="H662" s="16">
        <f t="shared" si="159"/>
        <v>11.692595563013388</v>
      </c>
      <c r="I662" s="11">
        <f t="shared" si="163"/>
        <v>0.38293538776356167</v>
      </c>
      <c r="J662" s="33">
        <f t="shared" si="164"/>
        <v>3.1911282313630135E-2</v>
      </c>
      <c r="K662" s="33">
        <f t="shared" si="165"/>
        <v>31.336879231984799</v>
      </c>
      <c r="L662" s="8">
        <v>1</v>
      </c>
      <c r="M662" s="9">
        <v>0</v>
      </c>
      <c r="N662" s="8">
        <v>0</v>
      </c>
      <c r="O662" s="9">
        <v>0</v>
      </c>
      <c r="P662" s="9">
        <v>1</v>
      </c>
      <c r="Q662" s="9">
        <v>0</v>
      </c>
      <c r="R662" s="9">
        <v>0</v>
      </c>
      <c r="S662" s="8">
        <v>864</v>
      </c>
      <c r="T662" s="9">
        <v>25</v>
      </c>
      <c r="U662" s="9">
        <f t="shared" si="160"/>
        <v>838</v>
      </c>
      <c r="V662" s="9">
        <f t="shared" si="161"/>
        <v>24</v>
      </c>
      <c r="W662" s="7">
        <v>15</v>
      </c>
      <c r="X662" s="7">
        <f t="shared" si="166"/>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v>0</v>
      </c>
      <c r="BF662" s="18">
        <v>0</v>
      </c>
      <c r="BG662">
        <v>1</v>
      </c>
      <c r="BH662">
        <v>0</v>
      </c>
      <c r="BI662" s="18">
        <v>0</v>
      </c>
      <c r="BJ662">
        <v>23477</v>
      </c>
      <c r="BK662">
        <v>1423</v>
      </c>
      <c r="BL662" s="25">
        <v>41.5</v>
      </c>
      <c r="BM662">
        <v>0</v>
      </c>
      <c r="BN662">
        <v>0</v>
      </c>
      <c r="BO662">
        <v>1</v>
      </c>
      <c r="BP662">
        <v>0</v>
      </c>
      <c r="BQ662">
        <v>0</v>
      </c>
      <c r="BR662">
        <v>0</v>
      </c>
      <c r="BS662">
        <v>0</v>
      </c>
      <c r="BT662" s="18">
        <v>0</v>
      </c>
      <c r="BU662">
        <v>0</v>
      </c>
      <c r="BV662">
        <v>0</v>
      </c>
      <c r="BW662">
        <v>0</v>
      </c>
      <c r="BX662" s="18">
        <v>1</v>
      </c>
      <c r="BY662">
        <v>0</v>
      </c>
      <c r="BZ662">
        <v>0</v>
      </c>
      <c r="CA662">
        <v>0</v>
      </c>
      <c r="CB662">
        <v>0</v>
      </c>
      <c r="CC662" s="18">
        <v>0</v>
      </c>
      <c r="CD662">
        <v>1</v>
      </c>
      <c r="CE662">
        <v>1</v>
      </c>
      <c r="CF662">
        <v>0</v>
      </c>
      <c r="CG662">
        <v>0</v>
      </c>
      <c r="CH662">
        <v>1</v>
      </c>
      <c r="CI662">
        <v>1</v>
      </c>
      <c r="CJ662">
        <v>0</v>
      </c>
      <c r="CK662">
        <v>1</v>
      </c>
      <c r="CL662">
        <v>1</v>
      </c>
      <c r="CM662">
        <v>1</v>
      </c>
      <c r="CN662" s="18">
        <v>1</v>
      </c>
      <c r="CO662">
        <v>0.63</v>
      </c>
      <c r="CP662">
        <v>335</v>
      </c>
      <c r="CQ662">
        <v>1</v>
      </c>
      <c r="CR662">
        <v>0</v>
      </c>
      <c r="CS662">
        <v>12</v>
      </c>
      <c r="CY662" s="34"/>
    </row>
    <row r="663" spans="1:103" x14ac:dyDescent="0.25">
      <c r="A663">
        <v>662</v>
      </c>
      <c r="B663">
        <v>42</v>
      </c>
      <c r="C663" s="25" t="s">
        <v>446</v>
      </c>
      <c r="D663" s="12">
        <v>8.2932132831999397</v>
      </c>
      <c r="E663" s="14">
        <v>1.2286241901036949</v>
      </c>
      <c r="F663" s="7">
        <v>6.75</v>
      </c>
      <c r="G663" s="7">
        <f t="shared" si="158"/>
        <v>7.0645890930962452</v>
      </c>
      <c r="H663" s="16">
        <f t="shared" si="159"/>
        <v>9.5218374733036342</v>
      </c>
      <c r="I663" s="11">
        <f t="shared" si="163"/>
        <v>0.20021984068192275</v>
      </c>
      <c r="J663" s="33">
        <f t="shared" si="164"/>
        <v>2.9662198619544111E-2</v>
      </c>
      <c r="K663" s="33">
        <f t="shared" si="165"/>
        <v>33.712942618525602</v>
      </c>
      <c r="L663" s="8">
        <v>1</v>
      </c>
      <c r="M663" s="9">
        <v>0</v>
      </c>
      <c r="N663" s="8">
        <v>0</v>
      </c>
      <c r="O663" s="9">
        <v>0</v>
      </c>
      <c r="P663" s="9">
        <v>1</v>
      </c>
      <c r="Q663" s="9">
        <v>0</v>
      </c>
      <c r="R663" s="9">
        <v>0</v>
      </c>
      <c r="S663" s="8">
        <v>1117</v>
      </c>
      <c r="T663" s="9">
        <v>25</v>
      </c>
      <c r="U663" s="9">
        <f t="shared" si="160"/>
        <v>1091</v>
      </c>
      <c r="V663" s="9">
        <f t="shared" si="161"/>
        <v>24</v>
      </c>
      <c r="W663" s="7">
        <v>15</v>
      </c>
      <c r="X663" s="7">
        <f t="shared" si="166"/>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v>0</v>
      </c>
      <c r="BF663" s="18">
        <v>0</v>
      </c>
      <c r="BG663">
        <v>1</v>
      </c>
      <c r="BH663">
        <v>0</v>
      </c>
      <c r="BI663" s="18">
        <v>0</v>
      </c>
      <c r="BJ663">
        <v>23477</v>
      </c>
      <c r="BK663">
        <v>1423</v>
      </c>
      <c r="BL663" s="25">
        <v>41.5</v>
      </c>
      <c r="BM663">
        <v>0</v>
      </c>
      <c r="BN663">
        <v>0</v>
      </c>
      <c r="BO663">
        <v>1</v>
      </c>
      <c r="BP663">
        <v>0</v>
      </c>
      <c r="BQ663">
        <v>0</v>
      </c>
      <c r="BR663">
        <v>0</v>
      </c>
      <c r="BS663">
        <v>0</v>
      </c>
      <c r="BT663" s="18">
        <v>0</v>
      </c>
      <c r="BU663">
        <v>0</v>
      </c>
      <c r="BV663">
        <v>0</v>
      </c>
      <c r="BW663">
        <v>0</v>
      </c>
      <c r="BX663" s="18">
        <v>1</v>
      </c>
      <c r="BY663">
        <v>0</v>
      </c>
      <c r="BZ663">
        <v>0</v>
      </c>
      <c r="CA663">
        <v>0</v>
      </c>
      <c r="CB663">
        <v>0</v>
      </c>
      <c r="CC663" s="18">
        <v>0</v>
      </c>
      <c r="CD663">
        <v>1</v>
      </c>
      <c r="CE663">
        <v>1</v>
      </c>
      <c r="CF663">
        <v>0</v>
      </c>
      <c r="CG663">
        <v>0</v>
      </c>
      <c r="CH663">
        <v>1</v>
      </c>
      <c r="CI663">
        <v>1</v>
      </c>
      <c r="CJ663">
        <v>0</v>
      </c>
      <c r="CK663">
        <v>1</v>
      </c>
      <c r="CL663">
        <v>1</v>
      </c>
      <c r="CM663">
        <v>1</v>
      </c>
      <c r="CN663" s="18">
        <v>1</v>
      </c>
      <c r="CO663">
        <v>0.63</v>
      </c>
      <c r="CP663">
        <v>335</v>
      </c>
      <c r="CQ663">
        <v>1</v>
      </c>
      <c r="CR663">
        <v>0</v>
      </c>
      <c r="CS663">
        <v>12</v>
      </c>
      <c r="CY663" s="34"/>
    </row>
    <row r="664" spans="1:103" x14ac:dyDescent="0.25">
      <c r="A664">
        <v>663</v>
      </c>
      <c r="B664">
        <v>42</v>
      </c>
      <c r="C664" s="25" t="s">
        <v>446</v>
      </c>
      <c r="D664" s="12">
        <v>10.247377144973321</v>
      </c>
      <c r="E664" s="14">
        <v>0.90418033632117567</v>
      </c>
      <c r="F664" s="7">
        <v>11.33333333333333</v>
      </c>
      <c r="G664" s="7">
        <f t="shared" si="158"/>
        <v>9.3431968086521451</v>
      </c>
      <c r="H664" s="16">
        <f t="shared" si="159"/>
        <v>11.151557481294496</v>
      </c>
      <c r="I664" s="11">
        <f t="shared" si="163"/>
        <v>0.3619479884295474</v>
      </c>
      <c r="J664" s="33">
        <f t="shared" si="164"/>
        <v>3.1936587214371835E-2</v>
      </c>
      <c r="K664" s="33">
        <f t="shared" si="165"/>
        <v>31.312049508846343</v>
      </c>
      <c r="L664" s="8">
        <v>1</v>
      </c>
      <c r="M664" s="9">
        <v>0</v>
      </c>
      <c r="N664" s="8">
        <v>0</v>
      </c>
      <c r="O664" s="9">
        <v>0</v>
      </c>
      <c r="P664" s="9">
        <v>1</v>
      </c>
      <c r="Q664" s="9">
        <v>0</v>
      </c>
      <c r="R664" s="9">
        <v>0</v>
      </c>
      <c r="S664" s="8">
        <v>878</v>
      </c>
      <c r="T664" s="9">
        <v>25</v>
      </c>
      <c r="U664" s="9">
        <f t="shared" si="160"/>
        <v>852</v>
      </c>
      <c r="V664" s="9">
        <f t="shared" si="161"/>
        <v>24</v>
      </c>
      <c r="W664" s="7">
        <v>15</v>
      </c>
      <c r="X664" s="7">
        <f t="shared" si="166"/>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v>0</v>
      </c>
      <c r="BF664" s="18">
        <v>0</v>
      </c>
      <c r="BG664">
        <v>1</v>
      </c>
      <c r="BH664">
        <v>0</v>
      </c>
      <c r="BI664" s="18">
        <v>0</v>
      </c>
      <c r="BJ664">
        <v>23477</v>
      </c>
      <c r="BK664">
        <v>1423</v>
      </c>
      <c r="BL664" s="25">
        <v>41.5</v>
      </c>
      <c r="BM664">
        <v>0</v>
      </c>
      <c r="BN664">
        <v>0</v>
      </c>
      <c r="BO664">
        <v>1</v>
      </c>
      <c r="BP664">
        <v>0</v>
      </c>
      <c r="BQ664">
        <v>0</v>
      </c>
      <c r="BR664">
        <v>0</v>
      </c>
      <c r="BS664">
        <v>0</v>
      </c>
      <c r="BT664" s="18">
        <v>0</v>
      </c>
      <c r="BU664">
        <v>0</v>
      </c>
      <c r="BV664">
        <v>0</v>
      </c>
      <c r="BW664">
        <v>0</v>
      </c>
      <c r="BX664" s="18">
        <v>1</v>
      </c>
      <c r="BY664">
        <v>0</v>
      </c>
      <c r="BZ664">
        <v>0</v>
      </c>
      <c r="CA664">
        <v>0</v>
      </c>
      <c r="CB664">
        <v>0</v>
      </c>
      <c r="CC664" s="18">
        <v>0</v>
      </c>
      <c r="CD664">
        <v>1</v>
      </c>
      <c r="CE664">
        <v>1</v>
      </c>
      <c r="CF664">
        <v>0</v>
      </c>
      <c r="CG664">
        <v>0</v>
      </c>
      <c r="CH664">
        <v>1</v>
      </c>
      <c r="CI664">
        <v>1</v>
      </c>
      <c r="CJ664">
        <v>0</v>
      </c>
      <c r="CK664">
        <v>1</v>
      </c>
      <c r="CL664">
        <v>1</v>
      </c>
      <c r="CM664">
        <v>1</v>
      </c>
      <c r="CN664" s="18">
        <v>1</v>
      </c>
      <c r="CO664">
        <v>0.63</v>
      </c>
      <c r="CP664">
        <v>335</v>
      </c>
      <c r="CQ664">
        <v>1</v>
      </c>
      <c r="CR664">
        <v>0</v>
      </c>
      <c r="CS664">
        <v>12</v>
      </c>
      <c r="CY664" s="34"/>
    </row>
    <row r="665" spans="1:103" x14ac:dyDescent="0.25">
      <c r="A665">
        <v>664</v>
      </c>
      <c r="B665">
        <v>42</v>
      </c>
      <c r="C665" s="25" t="s">
        <v>446</v>
      </c>
      <c r="D665" s="12">
        <v>7.4337070988966358</v>
      </c>
      <c r="E665" s="14">
        <v>0.92921338736207948</v>
      </c>
      <c r="F665" s="7">
        <v>8</v>
      </c>
      <c r="G665" s="7">
        <f t="shared" si="158"/>
        <v>6.5044937115345567</v>
      </c>
      <c r="H665" s="16">
        <f t="shared" si="159"/>
        <v>8.3629204862587159</v>
      </c>
      <c r="I665" s="11">
        <f t="shared" si="163"/>
        <v>0.2290393337255473</v>
      </c>
      <c r="J665" s="33">
        <f t="shared" si="164"/>
        <v>2.8629916715693413E-2</v>
      </c>
      <c r="K665" s="33">
        <f t="shared" si="165"/>
        <v>34.928498393145958</v>
      </c>
      <c r="L665" s="8">
        <v>1</v>
      </c>
      <c r="M665" s="9">
        <v>0</v>
      </c>
      <c r="N665" s="8">
        <v>0</v>
      </c>
      <c r="O665" s="9">
        <v>0</v>
      </c>
      <c r="P665" s="9">
        <v>1</v>
      </c>
      <c r="Q665" s="9">
        <v>0</v>
      </c>
      <c r="R665" s="9">
        <v>0</v>
      </c>
      <c r="S665" s="8">
        <v>1182</v>
      </c>
      <c r="T665" s="9">
        <v>25</v>
      </c>
      <c r="U665" s="9">
        <f t="shared" si="160"/>
        <v>1156</v>
      </c>
      <c r="V665" s="9">
        <f t="shared" si="161"/>
        <v>24</v>
      </c>
      <c r="W665" s="7">
        <v>15</v>
      </c>
      <c r="X665" s="7">
        <f t="shared" si="166"/>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v>0</v>
      </c>
      <c r="BF665" s="18">
        <v>0</v>
      </c>
      <c r="BG665">
        <v>1</v>
      </c>
      <c r="BH665">
        <v>0</v>
      </c>
      <c r="BI665" s="18">
        <v>0</v>
      </c>
      <c r="BJ665">
        <v>23477</v>
      </c>
      <c r="BK665">
        <v>1423</v>
      </c>
      <c r="BL665" s="25">
        <v>37</v>
      </c>
      <c r="BM665">
        <v>0</v>
      </c>
      <c r="BN665">
        <v>0</v>
      </c>
      <c r="BO665">
        <v>1</v>
      </c>
      <c r="BP665">
        <v>0</v>
      </c>
      <c r="BQ665">
        <v>0</v>
      </c>
      <c r="BR665">
        <v>0</v>
      </c>
      <c r="BS665">
        <v>0</v>
      </c>
      <c r="BT665" s="18">
        <v>0</v>
      </c>
      <c r="BU665">
        <v>0</v>
      </c>
      <c r="BV665">
        <v>0</v>
      </c>
      <c r="BW665">
        <v>0</v>
      </c>
      <c r="BX665" s="18">
        <v>1</v>
      </c>
      <c r="BY665">
        <v>0</v>
      </c>
      <c r="BZ665">
        <v>0</v>
      </c>
      <c r="CA665">
        <v>0</v>
      </c>
      <c r="CB665">
        <v>0</v>
      </c>
      <c r="CC665" s="18">
        <v>0</v>
      </c>
      <c r="CD665">
        <v>1</v>
      </c>
      <c r="CE665">
        <v>1</v>
      </c>
      <c r="CF665">
        <v>0</v>
      </c>
      <c r="CG665">
        <v>0</v>
      </c>
      <c r="CH665">
        <v>1</v>
      </c>
      <c r="CI665">
        <v>1</v>
      </c>
      <c r="CJ665">
        <v>0</v>
      </c>
      <c r="CK665">
        <v>1</v>
      </c>
      <c r="CL665">
        <v>1</v>
      </c>
      <c r="CM665">
        <v>1</v>
      </c>
      <c r="CN665" s="18">
        <v>1</v>
      </c>
      <c r="CO665">
        <v>0.63</v>
      </c>
      <c r="CP665">
        <v>335</v>
      </c>
      <c r="CQ665">
        <v>1</v>
      </c>
      <c r="CR665">
        <v>0</v>
      </c>
      <c r="CS665">
        <v>12</v>
      </c>
      <c r="CY665" s="34"/>
    </row>
    <row r="666" spans="1:103" x14ac:dyDescent="0.25">
      <c r="A666">
        <v>665</v>
      </c>
      <c r="B666">
        <v>42</v>
      </c>
      <c r="C666" s="25" t="s">
        <v>446</v>
      </c>
      <c r="D666" s="12">
        <v>10.79316513508928</v>
      </c>
      <c r="E666" s="14">
        <v>0.89943042792410655</v>
      </c>
      <c r="F666" s="7">
        <v>12</v>
      </c>
      <c r="G666" s="7">
        <f t="shared" si="158"/>
        <v>9.8937347071651729</v>
      </c>
      <c r="H666" s="16">
        <f t="shared" si="159"/>
        <v>11.692595563013388</v>
      </c>
      <c r="I666" s="11">
        <f t="shared" si="163"/>
        <v>0.37121293493384755</v>
      </c>
      <c r="J666" s="33">
        <f t="shared" si="164"/>
        <v>3.09344112444873E-2</v>
      </c>
      <c r="K666" s="33">
        <f t="shared" si="165"/>
        <v>32.326459750489228</v>
      </c>
      <c r="L666" s="8">
        <v>1</v>
      </c>
      <c r="M666" s="9">
        <v>0</v>
      </c>
      <c r="N666" s="8">
        <v>0</v>
      </c>
      <c r="O666" s="9">
        <v>0</v>
      </c>
      <c r="P666" s="9">
        <v>1</v>
      </c>
      <c r="Q666" s="9">
        <v>0</v>
      </c>
      <c r="R666" s="9">
        <v>0</v>
      </c>
      <c r="S666" s="8">
        <v>927</v>
      </c>
      <c r="T666" s="9">
        <v>25</v>
      </c>
      <c r="U666" s="9">
        <f t="shared" si="160"/>
        <v>901</v>
      </c>
      <c r="V666" s="9">
        <f t="shared" si="161"/>
        <v>24</v>
      </c>
      <c r="W666" s="7">
        <v>15</v>
      </c>
      <c r="X666" s="7">
        <f t="shared" si="166"/>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v>0</v>
      </c>
      <c r="BF666" s="18">
        <v>0</v>
      </c>
      <c r="BG666">
        <v>1</v>
      </c>
      <c r="BH666">
        <v>0</v>
      </c>
      <c r="BI666" s="18">
        <v>0</v>
      </c>
      <c r="BJ666">
        <v>23477</v>
      </c>
      <c r="BK666">
        <v>1423</v>
      </c>
      <c r="BL666" s="25">
        <v>37</v>
      </c>
      <c r="BM666">
        <v>0</v>
      </c>
      <c r="BN666">
        <v>0</v>
      </c>
      <c r="BO666">
        <v>1</v>
      </c>
      <c r="BP666">
        <v>0</v>
      </c>
      <c r="BQ666">
        <v>0</v>
      </c>
      <c r="BR666">
        <v>0</v>
      </c>
      <c r="BS666">
        <v>0</v>
      </c>
      <c r="BT666" s="18">
        <v>0</v>
      </c>
      <c r="BU666">
        <v>0</v>
      </c>
      <c r="BV666">
        <v>0</v>
      </c>
      <c r="BW666">
        <v>0</v>
      </c>
      <c r="BX666" s="18">
        <v>1</v>
      </c>
      <c r="BY666">
        <v>0</v>
      </c>
      <c r="BZ666">
        <v>0</v>
      </c>
      <c r="CA666">
        <v>0</v>
      </c>
      <c r="CB666">
        <v>0</v>
      </c>
      <c r="CC666" s="18">
        <v>0</v>
      </c>
      <c r="CD666">
        <v>1</v>
      </c>
      <c r="CE666">
        <v>1</v>
      </c>
      <c r="CF666">
        <v>0</v>
      </c>
      <c r="CG666">
        <v>0</v>
      </c>
      <c r="CH666">
        <v>1</v>
      </c>
      <c r="CI666">
        <v>1</v>
      </c>
      <c r="CJ666">
        <v>0</v>
      </c>
      <c r="CK666">
        <v>1</v>
      </c>
      <c r="CL666">
        <v>1</v>
      </c>
      <c r="CM666">
        <v>1</v>
      </c>
      <c r="CN666" s="18">
        <v>1</v>
      </c>
      <c r="CO666">
        <v>0.63</v>
      </c>
      <c r="CP666">
        <v>335</v>
      </c>
      <c r="CQ666">
        <v>1</v>
      </c>
      <c r="CR666">
        <v>0</v>
      </c>
      <c r="CS666">
        <v>12</v>
      </c>
      <c r="CY666" s="34"/>
    </row>
    <row r="667" spans="1:103" x14ac:dyDescent="0.25">
      <c r="A667">
        <v>666</v>
      </c>
      <c r="B667">
        <v>42</v>
      </c>
      <c r="C667" s="25" t="s">
        <v>446</v>
      </c>
      <c r="D667" s="12">
        <v>7.7217345015941907</v>
      </c>
      <c r="E667" s="14">
        <v>0.92660814019130278</v>
      </c>
      <c r="F667" s="7">
        <v>8.3333333333333339</v>
      </c>
      <c r="G667" s="7">
        <f t="shared" si="158"/>
        <v>6.7951263614028878</v>
      </c>
      <c r="H667" s="16">
        <f t="shared" si="159"/>
        <v>8.6483426417854936</v>
      </c>
      <c r="I667" s="11">
        <f t="shared" si="163"/>
        <v>0.24316581196735815</v>
      </c>
      <c r="J667" s="33">
        <f t="shared" si="164"/>
        <v>2.9179897436082972E-2</v>
      </c>
      <c r="K667" s="33">
        <f t="shared" si="165"/>
        <v>34.270168433266335</v>
      </c>
      <c r="L667" s="8">
        <v>1</v>
      </c>
      <c r="M667" s="9">
        <v>0</v>
      </c>
      <c r="N667" s="8">
        <v>0</v>
      </c>
      <c r="O667" s="9">
        <v>0</v>
      </c>
      <c r="P667" s="9">
        <v>1</v>
      </c>
      <c r="Q667" s="9">
        <v>0</v>
      </c>
      <c r="R667" s="9">
        <v>0</v>
      </c>
      <c r="S667" s="8">
        <v>1131</v>
      </c>
      <c r="T667" s="9">
        <v>25</v>
      </c>
      <c r="U667" s="9">
        <f t="shared" si="160"/>
        <v>1105</v>
      </c>
      <c r="V667" s="9">
        <f t="shared" si="161"/>
        <v>24</v>
      </c>
      <c r="W667" s="7">
        <v>15</v>
      </c>
      <c r="X667" s="7">
        <f t="shared" si="166"/>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v>0</v>
      </c>
      <c r="BF667" s="18">
        <v>0</v>
      </c>
      <c r="BG667">
        <v>1</v>
      </c>
      <c r="BH667">
        <v>0</v>
      </c>
      <c r="BI667" s="18">
        <v>0</v>
      </c>
      <c r="BJ667">
        <v>23477</v>
      </c>
      <c r="BK667">
        <v>1423</v>
      </c>
      <c r="BL667" s="25">
        <v>37</v>
      </c>
      <c r="BM667">
        <v>0</v>
      </c>
      <c r="BN667">
        <v>0</v>
      </c>
      <c r="BO667">
        <v>1</v>
      </c>
      <c r="BP667">
        <v>0</v>
      </c>
      <c r="BQ667">
        <v>0</v>
      </c>
      <c r="BR667">
        <v>0</v>
      </c>
      <c r="BS667">
        <v>0</v>
      </c>
      <c r="BT667" s="18">
        <v>0</v>
      </c>
      <c r="BU667">
        <v>0</v>
      </c>
      <c r="BV667">
        <v>0</v>
      </c>
      <c r="BW667">
        <v>0</v>
      </c>
      <c r="BX667" s="18">
        <v>1</v>
      </c>
      <c r="BY667">
        <v>0</v>
      </c>
      <c r="BZ667">
        <v>0</v>
      </c>
      <c r="CA667">
        <v>0</v>
      </c>
      <c r="CB667">
        <v>0</v>
      </c>
      <c r="CC667" s="18">
        <v>0</v>
      </c>
      <c r="CD667">
        <v>1</v>
      </c>
      <c r="CE667">
        <v>1</v>
      </c>
      <c r="CF667">
        <v>0</v>
      </c>
      <c r="CG667">
        <v>0</v>
      </c>
      <c r="CH667">
        <v>1</v>
      </c>
      <c r="CI667">
        <v>1</v>
      </c>
      <c r="CJ667">
        <v>0</v>
      </c>
      <c r="CK667">
        <v>1</v>
      </c>
      <c r="CL667">
        <v>1</v>
      </c>
      <c r="CM667">
        <v>1</v>
      </c>
      <c r="CN667" s="18">
        <v>1</v>
      </c>
      <c r="CO667">
        <v>0.63</v>
      </c>
      <c r="CP667">
        <v>335</v>
      </c>
      <c r="CQ667">
        <v>1</v>
      </c>
      <c r="CR667">
        <v>0</v>
      </c>
      <c r="CS667">
        <v>12</v>
      </c>
      <c r="CY667" s="34"/>
    </row>
    <row r="668" spans="1:103" x14ac:dyDescent="0.25">
      <c r="A668">
        <v>667</v>
      </c>
      <c r="B668">
        <v>42</v>
      </c>
      <c r="C668" s="25" t="s">
        <v>446</v>
      </c>
      <c r="D668" s="12">
        <v>12.399086461422669</v>
      </c>
      <c r="E668" s="14">
        <v>0.88564903295876207</v>
      </c>
      <c r="F668" s="7">
        <v>14</v>
      </c>
      <c r="G668" s="7">
        <f t="shared" si="158"/>
        <v>11.513437428463908</v>
      </c>
      <c r="H668" s="16">
        <f t="shared" si="159"/>
        <v>13.284735494381431</v>
      </c>
      <c r="I668" s="11">
        <f t="shared" si="163"/>
        <v>0.40016336533252062</v>
      </c>
      <c r="J668" s="33">
        <f t="shared" si="164"/>
        <v>2.8583097523751475E-2</v>
      </c>
      <c r="K668" s="33">
        <f t="shared" si="165"/>
        <v>34.985711369071801</v>
      </c>
      <c r="L668" s="8">
        <v>1</v>
      </c>
      <c r="M668" s="9">
        <v>0</v>
      </c>
      <c r="N668" s="8">
        <v>0</v>
      </c>
      <c r="O668" s="9">
        <v>0</v>
      </c>
      <c r="P668" s="9">
        <v>1</v>
      </c>
      <c r="Q668" s="9">
        <v>0</v>
      </c>
      <c r="R668" s="9">
        <v>0</v>
      </c>
      <c r="S668" s="8">
        <v>1054</v>
      </c>
      <c r="T668" s="9">
        <v>25</v>
      </c>
      <c r="U668" s="9">
        <f t="shared" si="160"/>
        <v>1028</v>
      </c>
      <c r="V668" s="9">
        <f t="shared" si="161"/>
        <v>24</v>
      </c>
      <c r="W668" s="7">
        <v>15</v>
      </c>
      <c r="X668" s="7">
        <f t="shared" si="166"/>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v>0</v>
      </c>
      <c r="BF668" s="18">
        <v>0</v>
      </c>
      <c r="BG668">
        <v>1</v>
      </c>
      <c r="BH668">
        <v>0</v>
      </c>
      <c r="BI668" s="18">
        <v>0</v>
      </c>
      <c r="BJ668">
        <v>23477</v>
      </c>
      <c r="BK668">
        <v>1423</v>
      </c>
      <c r="BL668" s="25">
        <v>37</v>
      </c>
      <c r="BM668">
        <v>0</v>
      </c>
      <c r="BN668">
        <v>0</v>
      </c>
      <c r="BO668">
        <v>1</v>
      </c>
      <c r="BP668">
        <v>0</v>
      </c>
      <c r="BQ668">
        <v>0</v>
      </c>
      <c r="BR668">
        <v>0</v>
      </c>
      <c r="BS668">
        <v>0</v>
      </c>
      <c r="BT668" s="18">
        <v>0</v>
      </c>
      <c r="BU668">
        <v>0</v>
      </c>
      <c r="BV668">
        <v>0</v>
      </c>
      <c r="BW668">
        <v>0</v>
      </c>
      <c r="BX668" s="18">
        <v>1</v>
      </c>
      <c r="BY668">
        <v>0</v>
      </c>
      <c r="BZ668">
        <v>0</v>
      </c>
      <c r="CA668">
        <v>0</v>
      </c>
      <c r="CB668">
        <v>0</v>
      </c>
      <c r="CC668" s="18">
        <v>0</v>
      </c>
      <c r="CD668">
        <v>1</v>
      </c>
      <c r="CE668">
        <v>1</v>
      </c>
      <c r="CF668">
        <v>0</v>
      </c>
      <c r="CG668">
        <v>0</v>
      </c>
      <c r="CH668">
        <v>1</v>
      </c>
      <c r="CI668">
        <v>1</v>
      </c>
      <c r="CJ668">
        <v>0</v>
      </c>
      <c r="CK668">
        <v>1</v>
      </c>
      <c r="CL668">
        <v>1</v>
      </c>
      <c r="CM668">
        <v>1</v>
      </c>
      <c r="CN668" s="18">
        <v>1</v>
      </c>
      <c r="CO668">
        <v>0.63</v>
      </c>
      <c r="CP668">
        <v>335</v>
      </c>
      <c r="CQ668">
        <v>1</v>
      </c>
      <c r="CR668">
        <v>0</v>
      </c>
      <c r="CS668">
        <v>12</v>
      </c>
      <c r="CY668" s="34"/>
    </row>
    <row r="669" spans="1:103" x14ac:dyDescent="0.25">
      <c r="A669">
        <v>668</v>
      </c>
      <c r="B669">
        <v>42</v>
      </c>
      <c r="C669" s="25" t="s">
        <v>446</v>
      </c>
      <c r="D669" s="12">
        <v>7.1441269690773126</v>
      </c>
      <c r="E669" s="14">
        <v>0.93184264814051909</v>
      </c>
      <c r="F669" s="7">
        <v>7.666666666666667</v>
      </c>
      <c r="G669" s="7">
        <f t="shared" si="158"/>
        <v>6.2122843209367939</v>
      </c>
      <c r="H669" s="16">
        <f t="shared" si="159"/>
        <v>8.0759696172178312</v>
      </c>
      <c r="I669" s="11">
        <f t="shared" si="163"/>
        <v>0.21273510241648885</v>
      </c>
      <c r="J669" s="33">
        <f t="shared" si="164"/>
        <v>2.7748056836933325E-2</v>
      </c>
      <c r="K669" s="33">
        <f t="shared" si="165"/>
        <v>36.038559596323736</v>
      </c>
      <c r="L669" s="8">
        <v>1</v>
      </c>
      <c r="M669" s="9">
        <v>0</v>
      </c>
      <c r="N669" s="8">
        <v>0</v>
      </c>
      <c r="O669" s="9">
        <v>0</v>
      </c>
      <c r="P669" s="9">
        <v>1</v>
      </c>
      <c r="Q669" s="9">
        <v>0</v>
      </c>
      <c r="R669" s="9">
        <v>0</v>
      </c>
      <c r="S669" s="8">
        <v>1266</v>
      </c>
      <c r="T669" s="9">
        <v>25</v>
      </c>
      <c r="U669" s="9">
        <f t="shared" si="160"/>
        <v>1240</v>
      </c>
      <c r="V669" s="9">
        <f t="shared" si="161"/>
        <v>24</v>
      </c>
      <c r="W669" s="7">
        <v>15</v>
      </c>
      <c r="X669" s="7">
        <f t="shared" si="166"/>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v>0</v>
      </c>
      <c r="BF669" s="18">
        <v>0</v>
      </c>
      <c r="BG669">
        <v>1</v>
      </c>
      <c r="BH669">
        <v>0</v>
      </c>
      <c r="BI669" s="18">
        <v>0</v>
      </c>
      <c r="BJ669">
        <v>23477</v>
      </c>
      <c r="BK669">
        <v>1423</v>
      </c>
      <c r="BL669" s="25">
        <v>33</v>
      </c>
      <c r="BM669">
        <v>0</v>
      </c>
      <c r="BN669">
        <v>0</v>
      </c>
      <c r="BO669">
        <v>1</v>
      </c>
      <c r="BP669">
        <v>0</v>
      </c>
      <c r="BQ669">
        <v>0</v>
      </c>
      <c r="BR669">
        <v>0</v>
      </c>
      <c r="BS669">
        <v>0</v>
      </c>
      <c r="BT669" s="18">
        <v>0</v>
      </c>
      <c r="BU669">
        <v>0</v>
      </c>
      <c r="BV669">
        <v>0</v>
      </c>
      <c r="BW669">
        <v>0</v>
      </c>
      <c r="BX669" s="18">
        <v>1</v>
      </c>
      <c r="BY669">
        <v>0</v>
      </c>
      <c r="BZ669">
        <v>0</v>
      </c>
      <c r="CA669">
        <v>0</v>
      </c>
      <c r="CB669">
        <v>0</v>
      </c>
      <c r="CC669" s="18">
        <v>0</v>
      </c>
      <c r="CD669">
        <v>1</v>
      </c>
      <c r="CE669">
        <v>1</v>
      </c>
      <c r="CF669">
        <v>0</v>
      </c>
      <c r="CG669">
        <v>0</v>
      </c>
      <c r="CH669">
        <v>1</v>
      </c>
      <c r="CI669">
        <v>1</v>
      </c>
      <c r="CJ669">
        <v>0</v>
      </c>
      <c r="CK669">
        <v>1</v>
      </c>
      <c r="CL669">
        <v>1</v>
      </c>
      <c r="CM669">
        <v>1</v>
      </c>
      <c r="CN669" s="18">
        <v>1</v>
      </c>
      <c r="CO669">
        <v>0.63</v>
      </c>
      <c r="CP669">
        <v>335</v>
      </c>
      <c r="CQ669">
        <v>1</v>
      </c>
      <c r="CR669">
        <v>0</v>
      </c>
      <c r="CS669">
        <v>12</v>
      </c>
      <c r="CY669" s="34"/>
    </row>
    <row r="670" spans="1:103" x14ac:dyDescent="0.25">
      <c r="A670">
        <v>669</v>
      </c>
      <c r="B670">
        <v>42</v>
      </c>
      <c r="C670" s="25" t="s">
        <v>446</v>
      </c>
      <c r="D670" s="12">
        <v>12.13461704540997</v>
      </c>
      <c r="E670" s="14">
        <v>0.88789880820072942</v>
      </c>
      <c r="F670" s="7">
        <v>13.66666666666667</v>
      </c>
      <c r="G670" s="7">
        <f t="shared" si="158"/>
        <v>11.24671823720924</v>
      </c>
      <c r="H670" s="16">
        <f t="shared" si="159"/>
        <v>13.022515853610699</v>
      </c>
      <c r="I670" s="11">
        <f t="shared" si="163"/>
        <v>0.39035228877848893</v>
      </c>
      <c r="J670" s="33">
        <f t="shared" si="164"/>
        <v>2.8562362593547969E-2</v>
      </c>
      <c r="K670" s="33">
        <f t="shared" si="165"/>
        <v>35.01110934800235</v>
      </c>
      <c r="L670" s="8">
        <v>1</v>
      </c>
      <c r="M670" s="9">
        <v>0</v>
      </c>
      <c r="N670" s="8">
        <v>0</v>
      </c>
      <c r="O670" s="9">
        <v>0</v>
      </c>
      <c r="P670" s="9">
        <v>1</v>
      </c>
      <c r="Q670" s="9">
        <v>0</v>
      </c>
      <c r="R670" s="9">
        <v>0</v>
      </c>
      <c r="S670" s="8">
        <v>1065</v>
      </c>
      <c r="T670" s="9">
        <v>25</v>
      </c>
      <c r="U670" s="9">
        <f t="shared" si="160"/>
        <v>1039</v>
      </c>
      <c r="V670" s="9">
        <f t="shared" si="161"/>
        <v>24</v>
      </c>
      <c r="W670" s="7">
        <v>15</v>
      </c>
      <c r="X670" s="7">
        <f t="shared" si="166"/>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v>0</v>
      </c>
      <c r="BF670" s="18">
        <v>0</v>
      </c>
      <c r="BG670">
        <v>1</v>
      </c>
      <c r="BH670">
        <v>0</v>
      </c>
      <c r="BI670" s="18">
        <v>0</v>
      </c>
      <c r="BJ670">
        <v>23477</v>
      </c>
      <c r="BK670">
        <v>1423</v>
      </c>
      <c r="BL670" s="25">
        <v>33</v>
      </c>
      <c r="BM670">
        <v>0</v>
      </c>
      <c r="BN670">
        <v>0</v>
      </c>
      <c r="BO670">
        <v>1</v>
      </c>
      <c r="BP670">
        <v>0</v>
      </c>
      <c r="BQ670">
        <v>0</v>
      </c>
      <c r="BR670">
        <v>0</v>
      </c>
      <c r="BS670">
        <v>0</v>
      </c>
      <c r="BT670" s="18">
        <v>0</v>
      </c>
      <c r="BU670">
        <v>0</v>
      </c>
      <c r="BV670">
        <v>0</v>
      </c>
      <c r="BW670">
        <v>0</v>
      </c>
      <c r="BX670" s="18">
        <v>1</v>
      </c>
      <c r="BY670">
        <v>0</v>
      </c>
      <c r="BZ670">
        <v>0</v>
      </c>
      <c r="CA670">
        <v>0</v>
      </c>
      <c r="CB670">
        <v>0</v>
      </c>
      <c r="CC670" s="18">
        <v>0</v>
      </c>
      <c r="CD670">
        <v>1</v>
      </c>
      <c r="CE670">
        <v>1</v>
      </c>
      <c r="CF670">
        <v>0</v>
      </c>
      <c r="CG670">
        <v>0</v>
      </c>
      <c r="CH670">
        <v>1</v>
      </c>
      <c r="CI670">
        <v>1</v>
      </c>
      <c r="CJ670">
        <v>0</v>
      </c>
      <c r="CK670">
        <v>1</v>
      </c>
      <c r="CL670">
        <v>1</v>
      </c>
      <c r="CM670">
        <v>1</v>
      </c>
      <c r="CN670" s="18">
        <v>1</v>
      </c>
      <c r="CO670">
        <v>0.63</v>
      </c>
      <c r="CP670">
        <v>335</v>
      </c>
      <c r="CQ670">
        <v>1</v>
      </c>
      <c r="CR670">
        <v>0</v>
      </c>
      <c r="CS670">
        <v>12</v>
      </c>
      <c r="CY670" s="34"/>
    </row>
    <row r="671" spans="1:103" x14ac:dyDescent="0.25">
      <c r="A671">
        <v>670</v>
      </c>
      <c r="B671">
        <v>42</v>
      </c>
      <c r="C671" s="25" t="s">
        <v>446</v>
      </c>
      <c r="D671" s="12">
        <v>6.56022367666107</v>
      </c>
      <c r="E671" s="14">
        <v>0.93717481095158139</v>
      </c>
      <c r="F671" s="7">
        <v>7</v>
      </c>
      <c r="G671" s="7">
        <f t="shared" si="158"/>
        <v>5.6230488657094888</v>
      </c>
      <c r="H671" s="16">
        <f t="shared" si="159"/>
        <v>7.4973984876126512</v>
      </c>
      <c r="I671" s="11">
        <f t="shared" si="163"/>
        <v>0.2069593385961789</v>
      </c>
      <c r="J671" s="33">
        <f t="shared" si="164"/>
        <v>2.9565619799454129E-2</v>
      </c>
      <c r="K671" s="33">
        <f t="shared" si="165"/>
        <v>33.823069050575526</v>
      </c>
      <c r="L671" s="8">
        <v>1</v>
      </c>
      <c r="M671" s="9">
        <v>0</v>
      </c>
      <c r="N671" s="8">
        <v>0</v>
      </c>
      <c r="O671" s="9">
        <v>0</v>
      </c>
      <c r="P671" s="9">
        <v>1</v>
      </c>
      <c r="Q671" s="9">
        <v>0</v>
      </c>
      <c r="R671" s="9">
        <v>0</v>
      </c>
      <c r="S671" s="8">
        <v>1121</v>
      </c>
      <c r="T671" s="9">
        <v>25</v>
      </c>
      <c r="U671" s="9">
        <f t="shared" si="160"/>
        <v>1095</v>
      </c>
      <c r="V671" s="9">
        <f t="shared" si="161"/>
        <v>24</v>
      </c>
      <c r="W671" s="7">
        <v>15</v>
      </c>
      <c r="X671" s="7">
        <f t="shared" si="166"/>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v>0</v>
      </c>
      <c r="BF671" s="18">
        <v>0</v>
      </c>
      <c r="BG671">
        <v>1</v>
      </c>
      <c r="BH671">
        <v>0</v>
      </c>
      <c r="BI671" s="18">
        <v>0</v>
      </c>
      <c r="BJ671">
        <v>23477</v>
      </c>
      <c r="BK671">
        <v>1423</v>
      </c>
      <c r="BL671" s="25">
        <v>33</v>
      </c>
      <c r="BM671">
        <v>0</v>
      </c>
      <c r="BN671">
        <v>0</v>
      </c>
      <c r="BO671">
        <v>1</v>
      </c>
      <c r="BP671">
        <v>0</v>
      </c>
      <c r="BQ671">
        <v>0</v>
      </c>
      <c r="BR671">
        <v>0</v>
      </c>
      <c r="BS671">
        <v>0</v>
      </c>
      <c r="BT671" s="18">
        <v>0</v>
      </c>
      <c r="BU671">
        <v>0</v>
      </c>
      <c r="BV671">
        <v>0</v>
      </c>
      <c r="BW671">
        <v>0</v>
      </c>
      <c r="BX671" s="18">
        <v>1</v>
      </c>
      <c r="BY671">
        <v>0</v>
      </c>
      <c r="BZ671">
        <v>0</v>
      </c>
      <c r="CA671">
        <v>0</v>
      </c>
      <c r="CB671">
        <v>0</v>
      </c>
      <c r="CC671" s="18">
        <v>0</v>
      </c>
      <c r="CD671">
        <v>1</v>
      </c>
      <c r="CE671">
        <v>1</v>
      </c>
      <c r="CF671">
        <v>0</v>
      </c>
      <c r="CG671">
        <v>0</v>
      </c>
      <c r="CH671">
        <v>1</v>
      </c>
      <c r="CI671">
        <v>1</v>
      </c>
      <c r="CJ671">
        <v>0</v>
      </c>
      <c r="CK671">
        <v>1</v>
      </c>
      <c r="CL671">
        <v>1</v>
      </c>
      <c r="CM671">
        <v>1</v>
      </c>
      <c r="CN671" s="18">
        <v>1</v>
      </c>
      <c r="CO671">
        <v>0.63</v>
      </c>
      <c r="CP671">
        <v>335</v>
      </c>
      <c r="CQ671">
        <v>1</v>
      </c>
      <c r="CR671">
        <v>0</v>
      </c>
      <c r="CS671">
        <v>12</v>
      </c>
      <c r="CY671" s="34"/>
    </row>
    <row r="672" spans="1:103" x14ac:dyDescent="0.25">
      <c r="A672">
        <v>671</v>
      </c>
      <c r="B672">
        <v>42</v>
      </c>
      <c r="C672" s="25" t="s">
        <v>446</v>
      </c>
      <c r="D672" s="12">
        <v>11.064054147667219</v>
      </c>
      <c r="E672" s="14">
        <v>0.89708547143247763</v>
      </c>
      <c r="F672" s="7">
        <v>12.33333333333333</v>
      </c>
      <c r="G672" s="7">
        <f t="shared" si="158"/>
        <v>10.166968676234742</v>
      </c>
      <c r="H672" s="16">
        <f t="shared" si="159"/>
        <v>11.961139619099697</v>
      </c>
      <c r="I672" s="11">
        <f t="shared" si="163"/>
        <v>0.36383079663301104</v>
      </c>
      <c r="J672" s="33">
        <f t="shared" si="164"/>
        <v>2.9499794321595496E-2</v>
      </c>
      <c r="K672" s="33">
        <f t="shared" si="165"/>
        <v>33.898541430437845</v>
      </c>
      <c r="L672" s="8">
        <v>1</v>
      </c>
      <c r="M672" s="9">
        <v>0</v>
      </c>
      <c r="N672" s="8">
        <v>0</v>
      </c>
      <c r="O672" s="9">
        <v>0</v>
      </c>
      <c r="P672" s="9">
        <v>1</v>
      </c>
      <c r="Q672" s="9">
        <v>0</v>
      </c>
      <c r="R672" s="9">
        <v>0</v>
      </c>
      <c r="S672" s="8">
        <v>1023</v>
      </c>
      <c r="T672" s="9">
        <v>25</v>
      </c>
      <c r="U672" s="9">
        <f t="shared" si="160"/>
        <v>997</v>
      </c>
      <c r="V672" s="9">
        <f t="shared" si="161"/>
        <v>24</v>
      </c>
      <c r="W672" s="7">
        <v>15</v>
      </c>
      <c r="X672" s="7">
        <f t="shared" si="166"/>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v>0</v>
      </c>
      <c r="BF672" s="18">
        <v>0</v>
      </c>
      <c r="BG672">
        <v>1</v>
      </c>
      <c r="BH672">
        <v>0</v>
      </c>
      <c r="BI672" s="18">
        <v>0</v>
      </c>
      <c r="BJ672">
        <v>23477</v>
      </c>
      <c r="BK672">
        <v>1423</v>
      </c>
      <c r="BL672" s="25">
        <v>33</v>
      </c>
      <c r="BM672">
        <v>0</v>
      </c>
      <c r="BN672">
        <v>0</v>
      </c>
      <c r="BO672">
        <v>1</v>
      </c>
      <c r="BP672">
        <v>0</v>
      </c>
      <c r="BQ672">
        <v>0</v>
      </c>
      <c r="BR672">
        <v>0</v>
      </c>
      <c r="BS672">
        <v>0</v>
      </c>
      <c r="BT672" s="18">
        <v>0</v>
      </c>
      <c r="BU672">
        <v>0</v>
      </c>
      <c r="BV672">
        <v>0</v>
      </c>
      <c r="BW672">
        <v>0</v>
      </c>
      <c r="BX672" s="18">
        <v>1</v>
      </c>
      <c r="BY672">
        <v>0</v>
      </c>
      <c r="BZ672">
        <v>0</v>
      </c>
      <c r="CA672">
        <v>0</v>
      </c>
      <c r="CB672">
        <v>0</v>
      </c>
      <c r="CC672" s="18">
        <v>0</v>
      </c>
      <c r="CD672">
        <v>1</v>
      </c>
      <c r="CE672">
        <v>1</v>
      </c>
      <c r="CF672">
        <v>0</v>
      </c>
      <c r="CG672">
        <v>0</v>
      </c>
      <c r="CH672">
        <v>1</v>
      </c>
      <c r="CI672">
        <v>1</v>
      </c>
      <c r="CJ672">
        <v>0</v>
      </c>
      <c r="CK672">
        <v>1</v>
      </c>
      <c r="CL672">
        <v>1</v>
      </c>
      <c r="CM672">
        <v>1</v>
      </c>
      <c r="CN672" s="18">
        <v>1</v>
      </c>
      <c r="CO672">
        <v>0.63</v>
      </c>
      <c r="CP672">
        <v>335</v>
      </c>
      <c r="CQ672">
        <v>1</v>
      </c>
      <c r="CR672">
        <v>0</v>
      </c>
      <c r="CS672">
        <v>12</v>
      </c>
      <c r="CY672" s="34"/>
    </row>
    <row r="673" spans="1:103" x14ac:dyDescent="0.25">
      <c r="A673">
        <v>672</v>
      </c>
      <c r="B673">
        <v>42</v>
      </c>
      <c r="C673" s="25" t="s">
        <v>446</v>
      </c>
      <c r="D673" s="12">
        <v>7.7217345015941907</v>
      </c>
      <c r="E673" s="14">
        <v>0.92660814019130278</v>
      </c>
      <c r="F673" s="7">
        <v>8.3333333333333339</v>
      </c>
      <c r="G673" s="7">
        <f t="shared" si="158"/>
        <v>6.7951263614028878</v>
      </c>
      <c r="H673" s="16">
        <f t="shared" si="159"/>
        <v>8.6483426417854936</v>
      </c>
      <c r="I673" s="11">
        <f t="shared" si="163"/>
        <v>0.23379806622491348</v>
      </c>
      <c r="J673" s="33">
        <f t="shared" si="164"/>
        <v>2.8055767946989611E-2</v>
      </c>
      <c r="K673" s="33">
        <f t="shared" si="165"/>
        <v>35.643294522875472</v>
      </c>
      <c r="L673" s="8">
        <v>1</v>
      </c>
      <c r="M673" s="9">
        <v>0</v>
      </c>
      <c r="N673" s="8">
        <v>0</v>
      </c>
      <c r="O673" s="9">
        <v>0</v>
      </c>
      <c r="P673" s="9">
        <v>1</v>
      </c>
      <c r="Q673" s="9">
        <v>0</v>
      </c>
      <c r="R673" s="9">
        <v>0</v>
      </c>
      <c r="S673" s="8">
        <v>1227</v>
      </c>
      <c r="T673" s="9">
        <v>25</v>
      </c>
      <c r="U673" s="9">
        <f t="shared" si="160"/>
        <v>1201</v>
      </c>
      <c r="V673" s="9">
        <f t="shared" si="161"/>
        <v>24</v>
      </c>
      <c r="W673" s="7">
        <v>15</v>
      </c>
      <c r="X673" s="7">
        <f t="shared" si="166"/>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v>0</v>
      </c>
      <c r="BF673" s="18">
        <v>0</v>
      </c>
      <c r="BG673">
        <v>1</v>
      </c>
      <c r="BH673">
        <v>0</v>
      </c>
      <c r="BI673" s="18">
        <v>0</v>
      </c>
      <c r="BJ673">
        <v>23477</v>
      </c>
      <c r="BK673">
        <v>1423</v>
      </c>
      <c r="BL673" s="25">
        <v>29</v>
      </c>
      <c r="BM673">
        <v>0</v>
      </c>
      <c r="BN673">
        <v>0</v>
      </c>
      <c r="BO673">
        <v>1</v>
      </c>
      <c r="BP673">
        <v>0</v>
      </c>
      <c r="BQ673">
        <v>0</v>
      </c>
      <c r="BR673">
        <v>0</v>
      </c>
      <c r="BS673">
        <v>0</v>
      </c>
      <c r="BT673" s="18">
        <v>0</v>
      </c>
      <c r="BU673">
        <v>0</v>
      </c>
      <c r="BV673">
        <v>0</v>
      </c>
      <c r="BW673">
        <v>0</v>
      </c>
      <c r="BX673" s="18">
        <v>1</v>
      </c>
      <c r="BY673">
        <v>0</v>
      </c>
      <c r="BZ673">
        <v>0</v>
      </c>
      <c r="CA673">
        <v>0</v>
      </c>
      <c r="CB673">
        <v>0</v>
      </c>
      <c r="CC673" s="18">
        <v>0</v>
      </c>
      <c r="CD673">
        <v>1</v>
      </c>
      <c r="CE673">
        <v>1</v>
      </c>
      <c r="CF673">
        <v>0</v>
      </c>
      <c r="CG673">
        <v>0</v>
      </c>
      <c r="CH673">
        <v>1</v>
      </c>
      <c r="CI673">
        <v>1</v>
      </c>
      <c r="CJ673">
        <v>0</v>
      </c>
      <c r="CK673">
        <v>1</v>
      </c>
      <c r="CL673">
        <v>1</v>
      </c>
      <c r="CM673">
        <v>1</v>
      </c>
      <c r="CN673" s="18">
        <v>1</v>
      </c>
      <c r="CO673">
        <v>0.63</v>
      </c>
      <c r="CP673">
        <v>335</v>
      </c>
      <c r="CQ673">
        <v>1</v>
      </c>
      <c r="CR673">
        <v>0</v>
      </c>
      <c r="CS673">
        <v>12</v>
      </c>
      <c r="CY673" s="34"/>
    </row>
    <row r="674" spans="1:103" x14ac:dyDescent="0.25">
      <c r="A674">
        <v>673</v>
      </c>
      <c r="B674">
        <v>42</v>
      </c>
      <c r="C674" s="25" t="s">
        <v>446</v>
      </c>
      <c r="D674" s="12">
        <v>9.6961310486523686</v>
      </c>
      <c r="E674" s="14">
        <v>0.90901228581115945</v>
      </c>
      <c r="F674" s="7">
        <v>10.66666666666667</v>
      </c>
      <c r="G674" s="7">
        <f t="shared" si="158"/>
        <v>8.7871187628412084</v>
      </c>
      <c r="H674" s="16">
        <f t="shared" si="159"/>
        <v>10.605143334463529</v>
      </c>
      <c r="I674" s="11">
        <f t="shared" si="163"/>
        <v>0.31002279841319574</v>
      </c>
      <c r="J674" s="33">
        <f t="shared" si="164"/>
        <v>2.9064637351237089E-2</v>
      </c>
      <c r="K674" s="33">
        <f t="shared" si="165"/>
        <v>34.406071815564445</v>
      </c>
      <c r="L674" s="8">
        <v>1</v>
      </c>
      <c r="M674" s="9">
        <v>0</v>
      </c>
      <c r="N674" s="8">
        <v>0</v>
      </c>
      <c r="O674" s="9">
        <v>0</v>
      </c>
      <c r="P674" s="9">
        <v>1</v>
      </c>
      <c r="Q674" s="9">
        <v>0</v>
      </c>
      <c r="R674" s="9">
        <v>0</v>
      </c>
      <c r="S674" s="8">
        <v>1096</v>
      </c>
      <c r="T674" s="9">
        <v>25</v>
      </c>
      <c r="U674" s="9">
        <f t="shared" si="160"/>
        <v>1070</v>
      </c>
      <c r="V674" s="9">
        <f t="shared" si="161"/>
        <v>24</v>
      </c>
      <c r="W674" s="7">
        <v>15</v>
      </c>
      <c r="X674" s="7">
        <f t="shared" si="166"/>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v>0</v>
      </c>
      <c r="BF674" s="18">
        <v>0</v>
      </c>
      <c r="BG674">
        <v>1</v>
      </c>
      <c r="BH674">
        <v>0</v>
      </c>
      <c r="BI674" s="18">
        <v>0</v>
      </c>
      <c r="BJ674">
        <v>23477</v>
      </c>
      <c r="BK674">
        <v>1423</v>
      </c>
      <c r="BL674" s="25">
        <v>29</v>
      </c>
      <c r="BM674">
        <v>0</v>
      </c>
      <c r="BN674">
        <v>0</v>
      </c>
      <c r="BO674">
        <v>1</v>
      </c>
      <c r="BP674">
        <v>0</v>
      </c>
      <c r="BQ674">
        <v>0</v>
      </c>
      <c r="BR674">
        <v>0</v>
      </c>
      <c r="BS674">
        <v>0</v>
      </c>
      <c r="BT674" s="18">
        <v>0</v>
      </c>
      <c r="BU674">
        <v>0</v>
      </c>
      <c r="BV674">
        <v>0</v>
      </c>
      <c r="BW674">
        <v>0</v>
      </c>
      <c r="BX674" s="18">
        <v>1</v>
      </c>
      <c r="BY674">
        <v>0</v>
      </c>
      <c r="BZ674">
        <v>0</v>
      </c>
      <c r="CA674">
        <v>0</v>
      </c>
      <c r="CB674">
        <v>0</v>
      </c>
      <c r="CC674" s="18">
        <v>0</v>
      </c>
      <c r="CD674">
        <v>1</v>
      </c>
      <c r="CE674">
        <v>1</v>
      </c>
      <c r="CF674">
        <v>0</v>
      </c>
      <c r="CG674">
        <v>0</v>
      </c>
      <c r="CH674">
        <v>1</v>
      </c>
      <c r="CI674">
        <v>1</v>
      </c>
      <c r="CJ674">
        <v>0</v>
      </c>
      <c r="CK674">
        <v>1</v>
      </c>
      <c r="CL674">
        <v>1</v>
      </c>
      <c r="CM674">
        <v>1</v>
      </c>
      <c r="CN674" s="18">
        <v>1</v>
      </c>
      <c r="CO674">
        <v>0.63</v>
      </c>
      <c r="CP674">
        <v>335</v>
      </c>
      <c r="CQ674">
        <v>1</v>
      </c>
      <c r="CR674">
        <v>0</v>
      </c>
      <c r="CS674">
        <v>12</v>
      </c>
      <c r="CY674" s="34"/>
    </row>
    <row r="675" spans="1:103" x14ac:dyDescent="0.25">
      <c r="A675">
        <v>674</v>
      </c>
      <c r="B675">
        <v>42</v>
      </c>
      <c r="C675" s="25" t="s">
        <v>446</v>
      </c>
      <c r="D675" s="12">
        <v>6.56022367666107</v>
      </c>
      <c r="E675" s="14">
        <v>0.93717481095158139</v>
      </c>
      <c r="F675" s="7">
        <v>7</v>
      </c>
      <c r="G675" s="7">
        <f t="shared" si="158"/>
        <v>5.6230488657094888</v>
      </c>
      <c r="H675" s="16">
        <f t="shared" si="159"/>
        <v>7.4973984876126512</v>
      </c>
      <c r="I675" s="11">
        <f t="shared" si="163"/>
        <v>0.2001634654952085</v>
      </c>
      <c r="J675" s="33">
        <f t="shared" si="164"/>
        <v>2.8594780785029781E-2</v>
      </c>
      <c r="K675" s="33">
        <f t="shared" si="165"/>
        <v>34.971416900091427</v>
      </c>
      <c r="L675" s="8">
        <v>1</v>
      </c>
      <c r="M675" s="9">
        <v>0</v>
      </c>
      <c r="N675" s="8">
        <v>0</v>
      </c>
      <c r="O675" s="9">
        <v>0</v>
      </c>
      <c r="P675" s="9">
        <v>1</v>
      </c>
      <c r="Q675" s="9">
        <v>0</v>
      </c>
      <c r="R675" s="9">
        <v>0</v>
      </c>
      <c r="S675" s="8">
        <v>1200</v>
      </c>
      <c r="T675" s="9">
        <v>25</v>
      </c>
      <c r="U675" s="9">
        <f t="shared" si="160"/>
        <v>1174</v>
      </c>
      <c r="V675" s="9">
        <f t="shared" si="161"/>
        <v>24</v>
      </c>
      <c r="W675" s="7">
        <v>15</v>
      </c>
      <c r="X675" s="7">
        <f t="shared" si="166"/>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v>0</v>
      </c>
      <c r="BF675" s="18">
        <v>0</v>
      </c>
      <c r="BG675">
        <v>1</v>
      </c>
      <c r="BH675">
        <v>0</v>
      </c>
      <c r="BI675" s="18">
        <v>0</v>
      </c>
      <c r="BJ675">
        <v>23477</v>
      </c>
      <c r="BK675">
        <v>1423</v>
      </c>
      <c r="BL675" s="25">
        <v>29</v>
      </c>
      <c r="BM675">
        <v>0</v>
      </c>
      <c r="BN675">
        <v>0</v>
      </c>
      <c r="BO675">
        <v>1</v>
      </c>
      <c r="BP675">
        <v>0</v>
      </c>
      <c r="BQ675">
        <v>0</v>
      </c>
      <c r="BR675">
        <v>0</v>
      </c>
      <c r="BS675">
        <v>0</v>
      </c>
      <c r="BT675" s="18">
        <v>0</v>
      </c>
      <c r="BU675">
        <v>0</v>
      </c>
      <c r="BV675">
        <v>0</v>
      </c>
      <c r="BW675">
        <v>0</v>
      </c>
      <c r="BX675" s="18">
        <v>1</v>
      </c>
      <c r="BY675">
        <v>0</v>
      </c>
      <c r="BZ675">
        <v>0</v>
      </c>
      <c r="CA675">
        <v>0</v>
      </c>
      <c r="CB675">
        <v>0</v>
      </c>
      <c r="CC675" s="18">
        <v>0</v>
      </c>
      <c r="CD675">
        <v>1</v>
      </c>
      <c r="CE675">
        <v>1</v>
      </c>
      <c r="CF675">
        <v>0</v>
      </c>
      <c r="CG675">
        <v>0</v>
      </c>
      <c r="CH675">
        <v>1</v>
      </c>
      <c r="CI675">
        <v>1</v>
      </c>
      <c r="CJ675">
        <v>0</v>
      </c>
      <c r="CK675">
        <v>1</v>
      </c>
      <c r="CL675">
        <v>1</v>
      </c>
      <c r="CM675">
        <v>1</v>
      </c>
      <c r="CN675" s="18">
        <v>1</v>
      </c>
      <c r="CO675">
        <v>0.63</v>
      </c>
      <c r="CP675">
        <v>335</v>
      </c>
      <c r="CQ675">
        <v>1</v>
      </c>
      <c r="CR675">
        <v>0</v>
      </c>
      <c r="CS675">
        <v>12</v>
      </c>
      <c r="CY675" s="34"/>
    </row>
    <row r="676" spans="1:103" x14ac:dyDescent="0.25">
      <c r="A676">
        <v>675</v>
      </c>
      <c r="B676">
        <v>42</v>
      </c>
      <c r="C676" s="25" t="s">
        <v>446</v>
      </c>
      <c r="D676" s="12">
        <v>9.9724448886266757</v>
      </c>
      <c r="E676" s="14">
        <v>0.90658589896606123</v>
      </c>
      <c r="F676" s="7">
        <v>11</v>
      </c>
      <c r="G676" s="7">
        <f t="shared" si="158"/>
        <v>9.0658589896606152</v>
      </c>
      <c r="H676" s="16">
        <f t="shared" si="159"/>
        <v>10.879030787592736</v>
      </c>
      <c r="I676" s="11">
        <f t="shared" si="163"/>
        <v>0.30117212300636642</v>
      </c>
      <c r="J676" s="33">
        <f t="shared" si="164"/>
        <v>2.7379283909669677E-2</v>
      </c>
      <c r="K676" s="33">
        <f t="shared" si="165"/>
        <v>36.523964735499348</v>
      </c>
      <c r="L676" s="8">
        <v>1</v>
      </c>
      <c r="M676" s="9">
        <v>0</v>
      </c>
      <c r="N676" s="8">
        <v>0</v>
      </c>
      <c r="O676" s="9">
        <v>0</v>
      </c>
      <c r="P676" s="9">
        <v>1</v>
      </c>
      <c r="Q676" s="9">
        <v>0</v>
      </c>
      <c r="R676" s="9">
        <v>0</v>
      </c>
      <c r="S676" s="8">
        <v>1239</v>
      </c>
      <c r="T676" s="9">
        <v>25</v>
      </c>
      <c r="U676" s="9">
        <f t="shared" si="160"/>
        <v>1213</v>
      </c>
      <c r="V676" s="9">
        <f t="shared" si="161"/>
        <v>24</v>
      </c>
      <c r="W676" s="7">
        <v>15</v>
      </c>
      <c r="X676" s="7">
        <f t="shared" si="166"/>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v>0</v>
      </c>
      <c r="BF676" s="18">
        <v>0</v>
      </c>
      <c r="BG676">
        <v>1</v>
      </c>
      <c r="BH676">
        <v>0</v>
      </c>
      <c r="BI676" s="18">
        <v>0</v>
      </c>
      <c r="BJ676">
        <v>23477</v>
      </c>
      <c r="BK676">
        <v>1423</v>
      </c>
      <c r="BL676" s="25">
        <v>29</v>
      </c>
      <c r="BM676">
        <v>0</v>
      </c>
      <c r="BN676">
        <v>0</v>
      </c>
      <c r="BO676">
        <v>1</v>
      </c>
      <c r="BP676">
        <v>0</v>
      </c>
      <c r="BQ676">
        <v>0</v>
      </c>
      <c r="BR676">
        <v>0</v>
      </c>
      <c r="BS676">
        <v>0</v>
      </c>
      <c r="BT676" s="18">
        <v>0</v>
      </c>
      <c r="BU676">
        <v>0</v>
      </c>
      <c r="BV676">
        <v>0</v>
      </c>
      <c r="BW676">
        <v>0</v>
      </c>
      <c r="BX676" s="18">
        <v>1</v>
      </c>
      <c r="BY676">
        <v>0</v>
      </c>
      <c r="BZ676">
        <v>0</v>
      </c>
      <c r="CA676">
        <v>0</v>
      </c>
      <c r="CB676">
        <v>0</v>
      </c>
      <c r="CC676" s="18">
        <v>0</v>
      </c>
      <c r="CD676">
        <v>1</v>
      </c>
      <c r="CE676">
        <v>1</v>
      </c>
      <c r="CF676">
        <v>0</v>
      </c>
      <c r="CG676">
        <v>0</v>
      </c>
      <c r="CH676">
        <v>1</v>
      </c>
      <c r="CI676">
        <v>1</v>
      </c>
      <c r="CJ676">
        <v>0</v>
      </c>
      <c r="CK676">
        <v>1</v>
      </c>
      <c r="CL676">
        <v>1</v>
      </c>
      <c r="CM676">
        <v>1</v>
      </c>
      <c r="CN676" s="18">
        <v>1</v>
      </c>
      <c r="CO676">
        <v>0.63</v>
      </c>
      <c r="CP676">
        <v>335</v>
      </c>
      <c r="CQ676">
        <v>1</v>
      </c>
      <c r="CR676">
        <v>0</v>
      </c>
      <c r="CS676">
        <v>12</v>
      </c>
      <c r="CY676" s="34"/>
    </row>
    <row r="677" spans="1:103" x14ac:dyDescent="0.25">
      <c r="A677">
        <v>676</v>
      </c>
      <c r="B677">
        <v>42</v>
      </c>
      <c r="C677" s="25" t="s">
        <v>446</v>
      </c>
      <c r="D677" s="12">
        <v>6.56022367666107</v>
      </c>
      <c r="E677" s="14">
        <v>1.249566414602109</v>
      </c>
      <c r="F677" s="7">
        <v>5.25</v>
      </c>
      <c r="G677" s="7">
        <f t="shared" si="158"/>
        <v>5.3106572620589612</v>
      </c>
      <c r="H677" s="16">
        <f t="shared" si="159"/>
        <v>7.8097900912631788</v>
      </c>
      <c r="I677" s="11">
        <f t="shared" si="163"/>
        <v>0.19175883294520565</v>
      </c>
      <c r="J677" s="33">
        <f t="shared" si="164"/>
        <v>3.6525491989562987E-2</v>
      </c>
      <c r="K677" s="33">
        <f t="shared" si="165"/>
        <v>27.378139089426803</v>
      </c>
      <c r="L677" s="8">
        <v>1</v>
      </c>
      <c r="M677" s="9">
        <v>0</v>
      </c>
      <c r="N677" s="8">
        <v>0</v>
      </c>
      <c r="O677" s="9">
        <v>0</v>
      </c>
      <c r="P677" s="9">
        <v>1</v>
      </c>
      <c r="Q677" s="9">
        <v>0</v>
      </c>
      <c r="R677" s="9">
        <v>0</v>
      </c>
      <c r="S677" s="8">
        <v>748</v>
      </c>
      <c r="T677" s="9">
        <v>25</v>
      </c>
      <c r="U677" s="9">
        <f t="shared" si="160"/>
        <v>722</v>
      </c>
      <c r="V677" s="9">
        <f t="shared" si="161"/>
        <v>24</v>
      </c>
      <c r="W677" s="7">
        <v>15</v>
      </c>
      <c r="X677" s="7">
        <f t="shared" si="166"/>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v>0</v>
      </c>
      <c r="BF677" s="18">
        <v>0</v>
      </c>
      <c r="BG677">
        <v>1</v>
      </c>
      <c r="BH677">
        <v>0</v>
      </c>
      <c r="BI677" s="18">
        <v>0</v>
      </c>
      <c r="BJ677">
        <v>23477</v>
      </c>
      <c r="BK677">
        <v>1423</v>
      </c>
      <c r="BL677" s="25">
        <v>27</v>
      </c>
      <c r="BM677">
        <v>0</v>
      </c>
      <c r="BN677">
        <v>0</v>
      </c>
      <c r="BO677">
        <v>1</v>
      </c>
      <c r="BP677">
        <v>0</v>
      </c>
      <c r="BQ677">
        <v>0</v>
      </c>
      <c r="BR677">
        <v>0</v>
      </c>
      <c r="BS677">
        <v>0</v>
      </c>
      <c r="BT677" s="18">
        <v>0</v>
      </c>
      <c r="BU677">
        <v>0</v>
      </c>
      <c r="BV677">
        <v>0</v>
      </c>
      <c r="BW677">
        <v>0</v>
      </c>
      <c r="BX677" s="18">
        <v>1</v>
      </c>
      <c r="BY677">
        <v>0</v>
      </c>
      <c r="BZ677">
        <v>0</v>
      </c>
      <c r="CA677">
        <v>0</v>
      </c>
      <c r="CB677">
        <v>0</v>
      </c>
      <c r="CC677" s="18">
        <v>0</v>
      </c>
      <c r="CD677">
        <v>1</v>
      </c>
      <c r="CE677">
        <v>1</v>
      </c>
      <c r="CF677">
        <v>0</v>
      </c>
      <c r="CG677">
        <v>0</v>
      </c>
      <c r="CH677">
        <v>1</v>
      </c>
      <c r="CI677">
        <v>1</v>
      </c>
      <c r="CJ677">
        <v>0</v>
      </c>
      <c r="CK677">
        <v>1</v>
      </c>
      <c r="CL677">
        <v>1</v>
      </c>
      <c r="CM677">
        <v>1</v>
      </c>
      <c r="CN677" s="18">
        <v>1</v>
      </c>
      <c r="CO677">
        <v>0.63</v>
      </c>
      <c r="CP677">
        <v>335</v>
      </c>
      <c r="CQ677">
        <v>1</v>
      </c>
      <c r="CR677">
        <v>0</v>
      </c>
      <c r="CS677">
        <v>12</v>
      </c>
      <c r="CY677" s="34"/>
    </row>
    <row r="678" spans="1:103" x14ac:dyDescent="0.25">
      <c r="A678">
        <v>677</v>
      </c>
      <c r="B678">
        <v>42</v>
      </c>
      <c r="C678" s="25" t="s">
        <v>446</v>
      </c>
      <c r="D678" s="12">
        <v>7.7217345015941907</v>
      </c>
      <c r="E678" s="14">
        <v>0.92660814019130278</v>
      </c>
      <c r="F678" s="7">
        <v>8.3333333333333339</v>
      </c>
      <c r="G678" s="7">
        <f t="shared" si="158"/>
        <v>6.7951263614028878</v>
      </c>
      <c r="H678" s="16">
        <f t="shared" si="159"/>
        <v>8.6483426417854936</v>
      </c>
      <c r="I678" s="11">
        <f t="shared" si="163"/>
        <v>0.2883101727057103</v>
      </c>
      <c r="J678" s="33">
        <f t="shared" si="164"/>
        <v>3.4597220724685233E-2</v>
      </c>
      <c r="K678" s="33">
        <f t="shared" si="165"/>
        <v>28.904055847656476</v>
      </c>
      <c r="L678" s="8">
        <v>1</v>
      </c>
      <c r="M678" s="9">
        <v>0</v>
      </c>
      <c r="N678" s="8">
        <v>0</v>
      </c>
      <c r="O678" s="9">
        <v>0</v>
      </c>
      <c r="P678" s="9">
        <v>1</v>
      </c>
      <c r="Q678" s="9">
        <v>0</v>
      </c>
      <c r="R678" s="9">
        <v>0</v>
      </c>
      <c r="S678" s="8">
        <v>792</v>
      </c>
      <c r="T678" s="9">
        <v>25</v>
      </c>
      <c r="U678" s="9">
        <f t="shared" si="160"/>
        <v>766</v>
      </c>
      <c r="V678" s="9">
        <f t="shared" si="161"/>
        <v>24</v>
      </c>
      <c r="W678" s="7">
        <v>15</v>
      </c>
      <c r="X678" s="7">
        <f t="shared" si="166"/>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v>0</v>
      </c>
      <c r="BF678" s="18">
        <v>0</v>
      </c>
      <c r="BG678">
        <v>1</v>
      </c>
      <c r="BH678">
        <v>0</v>
      </c>
      <c r="BI678" s="18">
        <v>0</v>
      </c>
      <c r="BJ678">
        <v>23477</v>
      </c>
      <c r="BK678">
        <v>1423</v>
      </c>
      <c r="BL678" s="25">
        <v>27</v>
      </c>
      <c r="BM678">
        <v>0</v>
      </c>
      <c r="BN678">
        <v>0</v>
      </c>
      <c r="BO678">
        <v>1</v>
      </c>
      <c r="BP678">
        <v>0</v>
      </c>
      <c r="BQ678">
        <v>0</v>
      </c>
      <c r="BR678">
        <v>0</v>
      </c>
      <c r="BS678">
        <v>0</v>
      </c>
      <c r="BT678" s="18">
        <v>0</v>
      </c>
      <c r="BU678">
        <v>0</v>
      </c>
      <c r="BV678">
        <v>0</v>
      </c>
      <c r="BW678">
        <v>0</v>
      </c>
      <c r="BX678" s="18">
        <v>1</v>
      </c>
      <c r="BY678">
        <v>0</v>
      </c>
      <c r="BZ678">
        <v>0</v>
      </c>
      <c r="CA678">
        <v>0</v>
      </c>
      <c r="CB678">
        <v>0</v>
      </c>
      <c r="CC678" s="18">
        <v>0</v>
      </c>
      <c r="CD678">
        <v>1</v>
      </c>
      <c r="CE678">
        <v>1</v>
      </c>
      <c r="CF678">
        <v>0</v>
      </c>
      <c r="CG678">
        <v>0</v>
      </c>
      <c r="CH678">
        <v>1</v>
      </c>
      <c r="CI678">
        <v>1</v>
      </c>
      <c r="CJ678">
        <v>0</v>
      </c>
      <c r="CK678">
        <v>1</v>
      </c>
      <c r="CL678">
        <v>1</v>
      </c>
      <c r="CM678">
        <v>1</v>
      </c>
      <c r="CN678" s="18">
        <v>1</v>
      </c>
      <c r="CO678">
        <v>0.63</v>
      </c>
      <c r="CP678">
        <v>335</v>
      </c>
      <c r="CQ678">
        <v>1</v>
      </c>
      <c r="CR678">
        <v>0</v>
      </c>
      <c r="CS678">
        <v>12</v>
      </c>
      <c r="CY678" s="34"/>
    </row>
    <row r="679" spans="1:103" x14ac:dyDescent="0.25">
      <c r="A679">
        <v>678</v>
      </c>
      <c r="B679">
        <v>42</v>
      </c>
      <c r="C679" s="25" t="s">
        <v>446</v>
      </c>
      <c r="D679" s="12">
        <v>4.7689553171647248</v>
      </c>
      <c r="E679" s="14">
        <v>1.2717214179105929</v>
      </c>
      <c r="F679" s="7">
        <v>3.75</v>
      </c>
      <c r="G679" s="7">
        <f t="shared" si="158"/>
        <v>3.4972338992541321</v>
      </c>
      <c r="H679" s="16">
        <f t="shared" si="159"/>
        <v>6.0406767350753174</v>
      </c>
      <c r="I679" s="11">
        <f t="shared" si="163"/>
        <v>0.15321285325897388</v>
      </c>
      <c r="J679" s="33">
        <f t="shared" si="164"/>
        <v>4.0856760869059705E-2</v>
      </c>
      <c r="K679" s="33">
        <f t="shared" si="165"/>
        <v>24.475753308121082</v>
      </c>
      <c r="L679" s="8">
        <v>1</v>
      </c>
      <c r="M679" s="9">
        <v>0</v>
      </c>
      <c r="N679" s="8">
        <v>0</v>
      </c>
      <c r="O679" s="9">
        <v>0</v>
      </c>
      <c r="P679" s="9">
        <v>1</v>
      </c>
      <c r="Q679" s="9">
        <v>0</v>
      </c>
      <c r="R679" s="9">
        <v>0</v>
      </c>
      <c r="S679" s="8">
        <v>611</v>
      </c>
      <c r="T679" s="9">
        <v>25</v>
      </c>
      <c r="U679" s="9">
        <f t="shared" si="160"/>
        <v>585</v>
      </c>
      <c r="V679" s="9">
        <f t="shared" si="161"/>
        <v>24</v>
      </c>
      <c r="W679" s="7">
        <v>15</v>
      </c>
      <c r="X679" s="7">
        <f t="shared" si="166"/>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v>0</v>
      </c>
      <c r="BF679" s="18">
        <v>0</v>
      </c>
      <c r="BG679">
        <v>1</v>
      </c>
      <c r="BH679">
        <v>0</v>
      </c>
      <c r="BI679" s="18">
        <v>0</v>
      </c>
      <c r="BJ679">
        <v>23477</v>
      </c>
      <c r="BK679">
        <v>1423</v>
      </c>
      <c r="BL679" s="25">
        <v>27</v>
      </c>
      <c r="BM679">
        <v>0</v>
      </c>
      <c r="BN679">
        <v>0</v>
      </c>
      <c r="BO679">
        <v>1</v>
      </c>
      <c r="BP679">
        <v>0</v>
      </c>
      <c r="BQ679">
        <v>0</v>
      </c>
      <c r="BR679">
        <v>0</v>
      </c>
      <c r="BS679">
        <v>0</v>
      </c>
      <c r="BT679" s="18">
        <v>0</v>
      </c>
      <c r="BU679">
        <v>0</v>
      </c>
      <c r="BV679">
        <v>0</v>
      </c>
      <c r="BW679">
        <v>0</v>
      </c>
      <c r="BX679" s="18">
        <v>1</v>
      </c>
      <c r="BY679">
        <v>0</v>
      </c>
      <c r="BZ679">
        <v>0</v>
      </c>
      <c r="CA679">
        <v>0</v>
      </c>
      <c r="CB679">
        <v>0</v>
      </c>
      <c r="CC679" s="18">
        <v>0</v>
      </c>
      <c r="CD679">
        <v>1</v>
      </c>
      <c r="CE679">
        <v>1</v>
      </c>
      <c r="CF679">
        <v>0</v>
      </c>
      <c r="CG679">
        <v>0</v>
      </c>
      <c r="CH679">
        <v>1</v>
      </c>
      <c r="CI679">
        <v>1</v>
      </c>
      <c r="CJ679">
        <v>0</v>
      </c>
      <c r="CK679">
        <v>1</v>
      </c>
      <c r="CL679">
        <v>1</v>
      </c>
      <c r="CM679">
        <v>1</v>
      </c>
      <c r="CN679" s="18">
        <v>1</v>
      </c>
      <c r="CO679">
        <v>0.63</v>
      </c>
      <c r="CP679">
        <v>335</v>
      </c>
      <c r="CQ679">
        <v>1</v>
      </c>
      <c r="CR679">
        <v>0</v>
      </c>
      <c r="CS679">
        <v>12</v>
      </c>
      <c r="CY679" s="34"/>
    </row>
    <row r="680" spans="1:103" s="142" customFormat="1" x14ac:dyDescent="0.25">
      <c r="A680" s="142">
        <v>679</v>
      </c>
      <c r="B680" s="142">
        <v>42</v>
      </c>
      <c r="C680" s="143" t="s">
        <v>446</v>
      </c>
      <c r="D680" s="144">
        <v>6.56022367666107</v>
      </c>
      <c r="E680" s="145">
        <v>0.93717481095158139</v>
      </c>
      <c r="F680" s="146">
        <v>7</v>
      </c>
      <c r="G680" s="146">
        <f t="shared" si="158"/>
        <v>5.6230488657094888</v>
      </c>
      <c r="H680" s="147">
        <f t="shared" si="159"/>
        <v>7.4973984876126512</v>
      </c>
      <c r="I680" s="11">
        <f t="shared" si="163"/>
        <v>0.25611660664261082</v>
      </c>
      <c r="J680" s="33">
        <f t="shared" si="164"/>
        <v>3.6588086663230115E-2</v>
      </c>
      <c r="K680" s="33">
        <f t="shared" si="165"/>
        <v>27.331300737432898</v>
      </c>
      <c r="L680" s="149">
        <v>1</v>
      </c>
      <c r="M680" s="150">
        <v>0</v>
      </c>
      <c r="N680" s="149">
        <v>0</v>
      </c>
      <c r="O680" s="150">
        <v>0</v>
      </c>
      <c r="P680" s="150">
        <v>1</v>
      </c>
      <c r="Q680" s="150">
        <v>0</v>
      </c>
      <c r="R680" s="150">
        <v>0</v>
      </c>
      <c r="S680" s="149">
        <v>724</v>
      </c>
      <c r="T680" s="150">
        <v>25</v>
      </c>
      <c r="U680" s="150">
        <f t="shared" si="160"/>
        <v>698</v>
      </c>
      <c r="V680" s="150">
        <f t="shared" si="161"/>
        <v>24</v>
      </c>
      <c r="W680" s="146">
        <v>15</v>
      </c>
      <c r="X680" s="146">
        <f t="shared" si="166"/>
        <v>6</v>
      </c>
      <c r="Y680" s="150">
        <v>0</v>
      </c>
      <c r="Z680" s="150">
        <v>1</v>
      </c>
      <c r="AA680" s="150">
        <v>1</v>
      </c>
      <c r="AB680" s="150">
        <v>0</v>
      </c>
      <c r="AC680" s="150">
        <v>0</v>
      </c>
      <c r="AD680" s="150">
        <v>0</v>
      </c>
      <c r="AE680" s="149">
        <v>0</v>
      </c>
      <c r="AF680" s="150">
        <v>1</v>
      </c>
      <c r="AG680" s="151">
        <v>0</v>
      </c>
      <c r="AH680" s="150">
        <v>0</v>
      </c>
      <c r="AI680" s="151">
        <v>1</v>
      </c>
      <c r="AJ680" s="152">
        <v>1999</v>
      </c>
      <c r="AK680" s="148">
        <v>0</v>
      </c>
      <c r="AL680" s="148">
        <v>0</v>
      </c>
      <c r="AM680" s="148">
        <v>0</v>
      </c>
      <c r="AN680" s="153">
        <v>1</v>
      </c>
      <c r="AO680" s="154">
        <v>1</v>
      </c>
      <c r="AP680" s="155">
        <v>0</v>
      </c>
      <c r="AQ680" s="142">
        <v>0</v>
      </c>
      <c r="AR680" s="156">
        <v>1</v>
      </c>
      <c r="AS680" s="142" t="s">
        <v>98</v>
      </c>
      <c r="AT680" s="156" t="s">
        <v>98</v>
      </c>
      <c r="AU680">
        <v>1</v>
      </c>
      <c r="AV680" s="155">
        <v>0</v>
      </c>
      <c r="AW680" s="142" t="s">
        <v>98</v>
      </c>
      <c r="AX680" s="155" t="s">
        <v>98</v>
      </c>
      <c r="AY680" s="155" t="s">
        <v>329</v>
      </c>
      <c r="AZ680">
        <v>1</v>
      </c>
      <c r="BA680">
        <v>0</v>
      </c>
      <c r="BB680">
        <v>1</v>
      </c>
      <c r="BC680">
        <v>0</v>
      </c>
      <c r="BD680">
        <v>0</v>
      </c>
      <c r="BE680">
        <v>0</v>
      </c>
      <c r="BF680" s="155">
        <v>0</v>
      </c>
      <c r="BG680">
        <v>1</v>
      </c>
      <c r="BH680">
        <v>0</v>
      </c>
      <c r="BI680" s="155">
        <v>0</v>
      </c>
      <c r="BJ680">
        <v>23477</v>
      </c>
      <c r="BK680">
        <v>1423</v>
      </c>
      <c r="BL680" s="143">
        <v>27</v>
      </c>
      <c r="BM680" s="142">
        <v>0</v>
      </c>
      <c r="BN680" s="142">
        <v>0</v>
      </c>
      <c r="BO680" s="142">
        <v>1</v>
      </c>
      <c r="BP680" s="142">
        <v>0</v>
      </c>
      <c r="BQ680" s="142">
        <v>0</v>
      </c>
      <c r="BR680" s="142">
        <v>0</v>
      </c>
      <c r="BS680" s="142">
        <v>0</v>
      </c>
      <c r="BT680" s="155">
        <v>0</v>
      </c>
      <c r="BU680" s="142">
        <v>0</v>
      </c>
      <c r="BV680" s="142">
        <v>0</v>
      </c>
      <c r="BW680" s="142">
        <v>0</v>
      </c>
      <c r="BX680" s="155">
        <v>1</v>
      </c>
      <c r="BY680" s="142">
        <v>0</v>
      </c>
      <c r="BZ680" s="142">
        <v>0</v>
      </c>
      <c r="CA680" s="142">
        <v>0</v>
      </c>
      <c r="CB680" s="142">
        <v>0</v>
      </c>
      <c r="CC680" s="155">
        <v>0</v>
      </c>
      <c r="CD680" s="142">
        <v>1</v>
      </c>
      <c r="CE680" s="142">
        <v>1</v>
      </c>
      <c r="CF680" s="142">
        <v>0</v>
      </c>
      <c r="CG680" s="142">
        <v>0</v>
      </c>
      <c r="CH680" s="142">
        <v>1</v>
      </c>
      <c r="CI680" s="142">
        <v>1</v>
      </c>
      <c r="CJ680" s="142">
        <v>0</v>
      </c>
      <c r="CK680" s="142">
        <v>1</v>
      </c>
      <c r="CL680" s="142">
        <v>1</v>
      </c>
      <c r="CM680" s="142">
        <v>1</v>
      </c>
      <c r="CN680" s="155">
        <v>1</v>
      </c>
      <c r="CO680">
        <v>0.63</v>
      </c>
      <c r="CP680">
        <v>335</v>
      </c>
      <c r="CQ680">
        <v>1</v>
      </c>
      <c r="CR680">
        <v>0</v>
      </c>
      <c r="CS680">
        <v>12</v>
      </c>
      <c r="CT680" s="157"/>
      <c r="CY680" s="157"/>
    </row>
    <row r="681" spans="1:103" x14ac:dyDescent="0.25">
      <c r="A681">
        <v>680</v>
      </c>
      <c r="B681">
        <v>43</v>
      </c>
      <c r="C681" s="25" t="s">
        <v>454</v>
      </c>
      <c r="D681" s="12">
        <v>4.3804367694820989</v>
      </c>
      <c r="E681" s="14">
        <v>1.64061302227794</v>
      </c>
      <c r="F681" s="7">
        <v>2.67</v>
      </c>
      <c r="G681" s="7">
        <f t="shared" si="158"/>
        <v>2.7398237472041589</v>
      </c>
      <c r="H681" s="16">
        <f t="shared" si="159"/>
        <v>6.0210497917600385</v>
      </c>
      <c r="I681" s="11">
        <f t="shared" si="163"/>
        <v>7.5006838968708398E-2</v>
      </c>
      <c r="J681" s="33">
        <f t="shared" si="164"/>
        <v>2.809244905195071E-2</v>
      </c>
      <c r="K681" s="33">
        <f t="shared" si="165"/>
        <v>35.596754065504342</v>
      </c>
      <c r="L681" s="8">
        <v>1</v>
      </c>
      <c r="M681" s="9">
        <v>0</v>
      </c>
      <c r="N681" s="8">
        <v>0</v>
      </c>
      <c r="O681" s="9">
        <v>1</v>
      </c>
      <c r="P681" s="9">
        <v>0</v>
      </c>
      <c r="Q681" s="9">
        <v>0</v>
      </c>
      <c r="R681" s="9">
        <v>0</v>
      </c>
      <c r="S681" s="8">
        <v>1284</v>
      </c>
      <c r="T681" s="9">
        <v>23</v>
      </c>
      <c r="U681" s="9">
        <f t="shared" si="160"/>
        <v>1260</v>
      </c>
      <c r="V681" s="9">
        <f t="shared" si="161"/>
        <v>18</v>
      </c>
      <c r="W681" s="7">
        <f t="shared" ref="W681:W698" si="167">(AK681*0+AL681*7+AM681*11+AN681*14)</f>
        <v>9.52</v>
      </c>
      <c r="X681" s="7">
        <f t="shared" si="166"/>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68">1-AT681</f>
        <v>0.43293036751000002</v>
      </c>
      <c r="AT681" s="40">
        <v>0.56706963248999998</v>
      </c>
      <c r="AU681">
        <v>0</v>
      </c>
      <c r="AV681" s="18">
        <v>1</v>
      </c>
      <c r="AW681">
        <v>0.5</v>
      </c>
      <c r="AX681" s="18">
        <v>0.5</v>
      </c>
      <c r="AY681" s="18" t="s">
        <v>455</v>
      </c>
      <c r="AZ681">
        <v>0</v>
      </c>
      <c r="BA681">
        <v>0</v>
      </c>
      <c r="BB681">
        <v>0</v>
      </c>
      <c r="BC681">
        <v>0</v>
      </c>
      <c r="BD681">
        <v>0</v>
      </c>
      <c r="BE681">
        <v>0</v>
      </c>
      <c r="BF681" s="18">
        <v>1</v>
      </c>
      <c r="BG681">
        <v>0</v>
      </c>
      <c r="BH681">
        <v>1</v>
      </c>
      <c r="BI681" s="18">
        <v>0</v>
      </c>
      <c r="BJ681">
        <v>819</v>
      </c>
      <c r="BK681">
        <v>42</v>
      </c>
      <c r="BL681" s="25">
        <v>37</v>
      </c>
      <c r="BM681">
        <v>1</v>
      </c>
      <c r="BN681">
        <v>0</v>
      </c>
      <c r="BO681">
        <v>0</v>
      </c>
      <c r="BP681">
        <v>0</v>
      </c>
      <c r="BQ681">
        <v>0</v>
      </c>
      <c r="BR681">
        <v>0</v>
      </c>
      <c r="BS681">
        <v>0</v>
      </c>
      <c r="BT681" s="18">
        <v>0</v>
      </c>
      <c r="BU681">
        <v>0</v>
      </c>
      <c r="BV681">
        <v>0</v>
      </c>
      <c r="BW681">
        <v>1</v>
      </c>
      <c r="BX681" s="18">
        <v>0</v>
      </c>
      <c r="BY681">
        <v>0</v>
      </c>
      <c r="BZ681">
        <v>0</v>
      </c>
      <c r="CA681">
        <v>0</v>
      </c>
      <c r="CB681">
        <v>0</v>
      </c>
      <c r="CC681" s="18">
        <v>0</v>
      </c>
      <c r="CD681">
        <v>1</v>
      </c>
      <c r="CE681">
        <v>1</v>
      </c>
      <c r="CF681">
        <v>0</v>
      </c>
      <c r="CG681">
        <v>0</v>
      </c>
      <c r="CH681">
        <v>0</v>
      </c>
      <c r="CI681">
        <v>0</v>
      </c>
      <c r="CJ681">
        <v>0</v>
      </c>
      <c r="CK681">
        <v>0</v>
      </c>
      <c r="CL681">
        <v>0</v>
      </c>
      <c r="CM681">
        <v>0</v>
      </c>
      <c r="CN681" s="18">
        <v>1</v>
      </c>
      <c r="CO681">
        <v>0</v>
      </c>
      <c r="CP681">
        <v>17</v>
      </c>
      <c r="CQ681">
        <v>0</v>
      </c>
      <c r="CR681">
        <v>1</v>
      </c>
      <c r="CS681">
        <v>7</v>
      </c>
      <c r="CY681" s="34"/>
    </row>
    <row r="682" spans="1:103" x14ac:dyDescent="0.25">
      <c r="A682">
        <v>681</v>
      </c>
      <c r="B682">
        <v>43</v>
      </c>
      <c r="C682" s="25" t="s">
        <v>454</v>
      </c>
      <c r="D682" s="12">
        <v>7.59106330355801</v>
      </c>
      <c r="E682" s="14">
        <v>1.308804017854829</v>
      </c>
      <c r="F682" s="7">
        <v>5.8</v>
      </c>
      <c r="G682" s="7">
        <f t="shared" si="158"/>
        <v>6.2822592857031809</v>
      </c>
      <c r="H682" s="16">
        <f t="shared" si="159"/>
        <v>8.8998673214128381</v>
      </c>
      <c r="I682" s="11">
        <f t="shared" si="163"/>
        <v>0.16125800242919325</v>
      </c>
      <c r="J682" s="33">
        <f t="shared" si="164"/>
        <v>2.7803103867102285E-2</v>
      </c>
      <c r="K682" s="33">
        <f t="shared" si="165"/>
        <v>35.9672072866382</v>
      </c>
      <c r="L682" s="8">
        <v>1</v>
      </c>
      <c r="M682" s="9">
        <v>0</v>
      </c>
      <c r="N682" s="8">
        <v>0</v>
      </c>
      <c r="O682" s="9">
        <v>1</v>
      </c>
      <c r="P682" s="9">
        <v>0</v>
      </c>
      <c r="Q682" s="9">
        <v>0</v>
      </c>
      <c r="R682" s="9">
        <v>0</v>
      </c>
      <c r="S682" s="8">
        <v>1284</v>
      </c>
      <c r="T682" s="9">
        <v>23</v>
      </c>
      <c r="U682" s="9">
        <f t="shared" si="160"/>
        <v>1260</v>
      </c>
      <c r="V682" s="9">
        <f t="shared" si="161"/>
        <v>18</v>
      </c>
      <c r="W682" s="7">
        <f t="shared" si="167"/>
        <v>9.52</v>
      </c>
      <c r="X682" s="7">
        <f t="shared" si="166"/>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68"/>
        <v>0.43293036751000002</v>
      </c>
      <c r="AT682" s="40">
        <v>0.56706963248999998</v>
      </c>
      <c r="AU682">
        <v>0</v>
      </c>
      <c r="AV682" s="18">
        <v>1</v>
      </c>
      <c r="AW682">
        <v>0.5</v>
      </c>
      <c r="AX682" s="18">
        <v>0.5</v>
      </c>
      <c r="AY682" s="18" t="s">
        <v>455</v>
      </c>
      <c r="AZ682">
        <v>0</v>
      </c>
      <c r="BA682">
        <v>0</v>
      </c>
      <c r="BB682">
        <v>0</v>
      </c>
      <c r="BC682">
        <v>0</v>
      </c>
      <c r="BD682">
        <v>0</v>
      </c>
      <c r="BE682">
        <v>0</v>
      </c>
      <c r="BF682" s="18">
        <v>1</v>
      </c>
      <c r="BG682">
        <v>0</v>
      </c>
      <c r="BH682">
        <v>1</v>
      </c>
      <c r="BI682" s="18">
        <v>0</v>
      </c>
      <c r="BJ682">
        <v>819</v>
      </c>
      <c r="BK682">
        <v>42</v>
      </c>
      <c r="BL682" s="25">
        <v>37</v>
      </c>
      <c r="BM682">
        <v>1</v>
      </c>
      <c r="BN682">
        <v>0</v>
      </c>
      <c r="BO682">
        <v>0</v>
      </c>
      <c r="BP682">
        <v>0</v>
      </c>
      <c r="BQ682">
        <v>0</v>
      </c>
      <c r="BR682">
        <v>0</v>
      </c>
      <c r="BS682">
        <v>0</v>
      </c>
      <c r="BT682" s="18">
        <v>0</v>
      </c>
      <c r="BU682">
        <v>0</v>
      </c>
      <c r="BV682">
        <v>0</v>
      </c>
      <c r="BW682">
        <v>1</v>
      </c>
      <c r="BX682" s="18">
        <v>0</v>
      </c>
      <c r="BY682">
        <v>0</v>
      </c>
      <c r="BZ682">
        <v>0</v>
      </c>
      <c r="CA682">
        <v>0</v>
      </c>
      <c r="CB682">
        <v>0</v>
      </c>
      <c r="CC682" s="18">
        <v>0</v>
      </c>
      <c r="CD682">
        <v>1</v>
      </c>
      <c r="CE682">
        <v>1</v>
      </c>
      <c r="CF682">
        <v>0</v>
      </c>
      <c r="CG682">
        <v>0</v>
      </c>
      <c r="CH682">
        <v>0</v>
      </c>
      <c r="CI682">
        <v>0</v>
      </c>
      <c r="CJ682">
        <v>0</v>
      </c>
      <c r="CK682">
        <v>0</v>
      </c>
      <c r="CL682">
        <v>0</v>
      </c>
      <c r="CM682">
        <v>0</v>
      </c>
      <c r="CN682" s="18">
        <v>1</v>
      </c>
      <c r="CO682">
        <v>0</v>
      </c>
      <c r="CP682">
        <v>17</v>
      </c>
      <c r="CQ682">
        <v>0</v>
      </c>
      <c r="CR682">
        <v>1</v>
      </c>
      <c r="CS682">
        <v>7</v>
      </c>
      <c r="CY682" s="34"/>
    </row>
    <row r="683" spans="1:103" x14ac:dyDescent="0.25">
      <c r="A683">
        <v>682</v>
      </c>
      <c r="B683">
        <v>43</v>
      </c>
      <c r="C683" s="25" t="s">
        <v>454</v>
      </c>
      <c r="D683" s="12">
        <v>19.348319192733701</v>
      </c>
      <c r="E683" s="14">
        <v>1.8784775915275429</v>
      </c>
      <c r="F683" s="7">
        <v>10.3</v>
      </c>
      <c r="G683" s="7">
        <f t="shared" si="158"/>
        <v>17.469841601206159</v>
      </c>
      <c r="H683" s="16">
        <f t="shared" si="159"/>
        <v>21.226796784261243</v>
      </c>
      <c r="I683" s="11">
        <f t="shared" si="163"/>
        <v>0.27867471688386808</v>
      </c>
      <c r="J683" s="33">
        <f t="shared" si="164"/>
        <v>2.7055797755715344E-2</v>
      </c>
      <c r="K683" s="33">
        <f t="shared" si="165"/>
        <v>36.960654756105171</v>
      </c>
      <c r="L683" s="8">
        <v>1</v>
      </c>
      <c r="M683" s="9">
        <v>0</v>
      </c>
      <c r="N683" s="8">
        <v>0</v>
      </c>
      <c r="O683" s="9">
        <v>1</v>
      </c>
      <c r="P683" s="9">
        <v>0</v>
      </c>
      <c r="Q683" s="9">
        <v>0</v>
      </c>
      <c r="R683" s="9">
        <v>0</v>
      </c>
      <c r="S683" s="8">
        <v>1284</v>
      </c>
      <c r="T683" s="9">
        <v>23</v>
      </c>
      <c r="U683" s="9">
        <f t="shared" si="160"/>
        <v>1260</v>
      </c>
      <c r="V683" s="9">
        <f t="shared" si="161"/>
        <v>18</v>
      </c>
      <c r="W683" s="7">
        <f t="shared" si="167"/>
        <v>9.52</v>
      </c>
      <c r="X683" s="7">
        <f t="shared" si="166"/>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68"/>
        <v>0.43293036751000002</v>
      </c>
      <c r="AT683" s="40">
        <v>0.56706963248999998</v>
      </c>
      <c r="AU683">
        <v>0</v>
      </c>
      <c r="AV683" s="18">
        <v>1</v>
      </c>
      <c r="AW683">
        <v>0.5</v>
      </c>
      <c r="AX683" s="18">
        <v>0.5</v>
      </c>
      <c r="AY683" s="18" t="s">
        <v>455</v>
      </c>
      <c r="AZ683">
        <v>0</v>
      </c>
      <c r="BA683">
        <v>0</v>
      </c>
      <c r="BB683">
        <v>0</v>
      </c>
      <c r="BC683">
        <v>0</v>
      </c>
      <c r="BD683">
        <v>0</v>
      </c>
      <c r="BE683">
        <v>0</v>
      </c>
      <c r="BF683" s="18">
        <v>1</v>
      </c>
      <c r="BG683">
        <v>0</v>
      </c>
      <c r="BH683">
        <v>1</v>
      </c>
      <c r="BI683" s="18">
        <v>0</v>
      </c>
      <c r="BJ683">
        <v>819</v>
      </c>
      <c r="BK683">
        <v>42</v>
      </c>
      <c r="BL683" s="25">
        <v>37</v>
      </c>
      <c r="BM683">
        <v>1</v>
      </c>
      <c r="BN683">
        <v>0</v>
      </c>
      <c r="BO683">
        <v>0</v>
      </c>
      <c r="BP683">
        <v>0</v>
      </c>
      <c r="BQ683">
        <v>0</v>
      </c>
      <c r="BR683">
        <v>0</v>
      </c>
      <c r="BS683">
        <v>0</v>
      </c>
      <c r="BT683" s="18">
        <v>0</v>
      </c>
      <c r="BU683">
        <v>0</v>
      </c>
      <c r="BV683">
        <v>0</v>
      </c>
      <c r="BW683">
        <v>1</v>
      </c>
      <c r="BX683" s="18">
        <v>0</v>
      </c>
      <c r="BY683">
        <v>0</v>
      </c>
      <c r="BZ683">
        <v>0</v>
      </c>
      <c r="CA683">
        <v>0</v>
      </c>
      <c r="CB683">
        <v>0</v>
      </c>
      <c r="CC683" s="18">
        <v>0</v>
      </c>
      <c r="CD683">
        <v>1</v>
      </c>
      <c r="CE683">
        <v>1</v>
      </c>
      <c r="CF683">
        <v>0</v>
      </c>
      <c r="CG683">
        <v>0</v>
      </c>
      <c r="CH683">
        <v>0</v>
      </c>
      <c r="CI683">
        <v>0</v>
      </c>
      <c r="CJ683">
        <v>0</v>
      </c>
      <c r="CK683">
        <v>0</v>
      </c>
      <c r="CL683">
        <v>0</v>
      </c>
      <c r="CM683">
        <v>0</v>
      </c>
      <c r="CN683" s="18">
        <v>1</v>
      </c>
      <c r="CO683">
        <v>0</v>
      </c>
      <c r="CP683">
        <v>17</v>
      </c>
      <c r="CQ683">
        <v>0</v>
      </c>
      <c r="CR683">
        <v>1</v>
      </c>
      <c r="CS683">
        <v>7</v>
      </c>
      <c r="CY683" s="34"/>
    </row>
    <row r="684" spans="1:103" x14ac:dyDescent="0.25">
      <c r="A684">
        <v>683</v>
      </c>
      <c r="B684">
        <v>43</v>
      </c>
      <c r="C684" s="25" t="s">
        <v>454</v>
      </c>
      <c r="D684" s="12">
        <v>4.5999578662455853</v>
      </c>
      <c r="E684" s="14">
        <v>1.074756510805043</v>
      </c>
      <c r="F684" s="7">
        <v>4.28</v>
      </c>
      <c r="G684" s="7">
        <f t="shared" si="158"/>
        <v>3.5252013554405424</v>
      </c>
      <c r="H684" s="16">
        <f t="shared" si="159"/>
        <v>5.6747143770506288</v>
      </c>
      <c r="I684" s="11">
        <f t="shared" si="163"/>
        <v>9.4986458094127105E-2</v>
      </c>
      <c r="J684" s="33">
        <f t="shared" si="164"/>
        <v>2.2193097685543717E-2</v>
      </c>
      <c r="K684" s="33">
        <f t="shared" si="165"/>
        <v>45.059054583956815</v>
      </c>
      <c r="L684" s="8">
        <v>1</v>
      </c>
      <c r="M684" s="9">
        <v>0</v>
      </c>
      <c r="N684" s="8">
        <v>0</v>
      </c>
      <c r="O684" s="9">
        <v>1</v>
      </c>
      <c r="P684" s="9">
        <v>0</v>
      </c>
      <c r="Q684" s="9">
        <v>0</v>
      </c>
      <c r="R684" s="9">
        <v>0</v>
      </c>
      <c r="S684" s="8">
        <v>2036</v>
      </c>
      <c r="T684" s="9">
        <v>23</v>
      </c>
      <c r="U684" s="9">
        <f t="shared" si="160"/>
        <v>2012</v>
      </c>
      <c r="V684" s="9">
        <f t="shared" si="161"/>
        <v>18</v>
      </c>
      <c r="W684" s="7">
        <f t="shared" si="167"/>
        <v>7.5400000000000009</v>
      </c>
      <c r="X684" s="7">
        <f t="shared" si="166"/>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68"/>
        <v>0.43293036751000002</v>
      </c>
      <c r="AT684" s="40">
        <v>0.56706963248999998</v>
      </c>
      <c r="AU684">
        <v>0</v>
      </c>
      <c r="AV684" s="18">
        <v>1</v>
      </c>
      <c r="AW684">
        <v>0.5</v>
      </c>
      <c r="AX684" s="18">
        <v>0.5</v>
      </c>
      <c r="AY684" s="18" t="s">
        <v>455</v>
      </c>
      <c r="AZ684">
        <v>0</v>
      </c>
      <c r="BA684">
        <v>0</v>
      </c>
      <c r="BB684">
        <v>0</v>
      </c>
      <c r="BC684">
        <v>0</v>
      </c>
      <c r="BD684">
        <v>0</v>
      </c>
      <c r="BE684">
        <v>0</v>
      </c>
      <c r="BF684" s="18">
        <v>1</v>
      </c>
      <c r="BG684">
        <v>0</v>
      </c>
      <c r="BH684">
        <v>1</v>
      </c>
      <c r="BI684" s="18">
        <v>0</v>
      </c>
      <c r="BJ684">
        <v>819</v>
      </c>
      <c r="BK684">
        <v>42</v>
      </c>
      <c r="BL684" s="25">
        <v>34</v>
      </c>
      <c r="BM684">
        <v>1</v>
      </c>
      <c r="BN684">
        <v>0</v>
      </c>
      <c r="BO684">
        <v>0</v>
      </c>
      <c r="BP684">
        <v>0</v>
      </c>
      <c r="BQ684">
        <v>0</v>
      </c>
      <c r="BR684">
        <v>0</v>
      </c>
      <c r="BS684">
        <v>0</v>
      </c>
      <c r="BT684" s="18">
        <v>0</v>
      </c>
      <c r="BU684">
        <v>0</v>
      </c>
      <c r="BV684">
        <v>0</v>
      </c>
      <c r="BW684">
        <v>1</v>
      </c>
      <c r="BX684" s="18">
        <v>0</v>
      </c>
      <c r="BY684">
        <v>0</v>
      </c>
      <c r="BZ684">
        <v>0</v>
      </c>
      <c r="CA684">
        <v>0</v>
      </c>
      <c r="CB684">
        <v>0</v>
      </c>
      <c r="CC684" s="18">
        <v>0</v>
      </c>
      <c r="CD684">
        <v>1</v>
      </c>
      <c r="CE684">
        <v>1</v>
      </c>
      <c r="CF684">
        <v>0</v>
      </c>
      <c r="CG684">
        <v>0</v>
      </c>
      <c r="CH684">
        <v>0</v>
      </c>
      <c r="CI684">
        <v>0</v>
      </c>
      <c r="CJ684">
        <v>0</v>
      </c>
      <c r="CK684">
        <v>0</v>
      </c>
      <c r="CL684">
        <v>0</v>
      </c>
      <c r="CM684">
        <v>0</v>
      </c>
      <c r="CN684" s="18">
        <v>1</v>
      </c>
      <c r="CO684">
        <v>0</v>
      </c>
      <c r="CP684">
        <v>17</v>
      </c>
      <c r="CQ684">
        <v>0</v>
      </c>
      <c r="CR684">
        <v>1</v>
      </c>
      <c r="CS684">
        <v>7</v>
      </c>
      <c r="CY684" s="34"/>
    </row>
    <row r="685" spans="1:103" x14ac:dyDescent="0.25">
      <c r="A685">
        <v>684</v>
      </c>
      <c r="B685">
        <v>43</v>
      </c>
      <c r="C685" s="25" t="s">
        <v>454</v>
      </c>
      <c r="D685" s="12">
        <v>8.3851471580434378</v>
      </c>
      <c r="E685" s="14">
        <v>1.016381473702235</v>
      </c>
      <c r="F685" s="7">
        <v>8.25</v>
      </c>
      <c r="G685" s="7">
        <f t="shared" si="158"/>
        <v>7.368765684341203</v>
      </c>
      <c r="H685" s="16">
        <f t="shared" si="159"/>
        <v>9.4015286317456734</v>
      </c>
      <c r="I685" s="11">
        <f t="shared" si="163"/>
        <v>0.18089049879667868</v>
      </c>
      <c r="J685" s="33">
        <f t="shared" si="164"/>
        <v>2.1926121066264081E-2</v>
      </c>
      <c r="K685" s="33">
        <f t="shared" si="165"/>
        <v>45.607702200395934</v>
      </c>
      <c r="L685" s="8">
        <v>1</v>
      </c>
      <c r="M685" s="9">
        <v>0</v>
      </c>
      <c r="N685" s="8">
        <v>0</v>
      </c>
      <c r="O685" s="9">
        <v>1</v>
      </c>
      <c r="P685" s="9">
        <v>0</v>
      </c>
      <c r="Q685" s="9">
        <v>0</v>
      </c>
      <c r="R685" s="9">
        <v>0</v>
      </c>
      <c r="S685" s="8">
        <v>2036</v>
      </c>
      <c r="T685" s="9">
        <v>23</v>
      </c>
      <c r="U685" s="9">
        <f t="shared" si="160"/>
        <v>2012</v>
      </c>
      <c r="V685" s="9">
        <f t="shared" si="161"/>
        <v>18</v>
      </c>
      <c r="W685" s="7">
        <f t="shared" si="167"/>
        <v>7.5400000000000009</v>
      </c>
      <c r="X685" s="7">
        <f t="shared" si="166"/>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68"/>
        <v>0.43293036751000002</v>
      </c>
      <c r="AT685" s="40">
        <v>0.56706963248999998</v>
      </c>
      <c r="AU685">
        <v>0</v>
      </c>
      <c r="AV685" s="18">
        <v>1</v>
      </c>
      <c r="AW685">
        <v>0.5</v>
      </c>
      <c r="AX685" s="18">
        <v>0.5</v>
      </c>
      <c r="AY685" s="18" t="s">
        <v>455</v>
      </c>
      <c r="AZ685">
        <v>0</v>
      </c>
      <c r="BA685">
        <v>0</v>
      </c>
      <c r="BB685">
        <v>0</v>
      </c>
      <c r="BC685">
        <v>0</v>
      </c>
      <c r="BD685">
        <v>0</v>
      </c>
      <c r="BE685">
        <v>0</v>
      </c>
      <c r="BF685" s="18">
        <v>1</v>
      </c>
      <c r="BG685">
        <v>0</v>
      </c>
      <c r="BH685">
        <v>1</v>
      </c>
      <c r="BI685" s="18">
        <v>0</v>
      </c>
      <c r="BJ685">
        <v>819</v>
      </c>
      <c r="BK685">
        <v>42</v>
      </c>
      <c r="BL685" s="25">
        <v>34</v>
      </c>
      <c r="BM685">
        <v>1</v>
      </c>
      <c r="BN685">
        <v>0</v>
      </c>
      <c r="BO685">
        <v>0</v>
      </c>
      <c r="BP685">
        <v>0</v>
      </c>
      <c r="BQ685">
        <v>0</v>
      </c>
      <c r="BR685">
        <v>0</v>
      </c>
      <c r="BS685">
        <v>0</v>
      </c>
      <c r="BT685" s="18">
        <v>0</v>
      </c>
      <c r="BU685">
        <v>0</v>
      </c>
      <c r="BV685">
        <v>0</v>
      </c>
      <c r="BW685">
        <v>1</v>
      </c>
      <c r="BX685" s="18">
        <v>0</v>
      </c>
      <c r="BY685">
        <v>0</v>
      </c>
      <c r="BZ685">
        <v>0</v>
      </c>
      <c r="CA685">
        <v>0</v>
      </c>
      <c r="CB685">
        <v>0</v>
      </c>
      <c r="CC685" s="18">
        <v>0</v>
      </c>
      <c r="CD685">
        <v>1</v>
      </c>
      <c r="CE685">
        <v>1</v>
      </c>
      <c r="CF685">
        <v>0</v>
      </c>
      <c r="CG685">
        <v>0</v>
      </c>
      <c r="CH685">
        <v>0</v>
      </c>
      <c r="CI685">
        <v>0</v>
      </c>
      <c r="CJ685">
        <v>0</v>
      </c>
      <c r="CK685">
        <v>0</v>
      </c>
      <c r="CL685">
        <v>0</v>
      </c>
      <c r="CM685">
        <v>0</v>
      </c>
      <c r="CN685" s="18">
        <v>1</v>
      </c>
      <c r="CO685">
        <v>0</v>
      </c>
      <c r="CP685">
        <v>17</v>
      </c>
      <c r="CQ685">
        <v>0</v>
      </c>
      <c r="CR685">
        <v>1</v>
      </c>
      <c r="CS685">
        <v>7</v>
      </c>
      <c r="CY685" s="34"/>
    </row>
    <row r="686" spans="1:103" x14ac:dyDescent="0.25">
      <c r="A686">
        <v>685</v>
      </c>
      <c r="B686">
        <v>43</v>
      </c>
      <c r="C686" s="25" t="s">
        <v>454</v>
      </c>
      <c r="D686" s="12">
        <v>25.358968148154968</v>
      </c>
      <c r="E686" s="14">
        <v>4.3274689672619404</v>
      </c>
      <c r="F686" s="7">
        <v>5.86</v>
      </c>
      <c r="G686" s="7">
        <f t="shared" si="158"/>
        <v>21.031499180893029</v>
      </c>
      <c r="H686" s="16">
        <f t="shared" si="159"/>
        <v>29.686437115416908</v>
      </c>
      <c r="I686" s="11">
        <f t="shared" si="163"/>
        <v>0.12954145231280972</v>
      </c>
      <c r="J686" s="33">
        <f t="shared" si="164"/>
        <v>2.2106049882732036E-2</v>
      </c>
      <c r="K686" s="33">
        <f t="shared" si="165"/>
        <v>45.236485274609919</v>
      </c>
      <c r="L686" s="8">
        <v>1</v>
      </c>
      <c r="M686" s="9">
        <v>0</v>
      </c>
      <c r="N686" s="8">
        <v>0</v>
      </c>
      <c r="O686" s="9">
        <v>1</v>
      </c>
      <c r="P686" s="9">
        <v>0</v>
      </c>
      <c r="Q686" s="9">
        <v>0</v>
      </c>
      <c r="R686" s="9">
        <v>0</v>
      </c>
      <c r="S686" s="8">
        <v>2036</v>
      </c>
      <c r="T686" s="9">
        <v>23</v>
      </c>
      <c r="U686" s="9">
        <f t="shared" si="160"/>
        <v>2012</v>
      </c>
      <c r="V686" s="9">
        <f t="shared" si="161"/>
        <v>18</v>
      </c>
      <c r="W686" s="7">
        <f t="shared" si="167"/>
        <v>7.5400000000000009</v>
      </c>
      <c r="X686" s="7">
        <f t="shared" si="166"/>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68"/>
        <v>0.43293036751000002</v>
      </c>
      <c r="AT686" s="40">
        <v>0.56706963248999998</v>
      </c>
      <c r="AU686">
        <v>0</v>
      </c>
      <c r="AV686" s="18">
        <v>1</v>
      </c>
      <c r="AW686">
        <v>0.5</v>
      </c>
      <c r="AX686" s="18">
        <v>0.5</v>
      </c>
      <c r="AY686" s="18" t="s">
        <v>455</v>
      </c>
      <c r="AZ686">
        <v>0</v>
      </c>
      <c r="BA686">
        <v>0</v>
      </c>
      <c r="BB686">
        <v>0</v>
      </c>
      <c r="BC686">
        <v>0</v>
      </c>
      <c r="BD686">
        <v>0</v>
      </c>
      <c r="BE686">
        <v>0</v>
      </c>
      <c r="BF686" s="18">
        <v>1</v>
      </c>
      <c r="BG686">
        <v>0</v>
      </c>
      <c r="BH686">
        <v>1</v>
      </c>
      <c r="BI686" s="18">
        <v>0</v>
      </c>
      <c r="BJ686">
        <v>819</v>
      </c>
      <c r="BK686">
        <v>42</v>
      </c>
      <c r="BL686" s="25">
        <v>34</v>
      </c>
      <c r="BM686">
        <v>1</v>
      </c>
      <c r="BN686">
        <v>0</v>
      </c>
      <c r="BO686">
        <v>0</v>
      </c>
      <c r="BP686">
        <v>0</v>
      </c>
      <c r="BQ686">
        <v>0</v>
      </c>
      <c r="BR686">
        <v>0</v>
      </c>
      <c r="BS686">
        <v>0</v>
      </c>
      <c r="BT686" s="18">
        <v>0</v>
      </c>
      <c r="BU686">
        <v>0</v>
      </c>
      <c r="BV686">
        <v>0</v>
      </c>
      <c r="BW686">
        <v>1</v>
      </c>
      <c r="BX686" s="18">
        <v>0</v>
      </c>
      <c r="BY686">
        <v>0</v>
      </c>
      <c r="BZ686">
        <v>0</v>
      </c>
      <c r="CA686">
        <v>0</v>
      </c>
      <c r="CB686">
        <v>0</v>
      </c>
      <c r="CC686" s="18">
        <v>0</v>
      </c>
      <c r="CD686">
        <v>1</v>
      </c>
      <c r="CE686">
        <v>1</v>
      </c>
      <c r="CF686">
        <v>0</v>
      </c>
      <c r="CG686">
        <v>0</v>
      </c>
      <c r="CH686">
        <v>0</v>
      </c>
      <c r="CI686">
        <v>0</v>
      </c>
      <c r="CJ686">
        <v>0</v>
      </c>
      <c r="CK686">
        <v>0</v>
      </c>
      <c r="CL686">
        <v>0</v>
      </c>
      <c r="CM686">
        <v>0</v>
      </c>
      <c r="CN686" s="18">
        <v>1</v>
      </c>
      <c r="CO686">
        <v>0</v>
      </c>
      <c r="CP686">
        <v>17</v>
      </c>
      <c r="CQ686">
        <v>0</v>
      </c>
      <c r="CR686">
        <v>1</v>
      </c>
      <c r="CS686">
        <v>7</v>
      </c>
      <c r="CY686" s="34"/>
    </row>
    <row r="687" spans="1:103" x14ac:dyDescent="0.25">
      <c r="A687">
        <v>686</v>
      </c>
      <c r="B687">
        <v>43</v>
      </c>
      <c r="C687" s="25" t="s">
        <v>454</v>
      </c>
      <c r="D687" s="12">
        <v>5.1369751024905153</v>
      </c>
      <c r="E687" s="14">
        <v>2.2334674358654421</v>
      </c>
      <c r="F687" s="7">
        <v>2.2999999999999998</v>
      </c>
      <c r="G687" s="7">
        <f t="shared" si="158"/>
        <v>2.9035076666250732</v>
      </c>
      <c r="H687" s="16">
        <f t="shared" si="159"/>
        <v>7.3704425383559578</v>
      </c>
      <c r="I687" s="11">
        <f t="shared" si="163"/>
        <v>7.1724912951015601E-2</v>
      </c>
      <c r="J687" s="33">
        <f t="shared" si="164"/>
        <v>3.1184744761311136E-2</v>
      </c>
      <c r="K687" s="33">
        <f t="shared" si="165"/>
        <v>32.06696119060863</v>
      </c>
      <c r="L687" s="8">
        <v>1</v>
      </c>
      <c r="M687" s="9">
        <v>0</v>
      </c>
      <c r="N687" s="8">
        <v>0</v>
      </c>
      <c r="O687" s="9">
        <v>1</v>
      </c>
      <c r="P687" s="9">
        <v>0</v>
      </c>
      <c r="Q687" s="9">
        <v>0</v>
      </c>
      <c r="R687" s="9">
        <v>0</v>
      </c>
      <c r="S687" s="8">
        <v>1047</v>
      </c>
      <c r="T687" s="9">
        <v>23</v>
      </c>
      <c r="U687" s="9">
        <f t="shared" si="160"/>
        <v>1023</v>
      </c>
      <c r="V687" s="9">
        <f t="shared" si="161"/>
        <v>18</v>
      </c>
      <c r="W687" s="7">
        <f t="shared" si="167"/>
        <v>7.35</v>
      </c>
      <c r="X687" s="7">
        <f t="shared" si="166"/>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68"/>
        <v>0.43293036751000002</v>
      </c>
      <c r="AT687" s="40">
        <v>0.56706963248999998</v>
      </c>
      <c r="AU687">
        <v>0</v>
      </c>
      <c r="AV687" s="18">
        <v>1</v>
      </c>
      <c r="AW687">
        <v>0.5</v>
      </c>
      <c r="AX687" s="18">
        <v>0.5</v>
      </c>
      <c r="AY687" s="18" t="s">
        <v>455</v>
      </c>
      <c r="AZ687">
        <v>0</v>
      </c>
      <c r="BA687">
        <v>0</v>
      </c>
      <c r="BB687">
        <v>0</v>
      </c>
      <c r="BC687">
        <v>0</v>
      </c>
      <c r="BD687">
        <v>0</v>
      </c>
      <c r="BE687">
        <v>0</v>
      </c>
      <c r="BF687" s="18">
        <v>1</v>
      </c>
      <c r="BG687">
        <v>0</v>
      </c>
      <c r="BH687">
        <v>1</v>
      </c>
      <c r="BI687" s="18">
        <v>0</v>
      </c>
      <c r="BJ687">
        <v>819</v>
      </c>
      <c r="BK687">
        <v>42</v>
      </c>
      <c r="BL687" s="25">
        <v>35</v>
      </c>
      <c r="BM687">
        <v>1</v>
      </c>
      <c r="BN687">
        <v>0</v>
      </c>
      <c r="BO687">
        <v>0</v>
      </c>
      <c r="BP687">
        <v>0</v>
      </c>
      <c r="BQ687">
        <v>0</v>
      </c>
      <c r="BR687">
        <v>0</v>
      </c>
      <c r="BS687">
        <v>0</v>
      </c>
      <c r="BT687" s="18">
        <v>0</v>
      </c>
      <c r="BU687">
        <v>0</v>
      </c>
      <c r="BV687">
        <v>0</v>
      </c>
      <c r="BW687">
        <v>1</v>
      </c>
      <c r="BX687" s="18">
        <v>0</v>
      </c>
      <c r="BY687">
        <v>0</v>
      </c>
      <c r="BZ687">
        <v>0</v>
      </c>
      <c r="CA687">
        <v>0</v>
      </c>
      <c r="CB687">
        <v>0</v>
      </c>
      <c r="CC687" s="18">
        <v>0</v>
      </c>
      <c r="CD687">
        <v>1</v>
      </c>
      <c r="CE687">
        <v>1</v>
      </c>
      <c r="CF687">
        <v>0</v>
      </c>
      <c r="CG687">
        <v>0</v>
      </c>
      <c r="CH687">
        <v>0</v>
      </c>
      <c r="CI687">
        <v>0</v>
      </c>
      <c r="CJ687">
        <v>0</v>
      </c>
      <c r="CK687">
        <v>0</v>
      </c>
      <c r="CL687">
        <v>0</v>
      </c>
      <c r="CM687">
        <v>0</v>
      </c>
      <c r="CN687" s="18">
        <v>1</v>
      </c>
      <c r="CO687">
        <v>0</v>
      </c>
      <c r="CP687">
        <v>17</v>
      </c>
      <c r="CQ687">
        <v>0</v>
      </c>
      <c r="CR687">
        <v>1</v>
      </c>
      <c r="CS687">
        <v>7</v>
      </c>
      <c r="CY687" s="34"/>
    </row>
    <row r="688" spans="1:103" x14ac:dyDescent="0.25">
      <c r="A688">
        <v>687</v>
      </c>
      <c r="B688">
        <v>43</v>
      </c>
      <c r="C688" s="25" t="s">
        <v>454</v>
      </c>
      <c r="D688" s="12">
        <v>4.2246635456321124</v>
      </c>
      <c r="E688" s="14">
        <v>1.362794692139391</v>
      </c>
      <c r="F688" s="7">
        <v>3.1</v>
      </c>
      <c r="G688" s="7">
        <f t="shared" si="158"/>
        <v>2.8618688534927212</v>
      </c>
      <c r="H688" s="16">
        <f t="shared" si="159"/>
        <v>5.5874582377715036</v>
      </c>
      <c r="I688" s="11">
        <f t="shared" si="163"/>
        <v>9.6470278118144417E-2</v>
      </c>
      <c r="J688" s="33">
        <f t="shared" si="164"/>
        <v>3.1119444554240136E-2</v>
      </c>
      <c r="K688" s="33">
        <f t="shared" si="165"/>
        <v>32.134249641153907</v>
      </c>
      <c r="L688" s="8">
        <v>1</v>
      </c>
      <c r="M688" s="9">
        <v>0</v>
      </c>
      <c r="N688" s="8">
        <v>0</v>
      </c>
      <c r="O688" s="9">
        <v>1</v>
      </c>
      <c r="P688" s="9">
        <v>0</v>
      </c>
      <c r="Q688" s="9">
        <v>0</v>
      </c>
      <c r="R688" s="9">
        <v>0</v>
      </c>
      <c r="S688" s="8">
        <v>1047</v>
      </c>
      <c r="T688" s="9">
        <v>23</v>
      </c>
      <c r="U688" s="9">
        <f t="shared" si="160"/>
        <v>1023</v>
      </c>
      <c r="V688" s="9">
        <f t="shared" si="161"/>
        <v>18</v>
      </c>
      <c r="W688" s="7">
        <f t="shared" si="167"/>
        <v>7.35</v>
      </c>
      <c r="X688" s="7">
        <f t="shared" si="166"/>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68"/>
        <v>0.43293036751000002</v>
      </c>
      <c r="AT688" s="40">
        <v>0.56706963248999998</v>
      </c>
      <c r="AU688">
        <v>0</v>
      </c>
      <c r="AV688" s="18">
        <v>1</v>
      </c>
      <c r="AW688">
        <v>0.5</v>
      </c>
      <c r="AX688" s="18">
        <v>0.5</v>
      </c>
      <c r="AY688" s="18" t="s">
        <v>455</v>
      </c>
      <c r="AZ688">
        <v>0</v>
      </c>
      <c r="BA688">
        <v>0</v>
      </c>
      <c r="BB688">
        <v>0</v>
      </c>
      <c r="BC688">
        <v>0</v>
      </c>
      <c r="BD688">
        <v>0</v>
      </c>
      <c r="BE688">
        <v>0</v>
      </c>
      <c r="BF688" s="18">
        <v>1</v>
      </c>
      <c r="BG688">
        <v>0</v>
      </c>
      <c r="BH688">
        <v>1</v>
      </c>
      <c r="BI688" s="18">
        <v>0</v>
      </c>
      <c r="BJ688">
        <v>819</v>
      </c>
      <c r="BK688">
        <v>42</v>
      </c>
      <c r="BL688" s="25">
        <v>35</v>
      </c>
      <c r="BM688">
        <v>1</v>
      </c>
      <c r="BN688">
        <v>0</v>
      </c>
      <c r="BO688">
        <v>0</v>
      </c>
      <c r="BP688">
        <v>0</v>
      </c>
      <c r="BQ688">
        <v>0</v>
      </c>
      <c r="BR688">
        <v>0</v>
      </c>
      <c r="BS688">
        <v>0</v>
      </c>
      <c r="BT688" s="18">
        <v>0</v>
      </c>
      <c r="BU688">
        <v>0</v>
      </c>
      <c r="BV688">
        <v>0</v>
      </c>
      <c r="BW688">
        <v>1</v>
      </c>
      <c r="BX688" s="18">
        <v>0</v>
      </c>
      <c r="BY688">
        <v>0</v>
      </c>
      <c r="BZ688">
        <v>0</v>
      </c>
      <c r="CA688">
        <v>0</v>
      </c>
      <c r="CB688">
        <v>0</v>
      </c>
      <c r="CC688" s="18">
        <v>0</v>
      </c>
      <c r="CD688">
        <v>1</v>
      </c>
      <c r="CE688">
        <v>1</v>
      </c>
      <c r="CF688">
        <v>0</v>
      </c>
      <c r="CG688">
        <v>0</v>
      </c>
      <c r="CH688">
        <v>0</v>
      </c>
      <c r="CI688">
        <v>0</v>
      </c>
      <c r="CJ688">
        <v>0</v>
      </c>
      <c r="CK688">
        <v>0</v>
      </c>
      <c r="CL688">
        <v>0</v>
      </c>
      <c r="CM688">
        <v>0</v>
      </c>
      <c r="CN688" s="18">
        <v>1</v>
      </c>
      <c r="CO688">
        <v>0</v>
      </c>
      <c r="CP688">
        <v>17</v>
      </c>
      <c r="CQ688">
        <v>0</v>
      </c>
      <c r="CR688">
        <v>1</v>
      </c>
      <c r="CS688">
        <v>7</v>
      </c>
      <c r="CY688" s="34"/>
    </row>
    <row r="689" spans="1:103" x14ac:dyDescent="0.25">
      <c r="A689">
        <v>688</v>
      </c>
      <c r="B689">
        <v>43</v>
      </c>
      <c r="C689" s="25" t="s">
        <v>454</v>
      </c>
      <c r="D689" s="12">
        <v>38.730010917983428</v>
      </c>
      <c r="E689" s="14">
        <v>9.2434393599005791</v>
      </c>
      <c r="F689" s="7">
        <v>4.1900000000000004</v>
      </c>
      <c r="G689" s="7">
        <f t="shared" si="158"/>
        <v>29.486571558082851</v>
      </c>
      <c r="H689" s="16">
        <f t="shared" si="159"/>
        <v>47.973450277884005</v>
      </c>
      <c r="I689" s="11">
        <f t="shared" si="163"/>
        <v>0.12989166183805778</v>
      </c>
      <c r="J689" s="33">
        <f t="shared" si="164"/>
        <v>3.1000396620061522E-2</v>
      </c>
      <c r="K689" s="33">
        <f t="shared" si="165"/>
        <v>32.257651805424402</v>
      </c>
      <c r="L689" s="8">
        <v>1</v>
      </c>
      <c r="M689" s="9">
        <v>0</v>
      </c>
      <c r="N689" s="8">
        <v>0</v>
      </c>
      <c r="O689" s="9">
        <v>1</v>
      </c>
      <c r="P689" s="9">
        <v>0</v>
      </c>
      <c r="Q689" s="9">
        <v>0</v>
      </c>
      <c r="R689" s="9">
        <v>0</v>
      </c>
      <c r="S689" s="8">
        <v>1047</v>
      </c>
      <c r="T689" s="9">
        <v>23</v>
      </c>
      <c r="U689" s="9">
        <f t="shared" si="160"/>
        <v>1023</v>
      </c>
      <c r="V689" s="9">
        <f t="shared" si="161"/>
        <v>18</v>
      </c>
      <c r="W689" s="7">
        <f t="shared" si="167"/>
        <v>7.35</v>
      </c>
      <c r="X689" s="7">
        <f t="shared" si="166"/>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68"/>
        <v>0.43293036751000002</v>
      </c>
      <c r="AT689" s="40">
        <v>0.56706963248999998</v>
      </c>
      <c r="AU689">
        <v>0</v>
      </c>
      <c r="AV689" s="18">
        <v>1</v>
      </c>
      <c r="AW689">
        <v>0.5</v>
      </c>
      <c r="AX689" s="18">
        <v>0.5</v>
      </c>
      <c r="AY689" s="18" t="s">
        <v>455</v>
      </c>
      <c r="AZ689">
        <v>0</v>
      </c>
      <c r="BA689">
        <v>0</v>
      </c>
      <c r="BB689">
        <v>0</v>
      </c>
      <c r="BC689">
        <v>0</v>
      </c>
      <c r="BD689">
        <v>0</v>
      </c>
      <c r="BE689">
        <v>0</v>
      </c>
      <c r="BF689" s="18">
        <v>1</v>
      </c>
      <c r="BG689">
        <v>0</v>
      </c>
      <c r="BH689">
        <v>1</v>
      </c>
      <c r="BI689" s="18">
        <v>0</v>
      </c>
      <c r="BJ689">
        <v>819</v>
      </c>
      <c r="BK689">
        <v>42</v>
      </c>
      <c r="BL689" s="25">
        <v>35</v>
      </c>
      <c r="BM689">
        <v>1</v>
      </c>
      <c r="BN689">
        <v>0</v>
      </c>
      <c r="BO689">
        <v>0</v>
      </c>
      <c r="BP689">
        <v>0</v>
      </c>
      <c r="BQ689">
        <v>0</v>
      </c>
      <c r="BR689">
        <v>0</v>
      </c>
      <c r="BS689">
        <v>0</v>
      </c>
      <c r="BT689" s="18">
        <v>0</v>
      </c>
      <c r="BU689">
        <v>0</v>
      </c>
      <c r="BV689">
        <v>0</v>
      </c>
      <c r="BW689">
        <v>1</v>
      </c>
      <c r="BX689" s="18">
        <v>0</v>
      </c>
      <c r="BY689">
        <v>0</v>
      </c>
      <c r="BZ689">
        <v>0</v>
      </c>
      <c r="CA689">
        <v>0</v>
      </c>
      <c r="CB689">
        <v>0</v>
      </c>
      <c r="CC689" s="18">
        <v>0</v>
      </c>
      <c r="CD689">
        <v>1</v>
      </c>
      <c r="CE689">
        <v>1</v>
      </c>
      <c r="CF689">
        <v>0</v>
      </c>
      <c r="CG689">
        <v>0</v>
      </c>
      <c r="CH689">
        <v>0</v>
      </c>
      <c r="CI689">
        <v>0</v>
      </c>
      <c r="CJ689">
        <v>0</v>
      </c>
      <c r="CK689">
        <v>0</v>
      </c>
      <c r="CL689">
        <v>0</v>
      </c>
      <c r="CM689">
        <v>0</v>
      </c>
      <c r="CN689" s="18">
        <v>1</v>
      </c>
      <c r="CO689">
        <v>0</v>
      </c>
      <c r="CP689">
        <v>17</v>
      </c>
      <c r="CQ689">
        <v>0</v>
      </c>
      <c r="CR689">
        <v>1</v>
      </c>
      <c r="CS689">
        <v>7</v>
      </c>
      <c r="CY689" s="34"/>
    </row>
    <row r="690" spans="1:103" x14ac:dyDescent="0.25">
      <c r="A690">
        <v>689</v>
      </c>
      <c r="B690">
        <v>43</v>
      </c>
      <c r="C690" s="25" t="s">
        <v>454</v>
      </c>
      <c r="D690" s="12">
        <v>7.0401117231130961</v>
      </c>
      <c r="E690" s="14">
        <v>3.5918937362821919</v>
      </c>
      <c r="F690" s="7">
        <v>1.96</v>
      </c>
      <c r="G690" s="7">
        <f t="shared" si="158"/>
        <v>3.4482179868309042</v>
      </c>
      <c r="H690" s="16">
        <f t="shared" si="159"/>
        <v>10.632005459395288</v>
      </c>
      <c r="I690" s="11">
        <f t="shared" si="163"/>
        <v>8.8288144975126492E-2</v>
      </c>
      <c r="J690" s="33">
        <f t="shared" si="164"/>
        <v>4.5044971926084955E-2</v>
      </c>
      <c r="K690" s="33">
        <f t="shared" si="165"/>
        <v>22.200036036006786</v>
      </c>
      <c r="L690" s="8">
        <v>1</v>
      </c>
      <c r="M690" s="9">
        <v>0</v>
      </c>
      <c r="N690" s="8">
        <v>0</v>
      </c>
      <c r="O690" s="9">
        <v>1</v>
      </c>
      <c r="P690" s="9">
        <v>0</v>
      </c>
      <c r="Q690" s="9">
        <v>0</v>
      </c>
      <c r="R690" s="9">
        <v>0</v>
      </c>
      <c r="S690" s="8">
        <v>513</v>
      </c>
      <c r="T690" s="9">
        <v>23</v>
      </c>
      <c r="U690" s="9">
        <f t="shared" si="160"/>
        <v>489</v>
      </c>
      <c r="V690" s="9">
        <f t="shared" si="161"/>
        <v>18</v>
      </c>
      <c r="W690" s="7">
        <f t="shared" si="167"/>
        <v>9.8699999999999992</v>
      </c>
      <c r="X690" s="7">
        <f t="shared" si="166"/>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68"/>
        <v>0.35160068847000003</v>
      </c>
      <c r="AT690" s="40">
        <v>0.64839931152999997</v>
      </c>
      <c r="AU690">
        <v>0</v>
      </c>
      <c r="AV690" s="18">
        <v>1</v>
      </c>
      <c r="AW690">
        <v>0.5</v>
      </c>
      <c r="AX690" s="18">
        <v>0.5</v>
      </c>
      <c r="AY690" s="18" t="s">
        <v>455</v>
      </c>
      <c r="AZ690">
        <v>0</v>
      </c>
      <c r="BA690">
        <v>0</v>
      </c>
      <c r="BB690">
        <v>0</v>
      </c>
      <c r="BC690">
        <v>0</v>
      </c>
      <c r="BD690">
        <v>0</v>
      </c>
      <c r="BE690">
        <v>0</v>
      </c>
      <c r="BF690" s="18">
        <v>1</v>
      </c>
      <c r="BG690">
        <v>0</v>
      </c>
      <c r="BH690">
        <v>1</v>
      </c>
      <c r="BI690" s="18">
        <v>0</v>
      </c>
      <c r="BJ690">
        <v>819</v>
      </c>
      <c r="BK690">
        <v>42</v>
      </c>
      <c r="BL690" s="25">
        <v>32</v>
      </c>
      <c r="BM690">
        <v>1</v>
      </c>
      <c r="BN690">
        <v>0</v>
      </c>
      <c r="BO690">
        <v>0</v>
      </c>
      <c r="BP690">
        <v>0</v>
      </c>
      <c r="BQ690">
        <v>0</v>
      </c>
      <c r="BR690">
        <v>0</v>
      </c>
      <c r="BS690">
        <v>0</v>
      </c>
      <c r="BT690" s="18">
        <v>0</v>
      </c>
      <c r="BU690">
        <v>0</v>
      </c>
      <c r="BV690">
        <v>0</v>
      </c>
      <c r="BW690">
        <v>1</v>
      </c>
      <c r="BX690" s="18">
        <v>0</v>
      </c>
      <c r="BY690">
        <v>0</v>
      </c>
      <c r="BZ690">
        <v>0</v>
      </c>
      <c r="CA690">
        <v>0</v>
      </c>
      <c r="CB690">
        <v>0</v>
      </c>
      <c r="CC690" s="18">
        <v>0</v>
      </c>
      <c r="CD690">
        <v>1</v>
      </c>
      <c r="CE690">
        <v>1</v>
      </c>
      <c r="CF690">
        <v>0</v>
      </c>
      <c r="CG690">
        <v>0</v>
      </c>
      <c r="CH690">
        <v>0</v>
      </c>
      <c r="CI690">
        <v>0</v>
      </c>
      <c r="CJ690">
        <v>0</v>
      </c>
      <c r="CK690">
        <v>0</v>
      </c>
      <c r="CL690">
        <v>0</v>
      </c>
      <c r="CM690">
        <v>0</v>
      </c>
      <c r="CN690" s="18">
        <v>1</v>
      </c>
      <c r="CO690">
        <v>0</v>
      </c>
      <c r="CP690">
        <v>17</v>
      </c>
      <c r="CQ690">
        <v>0</v>
      </c>
      <c r="CR690">
        <v>1</v>
      </c>
      <c r="CS690">
        <v>7</v>
      </c>
      <c r="CY690" s="34"/>
    </row>
    <row r="691" spans="1:103" x14ac:dyDescent="0.25">
      <c r="A691">
        <v>690</v>
      </c>
      <c r="B691">
        <v>43</v>
      </c>
      <c r="C691" s="25" t="s">
        <v>454</v>
      </c>
      <c r="D691" s="12">
        <v>8.9694548350037309</v>
      </c>
      <c r="E691" s="14">
        <v>2.404679580429955</v>
      </c>
      <c r="F691" s="7">
        <v>3.73</v>
      </c>
      <c r="G691" s="7">
        <f t="shared" si="158"/>
        <v>6.5647752545737763</v>
      </c>
      <c r="H691" s="16">
        <f t="shared" si="159"/>
        <v>11.374134415433685</v>
      </c>
      <c r="I691" s="11">
        <f t="shared" si="163"/>
        <v>0.16632688114206176</v>
      </c>
      <c r="J691" s="33">
        <f t="shared" si="164"/>
        <v>4.4591657142643903E-2</v>
      </c>
      <c r="K691" s="33">
        <f t="shared" si="165"/>
        <v>22.425719609412763</v>
      </c>
      <c r="L691" s="8">
        <v>1</v>
      </c>
      <c r="M691" s="9">
        <v>0</v>
      </c>
      <c r="N691" s="8">
        <v>0</v>
      </c>
      <c r="O691" s="9">
        <v>1</v>
      </c>
      <c r="P691" s="9">
        <v>0</v>
      </c>
      <c r="Q691" s="9">
        <v>0</v>
      </c>
      <c r="R691" s="9">
        <v>0</v>
      </c>
      <c r="S691" s="8">
        <v>513</v>
      </c>
      <c r="T691" s="9">
        <v>23</v>
      </c>
      <c r="U691" s="9">
        <f t="shared" si="160"/>
        <v>489</v>
      </c>
      <c r="V691" s="9">
        <f t="shared" si="161"/>
        <v>18</v>
      </c>
      <c r="W691" s="7">
        <f t="shared" si="167"/>
        <v>9.8699999999999992</v>
      </c>
      <c r="X691" s="7">
        <f t="shared" si="166"/>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68"/>
        <v>0.35160068847000003</v>
      </c>
      <c r="AT691" s="40">
        <v>0.64839931152999997</v>
      </c>
      <c r="AU691">
        <v>0</v>
      </c>
      <c r="AV691" s="18">
        <v>1</v>
      </c>
      <c r="AW691">
        <v>0.5</v>
      </c>
      <c r="AX691" s="18">
        <v>0.5</v>
      </c>
      <c r="AY691" s="18" t="s">
        <v>455</v>
      </c>
      <c r="AZ691">
        <v>0</v>
      </c>
      <c r="BA691">
        <v>0</v>
      </c>
      <c r="BB691">
        <v>0</v>
      </c>
      <c r="BC691">
        <v>0</v>
      </c>
      <c r="BD691">
        <v>0</v>
      </c>
      <c r="BE691">
        <v>0</v>
      </c>
      <c r="BF691" s="18">
        <v>1</v>
      </c>
      <c r="BG691">
        <v>0</v>
      </c>
      <c r="BH691">
        <v>1</v>
      </c>
      <c r="BI691" s="18">
        <v>0</v>
      </c>
      <c r="BJ691">
        <v>819</v>
      </c>
      <c r="BK691">
        <v>42</v>
      </c>
      <c r="BL691" s="25">
        <v>32</v>
      </c>
      <c r="BM691">
        <v>1</v>
      </c>
      <c r="BN691">
        <v>0</v>
      </c>
      <c r="BO691">
        <v>0</v>
      </c>
      <c r="BP691">
        <v>0</v>
      </c>
      <c r="BQ691">
        <v>0</v>
      </c>
      <c r="BR691">
        <v>0</v>
      </c>
      <c r="BS691">
        <v>0</v>
      </c>
      <c r="BT691" s="18">
        <v>0</v>
      </c>
      <c r="BU691">
        <v>0</v>
      </c>
      <c r="BV691">
        <v>0</v>
      </c>
      <c r="BW691">
        <v>1</v>
      </c>
      <c r="BX691" s="18">
        <v>0</v>
      </c>
      <c r="BY691">
        <v>0</v>
      </c>
      <c r="BZ691">
        <v>0</v>
      </c>
      <c r="CA691">
        <v>0</v>
      </c>
      <c r="CB691">
        <v>0</v>
      </c>
      <c r="CC691" s="18">
        <v>0</v>
      </c>
      <c r="CD691">
        <v>1</v>
      </c>
      <c r="CE691">
        <v>1</v>
      </c>
      <c r="CF691">
        <v>0</v>
      </c>
      <c r="CG691">
        <v>0</v>
      </c>
      <c r="CH691">
        <v>0</v>
      </c>
      <c r="CI691">
        <v>0</v>
      </c>
      <c r="CJ691">
        <v>0</v>
      </c>
      <c r="CK691">
        <v>0</v>
      </c>
      <c r="CL691">
        <v>0</v>
      </c>
      <c r="CM691">
        <v>0</v>
      </c>
      <c r="CN691" s="18">
        <v>1</v>
      </c>
      <c r="CO691">
        <v>0</v>
      </c>
      <c r="CP691">
        <v>17</v>
      </c>
      <c r="CQ691">
        <v>0</v>
      </c>
      <c r="CR691">
        <v>1</v>
      </c>
      <c r="CS691">
        <v>7</v>
      </c>
      <c r="CY691" s="34"/>
    </row>
    <row r="692" spans="1:103" x14ac:dyDescent="0.25">
      <c r="A692">
        <v>691</v>
      </c>
      <c r="B692">
        <v>43</v>
      </c>
      <c r="C692" s="25" t="s">
        <v>454</v>
      </c>
      <c r="D692" s="12">
        <v>22.31612006930872</v>
      </c>
      <c r="E692" s="14">
        <v>3.5935781109997942</v>
      </c>
      <c r="F692" s="7">
        <v>6.21</v>
      </c>
      <c r="G692" s="7">
        <f t="shared" si="158"/>
        <v>18.722541958308927</v>
      </c>
      <c r="H692" s="16">
        <f t="shared" si="159"/>
        <v>25.909698180308514</v>
      </c>
      <c r="I692" s="11">
        <f t="shared" si="163"/>
        <v>0.27036718718833697</v>
      </c>
      <c r="J692" s="33">
        <f t="shared" si="164"/>
        <v>4.3537389241278097E-2</v>
      </c>
      <c r="K692" s="33">
        <f t="shared" si="165"/>
        <v>22.96876357142456</v>
      </c>
      <c r="L692" s="8">
        <v>1</v>
      </c>
      <c r="M692" s="9">
        <v>0</v>
      </c>
      <c r="N692" s="8">
        <v>0</v>
      </c>
      <c r="O692" s="9">
        <v>1</v>
      </c>
      <c r="P692" s="9">
        <v>0</v>
      </c>
      <c r="Q692" s="9">
        <v>0</v>
      </c>
      <c r="R692" s="9">
        <v>0</v>
      </c>
      <c r="S692" s="8">
        <v>513</v>
      </c>
      <c r="T692" s="9">
        <v>23</v>
      </c>
      <c r="U692" s="9">
        <f t="shared" si="160"/>
        <v>489</v>
      </c>
      <c r="V692" s="9">
        <f t="shared" si="161"/>
        <v>18</v>
      </c>
      <c r="W692" s="7">
        <f t="shared" si="167"/>
        <v>9.8699999999999992</v>
      </c>
      <c r="X692" s="7">
        <f t="shared" si="166"/>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68"/>
        <v>0.35160068847000003</v>
      </c>
      <c r="AT692" s="40">
        <v>0.64839931152999997</v>
      </c>
      <c r="AU692">
        <v>0</v>
      </c>
      <c r="AV692" s="18">
        <v>1</v>
      </c>
      <c r="AW692">
        <v>0.5</v>
      </c>
      <c r="AX692" s="18">
        <v>0.5</v>
      </c>
      <c r="AY692" s="18" t="s">
        <v>455</v>
      </c>
      <c r="AZ692">
        <v>0</v>
      </c>
      <c r="BA692">
        <v>0</v>
      </c>
      <c r="BB692">
        <v>0</v>
      </c>
      <c r="BC692">
        <v>0</v>
      </c>
      <c r="BD692">
        <v>0</v>
      </c>
      <c r="BE692">
        <v>0</v>
      </c>
      <c r="BF692" s="18">
        <v>1</v>
      </c>
      <c r="BG692">
        <v>0</v>
      </c>
      <c r="BH692">
        <v>1</v>
      </c>
      <c r="BI692" s="18">
        <v>0</v>
      </c>
      <c r="BJ692">
        <v>819</v>
      </c>
      <c r="BK692">
        <v>42</v>
      </c>
      <c r="BL692" s="25">
        <v>32</v>
      </c>
      <c r="BM692">
        <v>1</v>
      </c>
      <c r="BN692">
        <v>0</v>
      </c>
      <c r="BO692">
        <v>0</v>
      </c>
      <c r="BP692">
        <v>0</v>
      </c>
      <c r="BQ692">
        <v>0</v>
      </c>
      <c r="BR692">
        <v>0</v>
      </c>
      <c r="BS692">
        <v>0</v>
      </c>
      <c r="BT692" s="18">
        <v>0</v>
      </c>
      <c r="BU692">
        <v>0</v>
      </c>
      <c r="BV692">
        <v>0</v>
      </c>
      <c r="BW692">
        <v>1</v>
      </c>
      <c r="BX692" s="18">
        <v>0</v>
      </c>
      <c r="BY692">
        <v>0</v>
      </c>
      <c r="BZ692">
        <v>0</v>
      </c>
      <c r="CA692">
        <v>0</v>
      </c>
      <c r="CB692">
        <v>0</v>
      </c>
      <c r="CC692" s="18">
        <v>0</v>
      </c>
      <c r="CD692">
        <v>1</v>
      </c>
      <c r="CE692">
        <v>1</v>
      </c>
      <c r="CF692">
        <v>0</v>
      </c>
      <c r="CG692">
        <v>0</v>
      </c>
      <c r="CH692">
        <v>0</v>
      </c>
      <c r="CI692">
        <v>0</v>
      </c>
      <c r="CJ692">
        <v>0</v>
      </c>
      <c r="CK692">
        <v>0</v>
      </c>
      <c r="CL692">
        <v>0</v>
      </c>
      <c r="CM692">
        <v>0</v>
      </c>
      <c r="CN692" s="18">
        <v>1</v>
      </c>
      <c r="CO692">
        <v>0</v>
      </c>
      <c r="CP692">
        <v>17</v>
      </c>
      <c r="CQ692">
        <v>0</v>
      </c>
      <c r="CR692">
        <v>1</v>
      </c>
      <c r="CS692">
        <v>7</v>
      </c>
      <c r="CY692" s="34"/>
    </row>
    <row r="693" spans="1:103" x14ac:dyDescent="0.25">
      <c r="A693">
        <v>692</v>
      </c>
      <c r="B693">
        <v>43</v>
      </c>
      <c r="C693" s="25" t="s">
        <v>454</v>
      </c>
      <c r="D693" s="12">
        <v>4.4905432052525276</v>
      </c>
      <c r="E693" s="14">
        <v>1.688174137312981</v>
      </c>
      <c r="F693" s="7">
        <v>2.66</v>
      </c>
      <c r="G693" s="7">
        <f t="shared" si="158"/>
        <v>2.8023690679395465</v>
      </c>
      <c r="H693" s="16">
        <f t="shared" si="159"/>
        <v>6.1787173425655091</v>
      </c>
      <c r="I693" s="11">
        <f t="shared" si="163"/>
        <v>0.10456928169386118</v>
      </c>
      <c r="J693" s="33">
        <f t="shared" si="164"/>
        <v>3.9311760035286157E-2</v>
      </c>
      <c r="K693" s="33">
        <f t="shared" si="165"/>
        <v>25.43768071188881</v>
      </c>
      <c r="L693" s="8">
        <v>1</v>
      </c>
      <c r="M693" s="9">
        <v>0</v>
      </c>
      <c r="N693" s="8">
        <v>0</v>
      </c>
      <c r="O693" s="9">
        <v>1</v>
      </c>
      <c r="P693" s="9">
        <v>0</v>
      </c>
      <c r="Q693" s="9">
        <v>0</v>
      </c>
      <c r="R693" s="9">
        <v>0</v>
      </c>
      <c r="S693" s="8">
        <v>664</v>
      </c>
      <c r="T693" s="9">
        <v>23</v>
      </c>
      <c r="U693" s="9">
        <f t="shared" si="160"/>
        <v>640</v>
      </c>
      <c r="V693" s="9">
        <f t="shared" si="161"/>
        <v>18</v>
      </c>
      <c r="W693" s="7">
        <f t="shared" si="167"/>
        <v>6.78</v>
      </c>
      <c r="X693" s="7">
        <f t="shared" si="166"/>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68"/>
        <v>0.35160068847000003</v>
      </c>
      <c r="AT693" s="40">
        <v>0.64839931152999997</v>
      </c>
      <c r="AU693">
        <v>0</v>
      </c>
      <c r="AV693" s="18">
        <v>1</v>
      </c>
      <c r="AW693">
        <v>0.5</v>
      </c>
      <c r="AX693" s="18">
        <v>0.5</v>
      </c>
      <c r="AY693" s="18" t="s">
        <v>455</v>
      </c>
      <c r="AZ693">
        <v>0</v>
      </c>
      <c r="BA693">
        <v>0</v>
      </c>
      <c r="BB693">
        <v>0</v>
      </c>
      <c r="BC693">
        <v>0</v>
      </c>
      <c r="BD693">
        <v>0</v>
      </c>
      <c r="BE693">
        <v>0</v>
      </c>
      <c r="BF693" s="18">
        <v>1</v>
      </c>
      <c r="BG693">
        <v>0</v>
      </c>
      <c r="BH693">
        <v>1</v>
      </c>
      <c r="BI693" s="18">
        <v>0</v>
      </c>
      <c r="BJ693">
        <v>819</v>
      </c>
      <c r="BK693">
        <v>42</v>
      </c>
      <c r="BL693" s="25">
        <v>29</v>
      </c>
      <c r="BM693">
        <v>1</v>
      </c>
      <c r="BN693">
        <v>0</v>
      </c>
      <c r="BO693">
        <v>0</v>
      </c>
      <c r="BP693">
        <v>0</v>
      </c>
      <c r="BQ693">
        <v>0</v>
      </c>
      <c r="BR693">
        <v>0</v>
      </c>
      <c r="BS693">
        <v>0</v>
      </c>
      <c r="BT693" s="18">
        <v>0</v>
      </c>
      <c r="BU693">
        <v>0</v>
      </c>
      <c r="BV693">
        <v>0</v>
      </c>
      <c r="BW693">
        <v>1</v>
      </c>
      <c r="BX693" s="18">
        <v>0</v>
      </c>
      <c r="BY693">
        <v>0</v>
      </c>
      <c r="BZ693">
        <v>0</v>
      </c>
      <c r="CA693">
        <v>0</v>
      </c>
      <c r="CB693">
        <v>0</v>
      </c>
      <c r="CC693" s="18">
        <v>0</v>
      </c>
      <c r="CD693">
        <v>1</v>
      </c>
      <c r="CE693">
        <v>1</v>
      </c>
      <c r="CF693">
        <v>0</v>
      </c>
      <c r="CG693">
        <v>0</v>
      </c>
      <c r="CH693">
        <v>0</v>
      </c>
      <c r="CI693">
        <v>0</v>
      </c>
      <c r="CJ693">
        <v>0</v>
      </c>
      <c r="CK693">
        <v>0</v>
      </c>
      <c r="CL693">
        <v>0</v>
      </c>
      <c r="CM693">
        <v>0</v>
      </c>
      <c r="CN693" s="18">
        <v>1</v>
      </c>
      <c r="CO693">
        <v>0</v>
      </c>
      <c r="CP693">
        <v>17</v>
      </c>
      <c r="CQ693">
        <v>0</v>
      </c>
      <c r="CR693">
        <v>1</v>
      </c>
      <c r="CS693">
        <v>7</v>
      </c>
      <c r="CY693" s="34"/>
    </row>
    <row r="694" spans="1:103" x14ac:dyDescent="0.25">
      <c r="A694">
        <v>693</v>
      </c>
      <c r="B694">
        <v>43</v>
      </c>
      <c r="C694" s="25" t="s">
        <v>454</v>
      </c>
      <c r="D694" s="12">
        <v>10.29743904822287</v>
      </c>
      <c r="E694" s="14">
        <v>1.652879461994039</v>
      </c>
      <c r="F694" s="7">
        <v>6.23</v>
      </c>
      <c r="G694" s="7">
        <f t="shared" si="158"/>
        <v>8.64455958622883</v>
      </c>
      <c r="H694" s="16">
        <f t="shared" si="159"/>
        <v>11.95031851021691</v>
      </c>
      <c r="I694" s="11">
        <f t="shared" si="163"/>
        <v>0.23911840391605699</v>
      </c>
      <c r="J694" s="33">
        <f t="shared" si="164"/>
        <v>3.8381766278660835E-2</v>
      </c>
      <c r="K694" s="33">
        <f t="shared" si="165"/>
        <v>26.054038074739967</v>
      </c>
      <c r="L694" s="8">
        <v>1</v>
      </c>
      <c r="M694" s="9">
        <v>0</v>
      </c>
      <c r="N694" s="8">
        <v>0</v>
      </c>
      <c r="O694" s="9">
        <v>1</v>
      </c>
      <c r="P694" s="9">
        <v>0</v>
      </c>
      <c r="Q694" s="9">
        <v>0</v>
      </c>
      <c r="R694" s="9">
        <v>0</v>
      </c>
      <c r="S694" s="8">
        <v>664</v>
      </c>
      <c r="T694" s="9">
        <v>23</v>
      </c>
      <c r="U694" s="9">
        <f t="shared" si="160"/>
        <v>640</v>
      </c>
      <c r="V694" s="9">
        <f t="shared" si="161"/>
        <v>18</v>
      </c>
      <c r="W694" s="7">
        <f t="shared" si="167"/>
        <v>6.78</v>
      </c>
      <c r="X694" s="7">
        <f t="shared" si="166"/>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68"/>
        <v>0.35160068847000003</v>
      </c>
      <c r="AT694" s="40">
        <v>0.64839931152999997</v>
      </c>
      <c r="AU694">
        <v>0</v>
      </c>
      <c r="AV694" s="18">
        <v>1</v>
      </c>
      <c r="AW694">
        <v>0.5</v>
      </c>
      <c r="AX694" s="18">
        <v>0.5</v>
      </c>
      <c r="AY694" s="18" t="s">
        <v>455</v>
      </c>
      <c r="AZ694">
        <v>0</v>
      </c>
      <c r="BA694">
        <v>0</v>
      </c>
      <c r="BB694">
        <v>0</v>
      </c>
      <c r="BC694">
        <v>0</v>
      </c>
      <c r="BD694">
        <v>0</v>
      </c>
      <c r="BE694">
        <v>0</v>
      </c>
      <c r="BF694" s="18">
        <v>1</v>
      </c>
      <c r="BG694">
        <v>0</v>
      </c>
      <c r="BH694">
        <v>1</v>
      </c>
      <c r="BI694" s="18">
        <v>0</v>
      </c>
      <c r="BJ694">
        <v>819</v>
      </c>
      <c r="BK694">
        <v>42</v>
      </c>
      <c r="BL694" s="25">
        <v>29</v>
      </c>
      <c r="BM694">
        <v>1</v>
      </c>
      <c r="BN694">
        <v>0</v>
      </c>
      <c r="BO694">
        <v>0</v>
      </c>
      <c r="BP694">
        <v>0</v>
      </c>
      <c r="BQ694">
        <v>0</v>
      </c>
      <c r="BR694">
        <v>0</v>
      </c>
      <c r="BS694">
        <v>0</v>
      </c>
      <c r="BT694" s="18">
        <v>0</v>
      </c>
      <c r="BU694">
        <v>0</v>
      </c>
      <c r="BV694">
        <v>0</v>
      </c>
      <c r="BW694">
        <v>1</v>
      </c>
      <c r="BX694" s="18">
        <v>0</v>
      </c>
      <c r="BY694">
        <v>0</v>
      </c>
      <c r="BZ694">
        <v>0</v>
      </c>
      <c r="CA694">
        <v>0</v>
      </c>
      <c r="CB694">
        <v>0</v>
      </c>
      <c r="CC694" s="18">
        <v>0</v>
      </c>
      <c r="CD694">
        <v>1</v>
      </c>
      <c r="CE694">
        <v>1</v>
      </c>
      <c r="CF694">
        <v>0</v>
      </c>
      <c r="CG694">
        <v>0</v>
      </c>
      <c r="CH694">
        <v>0</v>
      </c>
      <c r="CI694">
        <v>0</v>
      </c>
      <c r="CJ694">
        <v>0</v>
      </c>
      <c r="CK694">
        <v>0</v>
      </c>
      <c r="CL694">
        <v>0</v>
      </c>
      <c r="CM694">
        <v>0</v>
      </c>
      <c r="CN694" s="18">
        <v>1</v>
      </c>
      <c r="CO694">
        <v>0</v>
      </c>
      <c r="CP694">
        <v>17</v>
      </c>
      <c r="CQ694">
        <v>0</v>
      </c>
      <c r="CR694">
        <v>1</v>
      </c>
      <c r="CS694">
        <v>7</v>
      </c>
      <c r="CY694" s="34"/>
    </row>
    <row r="695" spans="1:103" x14ac:dyDescent="0.25">
      <c r="A695">
        <v>694</v>
      </c>
      <c r="B695">
        <v>43</v>
      </c>
      <c r="C695" s="25" t="s">
        <v>454</v>
      </c>
      <c r="D695" s="12">
        <v>34.809974988792533</v>
      </c>
      <c r="E695" s="14">
        <v>5.7920091495495054</v>
      </c>
      <c r="F695" s="7">
        <v>6.01</v>
      </c>
      <c r="G695" s="7">
        <f t="shared" si="158"/>
        <v>29.017965839243026</v>
      </c>
      <c r="H695" s="16">
        <f t="shared" si="159"/>
        <v>40.60198413834204</v>
      </c>
      <c r="I695" s="11">
        <f t="shared" si="163"/>
        <v>0.23113331517875543</v>
      </c>
      <c r="J695" s="33">
        <f t="shared" si="164"/>
        <v>3.8458122325916042E-2</v>
      </c>
      <c r="K695" s="33">
        <f t="shared" si="165"/>
        <v>26.002309512810591</v>
      </c>
      <c r="L695" s="8">
        <v>1</v>
      </c>
      <c r="M695" s="9">
        <v>0</v>
      </c>
      <c r="N695" s="8">
        <v>0</v>
      </c>
      <c r="O695" s="9">
        <v>1</v>
      </c>
      <c r="P695" s="9">
        <v>0</v>
      </c>
      <c r="Q695" s="9">
        <v>0</v>
      </c>
      <c r="R695" s="9">
        <v>0</v>
      </c>
      <c r="S695" s="8">
        <v>664</v>
      </c>
      <c r="T695" s="9">
        <v>23</v>
      </c>
      <c r="U695" s="9">
        <f t="shared" si="160"/>
        <v>640</v>
      </c>
      <c r="V695" s="9">
        <f t="shared" si="161"/>
        <v>18</v>
      </c>
      <c r="W695" s="7">
        <f t="shared" si="167"/>
        <v>6.78</v>
      </c>
      <c r="X695" s="7">
        <f t="shared" si="166"/>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68"/>
        <v>0.35160068847000003</v>
      </c>
      <c r="AT695" s="40">
        <v>0.64839931152999997</v>
      </c>
      <c r="AU695">
        <v>0</v>
      </c>
      <c r="AV695" s="18">
        <v>1</v>
      </c>
      <c r="AW695">
        <v>0.5</v>
      </c>
      <c r="AX695" s="18">
        <v>0.5</v>
      </c>
      <c r="AY695" s="18" t="s">
        <v>455</v>
      </c>
      <c r="AZ695">
        <v>0</v>
      </c>
      <c r="BA695">
        <v>0</v>
      </c>
      <c r="BB695">
        <v>0</v>
      </c>
      <c r="BC695">
        <v>0</v>
      </c>
      <c r="BD695">
        <v>0</v>
      </c>
      <c r="BE695">
        <v>0</v>
      </c>
      <c r="BF695" s="18">
        <v>1</v>
      </c>
      <c r="BG695">
        <v>0</v>
      </c>
      <c r="BH695">
        <v>1</v>
      </c>
      <c r="BI695" s="18">
        <v>0</v>
      </c>
      <c r="BJ695">
        <v>819</v>
      </c>
      <c r="BK695">
        <v>42</v>
      </c>
      <c r="BL695" s="25">
        <v>29</v>
      </c>
      <c r="BM695">
        <v>1</v>
      </c>
      <c r="BN695">
        <v>0</v>
      </c>
      <c r="BO695">
        <v>0</v>
      </c>
      <c r="BP695">
        <v>0</v>
      </c>
      <c r="BQ695">
        <v>0</v>
      </c>
      <c r="BR695">
        <v>0</v>
      </c>
      <c r="BS695">
        <v>0</v>
      </c>
      <c r="BT695" s="18">
        <v>0</v>
      </c>
      <c r="BU695">
        <v>0</v>
      </c>
      <c r="BV695">
        <v>0</v>
      </c>
      <c r="BW695">
        <v>1</v>
      </c>
      <c r="BX695" s="18">
        <v>0</v>
      </c>
      <c r="BY695">
        <v>0</v>
      </c>
      <c r="BZ695">
        <v>0</v>
      </c>
      <c r="CA695">
        <v>0</v>
      </c>
      <c r="CB695">
        <v>0</v>
      </c>
      <c r="CC695" s="18">
        <v>0</v>
      </c>
      <c r="CD695">
        <v>1</v>
      </c>
      <c r="CE695">
        <v>1</v>
      </c>
      <c r="CF695">
        <v>0</v>
      </c>
      <c r="CG695">
        <v>0</v>
      </c>
      <c r="CH695">
        <v>0</v>
      </c>
      <c r="CI695">
        <v>0</v>
      </c>
      <c r="CJ695">
        <v>0</v>
      </c>
      <c r="CK695">
        <v>0</v>
      </c>
      <c r="CL695">
        <v>0</v>
      </c>
      <c r="CM695">
        <v>0</v>
      </c>
      <c r="CN695" s="18">
        <v>1</v>
      </c>
      <c r="CO695">
        <v>0</v>
      </c>
      <c r="CP695">
        <v>17</v>
      </c>
      <c r="CQ695">
        <v>0</v>
      </c>
      <c r="CR695">
        <v>1</v>
      </c>
      <c r="CS695">
        <v>7</v>
      </c>
      <c r="CY695" s="34"/>
    </row>
    <row r="696" spans="1:103" x14ac:dyDescent="0.25">
      <c r="A696">
        <v>695</v>
      </c>
      <c r="B696">
        <v>43</v>
      </c>
      <c r="C696" s="25" t="s">
        <v>454</v>
      </c>
      <c r="D696" s="12">
        <v>7.6928921298799144</v>
      </c>
      <c r="E696" s="14">
        <v>1.709531584417759</v>
      </c>
      <c r="F696" s="7">
        <v>4.5</v>
      </c>
      <c r="G696" s="7">
        <f t="shared" si="158"/>
        <v>5.9833605454621557</v>
      </c>
      <c r="H696" s="16">
        <f t="shared" si="159"/>
        <v>9.4024237142976741</v>
      </c>
      <c r="I696" s="11">
        <f t="shared" si="163"/>
        <v>0.15245480549590701</v>
      </c>
      <c r="J696" s="33">
        <f t="shared" si="164"/>
        <v>3.3878845665757114E-2</v>
      </c>
      <c r="K696" s="33">
        <f t="shared" si="165"/>
        <v>29.51694428629088</v>
      </c>
      <c r="L696" s="8">
        <v>1</v>
      </c>
      <c r="M696" s="9">
        <v>0</v>
      </c>
      <c r="N696" s="8">
        <v>0</v>
      </c>
      <c r="O696" s="9">
        <v>1</v>
      </c>
      <c r="P696" s="9">
        <v>0</v>
      </c>
      <c r="Q696" s="9">
        <v>0</v>
      </c>
      <c r="R696" s="9">
        <v>0</v>
      </c>
      <c r="S696" s="8">
        <v>875</v>
      </c>
      <c r="T696" s="9">
        <v>23</v>
      </c>
      <c r="U696" s="9">
        <f t="shared" si="160"/>
        <v>851</v>
      </c>
      <c r="V696" s="9">
        <f t="shared" si="161"/>
        <v>18</v>
      </c>
      <c r="W696" s="7">
        <f t="shared" si="167"/>
        <v>3.1</v>
      </c>
      <c r="X696" s="7">
        <f t="shared" si="166"/>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68"/>
        <v>0.35160068847000003</v>
      </c>
      <c r="AT696" s="40">
        <v>0.64839931152999997</v>
      </c>
      <c r="AU696">
        <v>0</v>
      </c>
      <c r="AV696" s="18">
        <v>1</v>
      </c>
      <c r="AW696">
        <v>0.5</v>
      </c>
      <c r="AX696" s="18">
        <v>0.5</v>
      </c>
      <c r="AY696" s="18" t="s">
        <v>455</v>
      </c>
      <c r="AZ696">
        <v>0</v>
      </c>
      <c r="BA696">
        <v>0</v>
      </c>
      <c r="BB696">
        <v>0</v>
      </c>
      <c r="BC696">
        <v>0</v>
      </c>
      <c r="BD696">
        <v>0</v>
      </c>
      <c r="BE696">
        <v>0</v>
      </c>
      <c r="BF696" s="18">
        <v>1</v>
      </c>
      <c r="BG696">
        <v>0</v>
      </c>
      <c r="BH696">
        <v>1</v>
      </c>
      <c r="BI696" s="18">
        <v>0</v>
      </c>
      <c r="BJ696">
        <v>819</v>
      </c>
      <c r="BK696">
        <v>42</v>
      </c>
      <c r="BL696" s="25">
        <v>33</v>
      </c>
      <c r="BM696">
        <v>1</v>
      </c>
      <c r="BN696">
        <v>0</v>
      </c>
      <c r="BO696">
        <v>0</v>
      </c>
      <c r="BP696">
        <v>0</v>
      </c>
      <c r="BQ696">
        <v>0</v>
      </c>
      <c r="BR696">
        <v>0</v>
      </c>
      <c r="BS696">
        <v>0</v>
      </c>
      <c r="BT696" s="18">
        <v>0</v>
      </c>
      <c r="BU696">
        <v>0</v>
      </c>
      <c r="BV696">
        <v>0</v>
      </c>
      <c r="BW696">
        <v>1</v>
      </c>
      <c r="BX696" s="18">
        <v>0</v>
      </c>
      <c r="BY696">
        <v>0</v>
      </c>
      <c r="BZ696">
        <v>0</v>
      </c>
      <c r="CA696">
        <v>0</v>
      </c>
      <c r="CB696">
        <v>0</v>
      </c>
      <c r="CC696" s="18">
        <v>0</v>
      </c>
      <c r="CD696">
        <v>1</v>
      </c>
      <c r="CE696">
        <v>1</v>
      </c>
      <c r="CF696">
        <v>0</v>
      </c>
      <c r="CG696">
        <v>0</v>
      </c>
      <c r="CH696">
        <v>0</v>
      </c>
      <c r="CI696">
        <v>0</v>
      </c>
      <c r="CJ696">
        <v>0</v>
      </c>
      <c r="CK696">
        <v>0</v>
      </c>
      <c r="CL696">
        <v>0</v>
      </c>
      <c r="CM696">
        <v>0</v>
      </c>
      <c r="CN696" s="18">
        <v>1</v>
      </c>
      <c r="CO696">
        <v>0</v>
      </c>
      <c r="CP696">
        <v>17</v>
      </c>
      <c r="CQ696">
        <v>0</v>
      </c>
      <c r="CR696">
        <v>1</v>
      </c>
      <c r="CS696">
        <v>7</v>
      </c>
      <c r="CY696" s="34"/>
    </row>
    <row r="697" spans="1:103" x14ac:dyDescent="0.25">
      <c r="A697">
        <v>696</v>
      </c>
      <c r="B697">
        <v>43</v>
      </c>
      <c r="C697" s="25" t="s">
        <v>454</v>
      </c>
      <c r="D697" s="12">
        <v>3.5558076341622109</v>
      </c>
      <c r="E697" s="14">
        <v>0.78321754056436377</v>
      </c>
      <c r="F697" s="7">
        <v>4.54</v>
      </c>
      <c r="G697" s="7">
        <f t="shared" si="158"/>
        <v>2.7725900935978469</v>
      </c>
      <c r="H697" s="16">
        <f t="shared" si="159"/>
        <v>4.3390251747265749</v>
      </c>
      <c r="I697" s="11">
        <f t="shared" si="163"/>
        <v>0.15377805092955182</v>
      </c>
      <c r="J697" s="33">
        <f t="shared" si="164"/>
        <v>3.3871817385363844E-2</v>
      </c>
      <c r="K697" s="33">
        <f t="shared" si="165"/>
        <v>29.523068946164791</v>
      </c>
      <c r="L697" s="8">
        <v>1</v>
      </c>
      <c r="M697" s="9">
        <v>0</v>
      </c>
      <c r="N697" s="8">
        <v>0</v>
      </c>
      <c r="O697" s="9">
        <v>1</v>
      </c>
      <c r="P697" s="9">
        <v>0</v>
      </c>
      <c r="Q697" s="9">
        <v>0</v>
      </c>
      <c r="R697" s="9">
        <v>0</v>
      </c>
      <c r="S697" s="8">
        <v>875</v>
      </c>
      <c r="T697" s="9">
        <v>23</v>
      </c>
      <c r="U697" s="9">
        <f t="shared" si="160"/>
        <v>851</v>
      </c>
      <c r="V697" s="9">
        <f t="shared" si="161"/>
        <v>18</v>
      </c>
      <c r="W697" s="7">
        <f t="shared" si="167"/>
        <v>3.1</v>
      </c>
      <c r="X697" s="7">
        <f t="shared" si="166"/>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68"/>
        <v>0.35160068847000003</v>
      </c>
      <c r="AT697" s="40">
        <v>0.64839931152999997</v>
      </c>
      <c r="AU697">
        <v>0</v>
      </c>
      <c r="AV697" s="18">
        <v>1</v>
      </c>
      <c r="AW697">
        <v>0.5</v>
      </c>
      <c r="AX697" s="18">
        <v>0.5</v>
      </c>
      <c r="AY697" s="18" t="s">
        <v>455</v>
      </c>
      <c r="AZ697">
        <v>0</v>
      </c>
      <c r="BA697">
        <v>0</v>
      </c>
      <c r="BB697">
        <v>0</v>
      </c>
      <c r="BC697">
        <v>0</v>
      </c>
      <c r="BD697">
        <v>0</v>
      </c>
      <c r="BE697">
        <v>0</v>
      </c>
      <c r="BF697" s="18">
        <v>1</v>
      </c>
      <c r="BG697">
        <v>0</v>
      </c>
      <c r="BH697">
        <v>1</v>
      </c>
      <c r="BI697" s="18">
        <v>0</v>
      </c>
      <c r="BJ697">
        <v>819</v>
      </c>
      <c r="BK697">
        <v>42</v>
      </c>
      <c r="BL697" s="25">
        <v>33</v>
      </c>
      <c r="BM697">
        <v>1</v>
      </c>
      <c r="BN697">
        <v>0</v>
      </c>
      <c r="BO697">
        <v>0</v>
      </c>
      <c r="BP697">
        <v>0</v>
      </c>
      <c r="BQ697">
        <v>0</v>
      </c>
      <c r="BR697">
        <v>0</v>
      </c>
      <c r="BS697">
        <v>0</v>
      </c>
      <c r="BT697" s="18">
        <v>0</v>
      </c>
      <c r="BU697">
        <v>0</v>
      </c>
      <c r="BV697">
        <v>0</v>
      </c>
      <c r="BW697">
        <v>1</v>
      </c>
      <c r="BX697" s="18">
        <v>0</v>
      </c>
      <c r="BY697">
        <v>0</v>
      </c>
      <c r="BZ697">
        <v>0</v>
      </c>
      <c r="CA697">
        <v>0</v>
      </c>
      <c r="CB697">
        <v>0</v>
      </c>
      <c r="CC697" s="18">
        <v>0</v>
      </c>
      <c r="CD697">
        <v>1</v>
      </c>
      <c r="CE697">
        <v>1</v>
      </c>
      <c r="CF697">
        <v>0</v>
      </c>
      <c r="CG697">
        <v>0</v>
      </c>
      <c r="CH697">
        <v>0</v>
      </c>
      <c r="CI697">
        <v>0</v>
      </c>
      <c r="CJ697">
        <v>0</v>
      </c>
      <c r="CK697">
        <v>0</v>
      </c>
      <c r="CL697">
        <v>0</v>
      </c>
      <c r="CM697">
        <v>0</v>
      </c>
      <c r="CN697" s="18">
        <v>1</v>
      </c>
      <c r="CO697">
        <v>0</v>
      </c>
      <c r="CP697">
        <v>17</v>
      </c>
      <c r="CQ697">
        <v>0</v>
      </c>
      <c r="CR697">
        <v>1</v>
      </c>
      <c r="CS697">
        <v>7</v>
      </c>
      <c r="CY697" s="34"/>
    </row>
    <row r="698" spans="1:103" s="142" customFormat="1" x14ac:dyDescent="0.25">
      <c r="A698" s="142">
        <v>697</v>
      </c>
      <c r="B698" s="142">
        <v>43</v>
      </c>
      <c r="C698" s="143" t="s">
        <v>454</v>
      </c>
      <c r="D698" s="144">
        <v>30.647655617245871</v>
      </c>
      <c r="E698" s="145">
        <v>4.8112489195048456</v>
      </c>
      <c r="F698" s="146">
        <v>6.37</v>
      </c>
      <c r="G698" s="146">
        <f t="shared" si="158"/>
        <v>25.836406697741026</v>
      </c>
      <c r="H698" s="147">
        <f t="shared" si="159"/>
        <v>35.458904536750715</v>
      </c>
      <c r="I698" s="11">
        <f t="shared" si="163"/>
        <v>0.21333397643449015</v>
      </c>
      <c r="J698" s="33">
        <f t="shared" si="164"/>
        <v>3.3490420162400336E-2</v>
      </c>
      <c r="K698" s="33">
        <f t="shared" si="165"/>
        <v>29.859284988090387</v>
      </c>
      <c r="L698" s="149">
        <v>1</v>
      </c>
      <c r="M698" s="150">
        <v>0</v>
      </c>
      <c r="N698" s="149">
        <v>0</v>
      </c>
      <c r="O698" s="150">
        <v>1</v>
      </c>
      <c r="P698" s="150">
        <v>0</v>
      </c>
      <c r="Q698" s="150">
        <v>0</v>
      </c>
      <c r="R698" s="150">
        <v>0</v>
      </c>
      <c r="S698" s="149">
        <v>875</v>
      </c>
      <c r="T698" s="150">
        <v>23</v>
      </c>
      <c r="U698" s="150">
        <f t="shared" si="160"/>
        <v>851</v>
      </c>
      <c r="V698" s="150">
        <f t="shared" si="161"/>
        <v>18</v>
      </c>
      <c r="W698" s="146">
        <f t="shared" si="167"/>
        <v>3.1</v>
      </c>
      <c r="X698" s="146">
        <f t="shared" si="166"/>
        <v>23.9</v>
      </c>
      <c r="Y698" s="150">
        <v>0</v>
      </c>
      <c r="Z698" s="150">
        <v>1</v>
      </c>
      <c r="AA698" s="150">
        <v>0</v>
      </c>
      <c r="AB698" s="150">
        <v>0</v>
      </c>
      <c r="AC698" s="150">
        <v>0</v>
      </c>
      <c r="AD698" s="150">
        <v>1</v>
      </c>
      <c r="AE698" s="149">
        <v>0</v>
      </c>
      <c r="AF698" s="150">
        <v>0</v>
      </c>
      <c r="AG698" s="151">
        <v>1</v>
      </c>
      <c r="AH698" s="150">
        <v>1</v>
      </c>
      <c r="AI698" s="151">
        <v>0</v>
      </c>
      <c r="AJ698" s="152">
        <v>1994</v>
      </c>
      <c r="AK698" s="148">
        <v>0.62</v>
      </c>
      <c r="AL698" s="148">
        <v>0.27</v>
      </c>
      <c r="AM698" s="148">
        <v>0.11</v>
      </c>
      <c r="AN698" s="153">
        <v>0</v>
      </c>
      <c r="AO698" s="154" t="s">
        <v>98</v>
      </c>
      <c r="AP698" s="155" t="s">
        <v>98</v>
      </c>
      <c r="AQ698" s="142">
        <v>0</v>
      </c>
      <c r="AR698" s="156">
        <v>1</v>
      </c>
      <c r="AS698" s="169">
        <f t="shared" si="168"/>
        <v>0.35160068847000003</v>
      </c>
      <c r="AT698" s="156">
        <v>0.64839931152999997</v>
      </c>
      <c r="AU698">
        <v>0</v>
      </c>
      <c r="AV698" s="155">
        <v>1</v>
      </c>
      <c r="AW698" s="142">
        <v>0.5</v>
      </c>
      <c r="AX698" s="155">
        <v>0.5</v>
      </c>
      <c r="AY698" s="155" t="s">
        <v>455</v>
      </c>
      <c r="AZ698">
        <v>0</v>
      </c>
      <c r="BA698">
        <v>0</v>
      </c>
      <c r="BB698">
        <v>0</v>
      </c>
      <c r="BC698">
        <v>0</v>
      </c>
      <c r="BD698">
        <v>0</v>
      </c>
      <c r="BE698">
        <v>0</v>
      </c>
      <c r="BF698" s="155">
        <v>1</v>
      </c>
      <c r="BG698">
        <v>0</v>
      </c>
      <c r="BH698">
        <v>1</v>
      </c>
      <c r="BI698" s="155">
        <v>0</v>
      </c>
      <c r="BJ698">
        <v>819</v>
      </c>
      <c r="BK698">
        <v>42</v>
      </c>
      <c r="BL698" s="143">
        <v>33</v>
      </c>
      <c r="BM698" s="142">
        <v>1</v>
      </c>
      <c r="BN698" s="142">
        <v>0</v>
      </c>
      <c r="BO698" s="142">
        <v>0</v>
      </c>
      <c r="BP698" s="142">
        <v>0</v>
      </c>
      <c r="BQ698" s="142">
        <v>0</v>
      </c>
      <c r="BR698" s="142">
        <v>0</v>
      </c>
      <c r="BS698" s="142">
        <v>0</v>
      </c>
      <c r="BT698" s="155">
        <v>0</v>
      </c>
      <c r="BU698" s="142">
        <v>0</v>
      </c>
      <c r="BV698" s="142">
        <v>0</v>
      </c>
      <c r="BW698" s="142">
        <v>1</v>
      </c>
      <c r="BX698" s="155">
        <v>0</v>
      </c>
      <c r="BY698" s="142">
        <v>0</v>
      </c>
      <c r="BZ698" s="142">
        <v>0</v>
      </c>
      <c r="CA698" s="142">
        <v>0</v>
      </c>
      <c r="CB698" s="142">
        <v>0</v>
      </c>
      <c r="CC698" s="155">
        <v>0</v>
      </c>
      <c r="CD698" s="142">
        <v>1</v>
      </c>
      <c r="CE698" s="142">
        <v>1</v>
      </c>
      <c r="CF698" s="142">
        <v>0</v>
      </c>
      <c r="CG698" s="142">
        <v>0</v>
      </c>
      <c r="CH698" s="142">
        <v>0</v>
      </c>
      <c r="CI698" s="142">
        <v>0</v>
      </c>
      <c r="CJ698" s="142">
        <v>0</v>
      </c>
      <c r="CK698" s="142">
        <v>0</v>
      </c>
      <c r="CL698" s="142">
        <v>0</v>
      </c>
      <c r="CM698" s="142">
        <v>0</v>
      </c>
      <c r="CN698" s="155">
        <v>1</v>
      </c>
      <c r="CO698">
        <v>0</v>
      </c>
      <c r="CP698">
        <v>17</v>
      </c>
      <c r="CQ698">
        <v>0</v>
      </c>
      <c r="CR698">
        <v>1</v>
      </c>
      <c r="CS698">
        <v>7</v>
      </c>
      <c r="CT698" s="157"/>
      <c r="CY698" s="157"/>
    </row>
    <row r="699" spans="1:103" x14ac:dyDescent="0.25">
      <c r="A699">
        <v>698</v>
      </c>
      <c r="B699">
        <v>44</v>
      </c>
      <c r="C699" s="25" t="s">
        <v>464</v>
      </c>
      <c r="D699" s="12">
        <v>7.9</v>
      </c>
      <c r="E699" s="14">
        <v>0.63200000000000001</v>
      </c>
      <c r="F699" s="7">
        <v>12.5</v>
      </c>
      <c r="G699" s="7">
        <f t="shared" si="158"/>
        <v>7.2680000000000007</v>
      </c>
      <c r="H699" s="16">
        <f t="shared" si="159"/>
        <v>8.532</v>
      </c>
      <c r="I699" s="11">
        <f t="shared" si="163"/>
        <v>5.0824237087487905E-3</v>
      </c>
      <c r="J699" s="33">
        <f t="shared" si="164"/>
        <v>4.0659389669990326E-4</v>
      </c>
      <c r="K699" s="33">
        <f t="shared" si="165"/>
        <v>2459.4564948378329</v>
      </c>
      <c r="L699" s="8">
        <v>0</v>
      </c>
      <c r="M699" s="9">
        <v>1</v>
      </c>
      <c r="N699" s="8">
        <v>0</v>
      </c>
      <c r="O699" s="9">
        <v>0</v>
      </c>
      <c r="P699" s="9">
        <v>0</v>
      </c>
      <c r="Q699" s="9">
        <v>1</v>
      </c>
      <c r="R699" s="9">
        <v>0</v>
      </c>
      <c r="S699" s="8">
        <v>6048776</v>
      </c>
      <c r="T699" s="9">
        <v>5</v>
      </c>
      <c r="U699" s="9">
        <f t="shared" si="160"/>
        <v>6048770</v>
      </c>
      <c r="V699" s="9">
        <f t="shared" si="161"/>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v>0</v>
      </c>
      <c r="BF699" s="18">
        <v>0</v>
      </c>
      <c r="BG699">
        <v>1</v>
      </c>
      <c r="BH699">
        <v>0</v>
      </c>
      <c r="BI699" s="18">
        <v>0</v>
      </c>
      <c r="BJ699">
        <v>18095</v>
      </c>
      <c r="BK699">
        <v>27</v>
      </c>
      <c r="BL699" s="25">
        <v>40.5</v>
      </c>
      <c r="BM699">
        <v>0</v>
      </c>
      <c r="BN699">
        <v>0</v>
      </c>
      <c r="BO699">
        <v>0</v>
      </c>
      <c r="BP699">
        <v>0</v>
      </c>
      <c r="BQ699">
        <v>0</v>
      </c>
      <c r="BR699">
        <v>0</v>
      </c>
      <c r="BS699">
        <v>0</v>
      </c>
      <c r="BT699" s="18">
        <v>1</v>
      </c>
      <c r="BU699">
        <v>1</v>
      </c>
      <c r="BV699">
        <v>0</v>
      </c>
      <c r="BW699">
        <v>0</v>
      </c>
      <c r="BX699" s="18">
        <v>0</v>
      </c>
      <c r="BY699">
        <v>0</v>
      </c>
      <c r="BZ699">
        <v>0</v>
      </c>
      <c r="CA699">
        <v>0</v>
      </c>
      <c r="CB699">
        <v>0</v>
      </c>
      <c r="CC699" s="18">
        <v>1</v>
      </c>
      <c r="CD699">
        <v>0</v>
      </c>
      <c r="CE699">
        <v>0</v>
      </c>
      <c r="CF699">
        <v>0</v>
      </c>
      <c r="CG699">
        <v>0</v>
      </c>
      <c r="CH699">
        <v>0</v>
      </c>
      <c r="CI699">
        <v>0</v>
      </c>
      <c r="CJ699">
        <v>0</v>
      </c>
      <c r="CK699">
        <v>0</v>
      </c>
      <c r="CL699">
        <v>0</v>
      </c>
      <c r="CM699">
        <v>0</v>
      </c>
      <c r="CN699" s="18">
        <v>1</v>
      </c>
      <c r="CO699">
        <v>3.0070000000000001</v>
      </c>
      <c r="CP699">
        <v>32</v>
      </c>
      <c r="CQ699">
        <v>1</v>
      </c>
      <c r="CR699">
        <v>0</v>
      </c>
      <c r="CS699">
        <v>26</v>
      </c>
      <c r="CY699" s="34"/>
    </row>
    <row r="700" spans="1:103" x14ac:dyDescent="0.25">
      <c r="A700">
        <v>699</v>
      </c>
      <c r="B700">
        <v>44</v>
      </c>
      <c r="C700" s="25" t="s">
        <v>464</v>
      </c>
      <c r="D700" s="12">
        <v>7.5</v>
      </c>
      <c r="E700" s="14">
        <v>0.67164179104477617</v>
      </c>
      <c r="F700" s="7">
        <v>11.16666666666667</v>
      </c>
      <c r="G700" s="7">
        <f t="shared" si="158"/>
        <v>6.8283582089552235</v>
      </c>
      <c r="H700" s="16">
        <f t="shared" si="159"/>
        <v>8.1716417910447756</v>
      </c>
      <c r="I700" s="11">
        <f t="shared" si="163"/>
        <v>4.5403103559286647E-3</v>
      </c>
      <c r="J700" s="33">
        <f t="shared" si="164"/>
        <v>4.0659495724734295E-4</v>
      </c>
      <c r="K700" s="33">
        <f t="shared" si="165"/>
        <v>2459.4500796813186</v>
      </c>
      <c r="L700" s="8">
        <v>0</v>
      </c>
      <c r="M700" s="9">
        <v>1</v>
      </c>
      <c r="N700" s="8">
        <v>0</v>
      </c>
      <c r="O700" s="9">
        <v>0</v>
      </c>
      <c r="P700" s="9">
        <v>0</v>
      </c>
      <c r="Q700" s="9">
        <v>1</v>
      </c>
      <c r="R700" s="9">
        <v>0</v>
      </c>
      <c r="S700" s="8">
        <v>6048776</v>
      </c>
      <c r="T700" s="9">
        <v>5</v>
      </c>
      <c r="U700" s="9">
        <f t="shared" si="160"/>
        <v>6048770</v>
      </c>
      <c r="V700" s="9">
        <f t="shared" si="161"/>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v>0</v>
      </c>
      <c r="BF700" s="18">
        <v>0</v>
      </c>
      <c r="BG700">
        <v>1</v>
      </c>
      <c r="BH700">
        <v>0</v>
      </c>
      <c r="BI700" s="18">
        <v>0</v>
      </c>
      <c r="BJ700">
        <v>18095</v>
      </c>
      <c r="BK700">
        <v>27</v>
      </c>
      <c r="BL700" s="25">
        <v>40.5</v>
      </c>
      <c r="BM700">
        <v>0</v>
      </c>
      <c r="BN700">
        <v>0</v>
      </c>
      <c r="BO700">
        <v>0</v>
      </c>
      <c r="BP700">
        <v>0</v>
      </c>
      <c r="BQ700">
        <v>0</v>
      </c>
      <c r="BR700">
        <v>0</v>
      </c>
      <c r="BS700">
        <v>0</v>
      </c>
      <c r="BT700" s="18">
        <v>1</v>
      </c>
      <c r="BU700">
        <v>1</v>
      </c>
      <c r="BV700">
        <v>0</v>
      </c>
      <c r="BW700">
        <v>0</v>
      </c>
      <c r="BX700" s="18">
        <v>0</v>
      </c>
      <c r="BY700">
        <v>0</v>
      </c>
      <c r="BZ700">
        <v>0</v>
      </c>
      <c r="CA700">
        <v>0</v>
      </c>
      <c r="CB700">
        <v>0</v>
      </c>
      <c r="CC700" s="18">
        <v>1</v>
      </c>
      <c r="CD700">
        <v>0</v>
      </c>
      <c r="CE700">
        <v>0</v>
      </c>
      <c r="CF700">
        <v>0</v>
      </c>
      <c r="CG700">
        <v>0</v>
      </c>
      <c r="CH700">
        <v>0</v>
      </c>
      <c r="CI700">
        <v>0</v>
      </c>
      <c r="CJ700">
        <v>0</v>
      </c>
      <c r="CK700">
        <v>0</v>
      </c>
      <c r="CL700">
        <v>0</v>
      </c>
      <c r="CM700">
        <v>0</v>
      </c>
      <c r="CN700" s="18">
        <v>1</v>
      </c>
      <c r="CO700">
        <v>3.0070000000000001</v>
      </c>
      <c r="CP700">
        <v>32</v>
      </c>
      <c r="CQ700">
        <v>1</v>
      </c>
      <c r="CR700">
        <v>0</v>
      </c>
      <c r="CS700">
        <v>26</v>
      </c>
      <c r="CY700" s="34"/>
    </row>
    <row r="701" spans="1:103" x14ac:dyDescent="0.25">
      <c r="A701">
        <v>700</v>
      </c>
      <c r="B701">
        <v>44</v>
      </c>
      <c r="C701" s="25" t="s">
        <v>464</v>
      </c>
      <c r="D701" s="12">
        <v>7.6</v>
      </c>
      <c r="E701" s="14">
        <v>0.40335195530726259</v>
      </c>
      <c r="F701" s="7">
        <v>18.84210526315789</v>
      </c>
      <c r="G701" s="7">
        <f t="shared" si="158"/>
        <v>7.1966480446927372</v>
      </c>
      <c r="H701" s="16">
        <f t="shared" si="159"/>
        <v>8.003351955307263</v>
      </c>
      <c r="I701" s="11">
        <f t="shared" si="163"/>
        <v>6.3886858768177415E-3</v>
      </c>
      <c r="J701" s="33">
        <f t="shared" si="164"/>
        <v>3.3906433424451708E-4</v>
      </c>
      <c r="K701" s="33">
        <f t="shared" si="165"/>
        <v>2949.2928008135691</v>
      </c>
      <c r="L701" s="8">
        <v>0</v>
      </c>
      <c r="M701" s="9">
        <v>1</v>
      </c>
      <c r="N701" s="8">
        <v>0</v>
      </c>
      <c r="O701" s="9">
        <v>0</v>
      </c>
      <c r="P701" s="9">
        <v>0</v>
      </c>
      <c r="Q701" s="9">
        <v>1</v>
      </c>
      <c r="R701" s="9">
        <v>0</v>
      </c>
      <c r="S701" s="8">
        <v>8697979</v>
      </c>
      <c r="T701" s="9">
        <v>5</v>
      </c>
      <c r="U701" s="9">
        <f t="shared" si="160"/>
        <v>8697973</v>
      </c>
      <c r="V701" s="9">
        <f t="shared" si="161"/>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v>0</v>
      </c>
      <c r="BF701" s="18">
        <v>0</v>
      </c>
      <c r="BG701">
        <v>1</v>
      </c>
      <c r="BH701">
        <v>0</v>
      </c>
      <c r="BI701" s="18">
        <v>0</v>
      </c>
      <c r="BJ701">
        <v>18095</v>
      </c>
      <c r="BK701">
        <v>27</v>
      </c>
      <c r="BL701" s="25">
        <v>40.5</v>
      </c>
      <c r="BM701">
        <v>0</v>
      </c>
      <c r="BN701">
        <v>0</v>
      </c>
      <c r="BO701">
        <v>0</v>
      </c>
      <c r="BP701">
        <v>0</v>
      </c>
      <c r="BQ701">
        <v>0</v>
      </c>
      <c r="BR701">
        <v>0</v>
      </c>
      <c r="BS701">
        <v>0</v>
      </c>
      <c r="BT701" s="18">
        <v>1</v>
      </c>
      <c r="BU701">
        <v>1</v>
      </c>
      <c r="BV701">
        <v>0</v>
      </c>
      <c r="BW701">
        <v>0</v>
      </c>
      <c r="BX701" s="18">
        <v>0</v>
      </c>
      <c r="BY701">
        <v>0</v>
      </c>
      <c r="BZ701">
        <v>0</v>
      </c>
      <c r="CA701">
        <v>0</v>
      </c>
      <c r="CB701">
        <v>0</v>
      </c>
      <c r="CC701" s="18">
        <v>1</v>
      </c>
      <c r="CD701">
        <v>0</v>
      </c>
      <c r="CE701">
        <v>0</v>
      </c>
      <c r="CF701">
        <v>0</v>
      </c>
      <c r="CG701">
        <v>0</v>
      </c>
      <c r="CH701">
        <v>0</v>
      </c>
      <c r="CI701">
        <v>0</v>
      </c>
      <c r="CJ701">
        <v>0</v>
      </c>
      <c r="CK701">
        <v>0</v>
      </c>
      <c r="CL701">
        <v>0</v>
      </c>
      <c r="CM701">
        <v>0</v>
      </c>
      <c r="CN701" s="18">
        <v>1</v>
      </c>
      <c r="CO701">
        <v>3.0070000000000001</v>
      </c>
      <c r="CP701">
        <v>32</v>
      </c>
      <c r="CQ701">
        <v>1</v>
      </c>
      <c r="CR701">
        <v>0</v>
      </c>
      <c r="CS701">
        <v>26</v>
      </c>
      <c r="CY701" s="34"/>
    </row>
    <row r="702" spans="1:103" x14ac:dyDescent="0.25">
      <c r="A702">
        <v>701</v>
      </c>
      <c r="B702">
        <v>44</v>
      </c>
      <c r="C702" s="25" t="s">
        <v>464</v>
      </c>
      <c r="D702" s="12">
        <v>7.5</v>
      </c>
      <c r="E702" s="14">
        <v>0.55555555555555558</v>
      </c>
      <c r="F702" s="7">
        <v>13.5</v>
      </c>
      <c r="G702" s="7">
        <f t="shared" si="158"/>
        <v>6.9444444444444446</v>
      </c>
      <c r="H702" s="16">
        <f t="shared" si="159"/>
        <v>8.0555555555555554</v>
      </c>
      <c r="I702" s="11">
        <f t="shared" si="163"/>
        <v>4.5774139731244411E-3</v>
      </c>
      <c r="J702" s="33">
        <f t="shared" si="164"/>
        <v>3.3906770171292152E-4</v>
      </c>
      <c r="K702" s="33">
        <f t="shared" si="165"/>
        <v>2949.2635097596826</v>
      </c>
      <c r="L702" s="8">
        <v>0</v>
      </c>
      <c r="M702" s="9">
        <v>1</v>
      </c>
      <c r="N702" s="8">
        <v>0</v>
      </c>
      <c r="O702" s="9">
        <v>0</v>
      </c>
      <c r="P702" s="9">
        <v>0</v>
      </c>
      <c r="Q702" s="9">
        <v>1</v>
      </c>
      <c r="R702" s="9">
        <v>0</v>
      </c>
      <c r="S702" s="8">
        <v>8697979</v>
      </c>
      <c r="T702" s="9">
        <v>5</v>
      </c>
      <c r="U702" s="9">
        <f t="shared" si="160"/>
        <v>8697973</v>
      </c>
      <c r="V702" s="9">
        <f t="shared" si="161"/>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v>0</v>
      </c>
      <c r="BF702" s="18">
        <v>0</v>
      </c>
      <c r="BG702">
        <v>1</v>
      </c>
      <c r="BH702">
        <v>0</v>
      </c>
      <c r="BI702" s="18">
        <v>0</v>
      </c>
      <c r="BJ702">
        <v>18095</v>
      </c>
      <c r="BK702">
        <v>27</v>
      </c>
      <c r="BL702" s="25">
        <v>40.5</v>
      </c>
      <c r="BM702">
        <v>0</v>
      </c>
      <c r="BN702">
        <v>0</v>
      </c>
      <c r="BO702">
        <v>0</v>
      </c>
      <c r="BP702">
        <v>0</v>
      </c>
      <c r="BQ702">
        <v>0</v>
      </c>
      <c r="BR702">
        <v>0</v>
      </c>
      <c r="BS702">
        <v>0</v>
      </c>
      <c r="BT702" s="18">
        <v>1</v>
      </c>
      <c r="BU702">
        <v>1</v>
      </c>
      <c r="BV702">
        <v>0</v>
      </c>
      <c r="BW702">
        <v>0</v>
      </c>
      <c r="BX702" s="18">
        <v>0</v>
      </c>
      <c r="BY702">
        <v>0</v>
      </c>
      <c r="BZ702">
        <v>0</v>
      </c>
      <c r="CA702">
        <v>0</v>
      </c>
      <c r="CB702">
        <v>0</v>
      </c>
      <c r="CC702" s="18">
        <v>1</v>
      </c>
      <c r="CD702">
        <v>0</v>
      </c>
      <c r="CE702">
        <v>0</v>
      </c>
      <c r="CF702">
        <v>0</v>
      </c>
      <c r="CG702">
        <v>0</v>
      </c>
      <c r="CH702">
        <v>0</v>
      </c>
      <c r="CI702">
        <v>0</v>
      </c>
      <c r="CJ702">
        <v>0</v>
      </c>
      <c r="CK702">
        <v>0</v>
      </c>
      <c r="CL702">
        <v>0</v>
      </c>
      <c r="CM702">
        <v>0</v>
      </c>
      <c r="CN702" s="18">
        <v>1</v>
      </c>
      <c r="CO702">
        <v>3.0070000000000001</v>
      </c>
      <c r="CP702">
        <v>32</v>
      </c>
      <c r="CQ702">
        <v>1</v>
      </c>
      <c r="CR702">
        <v>0</v>
      </c>
      <c r="CS702">
        <v>26</v>
      </c>
      <c r="CY702" s="34"/>
    </row>
    <row r="703" spans="1:103" x14ac:dyDescent="0.25">
      <c r="A703">
        <v>702</v>
      </c>
      <c r="B703">
        <v>44</v>
      </c>
      <c r="C703" s="25" t="s">
        <v>464</v>
      </c>
      <c r="D703" s="12">
        <v>7.1999999999999993</v>
      </c>
      <c r="E703" s="14">
        <v>0.75223880597014925</v>
      </c>
      <c r="F703" s="7">
        <v>9.5714285714285712</v>
      </c>
      <c r="G703" s="7">
        <f t="shared" si="158"/>
        <v>6.4477611940298498</v>
      </c>
      <c r="H703" s="16">
        <f t="shared" si="159"/>
        <v>7.9522388059701488</v>
      </c>
      <c r="I703" s="11">
        <f t="shared" si="163"/>
        <v>2.4924546754224301E-3</v>
      </c>
      <c r="J703" s="33">
        <f t="shared" si="164"/>
        <v>2.6040571235756731E-4</v>
      </c>
      <c r="K703" s="33">
        <f t="shared" si="165"/>
        <v>3840.1615346551375</v>
      </c>
      <c r="L703" s="8">
        <v>0</v>
      </c>
      <c r="M703" s="9">
        <v>1</v>
      </c>
      <c r="N703" s="8">
        <v>0</v>
      </c>
      <c r="O703" s="9">
        <v>0</v>
      </c>
      <c r="P703" s="9">
        <v>0</v>
      </c>
      <c r="Q703" s="9">
        <v>1</v>
      </c>
      <c r="R703" s="9">
        <v>0</v>
      </c>
      <c r="S703" s="8">
        <v>14746755</v>
      </c>
      <c r="T703" s="9">
        <v>5</v>
      </c>
      <c r="U703" s="9">
        <f t="shared" si="160"/>
        <v>14746749</v>
      </c>
      <c r="V703" s="9">
        <f t="shared" si="161"/>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v>0</v>
      </c>
      <c r="BF703" s="18">
        <v>0</v>
      </c>
      <c r="BG703">
        <v>1</v>
      </c>
      <c r="BH703">
        <v>0</v>
      </c>
      <c r="BI703" s="18">
        <v>0</v>
      </c>
      <c r="BJ703">
        <v>18095</v>
      </c>
      <c r="BK703">
        <v>27</v>
      </c>
      <c r="BL703" s="25">
        <v>40.5</v>
      </c>
      <c r="BM703">
        <v>0</v>
      </c>
      <c r="BN703">
        <v>0</v>
      </c>
      <c r="BO703">
        <v>0</v>
      </c>
      <c r="BP703">
        <v>0</v>
      </c>
      <c r="BQ703">
        <v>0</v>
      </c>
      <c r="BR703">
        <v>0</v>
      </c>
      <c r="BS703">
        <v>0</v>
      </c>
      <c r="BT703" s="18">
        <v>1</v>
      </c>
      <c r="BU703">
        <v>1</v>
      </c>
      <c r="BV703">
        <v>0</v>
      </c>
      <c r="BW703">
        <v>0</v>
      </c>
      <c r="BX703" s="18">
        <v>0</v>
      </c>
      <c r="BY703">
        <v>0</v>
      </c>
      <c r="BZ703">
        <v>0</v>
      </c>
      <c r="CA703">
        <v>0</v>
      </c>
      <c r="CB703">
        <v>0</v>
      </c>
      <c r="CC703" s="18">
        <v>1</v>
      </c>
      <c r="CD703">
        <v>0</v>
      </c>
      <c r="CE703">
        <v>0</v>
      </c>
      <c r="CF703">
        <v>0</v>
      </c>
      <c r="CG703">
        <v>0</v>
      </c>
      <c r="CH703">
        <v>0</v>
      </c>
      <c r="CI703">
        <v>0</v>
      </c>
      <c r="CJ703">
        <v>0</v>
      </c>
      <c r="CK703">
        <v>0</v>
      </c>
      <c r="CL703">
        <v>0</v>
      </c>
      <c r="CM703">
        <v>0</v>
      </c>
      <c r="CN703" s="18">
        <v>1</v>
      </c>
      <c r="CO703">
        <v>3.0070000000000001</v>
      </c>
      <c r="CP703">
        <v>32</v>
      </c>
      <c r="CQ703">
        <v>1</v>
      </c>
      <c r="CR703">
        <v>0</v>
      </c>
      <c r="CS703">
        <v>26</v>
      </c>
      <c r="CY703" s="34"/>
    </row>
    <row r="704" spans="1:103" s="142" customFormat="1" x14ac:dyDescent="0.25">
      <c r="A704" s="142">
        <v>703</v>
      </c>
      <c r="B704" s="142">
        <v>44</v>
      </c>
      <c r="C704" s="143" t="s">
        <v>464</v>
      </c>
      <c r="D704" s="144">
        <v>6.7</v>
      </c>
      <c r="E704" s="145">
        <v>0.75645161290322582</v>
      </c>
      <c r="F704" s="146">
        <v>8.8571428571428577</v>
      </c>
      <c r="G704" s="146">
        <f t="shared" si="158"/>
        <v>5.943548387096774</v>
      </c>
      <c r="H704" s="147">
        <f t="shared" si="159"/>
        <v>7.4564516129032263</v>
      </c>
      <c r="I704" s="11">
        <f t="shared" si="163"/>
        <v>2.3064516245550216E-3</v>
      </c>
      <c r="J704" s="33">
        <f t="shared" si="164"/>
        <v>2.6040582857879277E-4</v>
      </c>
      <c r="K704" s="33">
        <f t="shared" si="165"/>
        <v>3840.159820760015</v>
      </c>
      <c r="L704" s="149">
        <v>0</v>
      </c>
      <c r="M704" s="150">
        <v>1</v>
      </c>
      <c r="N704" s="149">
        <v>0</v>
      </c>
      <c r="O704" s="150">
        <v>0</v>
      </c>
      <c r="P704" s="150">
        <v>0</v>
      </c>
      <c r="Q704" s="150">
        <v>1</v>
      </c>
      <c r="R704" s="150">
        <v>0</v>
      </c>
      <c r="S704" s="149">
        <v>14746755</v>
      </c>
      <c r="T704" s="150">
        <v>5</v>
      </c>
      <c r="U704" s="150">
        <f t="shared" si="160"/>
        <v>14746749</v>
      </c>
      <c r="V704" s="150">
        <f t="shared" si="161"/>
        <v>6</v>
      </c>
      <c r="W704" s="146">
        <v>12.27</v>
      </c>
      <c r="X704" s="146">
        <v>20.5</v>
      </c>
      <c r="Y704" s="150">
        <v>1</v>
      </c>
      <c r="Z704" s="150">
        <v>0</v>
      </c>
      <c r="AA704" s="150">
        <v>0</v>
      </c>
      <c r="AB704" s="150">
        <v>0</v>
      </c>
      <c r="AC704" s="150">
        <v>0</v>
      </c>
      <c r="AD704" s="150">
        <v>1</v>
      </c>
      <c r="AE704" s="149">
        <v>0</v>
      </c>
      <c r="AF704" s="150">
        <v>0</v>
      </c>
      <c r="AG704" s="151">
        <v>1</v>
      </c>
      <c r="AH704" s="150">
        <v>0</v>
      </c>
      <c r="AI704" s="151">
        <v>1</v>
      </c>
      <c r="AJ704" s="152">
        <v>1991</v>
      </c>
      <c r="AK704" s="148" t="s">
        <v>98</v>
      </c>
      <c r="AL704" s="148" t="s">
        <v>98</v>
      </c>
      <c r="AM704" s="148" t="s">
        <v>98</v>
      </c>
      <c r="AN704" s="153" t="s">
        <v>98</v>
      </c>
      <c r="AO704" s="154">
        <v>1</v>
      </c>
      <c r="AP704" s="155">
        <v>0</v>
      </c>
      <c r="AQ704" s="142">
        <v>1</v>
      </c>
      <c r="AR704" s="156">
        <v>0</v>
      </c>
      <c r="AS704" s="142" t="s">
        <v>98</v>
      </c>
      <c r="AT704" s="156" t="s">
        <v>98</v>
      </c>
      <c r="AU704">
        <v>1</v>
      </c>
      <c r="AV704" s="155">
        <v>0</v>
      </c>
      <c r="AW704" s="142" t="s">
        <v>98</v>
      </c>
      <c r="AX704" s="155" t="s">
        <v>98</v>
      </c>
      <c r="AY704" s="155" t="s">
        <v>465</v>
      </c>
      <c r="AZ704">
        <v>1</v>
      </c>
      <c r="BA704">
        <v>0</v>
      </c>
      <c r="BB704">
        <v>0</v>
      </c>
      <c r="BC704">
        <v>0</v>
      </c>
      <c r="BD704">
        <v>0</v>
      </c>
      <c r="BE704">
        <v>0</v>
      </c>
      <c r="BF704" s="155">
        <v>0</v>
      </c>
      <c r="BG704">
        <v>1</v>
      </c>
      <c r="BH704">
        <v>0</v>
      </c>
      <c r="BI704" s="155">
        <v>0</v>
      </c>
      <c r="BJ704">
        <v>18095</v>
      </c>
      <c r="BK704">
        <v>27</v>
      </c>
      <c r="BL704" s="143">
        <v>40.5</v>
      </c>
      <c r="BM704" s="142">
        <v>0</v>
      </c>
      <c r="BN704" s="142">
        <v>0</v>
      </c>
      <c r="BO704" s="142">
        <v>0</v>
      </c>
      <c r="BP704" s="142">
        <v>0</v>
      </c>
      <c r="BQ704" s="142">
        <v>0</v>
      </c>
      <c r="BR704" s="142">
        <v>0</v>
      </c>
      <c r="BS704" s="142">
        <v>0</v>
      </c>
      <c r="BT704" s="155">
        <v>1</v>
      </c>
      <c r="BU704" s="142">
        <v>1</v>
      </c>
      <c r="BV704" s="142">
        <v>0</v>
      </c>
      <c r="BW704" s="142">
        <v>0</v>
      </c>
      <c r="BX704" s="155">
        <v>0</v>
      </c>
      <c r="BY704" s="142">
        <v>0</v>
      </c>
      <c r="BZ704" s="142">
        <v>0</v>
      </c>
      <c r="CA704" s="142">
        <v>0</v>
      </c>
      <c r="CB704" s="142">
        <v>0</v>
      </c>
      <c r="CC704" s="155">
        <v>1</v>
      </c>
      <c r="CD704" s="142">
        <v>0</v>
      </c>
      <c r="CE704" s="142">
        <v>0</v>
      </c>
      <c r="CF704" s="142">
        <v>0</v>
      </c>
      <c r="CG704" s="142">
        <v>0</v>
      </c>
      <c r="CH704" s="142">
        <v>0</v>
      </c>
      <c r="CI704" s="142">
        <v>0</v>
      </c>
      <c r="CJ704" s="142">
        <v>0</v>
      </c>
      <c r="CK704" s="142">
        <v>0</v>
      </c>
      <c r="CL704" s="142">
        <v>0</v>
      </c>
      <c r="CM704" s="142">
        <v>0</v>
      </c>
      <c r="CN704" s="155">
        <v>1</v>
      </c>
      <c r="CO704">
        <v>3.0070000000000001</v>
      </c>
      <c r="CP704">
        <v>32</v>
      </c>
      <c r="CQ704">
        <v>1</v>
      </c>
      <c r="CR704">
        <v>0</v>
      </c>
      <c r="CS704">
        <v>26</v>
      </c>
      <c r="CT704" s="157"/>
      <c r="CY704" s="157"/>
    </row>
    <row r="705" spans="1:103" x14ac:dyDescent="0.25">
      <c r="A705">
        <v>704</v>
      </c>
      <c r="B705">
        <v>45</v>
      </c>
      <c r="C705" s="25" t="s">
        <v>470</v>
      </c>
      <c r="D705" s="12">
        <v>6.4</v>
      </c>
      <c r="E705" s="14">
        <v>0.1</v>
      </c>
      <c r="F705" s="7">
        <v>9.8571428571428594</v>
      </c>
      <c r="G705" s="7">
        <f t="shared" si="158"/>
        <v>6.3000000000000007</v>
      </c>
      <c r="H705" s="16">
        <f t="shared" si="159"/>
        <v>6.5</v>
      </c>
      <c r="I705" s="11">
        <f t="shared" si="163"/>
        <v>9.0603625683672084E-2</v>
      </c>
      <c r="J705" s="33">
        <f t="shared" si="164"/>
        <v>9.1916721708073107E-3</v>
      </c>
      <c r="K705" s="33">
        <f t="shared" si="165"/>
        <v>108.79413249484608</v>
      </c>
      <c r="L705" s="8">
        <v>0</v>
      </c>
      <c r="M705" s="9">
        <v>1</v>
      </c>
      <c r="N705" s="8">
        <v>0</v>
      </c>
      <c r="O705" s="9">
        <v>0</v>
      </c>
      <c r="P705" s="9">
        <v>1</v>
      </c>
      <c r="Q705" s="9">
        <v>0</v>
      </c>
      <c r="R705" s="9">
        <v>0</v>
      </c>
      <c r="S705" s="8">
        <v>11742</v>
      </c>
      <c r="T705" s="9">
        <v>2</v>
      </c>
      <c r="U705" s="9">
        <f t="shared" si="160"/>
        <v>11739</v>
      </c>
      <c r="V705" s="9">
        <f t="shared" si="161"/>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69">1-AR705</f>
        <v>0.78400000000000003</v>
      </c>
      <c r="AR705" s="40">
        <v>0.216</v>
      </c>
      <c r="AS705" s="39">
        <f t="shared" ref="AS705:AS734" si="170">1-AT705</f>
        <v>0.76300000000000001</v>
      </c>
      <c r="AT705" s="40">
        <v>0.23699999999999999</v>
      </c>
      <c r="AU705">
        <v>0</v>
      </c>
      <c r="AV705" s="18">
        <v>1</v>
      </c>
      <c r="AW705">
        <f t="shared" ref="AW705:AW734" si="171">1-AX705</f>
        <v>0.20799999999999996</v>
      </c>
      <c r="AX705" s="18">
        <v>0.79200000000000004</v>
      </c>
      <c r="AY705" s="18" t="s">
        <v>29</v>
      </c>
      <c r="AZ705">
        <v>0</v>
      </c>
      <c r="BA705">
        <v>0</v>
      </c>
      <c r="BB705">
        <v>1</v>
      </c>
      <c r="BC705">
        <v>0</v>
      </c>
      <c r="BD705">
        <v>0</v>
      </c>
      <c r="BE705">
        <v>0</v>
      </c>
      <c r="BF705" s="18">
        <v>0</v>
      </c>
      <c r="BG705">
        <v>0</v>
      </c>
      <c r="BH705">
        <v>1</v>
      </c>
      <c r="BI705" s="18">
        <v>0</v>
      </c>
      <c r="BJ705">
        <v>5087</v>
      </c>
      <c r="BK705">
        <v>9052</v>
      </c>
      <c r="BL705" s="93">
        <f t="shared" ref="BL705:BL734" si="172">W705+X705+6</f>
        <v>32.11</v>
      </c>
      <c r="BM705">
        <v>1</v>
      </c>
      <c r="BN705">
        <v>0</v>
      </c>
      <c r="BO705">
        <v>0</v>
      </c>
      <c r="BP705">
        <v>0</v>
      </c>
      <c r="BQ705">
        <v>0</v>
      </c>
      <c r="BR705">
        <v>0</v>
      </c>
      <c r="BS705">
        <v>0</v>
      </c>
      <c r="BT705" s="18">
        <v>0</v>
      </c>
      <c r="BU705">
        <v>0</v>
      </c>
      <c r="BV705">
        <v>0</v>
      </c>
      <c r="BW705">
        <v>1</v>
      </c>
      <c r="BX705" s="18">
        <v>0</v>
      </c>
      <c r="BY705">
        <v>0</v>
      </c>
      <c r="BZ705">
        <v>0</v>
      </c>
      <c r="CA705">
        <v>0</v>
      </c>
      <c r="CB705">
        <v>0</v>
      </c>
      <c r="CC705" s="18">
        <v>0</v>
      </c>
      <c r="CD705">
        <v>0</v>
      </c>
      <c r="CE705">
        <v>0</v>
      </c>
      <c r="CF705">
        <v>1</v>
      </c>
      <c r="CG705">
        <v>0</v>
      </c>
      <c r="CH705">
        <v>0</v>
      </c>
      <c r="CI705">
        <v>0</v>
      </c>
      <c r="CJ705">
        <v>0</v>
      </c>
      <c r="CK705">
        <v>0</v>
      </c>
      <c r="CL705">
        <v>0</v>
      </c>
      <c r="CM705">
        <v>0</v>
      </c>
      <c r="CN705" s="18">
        <v>1</v>
      </c>
      <c r="CO705">
        <v>2.3E-2</v>
      </c>
      <c r="CP705">
        <v>13</v>
      </c>
      <c r="CQ705">
        <v>1</v>
      </c>
      <c r="CR705">
        <v>0</v>
      </c>
      <c r="CS705">
        <v>17</v>
      </c>
      <c r="CY705" s="34"/>
    </row>
    <row r="706" spans="1:103" x14ac:dyDescent="0.25">
      <c r="A706">
        <v>705</v>
      </c>
      <c r="B706">
        <v>45</v>
      </c>
      <c r="C706" s="25" t="s">
        <v>470</v>
      </c>
      <c r="D706" s="12">
        <v>5.9</v>
      </c>
      <c r="E706" s="14">
        <v>0.1</v>
      </c>
      <c r="F706" s="7">
        <v>10.8571428571429</v>
      </c>
      <c r="G706" s="7">
        <f t="shared" ref="G706:G769" si="173">D706-E706</f>
        <v>5.8000000000000007</v>
      </c>
      <c r="H706" s="16">
        <f t="shared" ref="H706:H769" si="174">D706+E706</f>
        <v>6</v>
      </c>
      <c r="I706" s="11">
        <f t="shared" si="163"/>
        <v>5.2448816408867345E-2</v>
      </c>
      <c r="J706" s="33">
        <f t="shared" si="164"/>
        <v>4.8308120376588147E-3</v>
      </c>
      <c r="K706" s="33">
        <f t="shared" si="165"/>
        <v>207.0045350977133</v>
      </c>
      <c r="L706" s="8">
        <v>0</v>
      </c>
      <c r="M706" s="9">
        <v>1</v>
      </c>
      <c r="N706" s="8">
        <v>0</v>
      </c>
      <c r="O706" s="9">
        <v>0</v>
      </c>
      <c r="P706" s="9">
        <v>1</v>
      </c>
      <c r="Q706" s="9">
        <v>0</v>
      </c>
      <c r="R706" s="9">
        <v>0</v>
      </c>
      <c r="S706" s="8">
        <v>42737</v>
      </c>
      <c r="T706" s="9">
        <v>3</v>
      </c>
      <c r="U706" s="9">
        <f t="shared" ref="U706:U769" si="175">S706-T706-1</f>
        <v>42733</v>
      </c>
      <c r="V706" s="9">
        <f t="shared" ref="V706:V769" si="176">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69"/>
        <v>0.78400000000000003</v>
      </c>
      <c r="AR706" s="40">
        <v>0.216</v>
      </c>
      <c r="AS706" s="39">
        <f t="shared" si="170"/>
        <v>0.76300000000000001</v>
      </c>
      <c r="AT706" s="40">
        <v>0.23699999999999999</v>
      </c>
      <c r="AU706">
        <v>0</v>
      </c>
      <c r="AV706" s="18">
        <v>1</v>
      </c>
      <c r="AW706">
        <f t="shared" si="171"/>
        <v>0.20799999999999996</v>
      </c>
      <c r="AX706" s="18">
        <v>0.79200000000000004</v>
      </c>
      <c r="AY706" s="18" t="s">
        <v>29</v>
      </c>
      <c r="AZ706">
        <v>0</v>
      </c>
      <c r="BA706">
        <v>0</v>
      </c>
      <c r="BB706">
        <v>1</v>
      </c>
      <c r="BC706">
        <v>0</v>
      </c>
      <c r="BD706">
        <v>0</v>
      </c>
      <c r="BE706">
        <v>0</v>
      </c>
      <c r="BF706" s="18">
        <v>0</v>
      </c>
      <c r="BG706">
        <v>0</v>
      </c>
      <c r="BH706">
        <v>1</v>
      </c>
      <c r="BI706" s="18">
        <v>0</v>
      </c>
      <c r="BJ706">
        <v>5087</v>
      </c>
      <c r="BK706">
        <v>9052</v>
      </c>
      <c r="BL706" s="93">
        <f t="shared" si="172"/>
        <v>32.11</v>
      </c>
      <c r="BM706">
        <v>1</v>
      </c>
      <c r="BN706">
        <v>0</v>
      </c>
      <c r="BO706">
        <v>0</v>
      </c>
      <c r="BP706">
        <v>0</v>
      </c>
      <c r="BQ706">
        <v>0</v>
      </c>
      <c r="BR706">
        <v>0</v>
      </c>
      <c r="BS706">
        <v>0</v>
      </c>
      <c r="BT706" s="18">
        <v>0</v>
      </c>
      <c r="BU706">
        <v>0</v>
      </c>
      <c r="BV706">
        <v>0</v>
      </c>
      <c r="BW706">
        <v>1</v>
      </c>
      <c r="BX706" s="18">
        <v>0</v>
      </c>
      <c r="BY706">
        <v>0</v>
      </c>
      <c r="BZ706">
        <v>0</v>
      </c>
      <c r="CA706">
        <v>0</v>
      </c>
      <c r="CB706">
        <v>0</v>
      </c>
      <c r="CC706" s="18">
        <v>0</v>
      </c>
      <c r="CD706">
        <v>0</v>
      </c>
      <c r="CE706">
        <v>0</v>
      </c>
      <c r="CF706">
        <v>1</v>
      </c>
      <c r="CG706">
        <v>0</v>
      </c>
      <c r="CH706">
        <v>0</v>
      </c>
      <c r="CI706">
        <v>0</v>
      </c>
      <c r="CJ706">
        <v>0</v>
      </c>
      <c r="CK706">
        <v>0</v>
      </c>
      <c r="CL706">
        <v>0</v>
      </c>
      <c r="CM706">
        <v>0</v>
      </c>
      <c r="CN706" s="18">
        <v>1</v>
      </c>
      <c r="CO706">
        <v>2.3E-2</v>
      </c>
      <c r="CP706">
        <v>13</v>
      </c>
      <c r="CQ706">
        <v>1</v>
      </c>
      <c r="CR706">
        <v>0</v>
      </c>
      <c r="CS706">
        <v>17</v>
      </c>
      <c r="CY706" s="34"/>
    </row>
    <row r="707" spans="1:103" x14ac:dyDescent="0.25">
      <c r="A707">
        <v>706</v>
      </c>
      <c r="B707">
        <v>45</v>
      </c>
      <c r="C707" s="25" t="s">
        <v>470</v>
      </c>
      <c r="D707" s="12">
        <v>6.4</v>
      </c>
      <c r="E707" s="14">
        <v>0.1</v>
      </c>
      <c r="F707" s="7">
        <v>11.8571428571429</v>
      </c>
      <c r="G707" s="7">
        <f t="shared" si="173"/>
        <v>6.3000000000000007</v>
      </c>
      <c r="H707" s="16">
        <f t="shared" si="174"/>
        <v>6.5</v>
      </c>
      <c r="I707" s="11">
        <f t="shared" si="163"/>
        <v>6.9709808167266851E-2</v>
      </c>
      <c r="J707" s="33">
        <f t="shared" si="164"/>
        <v>5.8791404478417617E-3</v>
      </c>
      <c r="K707" s="33">
        <f t="shared" si="165"/>
        <v>170.09289178779545</v>
      </c>
      <c r="L707" s="8">
        <v>0</v>
      </c>
      <c r="M707" s="9">
        <v>1</v>
      </c>
      <c r="N707" s="8">
        <v>0</v>
      </c>
      <c r="O707" s="9">
        <v>0</v>
      </c>
      <c r="P707" s="9">
        <v>1</v>
      </c>
      <c r="Q707" s="9">
        <v>0</v>
      </c>
      <c r="R707" s="9">
        <v>0</v>
      </c>
      <c r="S707" s="8">
        <v>28796</v>
      </c>
      <c r="T707" s="9">
        <v>4</v>
      </c>
      <c r="U707" s="9">
        <f t="shared" si="175"/>
        <v>28791</v>
      </c>
      <c r="V707" s="9">
        <f t="shared" si="176"/>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69"/>
        <v>0.78200000000000003</v>
      </c>
      <c r="AR707" s="40">
        <v>0.218</v>
      </c>
      <c r="AS707" s="39">
        <f t="shared" si="170"/>
        <v>0.77600000000000002</v>
      </c>
      <c r="AT707" s="40">
        <v>0.224</v>
      </c>
      <c r="AU707">
        <v>0</v>
      </c>
      <c r="AV707" s="18">
        <v>1</v>
      </c>
      <c r="AW707">
        <f t="shared" si="171"/>
        <v>0.18899999999999995</v>
      </c>
      <c r="AX707" s="18">
        <v>0.81100000000000005</v>
      </c>
      <c r="AY707" s="18" t="s">
        <v>29</v>
      </c>
      <c r="AZ707">
        <v>0</v>
      </c>
      <c r="BA707">
        <v>0</v>
      </c>
      <c r="BB707">
        <v>1</v>
      </c>
      <c r="BC707">
        <v>0</v>
      </c>
      <c r="BD707">
        <v>0</v>
      </c>
      <c r="BE707">
        <v>0</v>
      </c>
      <c r="BF707" s="18">
        <v>0</v>
      </c>
      <c r="BG707">
        <v>0</v>
      </c>
      <c r="BH707">
        <v>1</v>
      </c>
      <c r="BI707" s="18">
        <v>0</v>
      </c>
      <c r="BJ707">
        <v>5087</v>
      </c>
      <c r="BK707">
        <v>9052</v>
      </c>
      <c r="BL707" s="93">
        <f t="shared" si="172"/>
        <v>32.361000000000004</v>
      </c>
      <c r="BM707">
        <v>1</v>
      </c>
      <c r="BN707">
        <v>0</v>
      </c>
      <c r="BO707">
        <v>0</v>
      </c>
      <c r="BP707">
        <v>0</v>
      </c>
      <c r="BQ707">
        <v>0</v>
      </c>
      <c r="BR707">
        <v>0</v>
      </c>
      <c r="BS707">
        <v>0</v>
      </c>
      <c r="BT707" s="18">
        <v>0</v>
      </c>
      <c r="BU707">
        <v>0</v>
      </c>
      <c r="BV707">
        <v>0</v>
      </c>
      <c r="BW707">
        <v>1</v>
      </c>
      <c r="BX707" s="18">
        <v>0</v>
      </c>
      <c r="BY707">
        <v>0</v>
      </c>
      <c r="BZ707">
        <v>0</v>
      </c>
      <c r="CA707">
        <v>0</v>
      </c>
      <c r="CB707">
        <v>0</v>
      </c>
      <c r="CC707" s="18">
        <v>0</v>
      </c>
      <c r="CD707">
        <v>0</v>
      </c>
      <c r="CE707">
        <v>0</v>
      </c>
      <c r="CF707">
        <v>1</v>
      </c>
      <c r="CG707">
        <v>0</v>
      </c>
      <c r="CH707">
        <v>0</v>
      </c>
      <c r="CI707">
        <v>0</v>
      </c>
      <c r="CJ707">
        <v>0</v>
      </c>
      <c r="CK707">
        <v>0</v>
      </c>
      <c r="CL707">
        <v>0</v>
      </c>
      <c r="CM707">
        <v>0</v>
      </c>
      <c r="CN707" s="18">
        <v>1</v>
      </c>
      <c r="CO707">
        <v>2.3E-2</v>
      </c>
      <c r="CP707">
        <v>13</v>
      </c>
      <c r="CQ707">
        <v>1</v>
      </c>
      <c r="CR707">
        <v>0</v>
      </c>
      <c r="CS707">
        <v>17</v>
      </c>
      <c r="CY707" s="34"/>
    </row>
    <row r="708" spans="1:103" x14ac:dyDescent="0.25">
      <c r="A708">
        <v>707</v>
      </c>
      <c r="B708">
        <v>45</v>
      </c>
      <c r="C708" s="25" t="s">
        <v>470</v>
      </c>
      <c r="D708" s="12">
        <v>5.7</v>
      </c>
      <c r="E708" s="14">
        <v>0.1</v>
      </c>
      <c r="F708" s="7">
        <v>12.8571428571429</v>
      </c>
      <c r="G708" s="7">
        <f t="shared" si="173"/>
        <v>5.6000000000000005</v>
      </c>
      <c r="H708" s="16">
        <f t="shared" si="174"/>
        <v>5.8</v>
      </c>
      <c r="I708" s="11">
        <f t="shared" si="163"/>
        <v>6.162665043343088E-2</v>
      </c>
      <c r="J708" s="33">
        <f t="shared" si="164"/>
        <v>4.7931839226001641E-3</v>
      </c>
      <c r="K708" s="33">
        <f t="shared" si="165"/>
        <v>208.6295907162955</v>
      </c>
      <c r="L708" s="8">
        <v>0</v>
      </c>
      <c r="M708" s="9">
        <v>1</v>
      </c>
      <c r="N708" s="8">
        <v>0</v>
      </c>
      <c r="O708" s="9">
        <v>0</v>
      </c>
      <c r="P708" s="9">
        <v>1</v>
      </c>
      <c r="Q708" s="9">
        <v>0</v>
      </c>
      <c r="R708" s="9">
        <v>0</v>
      </c>
      <c r="S708" s="8">
        <v>43367</v>
      </c>
      <c r="T708" s="9">
        <v>5</v>
      </c>
      <c r="U708" s="9">
        <f t="shared" si="175"/>
        <v>43361</v>
      </c>
      <c r="V708" s="9">
        <f t="shared" si="176"/>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69"/>
        <v>0.78200000000000003</v>
      </c>
      <c r="AR708" s="40">
        <v>0.218</v>
      </c>
      <c r="AS708" s="39">
        <f t="shared" si="170"/>
        <v>0.77600000000000002</v>
      </c>
      <c r="AT708" s="40">
        <v>0.224</v>
      </c>
      <c r="AU708">
        <v>0</v>
      </c>
      <c r="AV708" s="18">
        <v>1</v>
      </c>
      <c r="AW708">
        <f t="shared" si="171"/>
        <v>0.18899999999999995</v>
      </c>
      <c r="AX708" s="18">
        <v>0.81100000000000005</v>
      </c>
      <c r="AY708" s="18" t="s">
        <v>29</v>
      </c>
      <c r="AZ708">
        <v>0</v>
      </c>
      <c r="BA708">
        <v>0</v>
      </c>
      <c r="BB708">
        <v>1</v>
      </c>
      <c r="BC708">
        <v>0</v>
      </c>
      <c r="BD708">
        <v>0</v>
      </c>
      <c r="BE708">
        <v>0</v>
      </c>
      <c r="BF708" s="18">
        <v>0</v>
      </c>
      <c r="BG708">
        <v>0</v>
      </c>
      <c r="BH708">
        <v>1</v>
      </c>
      <c r="BI708" s="18">
        <v>0</v>
      </c>
      <c r="BJ708">
        <v>5087</v>
      </c>
      <c r="BK708">
        <v>9052</v>
      </c>
      <c r="BL708" s="93">
        <f t="shared" si="172"/>
        <v>32.361000000000004</v>
      </c>
      <c r="BM708">
        <v>1</v>
      </c>
      <c r="BN708">
        <v>0</v>
      </c>
      <c r="BO708">
        <v>0</v>
      </c>
      <c r="BP708">
        <v>0</v>
      </c>
      <c r="BQ708">
        <v>0</v>
      </c>
      <c r="BR708">
        <v>0</v>
      </c>
      <c r="BS708">
        <v>0</v>
      </c>
      <c r="BT708" s="18">
        <v>0</v>
      </c>
      <c r="BU708">
        <v>0</v>
      </c>
      <c r="BV708">
        <v>0</v>
      </c>
      <c r="BW708">
        <v>1</v>
      </c>
      <c r="BX708" s="18">
        <v>0</v>
      </c>
      <c r="BY708">
        <v>0</v>
      </c>
      <c r="BZ708">
        <v>0</v>
      </c>
      <c r="CA708">
        <v>0</v>
      </c>
      <c r="CB708">
        <v>0</v>
      </c>
      <c r="CC708" s="18">
        <v>0</v>
      </c>
      <c r="CD708">
        <v>0</v>
      </c>
      <c r="CE708">
        <v>0</v>
      </c>
      <c r="CF708">
        <v>1</v>
      </c>
      <c r="CG708">
        <v>0</v>
      </c>
      <c r="CH708">
        <v>0</v>
      </c>
      <c r="CI708">
        <v>0</v>
      </c>
      <c r="CJ708">
        <v>0</v>
      </c>
      <c r="CK708">
        <v>0</v>
      </c>
      <c r="CL708">
        <v>0</v>
      </c>
      <c r="CM708">
        <v>0</v>
      </c>
      <c r="CN708" s="18">
        <v>1</v>
      </c>
      <c r="CO708">
        <v>2.3E-2</v>
      </c>
      <c r="CP708">
        <v>13</v>
      </c>
      <c r="CQ708">
        <v>1</v>
      </c>
      <c r="CR708">
        <v>0</v>
      </c>
      <c r="CS708">
        <v>17</v>
      </c>
      <c r="CY708" s="34"/>
    </row>
    <row r="709" spans="1:103" x14ac:dyDescent="0.25">
      <c r="A709">
        <v>708</v>
      </c>
      <c r="B709">
        <v>45</v>
      </c>
      <c r="C709" s="25" t="s">
        <v>470</v>
      </c>
      <c r="D709" s="12">
        <v>6.7</v>
      </c>
      <c r="E709" s="14">
        <v>0.1</v>
      </c>
      <c r="F709" s="7">
        <v>13.8571428571429</v>
      </c>
      <c r="G709" s="7">
        <f t="shared" si="173"/>
        <v>6.6000000000000005</v>
      </c>
      <c r="H709" s="16">
        <f t="shared" si="174"/>
        <v>6.8</v>
      </c>
      <c r="I709" s="11">
        <f t="shared" si="163"/>
        <v>8.1205475525368942E-2</v>
      </c>
      <c r="J709" s="33">
        <f t="shared" si="164"/>
        <v>5.8601889554389776E-3</v>
      </c>
      <c r="K709" s="33">
        <f t="shared" si="165"/>
        <v>170.64296178912059</v>
      </c>
      <c r="L709" s="8">
        <v>0</v>
      </c>
      <c r="M709" s="9">
        <v>1</v>
      </c>
      <c r="N709" s="8">
        <v>0</v>
      </c>
      <c r="O709" s="9">
        <v>0</v>
      </c>
      <c r="P709" s="9">
        <v>1</v>
      </c>
      <c r="Q709" s="9">
        <v>0</v>
      </c>
      <c r="R709" s="9">
        <v>0</v>
      </c>
      <c r="S709" s="8">
        <v>28934</v>
      </c>
      <c r="T709" s="9">
        <v>6</v>
      </c>
      <c r="U709" s="9">
        <f t="shared" si="175"/>
        <v>28927</v>
      </c>
      <c r="V709" s="9">
        <f t="shared" si="176"/>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69"/>
        <v>0.77900000000000003</v>
      </c>
      <c r="AR709" s="40">
        <v>0.221</v>
      </c>
      <c r="AS709" s="39">
        <f t="shared" si="170"/>
        <v>0.78800000000000003</v>
      </c>
      <c r="AT709" s="40">
        <v>0.21199999999999999</v>
      </c>
      <c r="AU709">
        <v>0</v>
      </c>
      <c r="AV709" s="18">
        <v>1</v>
      </c>
      <c r="AW709">
        <f t="shared" si="171"/>
        <v>0.18100000000000005</v>
      </c>
      <c r="AX709" s="18">
        <v>0.81899999999999995</v>
      </c>
      <c r="AY709" s="18" t="s">
        <v>29</v>
      </c>
      <c r="AZ709">
        <v>0</v>
      </c>
      <c r="BA709">
        <v>0</v>
      </c>
      <c r="BB709">
        <v>1</v>
      </c>
      <c r="BC709">
        <v>0</v>
      </c>
      <c r="BD709">
        <v>0</v>
      </c>
      <c r="BE709">
        <v>0</v>
      </c>
      <c r="BF709" s="18">
        <v>0</v>
      </c>
      <c r="BG709">
        <v>0</v>
      </c>
      <c r="BH709">
        <v>1</v>
      </c>
      <c r="BI709" s="18">
        <v>0</v>
      </c>
      <c r="BJ709">
        <v>5087</v>
      </c>
      <c r="BK709">
        <v>9052</v>
      </c>
      <c r="BL709" s="93">
        <f t="shared" si="172"/>
        <v>32.579000000000001</v>
      </c>
      <c r="BM709">
        <v>1</v>
      </c>
      <c r="BN709">
        <v>0</v>
      </c>
      <c r="BO709">
        <v>0</v>
      </c>
      <c r="BP709">
        <v>0</v>
      </c>
      <c r="BQ709">
        <v>0</v>
      </c>
      <c r="BR709">
        <v>0</v>
      </c>
      <c r="BS709">
        <v>0</v>
      </c>
      <c r="BT709" s="18">
        <v>0</v>
      </c>
      <c r="BU709">
        <v>0</v>
      </c>
      <c r="BV709">
        <v>0</v>
      </c>
      <c r="BW709">
        <v>1</v>
      </c>
      <c r="BX709" s="18">
        <v>0</v>
      </c>
      <c r="BY709">
        <v>0</v>
      </c>
      <c r="BZ709">
        <v>0</v>
      </c>
      <c r="CA709">
        <v>0</v>
      </c>
      <c r="CB709">
        <v>0</v>
      </c>
      <c r="CC709" s="18">
        <v>0</v>
      </c>
      <c r="CD709">
        <v>0</v>
      </c>
      <c r="CE709">
        <v>0</v>
      </c>
      <c r="CF709">
        <v>1</v>
      </c>
      <c r="CG709">
        <v>0</v>
      </c>
      <c r="CH709">
        <v>0</v>
      </c>
      <c r="CI709">
        <v>0</v>
      </c>
      <c r="CJ709">
        <v>0</v>
      </c>
      <c r="CK709">
        <v>0</v>
      </c>
      <c r="CL709">
        <v>0</v>
      </c>
      <c r="CM709">
        <v>0</v>
      </c>
      <c r="CN709" s="18">
        <v>1</v>
      </c>
      <c r="CO709">
        <v>2.3E-2</v>
      </c>
      <c r="CP709">
        <v>13</v>
      </c>
      <c r="CQ709">
        <v>1</v>
      </c>
      <c r="CR709">
        <v>0</v>
      </c>
      <c r="CS709">
        <v>17</v>
      </c>
      <c r="CY709" s="34"/>
    </row>
    <row r="710" spans="1:103" x14ac:dyDescent="0.25">
      <c r="A710">
        <v>709</v>
      </c>
      <c r="B710">
        <v>45</v>
      </c>
      <c r="C710" s="25" t="s">
        <v>470</v>
      </c>
      <c r="D710" s="12">
        <v>5.8</v>
      </c>
      <c r="E710" s="14">
        <v>0.1</v>
      </c>
      <c r="F710" s="7">
        <v>14.8571428571429</v>
      </c>
      <c r="G710" s="7">
        <f t="shared" si="173"/>
        <v>5.7</v>
      </c>
      <c r="H710" s="16">
        <f t="shared" si="174"/>
        <v>5.8999999999999995</v>
      </c>
      <c r="I710" s="11">
        <f t="shared" si="163"/>
        <v>6.998226275353496E-2</v>
      </c>
      <c r="J710" s="33">
        <f t="shared" si="164"/>
        <v>4.7103446084109934E-3</v>
      </c>
      <c r="K710" s="33">
        <f t="shared" si="165"/>
        <v>212.29869216242844</v>
      </c>
      <c r="L710" s="8">
        <v>0</v>
      </c>
      <c r="M710" s="9">
        <v>1</v>
      </c>
      <c r="N710" s="8">
        <v>0</v>
      </c>
      <c r="O710" s="9">
        <v>0</v>
      </c>
      <c r="P710" s="9">
        <v>1</v>
      </c>
      <c r="Q710" s="9">
        <v>0</v>
      </c>
      <c r="R710" s="9">
        <v>0</v>
      </c>
      <c r="S710" s="8">
        <v>44858</v>
      </c>
      <c r="T710" s="9">
        <v>7</v>
      </c>
      <c r="U710" s="9">
        <f t="shared" si="175"/>
        <v>44850</v>
      </c>
      <c r="V710" s="9">
        <f t="shared" si="176"/>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69"/>
        <v>0.77900000000000003</v>
      </c>
      <c r="AR710" s="40">
        <v>0.221</v>
      </c>
      <c r="AS710" s="39">
        <f t="shared" si="170"/>
        <v>0.78800000000000003</v>
      </c>
      <c r="AT710" s="40">
        <v>0.21199999999999999</v>
      </c>
      <c r="AU710">
        <v>0</v>
      </c>
      <c r="AV710" s="18">
        <v>1</v>
      </c>
      <c r="AW710">
        <f t="shared" si="171"/>
        <v>0.18100000000000005</v>
      </c>
      <c r="AX710" s="18">
        <v>0.81899999999999995</v>
      </c>
      <c r="AY710" s="18" t="s">
        <v>29</v>
      </c>
      <c r="AZ710">
        <v>0</v>
      </c>
      <c r="BA710">
        <v>0</v>
      </c>
      <c r="BB710">
        <v>1</v>
      </c>
      <c r="BC710">
        <v>0</v>
      </c>
      <c r="BD710">
        <v>0</v>
      </c>
      <c r="BE710">
        <v>0</v>
      </c>
      <c r="BF710" s="18">
        <v>0</v>
      </c>
      <c r="BG710">
        <v>0</v>
      </c>
      <c r="BH710">
        <v>1</v>
      </c>
      <c r="BI710" s="18">
        <v>0</v>
      </c>
      <c r="BJ710">
        <v>5087</v>
      </c>
      <c r="BK710">
        <v>9052</v>
      </c>
      <c r="BL710" s="93">
        <f t="shared" si="172"/>
        <v>32.579000000000001</v>
      </c>
      <c r="BM710">
        <v>1</v>
      </c>
      <c r="BN710">
        <v>0</v>
      </c>
      <c r="BO710">
        <v>0</v>
      </c>
      <c r="BP710">
        <v>0</v>
      </c>
      <c r="BQ710">
        <v>0</v>
      </c>
      <c r="BR710">
        <v>0</v>
      </c>
      <c r="BS710">
        <v>0</v>
      </c>
      <c r="BT710" s="18">
        <v>0</v>
      </c>
      <c r="BU710">
        <v>0</v>
      </c>
      <c r="BV710">
        <v>0</v>
      </c>
      <c r="BW710">
        <v>1</v>
      </c>
      <c r="BX710" s="18">
        <v>0</v>
      </c>
      <c r="BY710">
        <v>0</v>
      </c>
      <c r="BZ710">
        <v>0</v>
      </c>
      <c r="CA710">
        <v>0</v>
      </c>
      <c r="CB710">
        <v>0</v>
      </c>
      <c r="CC710" s="18">
        <v>0</v>
      </c>
      <c r="CD710">
        <v>0</v>
      </c>
      <c r="CE710">
        <v>0</v>
      </c>
      <c r="CF710">
        <v>1</v>
      </c>
      <c r="CG710">
        <v>0</v>
      </c>
      <c r="CH710">
        <v>0</v>
      </c>
      <c r="CI710">
        <v>0</v>
      </c>
      <c r="CJ710">
        <v>0</v>
      </c>
      <c r="CK710">
        <v>0</v>
      </c>
      <c r="CL710">
        <v>0</v>
      </c>
      <c r="CM710">
        <v>0</v>
      </c>
      <c r="CN710" s="18">
        <v>1</v>
      </c>
      <c r="CO710">
        <v>2.3E-2</v>
      </c>
      <c r="CP710">
        <v>13</v>
      </c>
      <c r="CQ710">
        <v>1</v>
      </c>
      <c r="CR710">
        <v>0</v>
      </c>
      <c r="CS710">
        <v>17</v>
      </c>
      <c r="CY710" s="34"/>
    </row>
    <row r="711" spans="1:103" x14ac:dyDescent="0.25">
      <c r="A711">
        <v>710</v>
      </c>
      <c r="B711">
        <v>45</v>
      </c>
      <c r="C711" s="25" t="s">
        <v>470</v>
      </c>
      <c r="D711" s="12">
        <v>6.2</v>
      </c>
      <c r="E711" s="14">
        <v>0.1</v>
      </c>
      <c r="F711" s="7">
        <v>15.8571428571429</v>
      </c>
      <c r="G711" s="7">
        <f t="shared" si="173"/>
        <v>6.1000000000000005</v>
      </c>
      <c r="H711" s="16">
        <f t="shared" si="174"/>
        <v>6.3</v>
      </c>
      <c r="I711" s="11">
        <f t="shared" si="163"/>
        <v>9.0907414049634136E-2</v>
      </c>
      <c r="J711" s="33">
        <f t="shared" si="164"/>
        <v>5.7328999851120471E-3</v>
      </c>
      <c r="K711" s="33">
        <f t="shared" si="165"/>
        <v>174.4317889021145</v>
      </c>
      <c r="L711" s="8">
        <v>0</v>
      </c>
      <c r="M711" s="9">
        <v>1</v>
      </c>
      <c r="N711" s="8">
        <v>0</v>
      </c>
      <c r="O711" s="9">
        <v>0</v>
      </c>
      <c r="P711" s="9">
        <v>1</v>
      </c>
      <c r="Q711" s="9">
        <v>0</v>
      </c>
      <c r="R711" s="9">
        <v>0</v>
      </c>
      <c r="S711" s="8">
        <v>30184</v>
      </c>
      <c r="T711" s="9">
        <v>8</v>
      </c>
      <c r="U711" s="9">
        <f t="shared" si="175"/>
        <v>30175</v>
      </c>
      <c r="V711" s="9">
        <f t="shared" si="176"/>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69"/>
        <v>0.77900000000000003</v>
      </c>
      <c r="AR711" s="40">
        <v>0.221</v>
      </c>
      <c r="AS711" s="39">
        <f t="shared" si="170"/>
        <v>0.78700000000000003</v>
      </c>
      <c r="AT711" s="40">
        <v>0.21299999999999999</v>
      </c>
      <c r="AU711">
        <v>0</v>
      </c>
      <c r="AV711" s="18">
        <v>1</v>
      </c>
      <c r="AW711">
        <f t="shared" si="171"/>
        <v>0.17500000000000004</v>
      </c>
      <c r="AX711" s="18">
        <v>0.82499999999999996</v>
      </c>
      <c r="AY711" s="18" t="s">
        <v>29</v>
      </c>
      <c r="AZ711">
        <v>0</v>
      </c>
      <c r="BA711">
        <v>0</v>
      </c>
      <c r="BB711">
        <v>1</v>
      </c>
      <c r="BC711">
        <v>0</v>
      </c>
      <c r="BD711">
        <v>0</v>
      </c>
      <c r="BE711">
        <v>0</v>
      </c>
      <c r="BF711" s="18">
        <v>0</v>
      </c>
      <c r="BG711">
        <v>0</v>
      </c>
      <c r="BH711">
        <v>1</v>
      </c>
      <c r="BI711" s="18">
        <v>0</v>
      </c>
      <c r="BJ711">
        <v>5087</v>
      </c>
      <c r="BK711">
        <v>9052</v>
      </c>
      <c r="BL711" s="93">
        <f t="shared" si="172"/>
        <v>32.802999999999997</v>
      </c>
      <c r="BM711">
        <v>1</v>
      </c>
      <c r="BN711">
        <v>0</v>
      </c>
      <c r="BO711">
        <v>0</v>
      </c>
      <c r="BP711">
        <v>0</v>
      </c>
      <c r="BQ711">
        <v>0</v>
      </c>
      <c r="BR711">
        <v>0</v>
      </c>
      <c r="BS711">
        <v>0</v>
      </c>
      <c r="BT711" s="18">
        <v>0</v>
      </c>
      <c r="BU711">
        <v>0</v>
      </c>
      <c r="BV711">
        <v>0</v>
      </c>
      <c r="BW711">
        <v>1</v>
      </c>
      <c r="BX711" s="18">
        <v>0</v>
      </c>
      <c r="BY711">
        <v>0</v>
      </c>
      <c r="BZ711">
        <v>0</v>
      </c>
      <c r="CA711">
        <v>0</v>
      </c>
      <c r="CB711">
        <v>0</v>
      </c>
      <c r="CC711" s="18">
        <v>0</v>
      </c>
      <c r="CD711">
        <v>0</v>
      </c>
      <c r="CE711">
        <v>0</v>
      </c>
      <c r="CF711">
        <v>1</v>
      </c>
      <c r="CG711">
        <v>0</v>
      </c>
      <c r="CH711">
        <v>0</v>
      </c>
      <c r="CI711">
        <v>0</v>
      </c>
      <c r="CJ711">
        <v>0</v>
      </c>
      <c r="CK711">
        <v>0</v>
      </c>
      <c r="CL711">
        <v>0</v>
      </c>
      <c r="CM711">
        <v>0</v>
      </c>
      <c r="CN711" s="18">
        <v>1</v>
      </c>
      <c r="CO711">
        <v>2.3E-2</v>
      </c>
      <c r="CP711">
        <v>13</v>
      </c>
      <c r="CQ711">
        <v>1</v>
      </c>
      <c r="CR711">
        <v>0</v>
      </c>
      <c r="CS711">
        <v>17</v>
      </c>
      <c r="CY711" s="34"/>
    </row>
    <row r="712" spans="1:103" x14ac:dyDescent="0.25">
      <c r="A712">
        <v>711</v>
      </c>
      <c r="B712">
        <v>45</v>
      </c>
      <c r="C712" s="25" t="s">
        <v>470</v>
      </c>
      <c r="D712" s="12">
        <v>5.3</v>
      </c>
      <c r="E712" s="14">
        <v>0.1</v>
      </c>
      <c r="F712" s="7">
        <v>16.8571428571429</v>
      </c>
      <c r="G712" s="7">
        <f t="shared" si="173"/>
        <v>5.2</v>
      </c>
      <c r="H712" s="16">
        <f t="shared" si="174"/>
        <v>5.3999999999999995</v>
      </c>
      <c r="I712" s="11">
        <f t="shared" ref="I712:I775" si="177">IFERROR(F712/SQRT(F712^2+U712), "X")</f>
        <v>7.9462540652765284E-2</v>
      </c>
      <c r="J712" s="33">
        <f t="shared" ref="J712:J775" si="178">IFERROR(SQRT((1-I712^2)/U712), "X")</f>
        <v>4.7138795302487761E-3</v>
      </c>
      <c r="K712" s="33">
        <f t="shared" ref="K712:K775" si="179">IFERROR(1/J712, "X")</f>
        <v>212.13949011277018</v>
      </c>
      <c r="L712" s="8">
        <v>0</v>
      </c>
      <c r="M712" s="9">
        <v>1</v>
      </c>
      <c r="N712" s="8">
        <v>0</v>
      </c>
      <c r="O712" s="9">
        <v>0</v>
      </c>
      <c r="P712" s="9">
        <v>1</v>
      </c>
      <c r="Q712" s="9">
        <v>0</v>
      </c>
      <c r="R712" s="9">
        <v>0</v>
      </c>
      <c r="S712" s="8">
        <v>44729</v>
      </c>
      <c r="T712" s="9">
        <v>9</v>
      </c>
      <c r="U712" s="9">
        <f t="shared" si="175"/>
        <v>44719</v>
      </c>
      <c r="V712" s="9">
        <f t="shared" si="176"/>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69"/>
        <v>0.77900000000000003</v>
      </c>
      <c r="AR712" s="40">
        <v>0.221</v>
      </c>
      <c r="AS712" s="39">
        <f t="shared" si="170"/>
        <v>0.78700000000000003</v>
      </c>
      <c r="AT712" s="40">
        <v>0.21299999999999999</v>
      </c>
      <c r="AU712">
        <v>0</v>
      </c>
      <c r="AV712" s="18">
        <v>1</v>
      </c>
      <c r="AW712">
        <f t="shared" si="171"/>
        <v>0.17500000000000004</v>
      </c>
      <c r="AX712" s="18">
        <v>0.82499999999999996</v>
      </c>
      <c r="AY712" s="18" t="s">
        <v>29</v>
      </c>
      <c r="AZ712">
        <v>0</v>
      </c>
      <c r="BA712">
        <v>0</v>
      </c>
      <c r="BB712">
        <v>1</v>
      </c>
      <c r="BC712">
        <v>0</v>
      </c>
      <c r="BD712">
        <v>0</v>
      </c>
      <c r="BE712">
        <v>0</v>
      </c>
      <c r="BF712" s="18">
        <v>0</v>
      </c>
      <c r="BG712">
        <v>0</v>
      </c>
      <c r="BH712">
        <v>1</v>
      </c>
      <c r="BI712" s="18">
        <v>0</v>
      </c>
      <c r="BJ712">
        <v>5087</v>
      </c>
      <c r="BK712">
        <v>9052</v>
      </c>
      <c r="BL712" s="93">
        <f t="shared" si="172"/>
        <v>32.802999999999997</v>
      </c>
      <c r="BM712">
        <v>1</v>
      </c>
      <c r="BN712">
        <v>0</v>
      </c>
      <c r="BO712">
        <v>0</v>
      </c>
      <c r="BP712">
        <v>0</v>
      </c>
      <c r="BQ712">
        <v>0</v>
      </c>
      <c r="BR712">
        <v>0</v>
      </c>
      <c r="BS712">
        <v>0</v>
      </c>
      <c r="BT712" s="18">
        <v>0</v>
      </c>
      <c r="BU712">
        <v>0</v>
      </c>
      <c r="BV712">
        <v>0</v>
      </c>
      <c r="BW712">
        <v>1</v>
      </c>
      <c r="BX712" s="18">
        <v>0</v>
      </c>
      <c r="BY712">
        <v>0</v>
      </c>
      <c r="BZ712">
        <v>0</v>
      </c>
      <c r="CA712">
        <v>0</v>
      </c>
      <c r="CB712">
        <v>0</v>
      </c>
      <c r="CC712" s="18">
        <v>0</v>
      </c>
      <c r="CD712">
        <v>0</v>
      </c>
      <c r="CE712">
        <v>0</v>
      </c>
      <c r="CF712">
        <v>1</v>
      </c>
      <c r="CG712">
        <v>0</v>
      </c>
      <c r="CH712">
        <v>0</v>
      </c>
      <c r="CI712">
        <v>0</v>
      </c>
      <c r="CJ712">
        <v>0</v>
      </c>
      <c r="CK712">
        <v>0</v>
      </c>
      <c r="CL712">
        <v>0</v>
      </c>
      <c r="CM712">
        <v>0</v>
      </c>
      <c r="CN712" s="18">
        <v>1</v>
      </c>
      <c r="CO712">
        <v>2.3E-2</v>
      </c>
      <c r="CP712">
        <v>13</v>
      </c>
      <c r="CQ712">
        <v>1</v>
      </c>
      <c r="CR712">
        <v>0</v>
      </c>
      <c r="CS712">
        <v>17</v>
      </c>
      <c r="CY712" s="34"/>
    </row>
    <row r="713" spans="1:103" x14ac:dyDescent="0.25">
      <c r="A713">
        <v>712</v>
      </c>
      <c r="B713">
        <v>45</v>
      </c>
      <c r="C713" s="25" t="s">
        <v>470</v>
      </c>
      <c r="D713" s="12">
        <v>5.7</v>
      </c>
      <c r="E713" s="14">
        <v>0.2</v>
      </c>
      <c r="F713" s="7">
        <v>17.8571428571429</v>
      </c>
      <c r="G713" s="7">
        <f t="shared" si="173"/>
        <v>5.5</v>
      </c>
      <c r="H713" s="16">
        <f t="shared" si="174"/>
        <v>5.9</v>
      </c>
      <c r="I713" s="11">
        <f t="shared" si="177"/>
        <v>0.10159251351266772</v>
      </c>
      <c r="J713" s="33">
        <f t="shared" si="178"/>
        <v>5.6891807567093786E-3</v>
      </c>
      <c r="K713" s="33">
        <f t="shared" si="179"/>
        <v>175.77223202491459</v>
      </c>
      <c r="L713" s="8">
        <v>0</v>
      </c>
      <c r="M713" s="9">
        <v>1</v>
      </c>
      <c r="N713" s="8">
        <v>0</v>
      </c>
      <c r="O713" s="9">
        <v>0</v>
      </c>
      <c r="P713" s="9">
        <v>1</v>
      </c>
      <c r="Q713" s="9">
        <v>0</v>
      </c>
      <c r="R713" s="9">
        <v>0</v>
      </c>
      <c r="S713" s="8">
        <v>30588</v>
      </c>
      <c r="T713" s="9">
        <v>10</v>
      </c>
      <c r="U713" s="9">
        <f t="shared" si="175"/>
        <v>30577</v>
      </c>
      <c r="V713" s="9">
        <f t="shared" si="176"/>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69"/>
        <v>0.78400000000000003</v>
      </c>
      <c r="AR713" s="40">
        <v>0.216</v>
      </c>
      <c r="AS713" s="39">
        <f t="shared" si="170"/>
        <v>0.76300000000000001</v>
      </c>
      <c r="AT713" s="40">
        <v>0.23699999999999999</v>
      </c>
      <c r="AU713">
        <v>0</v>
      </c>
      <c r="AV713" s="18">
        <v>1</v>
      </c>
      <c r="AW713">
        <f t="shared" si="171"/>
        <v>0.20799999999999996</v>
      </c>
      <c r="AX713" s="18">
        <v>0.79200000000000004</v>
      </c>
      <c r="AY713" s="18" t="s">
        <v>29</v>
      </c>
      <c r="AZ713">
        <v>0</v>
      </c>
      <c r="BA713">
        <v>0</v>
      </c>
      <c r="BB713">
        <v>1</v>
      </c>
      <c r="BC713">
        <v>0</v>
      </c>
      <c r="BD713">
        <v>0</v>
      </c>
      <c r="BE713">
        <v>0</v>
      </c>
      <c r="BF713" s="18">
        <v>0</v>
      </c>
      <c r="BG713">
        <v>0</v>
      </c>
      <c r="BH713">
        <v>1</v>
      </c>
      <c r="BI713" s="18">
        <v>0</v>
      </c>
      <c r="BJ713">
        <v>5087</v>
      </c>
      <c r="BK713">
        <v>9052</v>
      </c>
      <c r="BL713" s="93">
        <f t="shared" si="172"/>
        <v>32.11</v>
      </c>
      <c r="BM713">
        <v>1</v>
      </c>
      <c r="BN713">
        <v>0</v>
      </c>
      <c r="BO713">
        <v>0</v>
      </c>
      <c r="BP713">
        <v>0</v>
      </c>
      <c r="BQ713">
        <v>0</v>
      </c>
      <c r="BR713">
        <v>0</v>
      </c>
      <c r="BS713">
        <v>0</v>
      </c>
      <c r="BT713" s="18">
        <v>0</v>
      </c>
      <c r="BU713">
        <v>0</v>
      </c>
      <c r="BV713">
        <v>0</v>
      </c>
      <c r="BW713">
        <v>1</v>
      </c>
      <c r="BX713" s="18">
        <v>0</v>
      </c>
      <c r="BY713">
        <v>0</v>
      </c>
      <c r="BZ713">
        <v>0</v>
      </c>
      <c r="CA713">
        <v>0</v>
      </c>
      <c r="CB713">
        <v>0</v>
      </c>
      <c r="CC713" s="18">
        <v>0</v>
      </c>
      <c r="CD713">
        <v>0</v>
      </c>
      <c r="CE713">
        <v>0</v>
      </c>
      <c r="CF713">
        <v>1</v>
      </c>
      <c r="CG713">
        <v>0</v>
      </c>
      <c r="CH713">
        <v>0</v>
      </c>
      <c r="CI713">
        <v>0</v>
      </c>
      <c r="CJ713">
        <v>0</v>
      </c>
      <c r="CK713">
        <v>0</v>
      </c>
      <c r="CL713">
        <v>0</v>
      </c>
      <c r="CM713">
        <v>0</v>
      </c>
      <c r="CN713" s="18">
        <v>1</v>
      </c>
      <c r="CO713">
        <v>2.3E-2</v>
      </c>
      <c r="CP713">
        <v>13</v>
      </c>
      <c r="CQ713">
        <v>1</v>
      </c>
      <c r="CR713">
        <v>0</v>
      </c>
      <c r="CS713">
        <v>17</v>
      </c>
      <c r="CY713" s="34"/>
    </row>
    <row r="714" spans="1:103" x14ac:dyDescent="0.25">
      <c r="A714">
        <v>713</v>
      </c>
      <c r="B714">
        <v>45</v>
      </c>
      <c r="C714" s="25" t="s">
        <v>470</v>
      </c>
      <c r="D714" s="12">
        <v>4.7</v>
      </c>
      <c r="E714" s="14">
        <v>0.2</v>
      </c>
      <c r="F714" s="7">
        <v>18.8571428571429</v>
      </c>
      <c r="G714" s="7">
        <f t="shared" si="173"/>
        <v>4.5</v>
      </c>
      <c r="H714" s="16">
        <f t="shared" si="174"/>
        <v>4.9000000000000004</v>
      </c>
      <c r="I714" s="11">
        <f t="shared" si="177"/>
        <v>0.17153072758098822</v>
      </c>
      <c r="J714" s="33">
        <f t="shared" si="178"/>
        <v>9.0963264626281425E-3</v>
      </c>
      <c r="K714" s="33">
        <f t="shared" si="179"/>
        <v>109.93448884101248</v>
      </c>
      <c r="L714" s="8">
        <v>0</v>
      </c>
      <c r="M714" s="9">
        <v>1</v>
      </c>
      <c r="N714" s="8">
        <v>0</v>
      </c>
      <c r="O714" s="9">
        <v>0</v>
      </c>
      <c r="P714" s="9">
        <v>1</v>
      </c>
      <c r="Q714" s="9">
        <v>0</v>
      </c>
      <c r="R714" s="9">
        <v>0</v>
      </c>
      <c r="S714" s="8">
        <v>11742</v>
      </c>
      <c r="T714" s="9">
        <v>11</v>
      </c>
      <c r="U714" s="9">
        <f t="shared" si="175"/>
        <v>11730</v>
      </c>
      <c r="V714" s="9">
        <f t="shared" si="176"/>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69"/>
        <v>0.78400000000000003</v>
      </c>
      <c r="AR714" s="40">
        <v>0.216</v>
      </c>
      <c r="AS714" s="39">
        <f t="shared" si="170"/>
        <v>0.76300000000000001</v>
      </c>
      <c r="AT714" s="40">
        <v>0.23699999999999999</v>
      </c>
      <c r="AU714">
        <v>0</v>
      </c>
      <c r="AV714" s="18">
        <v>1</v>
      </c>
      <c r="AW714">
        <f t="shared" si="171"/>
        <v>0.20799999999999996</v>
      </c>
      <c r="AX714" s="18">
        <v>0.79200000000000004</v>
      </c>
      <c r="AY714" s="18" t="s">
        <v>29</v>
      </c>
      <c r="AZ714">
        <v>0</v>
      </c>
      <c r="BA714">
        <v>0</v>
      </c>
      <c r="BB714">
        <v>1</v>
      </c>
      <c r="BC714">
        <v>0</v>
      </c>
      <c r="BD714">
        <v>0</v>
      </c>
      <c r="BE714">
        <v>0</v>
      </c>
      <c r="BF714" s="18">
        <v>0</v>
      </c>
      <c r="BG714">
        <v>0</v>
      </c>
      <c r="BH714">
        <v>1</v>
      </c>
      <c r="BI714" s="18">
        <v>0</v>
      </c>
      <c r="BJ714">
        <v>5087</v>
      </c>
      <c r="BK714">
        <v>9052</v>
      </c>
      <c r="BL714" s="93">
        <f t="shared" si="172"/>
        <v>32.11</v>
      </c>
      <c r="BM714">
        <v>1</v>
      </c>
      <c r="BN714">
        <v>0</v>
      </c>
      <c r="BO714">
        <v>0</v>
      </c>
      <c r="BP714">
        <v>0</v>
      </c>
      <c r="BQ714">
        <v>0</v>
      </c>
      <c r="BR714">
        <v>0</v>
      </c>
      <c r="BS714">
        <v>0</v>
      </c>
      <c r="BT714" s="18">
        <v>0</v>
      </c>
      <c r="BU714">
        <v>0</v>
      </c>
      <c r="BV714">
        <v>0</v>
      </c>
      <c r="BW714">
        <v>1</v>
      </c>
      <c r="BX714" s="18">
        <v>0</v>
      </c>
      <c r="BY714">
        <v>0</v>
      </c>
      <c r="BZ714">
        <v>0</v>
      </c>
      <c r="CA714">
        <v>0</v>
      </c>
      <c r="CB714">
        <v>0</v>
      </c>
      <c r="CC714" s="18">
        <v>0</v>
      </c>
      <c r="CD714">
        <v>0</v>
      </c>
      <c r="CE714">
        <v>0</v>
      </c>
      <c r="CF714">
        <v>1</v>
      </c>
      <c r="CG714">
        <v>0</v>
      </c>
      <c r="CH714">
        <v>0</v>
      </c>
      <c r="CI714">
        <v>0</v>
      </c>
      <c r="CJ714">
        <v>0</v>
      </c>
      <c r="CK714">
        <v>0</v>
      </c>
      <c r="CL714">
        <v>0</v>
      </c>
      <c r="CM714">
        <v>0</v>
      </c>
      <c r="CN714" s="18">
        <v>1</v>
      </c>
      <c r="CO714">
        <v>2.3E-2</v>
      </c>
      <c r="CP714">
        <v>13</v>
      </c>
      <c r="CQ714">
        <v>1</v>
      </c>
      <c r="CR714">
        <v>0</v>
      </c>
      <c r="CS714">
        <v>17</v>
      </c>
      <c r="CY714" s="34"/>
    </row>
    <row r="715" spans="1:103" x14ac:dyDescent="0.25">
      <c r="A715">
        <v>714</v>
      </c>
      <c r="B715">
        <v>45</v>
      </c>
      <c r="C715" s="25" t="s">
        <v>470</v>
      </c>
      <c r="D715" s="12">
        <v>6.1</v>
      </c>
      <c r="E715" s="14">
        <v>0.2</v>
      </c>
      <c r="F715" s="7">
        <v>19.8571428571429</v>
      </c>
      <c r="G715" s="7">
        <f t="shared" si="173"/>
        <v>5.8999999999999995</v>
      </c>
      <c r="H715" s="16">
        <f t="shared" si="174"/>
        <v>6.3</v>
      </c>
      <c r="I715" s="11">
        <f t="shared" si="177"/>
        <v>0.22852540124391141</v>
      </c>
      <c r="J715" s="33">
        <f t="shared" si="178"/>
        <v>1.1508473443937959E-2</v>
      </c>
      <c r="K715" s="33">
        <f t="shared" si="179"/>
        <v>86.892497503806283</v>
      </c>
      <c r="L715" s="8">
        <v>0</v>
      </c>
      <c r="M715" s="9">
        <v>1</v>
      </c>
      <c r="N715" s="8">
        <v>0</v>
      </c>
      <c r="O715" s="9">
        <v>0</v>
      </c>
      <c r="P715" s="9">
        <v>1</v>
      </c>
      <c r="Q715" s="9">
        <v>0</v>
      </c>
      <c r="R715" s="9">
        <v>0</v>
      </c>
      <c r="S715" s="8">
        <v>7169</v>
      </c>
      <c r="T715" s="9">
        <v>12</v>
      </c>
      <c r="U715" s="9">
        <f t="shared" si="175"/>
        <v>7156</v>
      </c>
      <c r="V715" s="9">
        <f t="shared" si="176"/>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69"/>
        <v>0.78200000000000003</v>
      </c>
      <c r="AR715" s="40">
        <v>0.218</v>
      </c>
      <c r="AS715" s="39">
        <f t="shared" si="170"/>
        <v>0.77600000000000002</v>
      </c>
      <c r="AT715" s="40">
        <v>0.224</v>
      </c>
      <c r="AU715">
        <v>0</v>
      </c>
      <c r="AV715" s="18">
        <v>1</v>
      </c>
      <c r="AW715">
        <f t="shared" si="171"/>
        <v>0.18899999999999995</v>
      </c>
      <c r="AX715" s="18">
        <v>0.81100000000000005</v>
      </c>
      <c r="AY715" s="18" t="s">
        <v>29</v>
      </c>
      <c r="AZ715">
        <v>0</v>
      </c>
      <c r="BA715">
        <v>0</v>
      </c>
      <c r="BB715">
        <v>1</v>
      </c>
      <c r="BC715">
        <v>0</v>
      </c>
      <c r="BD715">
        <v>0</v>
      </c>
      <c r="BE715">
        <v>0</v>
      </c>
      <c r="BF715" s="18">
        <v>0</v>
      </c>
      <c r="BG715">
        <v>0</v>
      </c>
      <c r="BH715">
        <v>1</v>
      </c>
      <c r="BI715" s="18">
        <v>0</v>
      </c>
      <c r="BJ715">
        <v>5087</v>
      </c>
      <c r="BK715">
        <v>9052</v>
      </c>
      <c r="BL715" s="93">
        <f t="shared" si="172"/>
        <v>32.361000000000004</v>
      </c>
      <c r="BM715">
        <v>1</v>
      </c>
      <c r="BN715">
        <v>0</v>
      </c>
      <c r="BO715">
        <v>0</v>
      </c>
      <c r="BP715">
        <v>0</v>
      </c>
      <c r="BQ715">
        <v>0</v>
      </c>
      <c r="BR715">
        <v>0</v>
      </c>
      <c r="BS715">
        <v>0</v>
      </c>
      <c r="BT715" s="18">
        <v>0</v>
      </c>
      <c r="BU715">
        <v>0</v>
      </c>
      <c r="BV715">
        <v>0</v>
      </c>
      <c r="BW715">
        <v>1</v>
      </c>
      <c r="BX715" s="18">
        <v>0</v>
      </c>
      <c r="BY715">
        <v>0</v>
      </c>
      <c r="BZ715">
        <v>0</v>
      </c>
      <c r="CA715">
        <v>0</v>
      </c>
      <c r="CB715">
        <v>0</v>
      </c>
      <c r="CC715" s="18">
        <v>0</v>
      </c>
      <c r="CD715">
        <v>0</v>
      </c>
      <c r="CE715">
        <v>0</v>
      </c>
      <c r="CF715">
        <v>1</v>
      </c>
      <c r="CG715">
        <v>0</v>
      </c>
      <c r="CH715">
        <v>0</v>
      </c>
      <c r="CI715">
        <v>0</v>
      </c>
      <c r="CJ715">
        <v>0</v>
      </c>
      <c r="CK715">
        <v>0</v>
      </c>
      <c r="CL715">
        <v>0</v>
      </c>
      <c r="CM715">
        <v>0</v>
      </c>
      <c r="CN715" s="18">
        <v>1</v>
      </c>
      <c r="CO715">
        <v>2.3E-2</v>
      </c>
      <c r="CP715">
        <v>13</v>
      </c>
      <c r="CQ715">
        <v>1</v>
      </c>
      <c r="CR715">
        <v>0</v>
      </c>
      <c r="CS715">
        <v>17</v>
      </c>
      <c r="CY715" s="34"/>
    </row>
    <row r="716" spans="1:103" x14ac:dyDescent="0.25">
      <c r="A716">
        <v>715</v>
      </c>
      <c r="B716">
        <v>45</v>
      </c>
      <c r="C716" s="25" t="s">
        <v>470</v>
      </c>
      <c r="D716" s="12">
        <v>5.0999999999999996</v>
      </c>
      <c r="E716" s="14">
        <v>0.2</v>
      </c>
      <c r="F716" s="7">
        <v>20.8571428571429</v>
      </c>
      <c r="G716" s="7">
        <f t="shared" si="173"/>
        <v>4.8999999999999995</v>
      </c>
      <c r="H716" s="16">
        <f t="shared" si="174"/>
        <v>5.3</v>
      </c>
      <c r="I716" s="11">
        <f t="shared" si="177"/>
        <v>0.1870236989817278</v>
      </c>
      <c r="J716" s="33">
        <f t="shared" si="178"/>
        <v>8.9668896772061094E-3</v>
      </c>
      <c r="K716" s="33">
        <f t="shared" si="179"/>
        <v>111.5213899131609</v>
      </c>
      <c r="L716" s="8">
        <v>0</v>
      </c>
      <c r="M716" s="9">
        <v>1</v>
      </c>
      <c r="N716" s="8">
        <v>0</v>
      </c>
      <c r="O716" s="9">
        <v>0</v>
      </c>
      <c r="P716" s="9">
        <v>1</v>
      </c>
      <c r="Q716" s="9">
        <v>0</v>
      </c>
      <c r="R716" s="9">
        <v>0</v>
      </c>
      <c r="S716" s="8">
        <v>12016</v>
      </c>
      <c r="T716" s="9">
        <v>13</v>
      </c>
      <c r="U716" s="9">
        <f t="shared" si="175"/>
        <v>12002</v>
      </c>
      <c r="V716" s="9">
        <f t="shared" si="176"/>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69"/>
        <v>0.78200000000000003</v>
      </c>
      <c r="AR716" s="40">
        <v>0.218</v>
      </c>
      <c r="AS716" s="39">
        <f t="shared" si="170"/>
        <v>0.77600000000000002</v>
      </c>
      <c r="AT716" s="40">
        <v>0.224</v>
      </c>
      <c r="AU716">
        <v>0</v>
      </c>
      <c r="AV716" s="18">
        <v>1</v>
      </c>
      <c r="AW716">
        <f t="shared" si="171"/>
        <v>0.18899999999999995</v>
      </c>
      <c r="AX716" s="18">
        <v>0.81100000000000005</v>
      </c>
      <c r="AY716" s="18" t="s">
        <v>29</v>
      </c>
      <c r="AZ716">
        <v>0</v>
      </c>
      <c r="BA716">
        <v>0</v>
      </c>
      <c r="BB716">
        <v>1</v>
      </c>
      <c r="BC716">
        <v>0</v>
      </c>
      <c r="BD716">
        <v>0</v>
      </c>
      <c r="BE716">
        <v>0</v>
      </c>
      <c r="BF716" s="18">
        <v>0</v>
      </c>
      <c r="BG716">
        <v>0</v>
      </c>
      <c r="BH716">
        <v>1</v>
      </c>
      <c r="BI716" s="18">
        <v>0</v>
      </c>
      <c r="BJ716">
        <v>5087</v>
      </c>
      <c r="BK716">
        <v>9052</v>
      </c>
      <c r="BL716" s="93">
        <f t="shared" si="172"/>
        <v>32.361000000000004</v>
      </c>
      <c r="BM716">
        <v>1</v>
      </c>
      <c r="BN716">
        <v>0</v>
      </c>
      <c r="BO716">
        <v>0</v>
      </c>
      <c r="BP716">
        <v>0</v>
      </c>
      <c r="BQ716">
        <v>0</v>
      </c>
      <c r="BR716">
        <v>0</v>
      </c>
      <c r="BS716">
        <v>0</v>
      </c>
      <c r="BT716" s="18">
        <v>0</v>
      </c>
      <c r="BU716">
        <v>0</v>
      </c>
      <c r="BV716">
        <v>0</v>
      </c>
      <c r="BW716">
        <v>1</v>
      </c>
      <c r="BX716" s="18">
        <v>0</v>
      </c>
      <c r="BY716">
        <v>0</v>
      </c>
      <c r="BZ716">
        <v>0</v>
      </c>
      <c r="CA716">
        <v>0</v>
      </c>
      <c r="CB716">
        <v>0</v>
      </c>
      <c r="CC716" s="18">
        <v>0</v>
      </c>
      <c r="CD716">
        <v>0</v>
      </c>
      <c r="CE716">
        <v>0</v>
      </c>
      <c r="CF716">
        <v>1</v>
      </c>
      <c r="CG716">
        <v>0</v>
      </c>
      <c r="CH716">
        <v>0</v>
      </c>
      <c r="CI716">
        <v>0</v>
      </c>
      <c r="CJ716">
        <v>0</v>
      </c>
      <c r="CK716">
        <v>0</v>
      </c>
      <c r="CL716">
        <v>0</v>
      </c>
      <c r="CM716">
        <v>0</v>
      </c>
      <c r="CN716" s="18">
        <v>1</v>
      </c>
      <c r="CO716">
        <v>2.3E-2</v>
      </c>
      <c r="CP716">
        <v>13</v>
      </c>
      <c r="CQ716">
        <v>1</v>
      </c>
      <c r="CR716">
        <v>0</v>
      </c>
      <c r="CS716">
        <v>17</v>
      </c>
      <c r="CY716" s="34"/>
    </row>
    <row r="717" spans="1:103" x14ac:dyDescent="0.25">
      <c r="A717">
        <v>716</v>
      </c>
      <c r="B717">
        <v>45</v>
      </c>
      <c r="C717" s="25" t="s">
        <v>470</v>
      </c>
      <c r="D717" s="12">
        <v>6.7</v>
      </c>
      <c r="E717" s="14">
        <v>0.2</v>
      </c>
      <c r="F717" s="7">
        <v>21.8571428571429</v>
      </c>
      <c r="G717" s="7">
        <f t="shared" si="173"/>
        <v>6.5</v>
      </c>
      <c r="H717" s="16">
        <f t="shared" si="174"/>
        <v>6.9</v>
      </c>
      <c r="I717" s="11">
        <f t="shared" si="177"/>
        <v>0.24917046667358211</v>
      </c>
      <c r="J717" s="33">
        <f t="shared" si="178"/>
        <v>1.1399955991601773E-2</v>
      </c>
      <c r="K717" s="33">
        <f t="shared" si="179"/>
        <v>87.719636877255439</v>
      </c>
      <c r="L717" s="8">
        <v>0</v>
      </c>
      <c r="M717" s="9">
        <v>1</v>
      </c>
      <c r="N717" s="8">
        <v>0</v>
      </c>
      <c r="O717" s="9">
        <v>0</v>
      </c>
      <c r="P717" s="9">
        <v>1</v>
      </c>
      <c r="Q717" s="9">
        <v>0</v>
      </c>
      <c r="R717" s="9">
        <v>0</v>
      </c>
      <c r="S717" s="8">
        <v>7232</v>
      </c>
      <c r="T717" s="9">
        <v>14</v>
      </c>
      <c r="U717" s="9">
        <f t="shared" si="175"/>
        <v>7217</v>
      </c>
      <c r="V717" s="9">
        <f t="shared" si="176"/>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69"/>
        <v>0.77900000000000003</v>
      </c>
      <c r="AR717" s="40">
        <v>0.221</v>
      </c>
      <c r="AS717" s="39">
        <f t="shared" si="170"/>
        <v>0.78800000000000003</v>
      </c>
      <c r="AT717" s="40">
        <v>0.21199999999999999</v>
      </c>
      <c r="AU717">
        <v>0</v>
      </c>
      <c r="AV717" s="18">
        <v>1</v>
      </c>
      <c r="AW717">
        <f t="shared" si="171"/>
        <v>0.18100000000000005</v>
      </c>
      <c r="AX717" s="18">
        <v>0.81899999999999995</v>
      </c>
      <c r="AY717" s="18" t="s">
        <v>29</v>
      </c>
      <c r="AZ717">
        <v>0</v>
      </c>
      <c r="BA717">
        <v>0</v>
      </c>
      <c r="BB717">
        <v>1</v>
      </c>
      <c r="BC717">
        <v>0</v>
      </c>
      <c r="BD717">
        <v>0</v>
      </c>
      <c r="BE717">
        <v>0</v>
      </c>
      <c r="BF717" s="18">
        <v>0</v>
      </c>
      <c r="BG717">
        <v>0</v>
      </c>
      <c r="BH717">
        <v>1</v>
      </c>
      <c r="BI717" s="18">
        <v>0</v>
      </c>
      <c r="BJ717">
        <v>5087</v>
      </c>
      <c r="BK717">
        <v>9052</v>
      </c>
      <c r="BL717" s="93">
        <f t="shared" si="172"/>
        <v>32.579000000000001</v>
      </c>
      <c r="BM717">
        <v>1</v>
      </c>
      <c r="BN717">
        <v>0</v>
      </c>
      <c r="BO717">
        <v>0</v>
      </c>
      <c r="BP717">
        <v>0</v>
      </c>
      <c r="BQ717">
        <v>0</v>
      </c>
      <c r="BR717">
        <v>0</v>
      </c>
      <c r="BS717">
        <v>0</v>
      </c>
      <c r="BT717" s="18">
        <v>0</v>
      </c>
      <c r="BU717">
        <v>0</v>
      </c>
      <c r="BV717">
        <v>0</v>
      </c>
      <c r="BW717">
        <v>1</v>
      </c>
      <c r="BX717" s="18">
        <v>0</v>
      </c>
      <c r="BY717">
        <v>0</v>
      </c>
      <c r="BZ717">
        <v>0</v>
      </c>
      <c r="CA717">
        <v>0</v>
      </c>
      <c r="CB717">
        <v>0</v>
      </c>
      <c r="CC717" s="18">
        <v>0</v>
      </c>
      <c r="CD717">
        <v>0</v>
      </c>
      <c r="CE717">
        <v>0</v>
      </c>
      <c r="CF717">
        <v>1</v>
      </c>
      <c r="CG717">
        <v>0</v>
      </c>
      <c r="CH717">
        <v>0</v>
      </c>
      <c r="CI717">
        <v>0</v>
      </c>
      <c r="CJ717">
        <v>0</v>
      </c>
      <c r="CK717">
        <v>0</v>
      </c>
      <c r="CL717">
        <v>0</v>
      </c>
      <c r="CM717">
        <v>0</v>
      </c>
      <c r="CN717" s="18">
        <v>1</v>
      </c>
      <c r="CO717">
        <v>2.3E-2</v>
      </c>
      <c r="CP717">
        <v>13</v>
      </c>
      <c r="CQ717">
        <v>1</v>
      </c>
      <c r="CR717">
        <v>0</v>
      </c>
      <c r="CS717">
        <v>17</v>
      </c>
      <c r="CY717" s="34"/>
    </row>
    <row r="718" spans="1:103" x14ac:dyDescent="0.25">
      <c r="A718">
        <v>717</v>
      </c>
      <c r="B718">
        <v>45</v>
      </c>
      <c r="C718" s="25" t="s">
        <v>470</v>
      </c>
      <c r="D718" s="12">
        <v>5.9</v>
      </c>
      <c r="E718" s="14">
        <v>0.2</v>
      </c>
      <c r="F718" s="7">
        <v>22.8571428571429</v>
      </c>
      <c r="G718" s="7">
        <f t="shared" si="173"/>
        <v>5.7</v>
      </c>
      <c r="H718" s="16">
        <f t="shared" si="174"/>
        <v>6.1000000000000005</v>
      </c>
      <c r="I718" s="11">
        <f t="shared" si="177"/>
        <v>0.19895758177591516</v>
      </c>
      <c r="J718" s="33">
        <f t="shared" si="178"/>
        <v>8.7043942026962719E-3</v>
      </c>
      <c r="K718" s="33">
        <f t="shared" si="179"/>
        <v>114.88450278254173</v>
      </c>
      <c r="L718" s="8">
        <v>0</v>
      </c>
      <c r="M718" s="9">
        <v>1</v>
      </c>
      <c r="N718" s="8">
        <v>0</v>
      </c>
      <c r="O718" s="9">
        <v>0</v>
      </c>
      <c r="P718" s="9">
        <v>1</v>
      </c>
      <c r="Q718" s="9">
        <v>0</v>
      </c>
      <c r="R718" s="9">
        <v>0</v>
      </c>
      <c r="S718" s="8">
        <v>12692</v>
      </c>
      <c r="T718" s="9">
        <v>15</v>
      </c>
      <c r="U718" s="9">
        <f t="shared" si="175"/>
        <v>12676</v>
      </c>
      <c r="V718" s="9">
        <f t="shared" si="176"/>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69"/>
        <v>0.77900000000000003</v>
      </c>
      <c r="AR718" s="40">
        <v>0.221</v>
      </c>
      <c r="AS718" s="39">
        <f t="shared" si="170"/>
        <v>0.78800000000000003</v>
      </c>
      <c r="AT718" s="40">
        <v>0.21199999999999999</v>
      </c>
      <c r="AU718">
        <v>0</v>
      </c>
      <c r="AV718" s="18">
        <v>1</v>
      </c>
      <c r="AW718">
        <f t="shared" si="171"/>
        <v>0.18100000000000005</v>
      </c>
      <c r="AX718" s="18">
        <v>0.81899999999999995</v>
      </c>
      <c r="AY718" s="18" t="s">
        <v>29</v>
      </c>
      <c r="AZ718">
        <v>0</v>
      </c>
      <c r="BA718">
        <v>0</v>
      </c>
      <c r="BB718">
        <v>1</v>
      </c>
      <c r="BC718">
        <v>0</v>
      </c>
      <c r="BD718">
        <v>0</v>
      </c>
      <c r="BE718">
        <v>0</v>
      </c>
      <c r="BF718" s="18">
        <v>0</v>
      </c>
      <c r="BG718">
        <v>0</v>
      </c>
      <c r="BH718">
        <v>1</v>
      </c>
      <c r="BI718" s="18">
        <v>0</v>
      </c>
      <c r="BJ718">
        <v>5087</v>
      </c>
      <c r="BK718">
        <v>9052</v>
      </c>
      <c r="BL718" s="93">
        <f t="shared" si="172"/>
        <v>32.579000000000001</v>
      </c>
      <c r="BM718">
        <v>1</v>
      </c>
      <c r="BN718">
        <v>0</v>
      </c>
      <c r="BO718">
        <v>0</v>
      </c>
      <c r="BP718">
        <v>0</v>
      </c>
      <c r="BQ718">
        <v>0</v>
      </c>
      <c r="BR718">
        <v>0</v>
      </c>
      <c r="BS718">
        <v>0</v>
      </c>
      <c r="BT718" s="18">
        <v>0</v>
      </c>
      <c r="BU718">
        <v>0</v>
      </c>
      <c r="BV718">
        <v>0</v>
      </c>
      <c r="BW718">
        <v>1</v>
      </c>
      <c r="BX718" s="18">
        <v>0</v>
      </c>
      <c r="BY718">
        <v>0</v>
      </c>
      <c r="BZ718">
        <v>0</v>
      </c>
      <c r="CA718">
        <v>0</v>
      </c>
      <c r="CB718">
        <v>0</v>
      </c>
      <c r="CC718" s="18">
        <v>0</v>
      </c>
      <c r="CD718">
        <v>0</v>
      </c>
      <c r="CE718">
        <v>0</v>
      </c>
      <c r="CF718">
        <v>1</v>
      </c>
      <c r="CG718">
        <v>0</v>
      </c>
      <c r="CH718">
        <v>0</v>
      </c>
      <c r="CI718">
        <v>0</v>
      </c>
      <c r="CJ718">
        <v>0</v>
      </c>
      <c r="CK718">
        <v>0</v>
      </c>
      <c r="CL718">
        <v>0</v>
      </c>
      <c r="CM718">
        <v>0</v>
      </c>
      <c r="CN718" s="18">
        <v>1</v>
      </c>
      <c r="CO718">
        <v>2.3E-2</v>
      </c>
      <c r="CP718">
        <v>13</v>
      </c>
      <c r="CQ718">
        <v>1</v>
      </c>
      <c r="CR718">
        <v>0</v>
      </c>
      <c r="CS718">
        <v>17</v>
      </c>
      <c r="CY718" s="34"/>
    </row>
    <row r="719" spans="1:103" x14ac:dyDescent="0.25">
      <c r="A719">
        <v>718</v>
      </c>
      <c r="B719">
        <v>45</v>
      </c>
      <c r="C719" s="25" t="s">
        <v>470</v>
      </c>
      <c r="D719" s="12">
        <v>6.2</v>
      </c>
      <c r="E719" s="14">
        <v>0.2</v>
      </c>
      <c r="F719" s="7">
        <v>23.8571428571429</v>
      </c>
      <c r="G719" s="7">
        <f t="shared" si="173"/>
        <v>6</v>
      </c>
      <c r="H719" s="16">
        <f t="shared" si="174"/>
        <v>6.4</v>
      </c>
      <c r="I719" s="11">
        <f t="shared" si="177"/>
        <v>0.26411655224629221</v>
      </c>
      <c r="J719" s="33">
        <f t="shared" si="178"/>
        <v>1.1070753686970311E-2</v>
      </c>
      <c r="K719" s="33">
        <f t="shared" si="179"/>
        <v>90.328086801980504</v>
      </c>
      <c r="L719" s="8">
        <v>0</v>
      </c>
      <c r="M719" s="9">
        <v>1</v>
      </c>
      <c r="N719" s="8">
        <v>0</v>
      </c>
      <c r="O719" s="9">
        <v>0</v>
      </c>
      <c r="P719" s="9">
        <v>1</v>
      </c>
      <c r="Q719" s="9">
        <v>0</v>
      </c>
      <c r="R719" s="9">
        <v>0</v>
      </c>
      <c r="S719" s="8">
        <v>7607</v>
      </c>
      <c r="T719" s="9">
        <v>16</v>
      </c>
      <c r="U719" s="9">
        <f t="shared" si="175"/>
        <v>7590</v>
      </c>
      <c r="V719" s="9">
        <f t="shared" si="176"/>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69"/>
        <v>0.77900000000000003</v>
      </c>
      <c r="AR719" s="40">
        <v>0.221</v>
      </c>
      <c r="AS719" s="39">
        <f t="shared" si="170"/>
        <v>0.78700000000000003</v>
      </c>
      <c r="AT719" s="40">
        <v>0.21299999999999999</v>
      </c>
      <c r="AU719">
        <v>0</v>
      </c>
      <c r="AV719" s="18">
        <v>1</v>
      </c>
      <c r="AW719">
        <f t="shared" si="171"/>
        <v>0.17500000000000004</v>
      </c>
      <c r="AX719" s="18">
        <v>0.82499999999999996</v>
      </c>
      <c r="AY719" s="18" t="s">
        <v>29</v>
      </c>
      <c r="AZ719">
        <v>0</v>
      </c>
      <c r="BA719">
        <v>0</v>
      </c>
      <c r="BB719">
        <v>1</v>
      </c>
      <c r="BC719">
        <v>0</v>
      </c>
      <c r="BD719">
        <v>0</v>
      </c>
      <c r="BE719">
        <v>0</v>
      </c>
      <c r="BF719" s="18">
        <v>0</v>
      </c>
      <c r="BG719">
        <v>0</v>
      </c>
      <c r="BH719">
        <v>1</v>
      </c>
      <c r="BI719" s="18">
        <v>0</v>
      </c>
      <c r="BJ719">
        <v>5087</v>
      </c>
      <c r="BK719">
        <v>9052</v>
      </c>
      <c r="BL719" s="93">
        <f t="shared" si="172"/>
        <v>32.802999999999997</v>
      </c>
      <c r="BM719">
        <v>1</v>
      </c>
      <c r="BN719">
        <v>0</v>
      </c>
      <c r="BO719">
        <v>0</v>
      </c>
      <c r="BP719">
        <v>0</v>
      </c>
      <c r="BQ719">
        <v>0</v>
      </c>
      <c r="BR719">
        <v>0</v>
      </c>
      <c r="BS719">
        <v>0</v>
      </c>
      <c r="BT719" s="18">
        <v>0</v>
      </c>
      <c r="BU719">
        <v>0</v>
      </c>
      <c r="BV719">
        <v>0</v>
      </c>
      <c r="BW719">
        <v>1</v>
      </c>
      <c r="BX719" s="18">
        <v>0</v>
      </c>
      <c r="BY719">
        <v>0</v>
      </c>
      <c r="BZ719">
        <v>0</v>
      </c>
      <c r="CA719">
        <v>0</v>
      </c>
      <c r="CB719">
        <v>0</v>
      </c>
      <c r="CC719" s="18">
        <v>0</v>
      </c>
      <c r="CD719">
        <v>0</v>
      </c>
      <c r="CE719">
        <v>0</v>
      </c>
      <c r="CF719">
        <v>1</v>
      </c>
      <c r="CG719">
        <v>0</v>
      </c>
      <c r="CH719">
        <v>0</v>
      </c>
      <c r="CI719">
        <v>0</v>
      </c>
      <c r="CJ719">
        <v>0</v>
      </c>
      <c r="CK719">
        <v>0</v>
      </c>
      <c r="CL719">
        <v>0</v>
      </c>
      <c r="CM719">
        <v>0</v>
      </c>
      <c r="CN719" s="18">
        <v>1</v>
      </c>
      <c r="CO719">
        <v>2.3E-2</v>
      </c>
      <c r="CP719">
        <v>13</v>
      </c>
      <c r="CQ719">
        <v>1</v>
      </c>
      <c r="CR719">
        <v>0</v>
      </c>
      <c r="CS719">
        <v>17</v>
      </c>
      <c r="CY719" s="34"/>
    </row>
    <row r="720" spans="1:103" x14ac:dyDescent="0.25">
      <c r="A720">
        <v>719</v>
      </c>
      <c r="B720">
        <v>45</v>
      </c>
      <c r="C720" s="25" t="s">
        <v>470</v>
      </c>
      <c r="D720" s="12">
        <v>5</v>
      </c>
      <c r="E720" s="14">
        <v>0.2</v>
      </c>
      <c r="F720" s="7">
        <v>24.8571428571429</v>
      </c>
      <c r="G720" s="7">
        <f t="shared" si="173"/>
        <v>4.8</v>
      </c>
      <c r="H720" s="16">
        <f t="shared" si="174"/>
        <v>5.2</v>
      </c>
      <c r="I720" s="11">
        <f t="shared" si="177"/>
        <v>0.21617458945617005</v>
      </c>
      <c r="J720" s="33">
        <f t="shared" si="178"/>
        <v>8.6966788861677462E-3</v>
      </c>
      <c r="K720" s="33">
        <f t="shared" si="179"/>
        <v>114.9864233334545</v>
      </c>
      <c r="L720" s="8">
        <v>0</v>
      </c>
      <c r="M720" s="9">
        <v>1</v>
      </c>
      <c r="N720" s="8">
        <v>0</v>
      </c>
      <c r="O720" s="9">
        <v>0</v>
      </c>
      <c r="P720" s="9">
        <v>1</v>
      </c>
      <c r="Q720" s="9">
        <v>0</v>
      </c>
      <c r="R720" s="9">
        <v>0</v>
      </c>
      <c r="S720" s="8">
        <v>12622</v>
      </c>
      <c r="T720" s="9">
        <v>17</v>
      </c>
      <c r="U720" s="9">
        <f t="shared" si="175"/>
        <v>12604</v>
      </c>
      <c r="V720" s="9">
        <f t="shared" si="176"/>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69"/>
        <v>0.77900000000000003</v>
      </c>
      <c r="AR720" s="40">
        <v>0.221</v>
      </c>
      <c r="AS720" s="39">
        <f t="shared" si="170"/>
        <v>0.78700000000000003</v>
      </c>
      <c r="AT720" s="40">
        <v>0.21299999999999999</v>
      </c>
      <c r="AU720">
        <v>0</v>
      </c>
      <c r="AV720" s="18">
        <v>1</v>
      </c>
      <c r="AW720">
        <f t="shared" si="171"/>
        <v>0.17500000000000004</v>
      </c>
      <c r="AX720" s="18">
        <v>0.82499999999999996</v>
      </c>
      <c r="AY720" s="18" t="s">
        <v>29</v>
      </c>
      <c r="AZ720">
        <v>0</v>
      </c>
      <c r="BA720">
        <v>0</v>
      </c>
      <c r="BB720">
        <v>1</v>
      </c>
      <c r="BC720">
        <v>0</v>
      </c>
      <c r="BD720">
        <v>0</v>
      </c>
      <c r="BE720">
        <v>0</v>
      </c>
      <c r="BF720" s="18">
        <v>0</v>
      </c>
      <c r="BG720">
        <v>0</v>
      </c>
      <c r="BH720">
        <v>1</v>
      </c>
      <c r="BI720" s="18">
        <v>0</v>
      </c>
      <c r="BJ720">
        <v>5087</v>
      </c>
      <c r="BK720">
        <v>9052</v>
      </c>
      <c r="BL720" s="93">
        <f t="shared" si="172"/>
        <v>32.802999999999997</v>
      </c>
      <c r="BM720">
        <v>1</v>
      </c>
      <c r="BN720">
        <v>0</v>
      </c>
      <c r="BO720">
        <v>0</v>
      </c>
      <c r="BP720">
        <v>0</v>
      </c>
      <c r="BQ720">
        <v>0</v>
      </c>
      <c r="BR720">
        <v>0</v>
      </c>
      <c r="BS720">
        <v>0</v>
      </c>
      <c r="BT720" s="18">
        <v>0</v>
      </c>
      <c r="BU720">
        <v>0</v>
      </c>
      <c r="BV720">
        <v>0</v>
      </c>
      <c r="BW720">
        <v>1</v>
      </c>
      <c r="BX720" s="18">
        <v>0</v>
      </c>
      <c r="BY720">
        <v>0</v>
      </c>
      <c r="BZ720">
        <v>0</v>
      </c>
      <c r="CA720">
        <v>0</v>
      </c>
      <c r="CB720">
        <v>0</v>
      </c>
      <c r="CC720" s="18">
        <v>0</v>
      </c>
      <c r="CD720">
        <v>0</v>
      </c>
      <c r="CE720">
        <v>0</v>
      </c>
      <c r="CF720">
        <v>1</v>
      </c>
      <c r="CG720">
        <v>0</v>
      </c>
      <c r="CH720">
        <v>0</v>
      </c>
      <c r="CI720">
        <v>0</v>
      </c>
      <c r="CJ720">
        <v>0</v>
      </c>
      <c r="CK720">
        <v>0</v>
      </c>
      <c r="CL720">
        <v>0</v>
      </c>
      <c r="CM720">
        <v>0</v>
      </c>
      <c r="CN720" s="18">
        <v>1</v>
      </c>
      <c r="CO720">
        <v>2.3E-2</v>
      </c>
      <c r="CP720">
        <v>13</v>
      </c>
      <c r="CQ720">
        <v>1</v>
      </c>
      <c r="CR720">
        <v>0</v>
      </c>
      <c r="CS720">
        <v>17</v>
      </c>
      <c r="CY720" s="34"/>
    </row>
    <row r="721" spans="1:103" x14ac:dyDescent="0.25">
      <c r="A721">
        <v>720</v>
      </c>
      <c r="B721">
        <v>45</v>
      </c>
      <c r="C721" s="25" t="s">
        <v>470</v>
      </c>
      <c r="D721" s="12">
        <v>7.74</v>
      </c>
      <c r="E721" s="14">
        <v>0.03</v>
      </c>
      <c r="F721" s="7">
        <v>25.8571428571429</v>
      </c>
      <c r="G721" s="7">
        <f t="shared" si="173"/>
        <v>7.71</v>
      </c>
      <c r="H721" s="16">
        <f t="shared" si="174"/>
        <v>7.7700000000000005</v>
      </c>
      <c r="I721" s="11">
        <f t="shared" si="177"/>
        <v>4.1483160549381434E-2</v>
      </c>
      <c r="J721" s="33">
        <f t="shared" si="178"/>
        <v>1.6043211262191687E-3</v>
      </c>
      <c r="K721" s="33">
        <f t="shared" si="179"/>
        <v>623.3166064182268</v>
      </c>
      <c r="L721" s="8">
        <v>0</v>
      </c>
      <c r="M721" s="9">
        <v>1</v>
      </c>
      <c r="N721" s="8">
        <v>0</v>
      </c>
      <c r="O721" s="9">
        <v>0</v>
      </c>
      <c r="P721" s="9">
        <v>1</v>
      </c>
      <c r="Q721" s="9">
        <v>0</v>
      </c>
      <c r="R721" s="9">
        <v>0</v>
      </c>
      <c r="S721" s="8">
        <v>387866</v>
      </c>
      <c r="T721" s="9">
        <v>10</v>
      </c>
      <c r="U721" s="9">
        <f t="shared" si="175"/>
        <v>387855</v>
      </c>
      <c r="V721" s="9">
        <f t="shared" si="176"/>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69"/>
        <v>0.77900000000000003</v>
      </c>
      <c r="AR721" s="40">
        <v>0.221</v>
      </c>
      <c r="AS721" s="39">
        <f t="shared" si="170"/>
        <v>0.78700000000000003</v>
      </c>
      <c r="AT721" s="40">
        <v>0.21299999999999999</v>
      </c>
      <c r="AU721">
        <v>0</v>
      </c>
      <c r="AV721" s="18">
        <v>1</v>
      </c>
      <c r="AW721">
        <f t="shared" si="171"/>
        <v>0.17500000000000004</v>
      </c>
      <c r="AX721" s="18">
        <v>0.82499999999999996</v>
      </c>
      <c r="AY721" s="18" t="s">
        <v>29</v>
      </c>
      <c r="AZ721">
        <v>0</v>
      </c>
      <c r="BA721">
        <v>0</v>
      </c>
      <c r="BB721">
        <v>1</v>
      </c>
      <c r="BC721">
        <v>0</v>
      </c>
      <c r="BD721">
        <v>0</v>
      </c>
      <c r="BE721">
        <v>0</v>
      </c>
      <c r="BF721" s="18">
        <v>0</v>
      </c>
      <c r="BG721">
        <v>0</v>
      </c>
      <c r="BH721">
        <v>1</v>
      </c>
      <c r="BI721" s="18">
        <v>0</v>
      </c>
      <c r="BJ721">
        <v>5087</v>
      </c>
      <c r="BK721">
        <v>9052</v>
      </c>
      <c r="BL721" s="93">
        <f t="shared" si="172"/>
        <v>32.799999999999997</v>
      </c>
      <c r="BM721">
        <v>1</v>
      </c>
      <c r="BN721">
        <v>0</v>
      </c>
      <c r="BO721">
        <v>0</v>
      </c>
      <c r="BP721">
        <v>0</v>
      </c>
      <c r="BQ721">
        <v>0</v>
      </c>
      <c r="BR721">
        <v>0</v>
      </c>
      <c r="BS721">
        <v>0</v>
      </c>
      <c r="BT721" s="18">
        <v>0</v>
      </c>
      <c r="BU721">
        <v>0</v>
      </c>
      <c r="BV721">
        <v>0</v>
      </c>
      <c r="BW721">
        <v>1</v>
      </c>
      <c r="BX721" s="18">
        <v>0</v>
      </c>
      <c r="BY721">
        <v>0</v>
      </c>
      <c r="BZ721">
        <v>0</v>
      </c>
      <c r="CA721">
        <v>0</v>
      </c>
      <c r="CB721">
        <v>0</v>
      </c>
      <c r="CC721" s="18">
        <v>0</v>
      </c>
      <c r="CD721">
        <v>0</v>
      </c>
      <c r="CE721">
        <v>0</v>
      </c>
      <c r="CF721">
        <v>1</v>
      </c>
      <c r="CG721">
        <v>0</v>
      </c>
      <c r="CH721">
        <v>0</v>
      </c>
      <c r="CI721">
        <v>0</v>
      </c>
      <c r="CJ721">
        <v>1</v>
      </c>
      <c r="CK721">
        <v>0</v>
      </c>
      <c r="CL721">
        <v>0</v>
      </c>
      <c r="CM721">
        <v>0</v>
      </c>
      <c r="CN721" s="18">
        <v>1</v>
      </c>
      <c r="CO721">
        <v>2.3E-2</v>
      </c>
      <c r="CP721">
        <v>13</v>
      </c>
      <c r="CQ721">
        <v>1</v>
      </c>
      <c r="CR721">
        <v>0</v>
      </c>
      <c r="CS721">
        <v>17</v>
      </c>
      <c r="CY721" s="34"/>
    </row>
    <row r="722" spans="1:103" x14ac:dyDescent="0.25">
      <c r="A722">
        <v>721</v>
      </c>
      <c r="B722">
        <v>45</v>
      </c>
      <c r="C722" s="25" t="s">
        <v>470</v>
      </c>
      <c r="D722" s="12">
        <v>6.24</v>
      </c>
      <c r="E722" s="14">
        <v>0.03</v>
      </c>
      <c r="F722" s="7">
        <v>26.8571428571429</v>
      </c>
      <c r="G722" s="7">
        <f t="shared" si="173"/>
        <v>6.21</v>
      </c>
      <c r="H722" s="16">
        <f t="shared" si="174"/>
        <v>6.2700000000000005</v>
      </c>
      <c r="I722" s="11">
        <f t="shared" si="177"/>
        <v>4.3084780708946675E-2</v>
      </c>
      <c r="J722" s="33">
        <f t="shared" si="178"/>
        <v>1.604220558311842E-3</v>
      </c>
      <c r="K722" s="33">
        <f t="shared" si="179"/>
        <v>623.355681872275</v>
      </c>
      <c r="L722" s="8">
        <v>0</v>
      </c>
      <c r="M722" s="9">
        <v>1</v>
      </c>
      <c r="N722" s="8">
        <v>0</v>
      </c>
      <c r="O722" s="9">
        <v>0</v>
      </c>
      <c r="P722" s="9">
        <v>1</v>
      </c>
      <c r="Q722" s="9">
        <v>0</v>
      </c>
      <c r="R722" s="9">
        <v>0</v>
      </c>
      <c r="S722" s="8">
        <v>387866</v>
      </c>
      <c r="T722" s="9">
        <v>14</v>
      </c>
      <c r="U722" s="9">
        <f t="shared" si="175"/>
        <v>387851</v>
      </c>
      <c r="V722" s="9">
        <f t="shared" si="176"/>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69"/>
        <v>0.77900000000000003</v>
      </c>
      <c r="AR722" s="40">
        <v>0.221</v>
      </c>
      <c r="AS722" s="39">
        <f t="shared" si="170"/>
        <v>0.78700000000000003</v>
      </c>
      <c r="AT722" s="40">
        <v>0.21299999999999999</v>
      </c>
      <c r="AU722">
        <v>0</v>
      </c>
      <c r="AV722" s="18">
        <v>1</v>
      </c>
      <c r="AW722">
        <f t="shared" si="171"/>
        <v>0.17500000000000004</v>
      </c>
      <c r="AX722" s="18">
        <v>0.82499999999999996</v>
      </c>
      <c r="AY722" s="18" t="s">
        <v>29</v>
      </c>
      <c r="AZ722">
        <v>0</v>
      </c>
      <c r="BA722">
        <v>0</v>
      </c>
      <c r="BB722">
        <v>1</v>
      </c>
      <c r="BC722">
        <v>0</v>
      </c>
      <c r="BD722">
        <v>0</v>
      </c>
      <c r="BE722">
        <v>0</v>
      </c>
      <c r="BF722" s="18">
        <v>0</v>
      </c>
      <c r="BG722">
        <v>0</v>
      </c>
      <c r="BH722">
        <v>1</v>
      </c>
      <c r="BI722" s="18">
        <v>0</v>
      </c>
      <c r="BJ722">
        <v>5087</v>
      </c>
      <c r="BK722">
        <v>9052</v>
      </c>
      <c r="BL722" s="93">
        <f t="shared" si="172"/>
        <v>32.799999999999997</v>
      </c>
      <c r="BM722">
        <v>1</v>
      </c>
      <c r="BN722">
        <v>0</v>
      </c>
      <c r="BO722">
        <v>0</v>
      </c>
      <c r="BP722">
        <v>0</v>
      </c>
      <c r="BQ722">
        <v>0</v>
      </c>
      <c r="BR722">
        <v>0</v>
      </c>
      <c r="BS722">
        <v>0</v>
      </c>
      <c r="BT722" s="18">
        <v>0</v>
      </c>
      <c r="BU722">
        <v>0</v>
      </c>
      <c r="BV722">
        <v>0</v>
      </c>
      <c r="BW722">
        <v>1</v>
      </c>
      <c r="BX722" s="18">
        <v>0</v>
      </c>
      <c r="BY722">
        <v>0</v>
      </c>
      <c r="BZ722">
        <v>0</v>
      </c>
      <c r="CA722">
        <v>0</v>
      </c>
      <c r="CB722">
        <v>0</v>
      </c>
      <c r="CC722" s="18">
        <v>0</v>
      </c>
      <c r="CD722">
        <v>0</v>
      </c>
      <c r="CE722">
        <v>0</v>
      </c>
      <c r="CF722">
        <v>1</v>
      </c>
      <c r="CG722">
        <v>0</v>
      </c>
      <c r="CH722">
        <v>0</v>
      </c>
      <c r="CI722">
        <v>0</v>
      </c>
      <c r="CJ722">
        <v>1</v>
      </c>
      <c r="CK722">
        <v>1</v>
      </c>
      <c r="CL722">
        <v>0</v>
      </c>
      <c r="CM722">
        <v>0</v>
      </c>
      <c r="CN722" s="18">
        <v>1</v>
      </c>
      <c r="CO722">
        <v>2.3E-2</v>
      </c>
      <c r="CP722">
        <v>13</v>
      </c>
      <c r="CQ722">
        <v>1</v>
      </c>
      <c r="CR722">
        <v>0</v>
      </c>
      <c r="CS722">
        <v>17</v>
      </c>
      <c r="CY722" s="34"/>
    </row>
    <row r="723" spans="1:103" x14ac:dyDescent="0.25">
      <c r="A723">
        <v>722</v>
      </c>
      <c r="B723">
        <v>45</v>
      </c>
      <c r="C723" s="25" t="s">
        <v>470</v>
      </c>
      <c r="D723" s="12">
        <v>6.15</v>
      </c>
      <c r="E723" s="14">
        <v>0.03</v>
      </c>
      <c r="F723" s="7">
        <v>27.8571428571429</v>
      </c>
      <c r="G723" s="7">
        <f t="shared" si="173"/>
        <v>6.12</v>
      </c>
      <c r="H723" s="16">
        <f t="shared" si="174"/>
        <v>6.1800000000000006</v>
      </c>
      <c r="I723" s="11">
        <f t="shared" si="177"/>
        <v>4.8876541744417183E-2</v>
      </c>
      <c r="J723" s="33">
        <f t="shared" si="178"/>
        <v>1.7545425241585627E-3</v>
      </c>
      <c r="K723" s="33">
        <f t="shared" si="179"/>
        <v>569.94913843970608</v>
      </c>
      <c r="L723" s="8">
        <v>0</v>
      </c>
      <c r="M723" s="9">
        <v>1</v>
      </c>
      <c r="N723" s="8">
        <v>0</v>
      </c>
      <c r="O723" s="9">
        <v>0</v>
      </c>
      <c r="P723" s="9">
        <v>1</v>
      </c>
      <c r="Q723" s="9">
        <v>0</v>
      </c>
      <c r="R723" s="9">
        <v>0</v>
      </c>
      <c r="S723" s="8">
        <v>324084</v>
      </c>
      <c r="T723" s="9">
        <v>17</v>
      </c>
      <c r="U723" s="9">
        <f t="shared" si="175"/>
        <v>324066</v>
      </c>
      <c r="V723" s="9">
        <f t="shared" si="176"/>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69"/>
        <v>0.77900000000000003</v>
      </c>
      <c r="AR723" s="40">
        <v>0.221</v>
      </c>
      <c r="AS723" s="39">
        <f t="shared" si="170"/>
        <v>0.78700000000000003</v>
      </c>
      <c r="AT723" s="40">
        <v>0.21299999999999999</v>
      </c>
      <c r="AU723">
        <v>0</v>
      </c>
      <c r="AV723" s="18">
        <v>1</v>
      </c>
      <c r="AW723">
        <f t="shared" si="171"/>
        <v>0.17500000000000004</v>
      </c>
      <c r="AX723" s="18">
        <v>0.82499999999999996</v>
      </c>
      <c r="AY723" s="18" t="s">
        <v>29</v>
      </c>
      <c r="AZ723">
        <v>0</v>
      </c>
      <c r="BA723">
        <v>0</v>
      </c>
      <c r="BB723">
        <v>1</v>
      </c>
      <c r="BC723">
        <v>0</v>
      </c>
      <c r="BD723">
        <v>0</v>
      </c>
      <c r="BE723">
        <v>0</v>
      </c>
      <c r="BF723" s="18">
        <v>0</v>
      </c>
      <c r="BG723">
        <v>0</v>
      </c>
      <c r="BH723">
        <v>1</v>
      </c>
      <c r="BI723" s="18">
        <v>0</v>
      </c>
      <c r="BJ723">
        <v>5087</v>
      </c>
      <c r="BK723">
        <v>9052</v>
      </c>
      <c r="BL723" s="93">
        <f t="shared" si="172"/>
        <v>32.799999999999997</v>
      </c>
      <c r="BM723">
        <v>1</v>
      </c>
      <c r="BN723">
        <v>0</v>
      </c>
      <c r="BO723">
        <v>0</v>
      </c>
      <c r="BP723">
        <v>0</v>
      </c>
      <c r="BQ723">
        <v>0</v>
      </c>
      <c r="BR723">
        <v>0</v>
      </c>
      <c r="BS723">
        <v>0</v>
      </c>
      <c r="BT723" s="18">
        <v>0</v>
      </c>
      <c r="BU723">
        <v>0</v>
      </c>
      <c r="BV723">
        <v>0</v>
      </c>
      <c r="BW723">
        <v>1</v>
      </c>
      <c r="BX723" s="18">
        <v>0</v>
      </c>
      <c r="BY723">
        <v>0</v>
      </c>
      <c r="BZ723">
        <v>0</v>
      </c>
      <c r="CA723">
        <v>0</v>
      </c>
      <c r="CB723">
        <v>0</v>
      </c>
      <c r="CC723" s="18">
        <v>0</v>
      </c>
      <c r="CD723">
        <v>0</v>
      </c>
      <c r="CE723">
        <v>0</v>
      </c>
      <c r="CF723">
        <v>1</v>
      </c>
      <c r="CG723">
        <v>0</v>
      </c>
      <c r="CH723">
        <v>0</v>
      </c>
      <c r="CI723">
        <v>0</v>
      </c>
      <c r="CJ723">
        <v>1</v>
      </c>
      <c r="CK723">
        <v>1</v>
      </c>
      <c r="CL723">
        <v>1</v>
      </c>
      <c r="CM723">
        <v>1</v>
      </c>
      <c r="CN723" s="18">
        <v>1</v>
      </c>
      <c r="CO723">
        <v>2.3E-2</v>
      </c>
      <c r="CP723">
        <v>13</v>
      </c>
      <c r="CQ723">
        <v>1</v>
      </c>
      <c r="CR723">
        <v>0</v>
      </c>
      <c r="CS723">
        <v>17</v>
      </c>
      <c r="CY723" s="34"/>
    </row>
    <row r="724" spans="1:103" x14ac:dyDescent="0.25">
      <c r="A724">
        <v>723</v>
      </c>
      <c r="B724">
        <v>45</v>
      </c>
      <c r="C724" s="25" t="s">
        <v>470</v>
      </c>
      <c r="D724" s="12">
        <v>6.05</v>
      </c>
      <c r="E724" s="14">
        <v>0.04</v>
      </c>
      <c r="F724" s="7">
        <v>28.8571428571429</v>
      </c>
      <c r="G724" s="7">
        <f t="shared" si="173"/>
        <v>6.01</v>
      </c>
      <c r="H724" s="16">
        <f t="shared" si="174"/>
        <v>6.09</v>
      </c>
      <c r="I724" s="11">
        <f t="shared" si="177"/>
        <v>5.7129223619062877E-2</v>
      </c>
      <c r="J724" s="33">
        <f t="shared" si="178"/>
        <v>1.9797255709576213E-3</v>
      </c>
      <c r="K724" s="33">
        <f t="shared" si="179"/>
        <v>505.12051501980943</v>
      </c>
      <c r="L724" s="8">
        <v>0</v>
      </c>
      <c r="M724" s="9">
        <v>1</v>
      </c>
      <c r="N724" s="8">
        <v>0</v>
      </c>
      <c r="O724" s="9">
        <v>0</v>
      </c>
      <c r="P724" s="9">
        <v>1</v>
      </c>
      <c r="Q724" s="9">
        <v>0</v>
      </c>
      <c r="R724" s="9">
        <v>0</v>
      </c>
      <c r="S724" s="8">
        <v>254332</v>
      </c>
      <c r="T724" s="9">
        <v>17</v>
      </c>
      <c r="U724" s="9">
        <f t="shared" si="175"/>
        <v>254314</v>
      </c>
      <c r="V724" s="9">
        <f t="shared" si="176"/>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69"/>
        <v>0.77900000000000003</v>
      </c>
      <c r="AR724" s="40">
        <v>0.221</v>
      </c>
      <c r="AS724" s="39">
        <f t="shared" si="170"/>
        <v>0.78700000000000003</v>
      </c>
      <c r="AT724" s="40">
        <v>0.21299999999999999</v>
      </c>
      <c r="AU724">
        <v>0</v>
      </c>
      <c r="AV724" s="18">
        <v>1</v>
      </c>
      <c r="AW724">
        <f t="shared" si="171"/>
        <v>0.17500000000000004</v>
      </c>
      <c r="AX724" s="18">
        <v>0.82499999999999996</v>
      </c>
      <c r="AY724" s="18" t="s">
        <v>29</v>
      </c>
      <c r="AZ724">
        <v>0</v>
      </c>
      <c r="BA724">
        <v>0</v>
      </c>
      <c r="BB724">
        <v>1</v>
      </c>
      <c r="BC724">
        <v>0</v>
      </c>
      <c r="BD724">
        <v>0</v>
      </c>
      <c r="BE724">
        <v>0</v>
      </c>
      <c r="BF724" s="18">
        <v>0</v>
      </c>
      <c r="BG724">
        <v>0</v>
      </c>
      <c r="BH724">
        <v>1</v>
      </c>
      <c r="BI724" s="18">
        <v>0</v>
      </c>
      <c r="BJ724">
        <v>5087</v>
      </c>
      <c r="BK724">
        <v>9052</v>
      </c>
      <c r="BL724" s="93">
        <f t="shared" si="172"/>
        <v>32.799999999999997</v>
      </c>
      <c r="BM724">
        <v>1</v>
      </c>
      <c r="BN724">
        <v>0</v>
      </c>
      <c r="BO724">
        <v>0</v>
      </c>
      <c r="BP724">
        <v>0</v>
      </c>
      <c r="BQ724">
        <v>0</v>
      </c>
      <c r="BR724">
        <v>0</v>
      </c>
      <c r="BS724">
        <v>0</v>
      </c>
      <c r="BT724" s="18">
        <v>0</v>
      </c>
      <c r="BU724">
        <v>0</v>
      </c>
      <c r="BV724">
        <v>0</v>
      </c>
      <c r="BW724">
        <v>1</v>
      </c>
      <c r="BX724" s="18">
        <v>0</v>
      </c>
      <c r="BY724">
        <v>0</v>
      </c>
      <c r="BZ724">
        <v>0</v>
      </c>
      <c r="CA724">
        <v>0</v>
      </c>
      <c r="CB724">
        <v>0</v>
      </c>
      <c r="CC724" s="18">
        <v>0</v>
      </c>
      <c r="CD724">
        <v>0</v>
      </c>
      <c r="CE724">
        <v>0</v>
      </c>
      <c r="CF724">
        <v>1</v>
      </c>
      <c r="CG724">
        <v>0</v>
      </c>
      <c r="CH724">
        <v>0</v>
      </c>
      <c r="CI724">
        <v>0</v>
      </c>
      <c r="CJ724">
        <v>1</v>
      </c>
      <c r="CK724">
        <v>1</v>
      </c>
      <c r="CL724">
        <v>1</v>
      </c>
      <c r="CM724">
        <v>1</v>
      </c>
      <c r="CN724" s="18">
        <v>1</v>
      </c>
      <c r="CO724">
        <v>2.3E-2</v>
      </c>
      <c r="CP724">
        <v>13</v>
      </c>
      <c r="CQ724">
        <v>1</v>
      </c>
      <c r="CR724">
        <v>0</v>
      </c>
      <c r="CS724">
        <v>17</v>
      </c>
      <c r="CY724" s="34"/>
    </row>
    <row r="725" spans="1:103" x14ac:dyDescent="0.25">
      <c r="A725">
        <v>724</v>
      </c>
      <c r="B725">
        <v>45</v>
      </c>
      <c r="C725" s="25" t="s">
        <v>470</v>
      </c>
      <c r="D725" s="12">
        <v>5.93</v>
      </c>
      <c r="E725" s="14">
        <v>7.0000000000000007E-2</v>
      </c>
      <c r="F725" s="7">
        <v>29.8571428571429</v>
      </c>
      <c r="G725" s="7">
        <f t="shared" si="173"/>
        <v>5.8599999999999994</v>
      </c>
      <c r="H725" s="16">
        <f t="shared" si="174"/>
        <v>6</v>
      </c>
      <c r="I725" s="11">
        <f t="shared" si="177"/>
        <v>0.11234859231156773</v>
      </c>
      <c r="J725" s="33">
        <f t="shared" si="178"/>
        <v>3.7628715128276216E-3</v>
      </c>
      <c r="K725" s="33">
        <f t="shared" si="179"/>
        <v>265.75449004596675</v>
      </c>
      <c r="L725" s="8">
        <v>0</v>
      </c>
      <c r="M725" s="9">
        <v>1</v>
      </c>
      <c r="N725" s="8">
        <v>0</v>
      </c>
      <c r="O725" s="9">
        <v>0</v>
      </c>
      <c r="P725" s="9">
        <v>1</v>
      </c>
      <c r="Q725" s="9">
        <v>0</v>
      </c>
      <c r="R725" s="9">
        <v>0</v>
      </c>
      <c r="S725" s="8">
        <v>69752</v>
      </c>
      <c r="T725" s="9">
        <v>17</v>
      </c>
      <c r="U725" s="9">
        <f t="shared" si="175"/>
        <v>69734</v>
      </c>
      <c r="V725" s="9">
        <f t="shared" si="176"/>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69"/>
        <v>0.77900000000000003</v>
      </c>
      <c r="AR725" s="40">
        <v>0.221</v>
      </c>
      <c r="AS725" s="39">
        <f t="shared" si="170"/>
        <v>0.78700000000000003</v>
      </c>
      <c r="AT725" s="40">
        <v>0.21299999999999999</v>
      </c>
      <c r="AU725">
        <v>0</v>
      </c>
      <c r="AV725" s="18">
        <v>1</v>
      </c>
      <c r="AW725">
        <f t="shared" si="171"/>
        <v>0.17500000000000004</v>
      </c>
      <c r="AX725" s="18">
        <v>0.82499999999999996</v>
      </c>
      <c r="AY725" s="18" t="s">
        <v>29</v>
      </c>
      <c r="AZ725">
        <v>0</v>
      </c>
      <c r="BA725">
        <v>0</v>
      </c>
      <c r="BB725">
        <v>1</v>
      </c>
      <c r="BC725">
        <v>0</v>
      </c>
      <c r="BD725">
        <v>0</v>
      </c>
      <c r="BE725">
        <v>0</v>
      </c>
      <c r="BF725" s="18">
        <v>0</v>
      </c>
      <c r="BG725">
        <v>0</v>
      </c>
      <c r="BH725">
        <v>1</v>
      </c>
      <c r="BI725" s="18">
        <v>0</v>
      </c>
      <c r="BJ725">
        <v>5087</v>
      </c>
      <c r="BK725">
        <v>9052</v>
      </c>
      <c r="BL725" s="93">
        <f t="shared" si="172"/>
        <v>32.799999999999997</v>
      </c>
      <c r="BM725">
        <v>1</v>
      </c>
      <c r="BN725">
        <v>0</v>
      </c>
      <c r="BO725">
        <v>0</v>
      </c>
      <c r="BP725">
        <v>0</v>
      </c>
      <c r="BQ725">
        <v>0</v>
      </c>
      <c r="BR725">
        <v>0</v>
      </c>
      <c r="BS725">
        <v>0</v>
      </c>
      <c r="BT725" s="18">
        <v>0</v>
      </c>
      <c r="BU725">
        <v>0</v>
      </c>
      <c r="BV725">
        <v>0</v>
      </c>
      <c r="BW725">
        <v>1</v>
      </c>
      <c r="BX725" s="18">
        <v>0</v>
      </c>
      <c r="BY725">
        <v>0</v>
      </c>
      <c r="BZ725">
        <v>0</v>
      </c>
      <c r="CA725">
        <v>0</v>
      </c>
      <c r="CB725">
        <v>0</v>
      </c>
      <c r="CC725" s="18">
        <v>0</v>
      </c>
      <c r="CD725">
        <v>0</v>
      </c>
      <c r="CE725">
        <v>0</v>
      </c>
      <c r="CF725">
        <v>1</v>
      </c>
      <c r="CG725">
        <v>0</v>
      </c>
      <c r="CH725">
        <v>0</v>
      </c>
      <c r="CI725">
        <v>0</v>
      </c>
      <c r="CJ725">
        <v>1</v>
      </c>
      <c r="CK725">
        <v>1</v>
      </c>
      <c r="CL725">
        <v>1</v>
      </c>
      <c r="CM725">
        <v>1</v>
      </c>
      <c r="CN725" s="18">
        <v>1</v>
      </c>
      <c r="CO725">
        <v>2.3E-2</v>
      </c>
      <c r="CP725">
        <v>13</v>
      </c>
      <c r="CQ725">
        <v>1</v>
      </c>
      <c r="CR725">
        <v>0</v>
      </c>
      <c r="CS725">
        <v>17</v>
      </c>
      <c r="CY725" s="34"/>
    </row>
    <row r="726" spans="1:103" x14ac:dyDescent="0.25">
      <c r="A726">
        <v>725</v>
      </c>
      <c r="B726">
        <v>45</v>
      </c>
      <c r="C726" s="25" t="s">
        <v>470</v>
      </c>
      <c r="D726" s="12">
        <v>3.66</v>
      </c>
      <c r="E726" s="14">
        <v>0.04</v>
      </c>
      <c r="F726" s="7">
        <v>30.8571428571429</v>
      </c>
      <c r="G726" s="7">
        <f t="shared" si="173"/>
        <v>3.62</v>
      </c>
      <c r="H726" s="16">
        <f t="shared" si="174"/>
        <v>3.7</v>
      </c>
      <c r="I726" s="11">
        <f t="shared" si="177"/>
        <v>5.7097529664404303E-2</v>
      </c>
      <c r="J726" s="33">
        <f t="shared" si="178"/>
        <v>1.8503829057908777E-3</v>
      </c>
      <c r="K726" s="33">
        <f t="shared" si="179"/>
        <v>540.42868471733266</v>
      </c>
      <c r="L726" s="8">
        <v>0</v>
      </c>
      <c r="M726" s="9">
        <v>1</v>
      </c>
      <c r="N726" s="8">
        <v>0</v>
      </c>
      <c r="O726" s="9">
        <v>0</v>
      </c>
      <c r="P726" s="9">
        <v>1</v>
      </c>
      <c r="Q726" s="9">
        <v>0</v>
      </c>
      <c r="R726" s="9">
        <v>0</v>
      </c>
      <c r="S726" s="8">
        <v>291130</v>
      </c>
      <c r="T726" s="9">
        <v>18</v>
      </c>
      <c r="U726" s="9">
        <f t="shared" si="175"/>
        <v>291111</v>
      </c>
      <c r="V726" s="9">
        <f t="shared" si="176"/>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69"/>
        <v>0.77900000000000003</v>
      </c>
      <c r="AR726" s="40">
        <v>0.221</v>
      </c>
      <c r="AS726" s="39">
        <f t="shared" si="170"/>
        <v>0.78700000000000003</v>
      </c>
      <c r="AT726" s="40">
        <v>0.21299999999999999</v>
      </c>
      <c r="AU726">
        <v>0</v>
      </c>
      <c r="AV726" s="18">
        <v>1</v>
      </c>
      <c r="AW726">
        <f t="shared" si="171"/>
        <v>0.17500000000000004</v>
      </c>
      <c r="AX726" s="18">
        <v>0.82499999999999996</v>
      </c>
      <c r="AY726" s="18" t="s">
        <v>29</v>
      </c>
      <c r="AZ726">
        <v>0</v>
      </c>
      <c r="BA726">
        <v>0</v>
      </c>
      <c r="BB726">
        <v>1</v>
      </c>
      <c r="BC726">
        <v>0</v>
      </c>
      <c r="BD726">
        <v>0</v>
      </c>
      <c r="BE726">
        <v>0</v>
      </c>
      <c r="BF726" s="18">
        <v>0</v>
      </c>
      <c r="BG726">
        <v>0</v>
      </c>
      <c r="BH726">
        <v>1</v>
      </c>
      <c r="BI726" s="18">
        <v>0</v>
      </c>
      <c r="BJ726">
        <v>5087</v>
      </c>
      <c r="BK726">
        <v>9052</v>
      </c>
      <c r="BL726" s="93">
        <f t="shared" si="172"/>
        <v>32.799999999999997</v>
      </c>
      <c r="BM726">
        <v>1</v>
      </c>
      <c r="BN726">
        <v>0</v>
      </c>
      <c r="BO726">
        <v>0</v>
      </c>
      <c r="BP726">
        <v>0</v>
      </c>
      <c r="BQ726">
        <v>0</v>
      </c>
      <c r="BR726">
        <v>0</v>
      </c>
      <c r="BS726">
        <v>0</v>
      </c>
      <c r="BT726" s="18">
        <v>0</v>
      </c>
      <c r="BU726">
        <v>0</v>
      </c>
      <c r="BV726">
        <v>0</v>
      </c>
      <c r="BW726">
        <v>1</v>
      </c>
      <c r="BX726" s="18">
        <v>0</v>
      </c>
      <c r="BY726">
        <v>0</v>
      </c>
      <c r="BZ726">
        <v>0</v>
      </c>
      <c r="CA726">
        <v>0</v>
      </c>
      <c r="CB726">
        <v>0</v>
      </c>
      <c r="CC726" s="18">
        <v>0</v>
      </c>
      <c r="CD726">
        <v>0</v>
      </c>
      <c r="CE726">
        <v>0</v>
      </c>
      <c r="CF726">
        <v>1</v>
      </c>
      <c r="CG726">
        <v>0</v>
      </c>
      <c r="CH726">
        <v>0</v>
      </c>
      <c r="CI726">
        <v>0</v>
      </c>
      <c r="CJ726">
        <v>1</v>
      </c>
      <c r="CK726">
        <v>1</v>
      </c>
      <c r="CL726">
        <v>1</v>
      </c>
      <c r="CM726">
        <v>1</v>
      </c>
      <c r="CN726" s="18">
        <v>1</v>
      </c>
      <c r="CO726">
        <v>2.3E-2</v>
      </c>
      <c r="CP726">
        <v>13</v>
      </c>
      <c r="CQ726">
        <v>1</v>
      </c>
      <c r="CR726">
        <v>0</v>
      </c>
      <c r="CS726">
        <v>17</v>
      </c>
      <c r="CY726" s="34"/>
    </row>
    <row r="727" spans="1:103" x14ac:dyDescent="0.25">
      <c r="A727">
        <v>726</v>
      </c>
      <c r="B727">
        <v>45</v>
      </c>
      <c r="C727" s="25" t="s">
        <v>470</v>
      </c>
      <c r="D727" s="12">
        <v>5.84</v>
      </c>
      <c r="E727" s="14">
        <v>0.04</v>
      </c>
      <c r="F727" s="7">
        <v>31.8571428571429</v>
      </c>
      <c r="G727" s="7">
        <f t="shared" si="173"/>
        <v>5.8</v>
      </c>
      <c r="H727" s="16">
        <f t="shared" si="174"/>
        <v>5.88</v>
      </c>
      <c r="I727" s="11">
        <f t="shared" si="177"/>
        <v>5.587417340674182E-2</v>
      </c>
      <c r="J727" s="33">
        <f t="shared" si="178"/>
        <v>1.753897819942566E-3</v>
      </c>
      <c r="K727" s="33">
        <f t="shared" si="179"/>
        <v>570.158642441751</v>
      </c>
      <c r="L727" s="8">
        <v>0</v>
      </c>
      <c r="M727" s="9">
        <v>1</v>
      </c>
      <c r="N727" s="8">
        <v>0</v>
      </c>
      <c r="O727" s="9">
        <v>0</v>
      </c>
      <c r="P727" s="9">
        <v>1</v>
      </c>
      <c r="Q727" s="9">
        <v>0</v>
      </c>
      <c r="R727" s="9">
        <v>0</v>
      </c>
      <c r="S727" s="8">
        <v>324084</v>
      </c>
      <c r="T727" s="9">
        <v>17</v>
      </c>
      <c r="U727" s="9">
        <f t="shared" si="175"/>
        <v>324066</v>
      </c>
      <c r="V727" s="9">
        <f t="shared" si="176"/>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69"/>
        <v>0.77900000000000003</v>
      </c>
      <c r="AR727" s="40">
        <v>0.221</v>
      </c>
      <c r="AS727" s="39">
        <f t="shared" si="170"/>
        <v>0.78700000000000003</v>
      </c>
      <c r="AT727" s="40">
        <v>0.21299999999999999</v>
      </c>
      <c r="AU727">
        <v>0</v>
      </c>
      <c r="AV727" s="18">
        <v>1</v>
      </c>
      <c r="AW727">
        <f t="shared" si="171"/>
        <v>0.17500000000000004</v>
      </c>
      <c r="AX727" s="18">
        <v>0.82499999999999996</v>
      </c>
      <c r="AY727" s="18" t="s">
        <v>29</v>
      </c>
      <c r="AZ727">
        <v>0</v>
      </c>
      <c r="BA727">
        <v>0</v>
      </c>
      <c r="BB727">
        <v>1</v>
      </c>
      <c r="BC727">
        <v>0</v>
      </c>
      <c r="BD727">
        <v>0</v>
      </c>
      <c r="BE727">
        <v>0</v>
      </c>
      <c r="BF727" s="18">
        <v>0</v>
      </c>
      <c r="BG727">
        <v>0</v>
      </c>
      <c r="BH727">
        <v>1</v>
      </c>
      <c r="BI727" s="18">
        <v>0</v>
      </c>
      <c r="BJ727">
        <v>5087</v>
      </c>
      <c r="BK727">
        <v>9052</v>
      </c>
      <c r="BL727" s="93">
        <f t="shared" si="172"/>
        <v>32.799999999999997</v>
      </c>
      <c r="BM727">
        <v>1</v>
      </c>
      <c r="BN727">
        <v>0</v>
      </c>
      <c r="BO727">
        <v>0</v>
      </c>
      <c r="BP727">
        <v>0</v>
      </c>
      <c r="BQ727">
        <v>0</v>
      </c>
      <c r="BR727">
        <v>0</v>
      </c>
      <c r="BS727">
        <v>0</v>
      </c>
      <c r="BT727" s="18">
        <v>0</v>
      </c>
      <c r="BU727">
        <v>0</v>
      </c>
      <c r="BV727">
        <v>0</v>
      </c>
      <c r="BW727">
        <v>1</v>
      </c>
      <c r="BX727" s="18">
        <v>0</v>
      </c>
      <c r="BY727">
        <v>0</v>
      </c>
      <c r="BZ727">
        <v>0</v>
      </c>
      <c r="CA727">
        <v>0</v>
      </c>
      <c r="CB727">
        <v>0</v>
      </c>
      <c r="CC727" s="18">
        <v>0</v>
      </c>
      <c r="CD727">
        <v>0</v>
      </c>
      <c r="CE727">
        <v>0</v>
      </c>
      <c r="CF727">
        <v>1</v>
      </c>
      <c r="CG727">
        <v>0</v>
      </c>
      <c r="CH727">
        <v>0</v>
      </c>
      <c r="CI727">
        <v>0</v>
      </c>
      <c r="CJ727">
        <v>1</v>
      </c>
      <c r="CK727">
        <v>1</v>
      </c>
      <c r="CL727">
        <v>1</v>
      </c>
      <c r="CM727">
        <v>1</v>
      </c>
      <c r="CN727" s="18">
        <v>1</v>
      </c>
      <c r="CO727">
        <v>2.3E-2</v>
      </c>
      <c r="CP727">
        <v>13</v>
      </c>
      <c r="CQ727">
        <v>1</v>
      </c>
      <c r="CR727">
        <v>0</v>
      </c>
      <c r="CS727">
        <v>17</v>
      </c>
      <c r="CY727" s="34"/>
    </row>
    <row r="728" spans="1:103" x14ac:dyDescent="0.25">
      <c r="A728">
        <v>727</v>
      </c>
      <c r="B728">
        <v>45</v>
      </c>
      <c r="C728" s="25" t="s">
        <v>470</v>
      </c>
      <c r="D728" s="12">
        <v>7.79</v>
      </c>
      <c r="E728" s="14">
        <v>0.03</v>
      </c>
      <c r="F728" s="7">
        <v>32.857142857142897</v>
      </c>
      <c r="G728" s="7">
        <f t="shared" si="173"/>
        <v>7.76</v>
      </c>
      <c r="H728" s="16">
        <f t="shared" si="174"/>
        <v>7.82</v>
      </c>
      <c r="I728" s="11">
        <f t="shared" si="177"/>
        <v>5.2685549073099733E-2</v>
      </c>
      <c r="J728" s="33">
        <f t="shared" si="178"/>
        <v>1.603473232659555E-3</v>
      </c>
      <c r="K728" s="33">
        <f t="shared" si="179"/>
        <v>623.64620726557348</v>
      </c>
      <c r="L728" s="8">
        <v>0</v>
      </c>
      <c r="M728" s="9">
        <v>1</v>
      </c>
      <c r="N728" s="8">
        <v>0</v>
      </c>
      <c r="O728" s="9">
        <v>0</v>
      </c>
      <c r="P728" s="9">
        <v>1</v>
      </c>
      <c r="Q728" s="9">
        <v>0</v>
      </c>
      <c r="R728" s="9">
        <v>0</v>
      </c>
      <c r="S728" s="8">
        <v>387866</v>
      </c>
      <c r="T728" s="9">
        <v>10</v>
      </c>
      <c r="U728" s="9">
        <f t="shared" si="175"/>
        <v>387855</v>
      </c>
      <c r="V728" s="9">
        <f t="shared" si="176"/>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69"/>
        <v>0.77900000000000003</v>
      </c>
      <c r="AR728" s="40">
        <v>0.221</v>
      </c>
      <c r="AS728" s="39">
        <f t="shared" si="170"/>
        <v>0.78700000000000003</v>
      </c>
      <c r="AT728" s="40">
        <v>0.21299999999999999</v>
      </c>
      <c r="AU728">
        <v>0</v>
      </c>
      <c r="AV728" s="18">
        <v>1</v>
      </c>
      <c r="AW728">
        <f t="shared" si="171"/>
        <v>0.17500000000000004</v>
      </c>
      <c r="AX728" s="18">
        <v>0.82499999999999996</v>
      </c>
      <c r="AY728" s="18" t="s">
        <v>29</v>
      </c>
      <c r="AZ728">
        <v>0</v>
      </c>
      <c r="BA728">
        <v>0</v>
      </c>
      <c r="BB728">
        <v>1</v>
      </c>
      <c r="BC728">
        <v>0</v>
      </c>
      <c r="BD728">
        <v>0</v>
      </c>
      <c r="BE728">
        <v>0</v>
      </c>
      <c r="BF728" s="18">
        <v>0</v>
      </c>
      <c r="BG728">
        <v>0</v>
      </c>
      <c r="BH728">
        <v>1</v>
      </c>
      <c r="BI728" s="18">
        <v>0</v>
      </c>
      <c r="BJ728">
        <v>5087</v>
      </c>
      <c r="BK728">
        <v>9052</v>
      </c>
      <c r="BL728" s="93">
        <f t="shared" si="172"/>
        <v>32.799999999999997</v>
      </c>
      <c r="BM728">
        <v>1</v>
      </c>
      <c r="BN728">
        <v>0</v>
      </c>
      <c r="BO728">
        <v>0</v>
      </c>
      <c r="BP728">
        <v>0</v>
      </c>
      <c r="BQ728">
        <v>0</v>
      </c>
      <c r="BR728">
        <v>0</v>
      </c>
      <c r="BS728">
        <v>0</v>
      </c>
      <c r="BT728" s="18">
        <v>0</v>
      </c>
      <c r="BU728">
        <v>0</v>
      </c>
      <c r="BV728">
        <v>0</v>
      </c>
      <c r="BW728">
        <v>1</v>
      </c>
      <c r="BX728" s="18">
        <v>0</v>
      </c>
      <c r="BY728">
        <v>0</v>
      </c>
      <c r="BZ728">
        <v>0</v>
      </c>
      <c r="CA728">
        <v>0</v>
      </c>
      <c r="CB728">
        <v>0</v>
      </c>
      <c r="CC728" s="18">
        <v>0</v>
      </c>
      <c r="CD728">
        <v>0</v>
      </c>
      <c r="CE728">
        <v>0</v>
      </c>
      <c r="CF728">
        <v>1</v>
      </c>
      <c r="CG728">
        <v>0</v>
      </c>
      <c r="CH728">
        <v>0</v>
      </c>
      <c r="CI728">
        <v>0</v>
      </c>
      <c r="CJ728">
        <v>1</v>
      </c>
      <c r="CK728">
        <v>0</v>
      </c>
      <c r="CL728">
        <v>0</v>
      </c>
      <c r="CM728">
        <v>0</v>
      </c>
      <c r="CN728" s="18">
        <v>1</v>
      </c>
      <c r="CO728">
        <v>2.3E-2</v>
      </c>
      <c r="CP728">
        <v>13</v>
      </c>
      <c r="CQ728">
        <v>1</v>
      </c>
      <c r="CR728">
        <v>0</v>
      </c>
      <c r="CS728">
        <v>17</v>
      </c>
      <c r="CY728" s="34"/>
    </row>
    <row r="729" spans="1:103" x14ac:dyDescent="0.25">
      <c r="A729">
        <v>728</v>
      </c>
      <c r="B729">
        <v>45</v>
      </c>
      <c r="C729" s="25" t="s">
        <v>470</v>
      </c>
      <c r="D729" s="12">
        <v>6.23</v>
      </c>
      <c r="E729" s="14">
        <v>0.03</v>
      </c>
      <c r="F729" s="7">
        <v>33.857142857142897</v>
      </c>
      <c r="G729" s="7">
        <f t="shared" si="173"/>
        <v>6.2</v>
      </c>
      <c r="H729" s="16">
        <f t="shared" si="174"/>
        <v>6.2600000000000007</v>
      </c>
      <c r="I729" s="11">
        <f t="shared" si="177"/>
        <v>5.4284645881501149E-2</v>
      </c>
      <c r="J729" s="33">
        <f t="shared" si="178"/>
        <v>1.6033439711835762E-3</v>
      </c>
      <c r="K729" s="33">
        <f t="shared" si="179"/>
        <v>623.69648557808068</v>
      </c>
      <c r="L729" s="8">
        <v>0</v>
      </c>
      <c r="M729" s="9">
        <v>1</v>
      </c>
      <c r="N729" s="8">
        <v>0</v>
      </c>
      <c r="O729" s="9">
        <v>0</v>
      </c>
      <c r="P729" s="9">
        <v>1</v>
      </c>
      <c r="Q729" s="9">
        <v>0</v>
      </c>
      <c r="R729" s="9">
        <v>0</v>
      </c>
      <c r="S729" s="8">
        <v>387866</v>
      </c>
      <c r="T729" s="9">
        <v>14</v>
      </c>
      <c r="U729" s="9">
        <f t="shared" si="175"/>
        <v>387851</v>
      </c>
      <c r="V729" s="9">
        <f t="shared" si="176"/>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69"/>
        <v>0.77900000000000003</v>
      </c>
      <c r="AR729" s="40">
        <v>0.221</v>
      </c>
      <c r="AS729" s="39">
        <f t="shared" si="170"/>
        <v>0.78700000000000003</v>
      </c>
      <c r="AT729" s="40">
        <v>0.21299999999999999</v>
      </c>
      <c r="AU729">
        <v>0</v>
      </c>
      <c r="AV729" s="18">
        <v>1</v>
      </c>
      <c r="AW729">
        <f t="shared" si="171"/>
        <v>0.17500000000000004</v>
      </c>
      <c r="AX729" s="18">
        <v>0.82499999999999996</v>
      </c>
      <c r="AY729" s="18" t="s">
        <v>29</v>
      </c>
      <c r="AZ729">
        <v>0</v>
      </c>
      <c r="BA729">
        <v>0</v>
      </c>
      <c r="BB729">
        <v>1</v>
      </c>
      <c r="BC729">
        <v>0</v>
      </c>
      <c r="BD729">
        <v>0</v>
      </c>
      <c r="BE729">
        <v>0</v>
      </c>
      <c r="BF729" s="18">
        <v>0</v>
      </c>
      <c r="BG729">
        <v>0</v>
      </c>
      <c r="BH729">
        <v>1</v>
      </c>
      <c r="BI729" s="18">
        <v>0</v>
      </c>
      <c r="BJ729">
        <v>5087</v>
      </c>
      <c r="BK729">
        <v>9052</v>
      </c>
      <c r="BL729" s="93">
        <f t="shared" si="172"/>
        <v>32.799999999999997</v>
      </c>
      <c r="BM729">
        <v>1</v>
      </c>
      <c r="BN729">
        <v>0</v>
      </c>
      <c r="BO729">
        <v>0</v>
      </c>
      <c r="BP729">
        <v>0</v>
      </c>
      <c r="BQ729">
        <v>0</v>
      </c>
      <c r="BR729">
        <v>0</v>
      </c>
      <c r="BS729">
        <v>0</v>
      </c>
      <c r="BT729" s="18">
        <v>0</v>
      </c>
      <c r="BU729">
        <v>0</v>
      </c>
      <c r="BV729">
        <v>0</v>
      </c>
      <c r="BW729">
        <v>1</v>
      </c>
      <c r="BX729" s="18">
        <v>0</v>
      </c>
      <c r="BY729">
        <v>0</v>
      </c>
      <c r="BZ729">
        <v>0</v>
      </c>
      <c r="CA729">
        <v>0</v>
      </c>
      <c r="CB729">
        <v>0</v>
      </c>
      <c r="CC729" s="18">
        <v>0</v>
      </c>
      <c r="CD729">
        <v>0</v>
      </c>
      <c r="CE729">
        <v>0</v>
      </c>
      <c r="CF729">
        <v>1</v>
      </c>
      <c r="CG729">
        <v>0</v>
      </c>
      <c r="CH729">
        <v>0</v>
      </c>
      <c r="CI729">
        <v>0</v>
      </c>
      <c r="CJ729">
        <v>1</v>
      </c>
      <c r="CK729">
        <v>1</v>
      </c>
      <c r="CL729">
        <v>0</v>
      </c>
      <c r="CM729">
        <v>0</v>
      </c>
      <c r="CN729" s="18">
        <v>1</v>
      </c>
      <c r="CO729">
        <v>2.3E-2</v>
      </c>
      <c r="CP729">
        <v>13</v>
      </c>
      <c r="CQ729">
        <v>1</v>
      </c>
      <c r="CR729">
        <v>0</v>
      </c>
      <c r="CS729">
        <v>17</v>
      </c>
      <c r="CY729" s="34"/>
    </row>
    <row r="730" spans="1:103" x14ac:dyDescent="0.25">
      <c r="A730">
        <v>729</v>
      </c>
      <c r="B730">
        <v>45</v>
      </c>
      <c r="C730" s="25" t="s">
        <v>470</v>
      </c>
      <c r="D730" s="12">
        <v>6.15</v>
      </c>
      <c r="E730" s="14">
        <v>0.03</v>
      </c>
      <c r="F730" s="7">
        <v>34.857142857142897</v>
      </c>
      <c r="G730" s="7">
        <f t="shared" si="173"/>
        <v>6.12</v>
      </c>
      <c r="H730" s="16">
        <f t="shared" si="174"/>
        <v>6.1800000000000006</v>
      </c>
      <c r="I730" s="11">
        <f t="shared" si="177"/>
        <v>6.1117055763178253E-2</v>
      </c>
      <c r="J730" s="33">
        <f t="shared" si="178"/>
        <v>1.7533581571403578E-3</v>
      </c>
      <c r="K730" s="33">
        <f t="shared" si="179"/>
        <v>570.33413049559226</v>
      </c>
      <c r="L730" s="8">
        <v>0</v>
      </c>
      <c r="M730" s="9">
        <v>1</v>
      </c>
      <c r="N730" s="8">
        <v>0</v>
      </c>
      <c r="O730" s="9">
        <v>0</v>
      </c>
      <c r="P730" s="9">
        <v>1</v>
      </c>
      <c r="Q730" s="9">
        <v>0</v>
      </c>
      <c r="R730" s="9">
        <v>0</v>
      </c>
      <c r="S730" s="8">
        <v>324084</v>
      </c>
      <c r="T730" s="9">
        <v>17</v>
      </c>
      <c r="U730" s="9">
        <f t="shared" si="175"/>
        <v>324066</v>
      </c>
      <c r="V730" s="9">
        <f t="shared" si="176"/>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69"/>
        <v>0.77900000000000003</v>
      </c>
      <c r="AR730" s="40">
        <v>0.221</v>
      </c>
      <c r="AS730" s="39">
        <f t="shared" si="170"/>
        <v>0.78700000000000003</v>
      </c>
      <c r="AT730" s="40">
        <v>0.21299999999999999</v>
      </c>
      <c r="AU730">
        <v>0</v>
      </c>
      <c r="AV730" s="18">
        <v>1</v>
      </c>
      <c r="AW730">
        <f t="shared" si="171"/>
        <v>0.17500000000000004</v>
      </c>
      <c r="AX730" s="18">
        <v>0.82499999999999996</v>
      </c>
      <c r="AY730" s="18" t="s">
        <v>29</v>
      </c>
      <c r="AZ730">
        <v>0</v>
      </c>
      <c r="BA730">
        <v>0</v>
      </c>
      <c r="BB730">
        <v>1</v>
      </c>
      <c r="BC730">
        <v>0</v>
      </c>
      <c r="BD730">
        <v>0</v>
      </c>
      <c r="BE730">
        <v>0</v>
      </c>
      <c r="BF730" s="18">
        <v>0</v>
      </c>
      <c r="BG730">
        <v>0</v>
      </c>
      <c r="BH730">
        <v>1</v>
      </c>
      <c r="BI730" s="18">
        <v>0</v>
      </c>
      <c r="BJ730">
        <v>5087</v>
      </c>
      <c r="BK730">
        <v>9052</v>
      </c>
      <c r="BL730" s="93">
        <f t="shared" si="172"/>
        <v>32.799999999999997</v>
      </c>
      <c r="BM730">
        <v>1</v>
      </c>
      <c r="BN730">
        <v>0</v>
      </c>
      <c r="BO730">
        <v>0</v>
      </c>
      <c r="BP730">
        <v>0</v>
      </c>
      <c r="BQ730">
        <v>0</v>
      </c>
      <c r="BR730">
        <v>0</v>
      </c>
      <c r="BS730">
        <v>0</v>
      </c>
      <c r="BT730" s="18">
        <v>0</v>
      </c>
      <c r="BU730">
        <v>0</v>
      </c>
      <c r="BV730">
        <v>0</v>
      </c>
      <c r="BW730">
        <v>1</v>
      </c>
      <c r="BX730" s="18">
        <v>0</v>
      </c>
      <c r="BY730">
        <v>0</v>
      </c>
      <c r="BZ730">
        <v>0</v>
      </c>
      <c r="CA730">
        <v>0</v>
      </c>
      <c r="CB730">
        <v>0</v>
      </c>
      <c r="CC730" s="18">
        <v>0</v>
      </c>
      <c r="CD730">
        <v>0</v>
      </c>
      <c r="CE730">
        <v>0</v>
      </c>
      <c r="CF730">
        <v>1</v>
      </c>
      <c r="CG730">
        <v>0</v>
      </c>
      <c r="CH730">
        <v>0</v>
      </c>
      <c r="CI730">
        <v>0</v>
      </c>
      <c r="CJ730">
        <v>1</v>
      </c>
      <c r="CK730">
        <v>1</v>
      </c>
      <c r="CL730">
        <v>1</v>
      </c>
      <c r="CM730">
        <v>1</v>
      </c>
      <c r="CN730" s="18">
        <v>1</v>
      </c>
      <c r="CO730">
        <v>2.3E-2</v>
      </c>
      <c r="CP730">
        <v>13</v>
      </c>
      <c r="CQ730">
        <v>1</v>
      </c>
      <c r="CR730">
        <v>0</v>
      </c>
      <c r="CS730">
        <v>17</v>
      </c>
      <c r="CY730" s="34"/>
    </row>
    <row r="731" spans="1:103" x14ac:dyDescent="0.25">
      <c r="A731">
        <v>730</v>
      </c>
      <c r="B731">
        <v>45</v>
      </c>
      <c r="C731" s="25" t="s">
        <v>470</v>
      </c>
      <c r="D731" s="12">
        <v>6.05</v>
      </c>
      <c r="E731" s="14">
        <v>0.04</v>
      </c>
      <c r="F731" s="7">
        <v>35.857142857142897</v>
      </c>
      <c r="G731" s="7">
        <f t="shared" si="173"/>
        <v>6.01</v>
      </c>
      <c r="H731" s="16">
        <f t="shared" si="174"/>
        <v>6.09</v>
      </c>
      <c r="I731" s="11">
        <f t="shared" si="177"/>
        <v>7.0924369238987289E-2</v>
      </c>
      <c r="J731" s="33">
        <f t="shared" si="178"/>
        <v>1.9779704568641853E-3</v>
      </c>
      <c r="K731" s="33">
        <f t="shared" si="179"/>
        <v>505.56872400681345</v>
      </c>
      <c r="L731" s="8">
        <v>0</v>
      </c>
      <c r="M731" s="9">
        <v>1</v>
      </c>
      <c r="N731" s="8">
        <v>0</v>
      </c>
      <c r="O731" s="9">
        <v>0</v>
      </c>
      <c r="P731" s="9">
        <v>1</v>
      </c>
      <c r="Q731" s="9">
        <v>0</v>
      </c>
      <c r="R731" s="9">
        <v>0</v>
      </c>
      <c r="S731" s="8">
        <v>254332</v>
      </c>
      <c r="T731" s="9">
        <v>17</v>
      </c>
      <c r="U731" s="9">
        <f t="shared" si="175"/>
        <v>254314</v>
      </c>
      <c r="V731" s="9">
        <f t="shared" si="176"/>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69"/>
        <v>0.77900000000000003</v>
      </c>
      <c r="AR731" s="40">
        <v>0.221</v>
      </c>
      <c r="AS731" s="39">
        <f t="shared" si="170"/>
        <v>0.78700000000000003</v>
      </c>
      <c r="AT731" s="40">
        <v>0.21299999999999999</v>
      </c>
      <c r="AU731">
        <v>0</v>
      </c>
      <c r="AV731" s="18">
        <v>1</v>
      </c>
      <c r="AW731">
        <f t="shared" si="171"/>
        <v>0.17500000000000004</v>
      </c>
      <c r="AX731" s="18">
        <v>0.82499999999999996</v>
      </c>
      <c r="AY731" s="18" t="s">
        <v>29</v>
      </c>
      <c r="AZ731">
        <v>0</v>
      </c>
      <c r="BA731">
        <v>0</v>
      </c>
      <c r="BB731">
        <v>1</v>
      </c>
      <c r="BC731">
        <v>0</v>
      </c>
      <c r="BD731">
        <v>0</v>
      </c>
      <c r="BE731">
        <v>0</v>
      </c>
      <c r="BF731" s="18">
        <v>0</v>
      </c>
      <c r="BG731">
        <v>0</v>
      </c>
      <c r="BH731">
        <v>1</v>
      </c>
      <c r="BI731" s="18">
        <v>0</v>
      </c>
      <c r="BJ731">
        <v>5087</v>
      </c>
      <c r="BK731">
        <v>9052</v>
      </c>
      <c r="BL731" s="93">
        <f t="shared" si="172"/>
        <v>32.799999999999997</v>
      </c>
      <c r="BM731">
        <v>1</v>
      </c>
      <c r="BN731">
        <v>0</v>
      </c>
      <c r="BO731">
        <v>0</v>
      </c>
      <c r="BP731">
        <v>0</v>
      </c>
      <c r="BQ731">
        <v>0</v>
      </c>
      <c r="BR731">
        <v>0</v>
      </c>
      <c r="BS731">
        <v>0</v>
      </c>
      <c r="BT731" s="18">
        <v>0</v>
      </c>
      <c r="BU731">
        <v>0</v>
      </c>
      <c r="BV731">
        <v>0</v>
      </c>
      <c r="BW731">
        <v>1</v>
      </c>
      <c r="BX731" s="18">
        <v>0</v>
      </c>
      <c r="BY731">
        <v>0</v>
      </c>
      <c r="BZ731">
        <v>0</v>
      </c>
      <c r="CA731">
        <v>0</v>
      </c>
      <c r="CB731">
        <v>0</v>
      </c>
      <c r="CC731" s="18">
        <v>0</v>
      </c>
      <c r="CD731">
        <v>0</v>
      </c>
      <c r="CE731">
        <v>0</v>
      </c>
      <c r="CF731">
        <v>1</v>
      </c>
      <c r="CG731">
        <v>0</v>
      </c>
      <c r="CH731">
        <v>0</v>
      </c>
      <c r="CI731">
        <v>0</v>
      </c>
      <c r="CJ731">
        <v>1</v>
      </c>
      <c r="CK731">
        <v>1</v>
      </c>
      <c r="CL731">
        <v>1</v>
      </c>
      <c r="CM731">
        <v>1</v>
      </c>
      <c r="CN731" s="18">
        <v>1</v>
      </c>
      <c r="CO731">
        <v>2.3E-2</v>
      </c>
      <c r="CP731">
        <v>13</v>
      </c>
      <c r="CQ731">
        <v>1</v>
      </c>
      <c r="CR731">
        <v>0</v>
      </c>
      <c r="CS731">
        <v>17</v>
      </c>
      <c r="CY731" s="34"/>
    </row>
    <row r="732" spans="1:103" x14ac:dyDescent="0.25">
      <c r="A732">
        <v>731</v>
      </c>
      <c r="B732">
        <v>45</v>
      </c>
      <c r="C732" s="25" t="s">
        <v>470</v>
      </c>
      <c r="D732" s="12">
        <v>5.91</v>
      </c>
      <c r="E732" s="14">
        <v>7.0000000000000007E-2</v>
      </c>
      <c r="F732" s="7">
        <v>36.857142857142897</v>
      </c>
      <c r="G732" s="7">
        <f t="shared" si="173"/>
        <v>5.84</v>
      </c>
      <c r="H732" s="16">
        <f t="shared" si="174"/>
        <v>5.98</v>
      </c>
      <c r="I732" s="11">
        <f t="shared" si="177"/>
        <v>0.13823242550242379</v>
      </c>
      <c r="J732" s="33">
        <f t="shared" si="178"/>
        <v>3.75049216479444E-3</v>
      </c>
      <c r="K732" s="33">
        <f t="shared" si="179"/>
        <v>266.63167287400768</v>
      </c>
      <c r="L732" s="8">
        <v>0</v>
      </c>
      <c r="M732" s="9">
        <v>1</v>
      </c>
      <c r="N732" s="8">
        <v>0</v>
      </c>
      <c r="O732" s="9">
        <v>0</v>
      </c>
      <c r="P732" s="9">
        <v>1</v>
      </c>
      <c r="Q732" s="9">
        <v>0</v>
      </c>
      <c r="R732" s="9">
        <v>0</v>
      </c>
      <c r="S732" s="8">
        <v>69752</v>
      </c>
      <c r="T732" s="9">
        <v>17</v>
      </c>
      <c r="U732" s="9">
        <f t="shared" si="175"/>
        <v>69734</v>
      </c>
      <c r="V732" s="9">
        <f t="shared" si="176"/>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69"/>
        <v>0.77900000000000003</v>
      </c>
      <c r="AR732" s="40">
        <v>0.221</v>
      </c>
      <c r="AS732" s="39">
        <f t="shared" si="170"/>
        <v>0.78700000000000003</v>
      </c>
      <c r="AT732" s="40">
        <v>0.21299999999999999</v>
      </c>
      <c r="AU732">
        <v>0</v>
      </c>
      <c r="AV732" s="18">
        <v>1</v>
      </c>
      <c r="AW732">
        <f t="shared" si="171"/>
        <v>0.17500000000000004</v>
      </c>
      <c r="AX732" s="18">
        <v>0.82499999999999996</v>
      </c>
      <c r="AY732" s="18" t="s">
        <v>29</v>
      </c>
      <c r="AZ732">
        <v>0</v>
      </c>
      <c r="BA732">
        <v>0</v>
      </c>
      <c r="BB732">
        <v>1</v>
      </c>
      <c r="BC732">
        <v>0</v>
      </c>
      <c r="BD732">
        <v>0</v>
      </c>
      <c r="BE732">
        <v>0</v>
      </c>
      <c r="BF732" s="18">
        <v>0</v>
      </c>
      <c r="BG732">
        <v>0</v>
      </c>
      <c r="BH732">
        <v>1</v>
      </c>
      <c r="BI732" s="18">
        <v>0</v>
      </c>
      <c r="BJ732">
        <v>5087</v>
      </c>
      <c r="BK732">
        <v>9052</v>
      </c>
      <c r="BL732" s="93">
        <f t="shared" si="172"/>
        <v>32.799999999999997</v>
      </c>
      <c r="BM732">
        <v>1</v>
      </c>
      <c r="BN732">
        <v>0</v>
      </c>
      <c r="BO732">
        <v>0</v>
      </c>
      <c r="BP732">
        <v>0</v>
      </c>
      <c r="BQ732">
        <v>0</v>
      </c>
      <c r="BR732">
        <v>0</v>
      </c>
      <c r="BS732">
        <v>0</v>
      </c>
      <c r="BT732" s="18">
        <v>0</v>
      </c>
      <c r="BU732">
        <v>0</v>
      </c>
      <c r="BV732">
        <v>0</v>
      </c>
      <c r="BW732">
        <v>1</v>
      </c>
      <c r="BX732" s="18">
        <v>0</v>
      </c>
      <c r="BY732">
        <v>0</v>
      </c>
      <c r="BZ732">
        <v>0</v>
      </c>
      <c r="CA732">
        <v>0</v>
      </c>
      <c r="CB732">
        <v>0</v>
      </c>
      <c r="CC732" s="18">
        <v>0</v>
      </c>
      <c r="CD732">
        <v>0</v>
      </c>
      <c r="CE732">
        <v>0</v>
      </c>
      <c r="CF732">
        <v>1</v>
      </c>
      <c r="CG732">
        <v>0</v>
      </c>
      <c r="CH732">
        <v>0</v>
      </c>
      <c r="CI732">
        <v>0</v>
      </c>
      <c r="CJ732">
        <v>1</v>
      </c>
      <c r="CK732">
        <v>1</v>
      </c>
      <c r="CL732">
        <v>1</v>
      </c>
      <c r="CM732">
        <v>1</v>
      </c>
      <c r="CN732" s="18">
        <v>1</v>
      </c>
      <c r="CO732">
        <v>2.3E-2</v>
      </c>
      <c r="CP732">
        <v>13</v>
      </c>
      <c r="CQ732">
        <v>1</v>
      </c>
      <c r="CR732">
        <v>0</v>
      </c>
      <c r="CS732">
        <v>17</v>
      </c>
      <c r="CY732" s="34"/>
    </row>
    <row r="733" spans="1:103" x14ac:dyDescent="0.25">
      <c r="A733">
        <v>732</v>
      </c>
      <c r="B733">
        <v>45</v>
      </c>
      <c r="C733" s="25" t="s">
        <v>470</v>
      </c>
      <c r="D733" s="12">
        <v>3.66</v>
      </c>
      <c r="E733" s="14">
        <v>0.04</v>
      </c>
      <c r="F733" s="7">
        <v>37.857142857142897</v>
      </c>
      <c r="G733" s="7">
        <f t="shared" si="173"/>
        <v>3.62</v>
      </c>
      <c r="H733" s="16">
        <f t="shared" si="174"/>
        <v>3.7</v>
      </c>
      <c r="I733" s="11">
        <f t="shared" si="177"/>
        <v>6.9992598169546796E-2</v>
      </c>
      <c r="J733" s="33">
        <f t="shared" si="178"/>
        <v>1.8488610837238757E-3</v>
      </c>
      <c r="K733" s="33">
        <f t="shared" si="179"/>
        <v>540.87351873178818</v>
      </c>
      <c r="L733" s="8">
        <v>0</v>
      </c>
      <c r="M733" s="9">
        <v>1</v>
      </c>
      <c r="N733" s="8">
        <v>0</v>
      </c>
      <c r="O733" s="9">
        <v>0</v>
      </c>
      <c r="P733" s="9">
        <v>1</v>
      </c>
      <c r="Q733" s="9">
        <v>0</v>
      </c>
      <c r="R733" s="9">
        <v>0</v>
      </c>
      <c r="S733" s="8">
        <v>291130</v>
      </c>
      <c r="T733" s="9">
        <v>18</v>
      </c>
      <c r="U733" s="9">
        <f t="shared" si="175"/>
        <v>291111</v>
      </c>
      <c r="V733" s="9">
        <f t="shared" si="176"/>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69"/>
        <v>0.77900000000000003</v>
      </c>
      <c r="AR733" s="40">
        <v>0.221</v>
      </c>
      <c r="AS733" s="39">
        <f t="shared" si="170"/>
        <v>0.78700000000000003</v>
      </c>
      <c r="AT733" s="40">
        <v>0.21299999999999999</v>
      </c>
      <c r="AU733">
        <v>0</v>
      </c>
      <c r="AV733" s="18">
        <v>1</v>
      </c>
      <c r="AW733">
        <f t="shared" si="171"/>
        <v>0.17500000000000004</v>
      </c>
      <c r="AX733" s="18">
        <v>0.82499999999999996</v>
      </c>
      <c r="AY733" s="18" t="s">
        <v>29</v>
      </c>
      <c r="AZ733">
        <v>0</v>
      </c>
      <c r="BA733">
        <v>0</v>
      </c>
      <c r="BB733">
        <v>1</v>
      </c>
      <c r="BC733">
        <v>0</v>
      </c>
      <c r="BD733">
        <v>0</v>
      </c>
      <c r="BE733">
        <v>0</v>
      </c>
      <c r="BF733" s="18">
        <v>0</v>
      </c>
      <c r="BG733">
        <v>0</v>
      </c>
      <c r="BH733">
        <v>1</v>
      </c>
      <c r="BI733" s="18">
        <v>0</v>
      </c>
      <c r="BJ733">
        <v>5087</v>
      </c>
      <c r="BK733">
        <v>9052</v>
      </c>
      <c r="BL733" s="93">
        <f t="shared" si="172"/>
        <v>32.799999999999997</v>
      </c>
      <c r="BM733">
        <v>1</v>
      </c>
      <c r="BN733">
        <v>0</v>
      </c>
      <c r="BO733">
        <v>0</v>
      </c>
      <c r="BP733">
        <v>0</v>
      </c>
      <c r="BQ733">
        <v>0</v>
      </c>
      <c r="BR733">
        <v>0</v>
      </c>
      <c r="BS733">
        <v>0</v>
      </c>
      <c r="BT733" s="18">
        <v>0</v>
      </c>
      <c r="BU733">
        <v>0</v>
      </c>
      <c r="BV733">
        <v>0</v>
      </c>
      <c r="BW733">
        <v>1</v>
      </c>
      <c r="BX733" s="18">
        <v>0</v>
      </c>
      <c r="BY733">
        <v>0</v>
      </c>
      <c r="BZ733">
        <v>0</v>
      </c>
      <c r="CA733">
        <v>0</v>
      </c>
      <c r="CB733">
        <v>0</v>
      </c>
      <c r="CC733" s="18">
        <v>0</v>
      </c>
      <c r="CD733">
        <v>0</v>
      </c>
      <c r="CE733">
        <v>0</v>
      </c>
      <c r="CF733">
        <v>1</v>
      </c>
      <c r="CG733">
        <v>0</v>
      </c>
      <c r="CH733">
        <v>0</v>
      </c>
      <c r="CI733">
        <v>0</v>
      </c>
      <c r="CJ733">
        <v>1</v>
      </c>
      <c r="CK733">
        <v>1</v>
      </c>
      <c r="CL733">
        <v>1</v>
      </c>
      <c r="CM733">
        <v>1</v>
      </c>
      <c r="CN733" s="18">
        <v>1</v>
      </c>
      <c r="CO733">
        <v>2.3E-2</v>
      </c>
      <c r="CP733">
        <v>13</v>
      </c>
      <c r="CQ733">
        <v>1</v>
      </c>
      <c r="CR733">
        <v>0</v>
      </c>
      <c r="CS733">
        <v>17</v>
      </c>
      <c r="CY733" s="34"/>
    </row>
    <row r="734" spans="1:103" s="142" customFormat="1" x14ac:dyDescent="0.25">
      <c r="A734" s="142">
        <v>733</v>
      </c>
      <c r="B734" s="142">
        <v>45</v>
      </c>
      <c r="C734" s="143" t="s">
        <v>470</v>
      </c>
      <c r="D734" s="144">
        <v>5.84</v>
      </c>
      <c r="E734" s="145">
        <v>0.04</v>
      </c>
      <c r="F734" s="146">
        <v>38.857142857142897</v>
      </c>
      <c r="G734" s="146">
        <f t="shared" si="173"/>
        <v>5.8</v>
      </c>
      <c r="H734" s="147">
        <f t="shared" si="174"/>
        <v>5.88</v>
      </c>
      <c r="I734" s="11">
        <f t="shared" si="177"/>
        <v>6.8099630283182694E-2</v>
      </c>
      <c r="J734" s="33">
        <f t="shared" si="178"/>
        <v>1.7525640146407295E-3</v>
      </c>
      <c r="K734" s="33">
        <f t="shared" si="179"/>
        <v>570.59256703099493</v>
      </c>
      <c r="L734" s="149">
        <v>0</v>
      </c>
      <c r="M734" s="150">
        <v>1</v>
      </c>
      <c r="N734" s="149">
        <v>0</v>
      </c>
      <c r="O734" s="150">
        <v>0</v>
      </c>
      <c r="P734" s="150">
        <v>1</v>
      </c>
      <c r="Q734" s="150">
        <v>0</v>
      </c>
      <c r="R734" s="150">
        <v>0</v>
      </c>
      <c r="S734" s="149">
        <v>324084</v>
      </c>
      <c r="T734" s="150">
        <v>17</v>
      </c>
      <c r="U734" s="150">
        <f t="shared" si="175"/>
        <v>324066</v>
      </c>
      <c r="V734" s="150">
        <f t="shared" si="176"/>
        <v>30</v>
      </c>
      <c r="W734" s="146">
        <v>8.41</v>
      </c>
      <c r="X734" s="146">
        <v>18.39</v>
      </c>
      <c r="Y734" s="150">
        <v>1</v>
      </c>
      <c r="Z734" s="150">
        <v>0</v>
      </c>
      <c r="AA734" s="150">
        <v>1</v>
      </c>
      <c r="AB734" s="150">
        <v>0</v>
      </c>
      <c r="AC734" s="150">
        <v>0</v>
      </c>
      <c r="AD734" s="150">
        <v>0</v>
      </c>
      <c r="AE734" s="149">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69"/>
        <v>0.77900000000000003</v>
      </c>
      <c r="AR734" s="156">
        <v>0.221</v>
      </c>
      <c r="AS734" s="169">
        <f t="shared" si="170"/>
        <v>0.78700000000000003</v>
      </c>
      <c r="AT734" s="156">
        <v>0.21299999999999999</v>
      </c>
      <c r="AU734">
        <v>0</v>
      </c>
      <c r="AV734" s="155">
        <v>1</v>
      </c>
      <c r="AW734" s="142">
        <f t="shared" si="171"/>
        <v>0.17500000000000004</v>
      </c>
      <c r="AX734" s="155">
        <v>0.82499999999999996</v>
      </c>
      <c r="AY734" s="155" t="s">
        <v>29</v>
      </c>
      <c r="AZ734">
        <v>0</v>
      </c>
      <c r="BA734">
        <v>0</v>
      </c>
      <c r="BB734">
        <v>1</v>
      </c>
      <c r="BC734">
        <v>0</v>
      </c>
      <c r="BD734">
        <v>0</v>
      </c>
      <c r="BE734">
        <v>0</v>
      </c>
      <c r="BF734" s="155">
        <v>0</v>
      </c>
      <c r="BG734">
        <v>0</v>
      </c>
      <c r="BH734">
        <v>1</v>
      </c>
      <c r="BI734" s="155">
        <v>0</v>
      </c>
      <c r="BJ734">
        <v>5087</v>
      </c>
      <c r="BK734">
        <v>9052</v>
      </c>
      <c r="BL734" s="168">
        <f t="shared" si="172"/>
        <v>32.799999999999997</v>
      </c>
      <c r="BM734" s="142">
        <v>1</v>
      </c>
      <c r="BN734" s="142">
        <v>0</v>
      </c>
      <c r="BO734" s="142">
        <v>0</v>
      </c>
      <c r="BP734" s="142">
        <v>0</v>
      </c>
      <c r="BQ734" s="142">
        <v>0</v>
      </c>
      <c r="BR734" s="142">
        <v>0</v>
      </c>
      <c r="BS734" s="142">
        <v>0</v>
      </c>
      <c r="BT734" s="155">
        <v>0</v>
      </c>
      <c r="BU734" s="142">
        <v>0</v>
      </c>
      <c r="BV734" s="142">
        <v>0</v>
      </c>
      <c r="BW734" s="142">
        <v>1</v>
      </c>
      <c r="BX734" s="155">
        <v>0</v>
      </c>
      <c r="BY734" s="142">
        <v>0</v>
      </c>
      <c r="BZ734" s="142">
        <v>0</v>
      </c>
      <c r="CA734" s="142">
        <v>0</v>
      </c>
      <c r="CB734" s="142">
        <v>0</v>
      </c>
      <c r="CC734" s="155">
        <v>0</v>
      </c>
      <c r="CD734" s="142">
        <v>0</v>
      </c>
      <c r="CE734" s="142">
        <v>0</v>
      </c>
      <c r="CF734" s="142">
        <v>1</v>
      </c>
      <c r="CG734" s="142">
        <v>0</v>
      </c>
      <c r="CH734" s="142">
        <v>0</v>
      </c>
      <c r="CI734" s="142">
        <v>0</v>
      </c>
      <c r="CJ734" s="142">
        <v>1</v>
      </c>
      <c r="CK734" s="142">
        <v>1</v>
      </c>
      <c r="CL734" s="142">
        <v>1</v>
      </c>
      <c r="CM734" s="142">
        <v>1</v>
      </c>
      <c r="CN734" s="155">
        <v>1</v>
      </c>
      <c r="CO734">
        <v>2.3E-2</v>
      </c>
      <c r="CP734">
        <v>13</v>
      </c>
      <c r="CQ734">
        <v>1</v>
      </c>
      <c r="CR734">
        <v>0</v>
      </c>
      <c r="CS734">
        <v>17</v>
      </c>
      <c r="CT734" s="157"/>
      <c r="CY734" s="157"/>
    </row>
    <row r="735" spans="1:103" x14ac:dyDescent="0.25">
      <c r="A735">
        <v>734</v>
      </c>
      <c r="B735">
        <v>46</v>
      </c>
      <c r="C735" s="25" t="s">
        <v>471</v>
      </c>
      <c r="D735" s="12">
        <v>8.5</v>
      </c>
      <c r="E735" s="14">
        <v>1.6</v>
      </c>
      <c r="F735" s="7">
        <f t="shared" ref="F735:F786" si="180">D735/E735</f>
        <v>5.3125</v>
      </c>
      <c r="G735" s="7">
        <f t="shared" si="173"/>
        <v>6.9</v>
      </c>
      <c r="H735" s="16">
        <f t="shared" si="174"/>
        <v>10.1</v>
      </c>
      <c r="I735" s="11">
        <f t="shared" si="177"/>
        <v>0.3708397595494462</v>
      </c>
      <c r="J735" s="33">
        <f t="shared" si="178"/>
        <v>6.9805131209307508E-2</v>
      </c>
      <c r="K735" s="33">
        <f t="shared" si="179"/>
        <v>14.325594446653865</v>
      </c>
      <c r="L735" s="8">
        <v>1</v>
      </c>
      <c r="M735" s="9">
        <v>0</v>
      </c>
      <c r="N735" s="8">
        <v>1</v>
      </c>
      <c r="O735" s="9">
        <v>0</v>
      </c>
      <c r="P735" s="9">
        <v>0</v>
      </c>
      <c r="Q735" s="9">
        <v>0</v>
      </c>
      <c r="R735" s="9">
        <v>0</v>
      </c>
      <c r="S735" s="8">
        <v>180</v>
      </c>
      <c r="T735" s="9">
        <v>2</v>
      </c>
      <c r="U735" s="9">
        <f t="shared" si="175"/>
        <v>177</v>
      </c>
      <c r="V735" s="9">
        <f t="shared" si="176"/>
        <v>14</v>
      </c>
      <c r="W735" s="7">
        <v>7.8</v>
      </c>
      <c r="X735" s="7">
        <f t="shared" ref="X735:X748" si="181">BL735-W735-7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82">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v>0</v>
      </c>
      <c r="BF735" s="18">
        <v>0</v>
      </c>
      <c r="BG735">
        <v>1</v>
      </c>
      <c r="BH735">
        <v>0</v>
      </c>
      <c r="BI735" s="18">
        <v>0</v>
      </c>
      <c r="BJ735">
        <v>9167</v>
      </c>
      <c r="BK735" t="s">
        <v>98</v>
      </c>
      <c r="BL735" s="25">
        <v>33.86</v>
      </c>
      <c r="BM735">
        <v>1</v>
      </c>
      <c r="BN735">
        <v>0</v>
      </c>
      <c r="BO735">
        <v>0</v>
      </c>
      <c r="BP735">
        <v>0</v>
      </c>
      <c r="BQ735">
        <v>0</v>
      </c>
      <c r="BR735">
        <v>0</v>
      </c>
      <c r="BS735">
        <v>0</v>
      </c>
      <c r="BT735" s="18">
        <v>0</v>
      </c>
      <c r="BU735">
        <v>0</v>
      </c>
      <c r="BV735">
        <v>0</v>
      </c>
      <c r="BW735">
        <v>1</v>
      </c>
      <c r="BX735" s="18">
        <v>0</v>
      </c>
      <c r="BY735">
        <v>0</v>
      </c>
      <c r="BZ735">
        <v>0</v>
      </c>
      <c r="CA735">
        <v>0</v>
      </c>
      <c r="CB735">
        <v>0</v>
      </c>
      <c r="CC735" s="18">
        <v>0</v>
      </c>
      <c r="CD735">
        <v>0</v>
      </c>
      <c r="CE735">
        <v>0</v>
      </c>
      <c r="CF735">
        <v>1</v>
      </c>
      <c r="CG735">
        <v>0</v>
      </c>
      <c r="CH735">
        <v>1</v>
      </c>
      <c r="CI735">
        <v>0</v>
      </c>
      <c r="CJ735">
        <v>0</v>
      </c>
      <c r="CK735">
        <v>0</v>
      </c>
      <c r="CL735">
        <v>0</v>
      </c>
      <c r="CM735">
        <v>0</v>
      </c>
      <c r="CN735" s="18">
        <v>1</v>
      </c>
      <c r="CO735">
        <v>0.29799999999999999</v>
      </c>
      <c r="CP735">
        <v>21</v>
      </c>
      <c r="CQ735">
        <v>1</v>
      </c>
      <c r="CR735">
        <v>0</v>
      </c>
      <c r="CS735">
        <v>20</v>
      </c>
      <c r="CY735" s="34"/>
    </row>
    <row r="736" spans="1:103" x14ac:dyDescent="0.25">
      <c r="A736">
        <v>735</v>
      </c>
      <c r="B736">
        <v>46</v>
      </c>
      <c r="C736" s="25" t="s">
        <v>471</v>
      </c>
      <c r="D736" s="12">
        <v>8.1</v>
      </c>
      <c r="E736" s="14">
        <v>1.7</v>
      </c>
      <c r="F736" s="7">
        <f t="shared" si="180"/>
        <v>4.7647058823529411</v>
      </c>
      <c r="G736" s="7">
        <f t="shared" si="173"/>
        <v>6.3999999999999995</v>
      </c>
      <c r="H736" s="16">
        <f t="shared" si="174"/>
        <v>9.7999999999999989</v>
      </c>
      <c r="I736" s="11">
        <f t="shared" si="177"/>
        <v>0.34323574598937379</v>
      </c>
      <c r="J736" s="33">
        <f t="shared" si="178"/>
        <v>7.2037131874313015E-2</v>
      </c>
      <c r="K736" s="33">
        <f t="shared" si="179"/>
        <v>13.881729796582585</v>
      </c>
      <c r="L736" s="8">
        <v>1</v>
      </c>
      <c r="M736" s="9">
        <v>0</v>
      </c>
      <c r="N736" s="8">
        <v>1</v>
      </c>
      <c r="O736" s="9">
        <v>0</v>
      </c>
      <c r="P736" s="9">
        <v>0</v>
      </c>
      <c r="Q736" s="9">
        <v>0</v>
      </c>
      <c r="R736" s="9">
        <v>0</v>
      </c>
      <c r="S736" s="8">
        <v>180</v>
      </c>
      <c r="T736" s="9">
        <v>9</v>
      </c>
      <c r="U736" s="9">
        <f t="shared" si="175"/>
        <v>170</v>
      </c>
      <c r="V736" s="9">
        <f t="shared" si="176"/>
        <v>14</v>
      </c>
      <c r="W736" s="7">
        <v>7.8</v>
      </c>
      <c r="X736" s="7">
        <f t="shared" si="181"/>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82"/>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v>0</v>
      </c>
      <c r="BF736" s="18">
        <v>0</v>
      </c>
      <c r="BG736">
        <v>1</v>
      </c>
      <c r="BH736">
        <v>0</v>
      </c>
      <c r="BI736" s="18">
        <v>0</v>
      </c>
      <c r="BJ736">
        <v>9167</v>
      </c>
      <c r="BK736" t="s">
        <v>98</v>
      </c>
      <c r="BL736" s="25">
        <v>33.86</v>
      </c>
      <c r="BM736">
        <v>1</v>
      </c>
      <c r="BN736">
        <v>0</v>
      </c>
      <c r="BO736">
        <v>0</v>
      </c>
      <c r="BP736">
        <v>0</v>
      </c>
      <c r="BQ736">
        <v>0</v>
      </c>
      <c r="BR736">
        <v>0</v>
      </c>
      <c r="BS736">
        <v>0</v>
      </c>
      <c r="BT736" s="18">
        <v>0</v>
      </c>
      <c r="BU736">
        <v>0</v>
      </c>
      <c r="BV736">
        <v>0</v>
      </c>
      <c r="BW736">
        <v>1</v>
      </c>
      <c r="BX736" s="18">
        <v>0</v>
      </c>
      <c r="BY736">
        <v>0</v>
      </c>
      <c r="BZ736">
        <v>0</v>
      </c>
      <c r="CA736">
        <v>0</v>
      </c>
      <c r="CB736">
        <v>0</v>
      </c>
      <c r="CC736" s="18">
        <v>0</v>
      </c>
      <c r="CD736">
        <v>0</v>
      </c>
      <c r="CE736">
        <v>0</v>
      </c>
      <c r="CF736">
        <v>1</v>
      </c>
      <c r="CG736">
        <v>0</v>
      </c>
      <c r="CH736">
        <v>1</v>
      </c>
      <c r="CI736">
        <v>0</v>
      </c>
      <c r="CJ736">
        <v>0</v>
      </c>
      <c r="CK736">
        <v>0</v>
      </c>
      <c r="CL736">
        <v>0</v>
      </c>
      <c r="CM736">
        <v>0</v>
      </c>
      <c r="CN736" s="18">
        <v>1</v>
      </c>
      <c r="CO736">
        <v>0.29799999999999999</v>
      </c>
      <c r="CP736">
        <v>21</v>
      </c>
      <c r="CQ736">
        <v>1</v>
      </c>
      <c r="CR736">
        <v>0</v>
      </c>
      <c r="CS736">
        <v>20</v>
      </c>
      <c r="CY736" s="34"/>
    </row>
    <row r="737" spans="1:103" x14ac:dyDescent="0.25">
      <c r="A737">
        <v>736</v>
      </c>
      <c r="B737">
        <v>46</v>
      </c>
      <c r="C737" s="25" t="s">
        <v>471</v>
      </c>
      <c r="D737" s="12">
        <v>7.3</v>
      </c>
      <c r="E737" s="14">
        <v>1.6</v>
      </c>
      <c r="F737" s="7">
        <f t="shared" si="180"/>
        <v>4.5625</v>
      </c>
      <c r="G737" s="7">
        <f t="shared" si="173"/>
        <v>5.6999999999999993</v>
      </c>
      <c r="H737" s="16">
        <f t="shared" si="174"/>
        <v>8.9</v>
      </c>
      <c r="I737" s="11">
        <f t="shared" si="177"/>
        <v>0.33115857421468636</v>
      </c>
      <c r="J737" s="33">
        <f t="shared" si="178"/>
        <v>7.2582701197739477E-2</v>
      </c>
      <c r="K737" s="33">
        <f t="shared" si="179"/>
        <v>13.777387497272478</v>
      </c>
      <c r="L737" s="8">
        <v>1</v>
      </c>
      <c r="M737" s="9">
        <v>0</v>
      </c>
      <c r="N737" s="8">
        <v>1</v>
      </c>
      <c r="O737" s="9">
        <v>0</v>
      </c>
      <c r="P737" s="9">
        <v>0</v>
      </c>
      <c r="Q737" s="9">
        <v>0</v>
      </c>
      <c r="R737" s="9">
        <v>0</v>
      </c>
      <c r="S737" s="8">
        <v>180</v>
      </c>
      <c r="T737" s="9">
        <v>10</v>
      </c>
      <c r="U737" s="9">
        <f t="shared" si="175"/>
        <v>169</v>
      </c>
      <c r="V737" s="9">
        <f t="shared" si="176"/>
        <v>14</v>
      </c>
      <c r="W737" s="7">
        <v>7.8</v>
      </c>
      <c r="X737" s="7">
        <f t="shared" si="181"/>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82"/>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v>0</v>
      </c>
      <c r="BF737" s="18">
        <v>0</v>
      </c>
      <c r="BG737">
        <v>1</v>
      </c>
      <c r="BH737">
        <v>0</v>
      </c>
      <c r="BI737" s="18">
        <v>0</v>
      </c>
      <c r="BJ737">
        <v>9167</v>
      </c>
      <c r="BK737" t="s">
        <v>98</v>
      </c>
      <c r="BL737" s="25">
        <v>33.86</v>
      </c>
      <c r="BM737">
        <v>1</v>
      </c>
      <c r="BN737">
        <v>0</v>
      </c>
      <c r="BO737">
        <v>0</v>
      </c>
      <c r="BP737">
        <v>0</v>
      </c>
      <c r="BQ737">
        <v>0</v>
      </c>
      <c r="BR737">
        <v>0</v>
      </c>
      <c r="BS737">
        <v>0</v>
      </c>
      <c r="BT737" s="18">
        <v>0</v>
      </c>
      <c r="BU737">
        <v>0</v>
      </c>
      <c r="BV737">
        <v>0</v>
      </c>
      <c r="BW737">
        <v>1</v>
      </c>
      <c r="BX737" s="18">
        <v>0</v>
      </c>
      <c r="BY737">
        <v>0</v>
      </c>
      <c r="BZ737">
        <v>0</v>
      </c>
      <c r="CA737">
        <v>0</v>
      </c>
      <c r="CB737">
        <v>0</v>
      </c>
      <c r="CC737" s="18">
        <v>0</v>
      </c>
      <c r="CD737">
        <v>0</v>
      </c>
      <c r="CE737">
        <v>0</v>
      </c>
      <c r="CF737">
        <v>1</v>
      </c>
      <c r="CG737">
        <v>0</v>
      </c>
      <c r="CH737">
        <v>1</v>
      </c>
      <c r="CI737">
        <v>0</v>
      </c>
      <c r="CJ737">
        <v>0</v>
      </c>
      <c r="CK737">
        <v>0</v>
      </c>
      <c r="CL737">
        <v>0</v>
      </c>
      <c r="CM737">
        <v>0</v>
      </c>
      <c r="CN737" s="18">
        <v>1</v>
      </c>
      <c r="CO737">
        <v>0.29799999999999999</v>
      </c>
      <c r="CP737">
        <v>21</v>
      </c>
      <c r="CQ737">
        <v>1</v>
      </c>
      <c r="CR737">
        <v>0</v>
      </c>
      <c r="CS737">
        <v>20</v>
      </c>
      <c r="CY737" s="34"/>
    </row>
    <row r="738" spans="1:103" x14ac:dyDescent="0.25">
      <c r="A738">
        <v>737</v>
      </c>
      <c r="B738">
        <v>46</v>
      </c>
      <c r="C738" s="25" t="s">
        <v>471</v>
      </c>
      <c r="D738" s="12">
        <v>7.4</v>
      </c>
      <c r="E738" s="14">
        <v>2</v>
      </c>
      <c r="F738" s="7">
        <f t="shared" si="180"/>
        <v>3.7</v>
      </c>
      <c r="G738" s="7">
        <f t="shared" si="173"/>
        <v>5.4</v>
      </c>
      <c r="H738" s="16">
        <f t="shared" si="174"/>
        <v>9.4</v>
      </c>
      <c r="I738" s="11">
        <f t="shared" si="177"/>
        <v>0.27374382805481862</v>
      </c>
      <c r="J738" s="33">
        <f t="shared" si="178"/>
        <v>7.3984818393194207E-2</v>
      </c>
      <c r="K738" s="33">
        <f t="shared" si="179"/>
        <v>13.516286472252652</v>
      </c>
      <c r="L738" s="8">
        <v>1</v>
      </c>
      <c r="M738" s="9">
        <v>0</v>
      </c>
      <c r="N738" s="8">
        <v>1</v>
      </c>
      <c r="O738" s="9">
        <v>0</v>
      </c>
      <c r="P738" s="9">
        <v>0</v>
      </c>
      <c r="Q738" s="9">
        <v>0</v>
      </c>
      <c r="R738" s="9">
        <v>0</v>
      </c>
      <c r="S738" s="8">
        <v>180</v>
      </c>
      <c r="T738" s="9">
        <v>10</v>
      </c>
      <c r="U738" s="9">
        <f t="shared" si="175"/>
        <v>169</v>
      </c>
      <c r="V738" s="9">
        <f t="shared" si="176"/>
        <v>14</v>
      </c>
      <c r="W738" s="7">
        <v>7.8</v>
      </c>
      <c r="X738" s="7">
        <f t="shared" si="181"/>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82"/>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v>0</v>
      </c>
      <c r="BF738" s="18">
        <v>0</v>
      </c>
      <c r="BG738">
        <v>1</v>
      </c>
      <c r="BH738">
        <v>0</v>
      </c>
      <c r="BI738" s="18">
        <v>0</v>
      </c>
      <c r="BJ738">
        <v>9167</v>
      </c>
      <c r="BK738" t="s">
        <v>98</v>
      </c>
      <c r="BL738" s="25">
        <v>33.86</v>
      </c>
      <c r="BM738">
        <v>1</v>
      </c>
      <c r="BN738">
        <v>0</v>
      </c>
      <c r="BO738">
        <v>0</v>
      </c>
      <c r="BP738">
        <v>0</v>
      </c>
      <c r="BQ738">
        <v>0</v>
      </c>
      <c r="BR738">
        <v>0</v>
      </c>
      <c r="BS738">
        <v>0</v>
      </c>
      <c r="BT738" s="18">
        <v>0</v>
      </c>
      <c r="BU738">
        <v>0</v>
      </c>
      <c r="BV738">
        <v>0</v>
      </c>
      <c r="BW738">
        <v>1</v>
      </c>
      <c r="BX738" s="18">
        <v>0</v>
      </c>
      <c r="BY738">
        <v>0</v>
      </c>
      <c r="BZ738">
        <v>0</v>
      </c>
      <c r="CA738">
        <v>0</v>
      </c>
      <c r="CB738">
        <v>0</v>
      </c>
      <c r="CC738" s="18">
        <v>0</v>
      </c>
      <c r="CD738">
        <v>0</v>
      </c>
      <c r="CE738">
        <v>0</v>
      </c>
      <c r="CF738">
        <v>1</v>
      </c>
      <c r="CG738">
        <v>0</v>
      </c>
      <c r="CH738">
        <v>1</v>
      </c>
      <c r="CI738">
        <v>0</v>
      </c>
      <c r="CJ738">
        <v>0</v>
      </c>
      <c r="CK738">
        <v>0</v>
      </c>
      <c r="CL738">
        <v>0</v>
      </c>
      <c r="CM738">
        <v>0</v>
      </c>
      <c r="CN738" s="18">
        <v>1</v>
      </c>
      <c r="CO738">
        <v>0.29799999999999999</v>
      </c>
      <c r="CP738">
        <v>21</v>
      </c>
      <c r="CQ738">
        <v>1</v>
      </c>
      <c r="CR738">
        <v>0</v>
      </c>
      <c r="CS738">
        <v>20</v>
      </c>
      <c r="CY738" s="34"/>
    </row>
    <row r="739" spans="1:103" x14ac:dyDescent="0.25">
      <c r="A739">
        <v>738</v>
      </c>
      <c r="B739">
        <v>46</v>
      </c>
      <c r="C739" s="25" t="s">
        <v>471</v>
      </c>
      <c r="D739" s="12">
        <v>10.199999999999999</v>
      </c>
      <c r="E739" s="14">
        <v>0.8</v>
      </c>
      <c r="F739" s="7">
        <f t="shared" si="180"/>
        <v>12.749999999999998</v>
      </c>
      <c r="G739" s="7">
        <f t="shared" si="173"/>
        <v>9.3999999999999986</v>
      </c>
      <c r="H739" s="16">
        <f t="shared" si="174"/>
        <v>11</v>
      </c>
      <c r="I739" s="11">
        <f t="shared" si="177"/>
        <v>0.32484076433121012</v>
      </c>
      <c r="J739" s="33">
        <f t="shared" si="178"/>
        <v>2.5477707006369425E-2</v>
      </c>
      <c r="K739" s="33">
        <f t="shared" si="179"/>
        <v>39.25</v>
      </c>
      <c r="L739" s="8">
        <v>1</v>
      </c>
      <c r="M739" s="9">
        <v>0</v>
      </c>
      <c r="N739" s="8">
        <v>1</v>
      </c>
      <c r="O739" s="9">
        <v>0</v>
      </c>
      <c r="P739" s="9">
        <v>0</v>
      </c>
      <c r="Q739" s="9">
        <v>0</v>
      </c>
      <c r="R739" s="9">
        <v>0</v>
      </c>
      <c r="S739" s="8">
        <v>1381</v>
      </c>
      <c r="T739" s="9">
        <v>2</v>
      </c>
      <c r="U739" s="9">
        <f t="shared" si="175"/>
        <v>1378</v>
      </c>
      <c r="V739" s="9">
        <f t="shared" si="176"/>
        <v>14</v>
      </c>
      <c r="W739" s="7">
        <v>8.75</v>
      </c>
      <c r="X739" s="7">
        <f t="shared" si="181"/>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82"/>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v>0</v>
      </c>
      <c r="BF739" s="18">
        <v>0</v>
      </c>
      <c r="BG739">
        <v>1</v>
      </c>
      <c r="BH739">
        <v>0</v>
      </c>
      <c r="BI739" s="18">
        <v>0</v>
      </c>
      <c r="BJ739">
        <v>9167</v>
      </c>
      <c r="BK739" t="s">
        <v>98</v>
      </c>
      <c r="BL739" s="25">
        <v>34.18</v>
      </c>
      <c r="BM739">
        <v>1</v>
      </c>
      <c r="BN739">
        <v>0</v>
      </c>
      <c r="BO739">
        <v>0</v>
      </c>
      <c r="BP739">
        <v>0</v>
      </c>
      <c r="BQ739">
        <v>0</v>
      </c>
      <c r="BR739">
        <v>0</v>
      </c>
      <c r="BS739">
        <v>0</v>
      </c>
      <c r="BT739" s="18">
        <v>0</v>
      </c>
      <c r="BU739">
        <v>0</v>
      </c>
      <c r="BV739">
        <v>0</v>
      </c>
      <c r="BW739">
        <v>1</v>
      </c>
      <c r="BX739" s="18">
        <v>0</v>
      </c>
      <c r="BY739">
        <v>0</v>
      </c>
      <c r="BZ739">
        <v>0</v>
      </c>
      <c r="CA739">
        <v>0</v>
      </c>
      <c r="CB739">
        <v>0</v>
      </c>
      <c r="CC739" s="18">
        <v>0</v>
      </c>
      <c r="CD739">
        <v>0</v>
      </c>
      <c r="CE739">
        <v>0</v>
      </c>
      <c r="CF739">
        <v>1</v>
      </c>
      <c r="CG739">
        <v>0</v>
      </c>
      <c r="CH739">
        <v>1</v>
      </c>
      <c r="CI739">
        <v>0</v>
      </c>
      <c r="CJ739">
        <v>0</v>
      </c>
      <c r="CK739">
        <v>0</v>
      </c>
      <c r="CL739">
        <v>0</v>
      </c>
      <c r="CM739">
        <v>0</v>
      </c>
      <c r="CN739" s="18">
        <v>1</v>
      </c>
      <c r="CO739">
        <v>0.29799999999999999</v>
      </c>
      <c r="CP739">
        <v>21</v>
      </c>
      <c r="CQ739">
        <v>1</v>
      </c>
      <c r="CR739">
        <v>0</v>
      </c>
      <c r="CS739">
        <v>20</v>
      </c>
      <c r="CY739" s="34"/>
    </row>
    <row r="740" spans="1:103" x14ac:dyDescent="0.25">
      <c r="A740">
        <v>739</v>
      </c>
      <c r="B740">
        <v>46</v>
      </c>
      <c r="C740" s="25" t="s">
        <v>471</v>
      </c>
      <c r="D740" s="12">
        <v>9.3000000000000007</v>
      </c>
      <c r="E740" s="14">
        <v>0.8</v>
      </c>
      <c r="F740" s="7">
        <f t="shared" si="180"/>
        <v>11.625</v>
      </c>
      <c r="G740" s="7">
        <f t="shared" si="173"/>
        <v>8.5</v>
      </c>
      <c r="H740" s="16">
        <f t="shared" si="174"/>
        <v>10.100000000000001</v>
      </c>
      <c r="I740" s="11">
        <f t="shared" si="177"/>
        <v>0.29954370702335192</v>
      </c>
      <c r="J740" s="33">
        <f t="shared" si="178"/>
        <v>2.5767200604159306E-2</v>
      </c>
      <c r="K740" s="33">
        <f t="shared" si="179"/>
        <v>38.80902762244888</v>
      </c>
      <c r="L740" s="8">
        <v>1</v>
      </c>
      <c r="M740" s="9">
        <v>0</v>
      </c>
      <c r="N740" s="8">
        <v>1</v>
      </c>
      <c r="O740" s="9">
        <v>0</v>
      </c>
      <c r="P740" s="9">
        <v>0</v>
      </c>
      <c r="Q740" s="9">
        <v>0</v>
      </c>
      <c r="R740" s="9">
        <v>0</v>
      </c>
      <c r="S740" s="8">
        <v>1381</v>
      </c>
      <c r="T740" s="9">
        <v>9</v>
      </c>
      <c r="U740" s="9">
        <f t="shared" si="175"/>
        <v>1371</v>
      </c>
      <c r="V740" s="9">
        <f t="shared" si="176"/>
        <v>14</v>
      </c>
      <c r="W740" s="7">
        <v>8.75</v>
      </c>
      <c r="X740" s="7">
        <f t="shared" si="181"/>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82"/>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v>0</v>
      </c>
      <c r="BF740" s="18">
        <v>0</v>
      </c>
      <c r="BG740">
        <v>1</v>
      </c>
      <c r="BH740">
        <v>0</v>
      </c>
      <c r="BI740" s="18">
        <v>0</v>
      </c>
      <c r="BJ740">
        <v>9167</v>
      </c>
      <c r="BK740" t="s">
        <v>98</v>
      </c>
      <c r="BL740" s="25">
        <v>34.18</v>
      </c>
      <c r="BM740">
        <v>1</v>
      </c>
      <c r="BN740">
        <v>0</v>
      </c>
      <c r="BO740">
        <v>0</v>
      </c>
      <c r="BP740">
        <v>0</v>
      </c>
      <c r="BQ740">
        <v>0</v>
      </c>
      <c r="BR740">
        <v>0</v>
      </c>
      <c r="BS740">
        <v>0</v>
      </c>
      <c r="BT740" s="18">
        <v>0</v>
      </c>
      <c r="BU740">
        <v>0</v>
      </c>
      <c r="BV740">
        <v>0</v>
      </c>
      <c r="BW740">
        <v>1</v>
      </c>
      <c r="BX740" s="18">
        <v>0</v>
      </c>
      <c r="BY740">
        <v>0</v>
      </c>
      <c r="BZ740">
        <v>0</v>
      </c>
      <c r="CA740">
        <v>0</v>
      </c>
      <c r="CB740">
        <v>0</v>
      </c>
      <c r="CC740" s="18">
        <v>0</v>
      </c>
      <c r="CD740">
        <v>0</v>
      </c>
      <c r="CE740">
        <v>0</v>
      </c>
      <c r="CF740">
        <v>1</v>
      </c>
      <c r="CG740">
        <v>0</v>
      </c>
      <c r="CH740">
        <v>1</v>
      </c>
      <c r="CI740">
        <v>0</v>
      </c>
      <c r="CJ740">
        <v>0</v>
      </c>
      <c r="CK740">
        <v>0</v>
      </c>
      <c r="CL740">
        <v>0</v>
      </c>
      <c r="CM740">
        <v>0</v>
      </c>
      <c r="CN740" s="18">
        <v>1</v>
      </c>
      <c r="CO740">
        <v>0.29799999999999999</v>
      </c>
      <c r="CP740">
        <v>21</v>
      </c>
      <c r="CQ740">
        <v>1</v>
      </c>
      <c r="CR740">
        <v>0</v>
      </c>
      <c r="CS740">
        <v>20</v>
      </c>
      <c r="CY740" s="34"/>
    </row>
    <row r="741" spans="1:103" x14ac:dyDescent="0.25">
      <c r="A741">
        <v>740</v>
      </c>
      <c r="B741">
        <v>46</v>
      </c>
      <c r="C741" s="25" t="s">
        <v>471</v>
      </c>
      <c r="D741" s="12">
        <v>9.1</v>
      </c>
      <c r="E741" s="14">
        <v>0.9</v>
      </c>
      <c r="F741" s="7">
        <f t="shared" si="180"/>
        <v>10.111111111111111</v>
      </c>
      <c r="G741" s="7">
        <f t="shared" si="173"/>
        <v>8.1999999999999993</v>
      </c>
      <c r="H741" s="16">
        <f t="shared" si="174"/>
        <v>10</v>
      </c>
      <c r="I741" s="11">
        <f t="shared" si="177"/>
        <v>0.26351805571440351</v>
      </c>
      <c r="J741" s="33">
        <f t="shared" si="178"/>
        <v>2.6062225290435514E-2</v>
      </c>
      <c r="K741" s="33">
        <f t="shared" si="179"/>
        <v>38.369708989008956</v>
      </c>
      <c r="L741" s="8">
        <v>1</v>
      </c>
      <c r="M741" s="9">
        <v>0</v>
      </c>
      <c r="N741" s="8">
        <v>1</v>
      </c>
      <c r="O741" s="9">
        <v>0</v>
      </c>
      <c r="P741" s="9">
        <v>0</v>
      </c>
      <c r="Q741" s="9">
        <v>0</v>
      </c>
      <c r="R741" s="9">
        <v>0</v>
      </c>
      <c r="S741" s="8">
        <v>1381</v>
      </c>
      <c r="T741" s="9">
        <v>10</v>
      </c>
      <c r="U741" s="9">
        <f t="shared" si="175"/>
        <v>1370</v>
      </c>
      <c r="V741" s="9">
        <f t="shared" si="176"/>
        <v>14</v>
      </c>
      <c r="W741" s="7">
        <v>8.75</v>
      </c>
      <c r="X741" s="7">
        <f t="shared" si="181"/>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82"/>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v>0</v>
      </c>
      <c r="BF741" s="18">
        <v>0</v>
      </c>
      <c r="BG741">
        <v>1</v>
      </c>
      <c r="BH741">
        <v>0</v>
      </c>
      <c r="BI741" s="18">
        <v>0</v>
      </c>
      <c r="BJ741">
        <v>9167</v>
      </c>
      <c r="BK741" t="s">
        <v>98</v>
      </c>
      <c r="BL741" s="25">
        <v>34.18</v>
      </c>
      <c r="BM741">
        <v>1</v>
      </c>
      <c r="BN741">
        <v>0</v>
      </c>
      <c r="BO741">
        <v>0</v>
      </c>
      <c r="BP741">
        <v>0</v>
      </c>
      <c r="BQ741">
        <v>0</v>
      </c>
      <c r="BR741">
        <v>0</v>
      </c>
      <c r="BS741">
        <v>0</v>
      </c>
      <c r="BT741" s="18">
        <v>0</v>
      </c>
      <c r="BU741">
        <v>0</v>
      </c>
      <c r="BV741">
        <v>0</v>
      </c>
      <c r="BW741">
        <v>1</v>
      </c>
      <c r="BX741" s="18">
        <v>0</v>
      </c>
      <c r="BY741">
        <v>0</v>
      </c>
      <c r="BZ741">
        <v>0</v>
      </c>
      <c r="CA741">
        <v>0</v>
      </c>
      <c r="CB741">
        <v>0</v>
      </c>
      <c r="CC741" s="18">
        <v>0</v>
      </c>
      <c r="CD741">
        <v>0</v>
      </c>
      <c r="CE741">
        <v>0</v>
      </c>
      <c r="CF741">
        <v>1</v>
      </c>
      <c r="CG741">
        <v>0</v>
      </c>
      <c r="CH741">
        <v>1</v>
      </c>
      <c r="CI741">
        <v>0</v>
      </c>
      <c r="CJ741">
        <v>0</v>
      </c>
      <c r="CK741">
        <v>0</v>
      </c>
      <c r="CL741">
        <v>0</v>
      </c>
      <c r="CM741">
        <v>0</v>
      </c>
      <c r="CN741" s="18">
        <v>1</v>
      </c>
      <c r="CO741">
        <v>0.29799999999999999</v>
      </c>
      <c r="CP741">
        <v>21</v>
      </c>
      <c r="CQ741">
        <v>1</v>
      </c>
      <c r="CR741">
        <v>0</v>
      </c>
      <c r="CS741">
        <v>20</v>
      </c>
      <c r="CY741" s="34"/>
    </row>
    <row r="742" spans="1:103" x14ac:dyDescent="0.25">
      <c r="A742">
        <v>741</v>
      </c>
      <c r="B742">
        <v>46</v>
      </c>
      <c r="C742" s="25" t="s">
        <v>471</v>
      </c>
      <c r="D742" s="12">
        <v>9</v>
      </c>
      <c r="E742" s="14">
        <v>0.8</v>
      </c>
      <c r="F742" s="7">
        <f t="shared" si="180"/>
        <v>11.25</v>
      </c>
      <c r="G742" s="7">
        <f t="shared" si="173"/>
        <v>8.1999999999999993</v>
      </c>
      <c r="H742" s="16">
        <f t="shared" si="174"/>
        <v>9.8000000000000007</v>
      </c>
      <c r="I742" s="11">
        <f t="shared" si="177"/>
        <v>0.29080715862584822</v>
      </c>
      <c r="J742" s="33">
        <f t="shared" si="178"/>
        <v>2.5849525211186511E-2</v>
      </c>
      <c r="K742" s="33">
        <f t="shared" si="179"/>
        <v>38.685430073866307</v>
      </c>
      <c r="L742" s="8">
        <v>1</v>
      </c>
      <c r="M742" s="9">
        <v>0</v>
      </c>
      <c r="N742" s="8">
        <v>1</v>
      </c>
      <c r="O742" s="9">
        <v>0</v>
      </c>
      <c r="P742" s="9">
        <v>0</v>
      </c>
      <c r="Q742" s="9">
        <v>0</v>
      </c>
      <c r="R742" s="9">
        <v>0</v>
      </c>
      <c r="S742" s="8">
        <v>1381</v>
      </c>
      <c r="T742" s="9">
        <v>10</v>
      </c>
      <c r="U742" s="9">
        <f t="shared" si="175"/>
        <v>1370</v>
      </c>
      <c r="V742" s="9">
        <f t="shared" si="176"/>
        <v>14</v>
      </c>
      <c r="W742" s="7">
        <v>8.75</v>
      </c>
      <c r="X742" s="7">
        <f t="shared" si="181"/>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82"/>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v>0</v>
      </c>
      <c r="BF742" s="18">
        <v>0</v>
      </c>
      <c r="BG742">
        <v>1</v>
      </c>
      <c r="BH742">
        <v>0</v>
      </c>
      <c r="BI742" s="18">
        <v>0</v>
      </c>
      <c r="BJ742">
        <v>9167</v>
      </c>
      <c r="BK742" t="s">
        <v>98</v>
      </c>
      <c r="BL742" s="25">
        <v>34.18</v>
      </c>
      <c r="BM742">
        <v>1</v>
      </c>
      <c r="BN742">
        <v>0</v>
      </c>
      <c r="BO742">
        <v>0</v>
      </c>
      <c r="BP742">
        <v>0</v>
      </c>
      <c r="BQ742">
        <v>0</v>
      </c>
      <c r="BR742">
        <v>0</v>
      </c>
      <c r="BS742">
        <v>0</v>
      </c>
      <c r="BT742" s="18">
        <v>0</v>
      </c>
      <c r="BU742">
        <v>0</v>
      </c>
      <c r="BV742">
        <v>0</v>
      </c>
      <c r="BW742">
        <v>1</v>
      </c>
      <c r="BX742" s="18">
        <v>0</v>
      </c>
      <c r="BY742">
        <v>0</v>
      </c>
      <c r="BZ742">
        <v>0</v>
      </c>
      <c r="CA742">
        <v>0</v>
      </c>
      <c r="CB742">
        <v>0</v>
      </c>
      <c r="CC742" s="18">
        <v>0</v>
      </c>
      <c r="CD742">
        <v>0</v>
      </c>
      <c r="CE742">
        <v>0</v>
      </c>
      <c r="CF742">
        <v>1</v>
      </c>
      <c r="CG742">
        <v>0</v>
      </c>
      <c r="CH742">
        <v>1</v>
      </c>
      <c r="CI742">
        <v>0</v>
      </c>
      <c r="CJ742">
        <v>0</v>
      </c>
      <c r="CK742">
        <v>0</v>
      </c>
      <c r="CL742">
        <v>0</v>
      </c>
      <c r="CM742">
        <v>0</v>
      </c>
      <c r="CN742" s="18">
        <v>1</v>
      </c>
      <c r="CO742">
        <v>0.29799999999999999</v>
      </c>
      <c r="CP742">
        <v>21</v>
      </c>
      <c r="CQ742">
        <v>1</v>
      </c>
      <c r="CR742">
        <v>0</v>
      </c>
      <c r="CS742">
        <v>20</v>
      </c>
      <c r="CY742" s="34"/>
    </row>
    <row r="743" spans="1:103" x14ac:dyDescent="0.25">
      <c r="A743">
        <v>742</v>
      </c>
      <c r="B743">
        <v>46</v>
      </c>
      <c r="C743" s="25" t="s">
        <v>471</v>
      </c>
      <c r="D743" s="12">
        <v>6.4</v>
      </c>
      <c r="E743" s="14">
        <v>1.5</v>
      </c>
      <c r="F743" s="7">
        <f t="shared" si="180"/>
        <v>4.2666666666666666</v>
      </c>
      <c r="G743" s="7">
        <f t="shared" si="173"/>
        <v>4.9000000000000004</v>
      </c>
      <c r="H743" s="16">
        <f t="shared" si="174"/>
        <v>7.9</v>
      </c>
      <c r="I743" s="11">
        <f t="shared" si="177"/>
        <v>0.2388109576210887</v>
      </c>
      <c r="J743" s="33">
        <f t="shared" si="178"/>
        <v>5.5971318192442665E-2</v>
      </c>
      <c r="K743" s="33">
        <f t="shared" si="179"/>
        <v>17.866293528441886</v>
      </c>
      <c r="L743" s="8">
        <v>1</v>
      </c>
      <c r="M743" s="9">
        <v>0</v>
      </c>
      <c r="N743" s="8">
        <v>1</v>
      </c>
      <c r="O743" s="9">
        <v>0</v>
      </c>
      <c r="P743" s="9">
        <v>0</v>
      </c>
      <c r="Q743" s="9">
        <v>0</v>
      </c>
      <c r="R743" s="9">
        <v>0</v>
      </c>
      <c r="S743" s="8">
        <v>304</v>
      </c>
      <c r="T743" s="9">
        <v>2</v>
      </c>
      <c r="U743" s="9">
        <f t="shared" si="175"/>
        <v>301</v>
      </c>
      <c r="V743" s="9">
        <f t="shared" si="176"/>
        <v>14</v>
      </c>
      <c r="W743" s="7">
        <v>7.8</v>
      </c>
      <c r="X743" s="7">
        <f t="shared" si="181"/>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82"/>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v>0</v>
      </c>
      <c r="BF743" s="18">
        <v>0</v>
      </c>
      <c r="BG743">
        <v>1</v>
      </c>
      <c r="BH743">
        <v>0</v>
      </c>
      <c r="BI743" s="18">
        <v>0</v>
      </c>
      <c r="BJ743">
        <v>9167</v>
      </c>
      <c r="BK743" t="s">
        <v>98</v>
      </c>
      <c r="BL743" s="25">
        <v>33.86</v>
      </c>
      <c r="BM743">
        <v>1</v>
      </c>
      <c r="BN743">
        <v>0</v>
      </c>
      <c r="BO743">
        <v>0</v>
      </c>
      <c r="BP743">
        <v>0</v>
      </c>
      <c r="BQ743">
        <v>0</v>
      </c>
      <c r="BR743">
        <v>0</v>
      </c>
      <c r="BS743">
        <v>0</v>
      </c>
      <c r="BT743" s="18">
        <v>0</v>
      </c>
      <c r="BU743">
        <v>0</v>
      </c>
      <c r="BV743">
        <v>0</v>
      </c>
      <c r="BW743">
        <v>1</v>
      </c>
      <c r="BX743" s="18">
        <v>0</v>
      </c>
      <c r="BY743">
        <v>0</v>
      </c>
      <c r="BZ743">
        <v>0</v>
      </c>
      <c r="CA743">
        <v>0</v>
      </c>
      <c r="CB743">
        <v>0</v>
      </c>
      <c r="CC743" s="18">
        <v>0</v>
      </c>
      <c r="CD743">
        <v>0</v>
      </c>
      <c r="CE743">
        <v>0</v>
      </c>
      <c r="CF743">
        <v>1</v>
      </c>
      <c r="CG743">
        <v>0</v>
      </c>
      <c r="CH743">
        <v>1</v>
      </c>
      <c r="CI743">
        <v>0</v>
      </c>
      <c r="CJ743">
        <v>0</v>
      </c>
      <c r="CK743">
        <v>0</v>
      </c>
      <c r="CL743">
        <v>0</v>
      </c>
      <c r="CM743">
        <v>0</v>
      </c>
      <c r="CN743" s="18">
        <v>1</v>
      </c>
      <c r="CO743">
        <v>0.29799999999999999</v>
      </c>
      <c r="CP743">
        <v>21</v>
      </c>
      <c r="CQ743">
        <v>1</v>
      </c>
      <c r="CR743">
        <v>0</v>
      </c>
      <c r="CS743">
        <v>20</v>
      </c>
      <c r="CY743" s="34"/>
    </row>
    <row r="744" spans="1:103" x14ac:dyDescent="0.25">
      <c r="A744">
        <v>743</v>
      </c>
      <c r="B744">
        <v>46</v>
      </c>
      <c r="C744" s="25" t="s">
        <v>471</v>
      </c>
      <c r="D744" s="12">
        <v>5.9</v>
      </c>
      <c r="E744" s="14">
        <v>1.6</v>
      </c>
      <c r="F744" s="7">
        <f t="shared" si="180"/>
        <v>3.6875</v>
      </c>
      <c r="G744" s="7">
        <f t="shared" si="173"/>
        <v>4.3000000000000007</v>
      </c>
      <c r="H744" s="16">
        <f t="shared" si="174"/>
        <v>7.5</v>
      </c>
      <c r="I744" s="11">
        <f t="shared" si="177"/>
        <v>0.21059478558883832</v>
      </c>
      <c r="J744" s="33">
        <f t="shared" si="178"/>
        <v>5.7110450329176492E-2</v>
      </c>
      <c r="K744" s="33">
        <f t="shared" si="179"/>
        <v>17.509930218307552</v>
      </c>
      <c r="L744" s="8">
        <v>1</v>
      </c>
      <c r="M744" s="9">
        <v>0</v>
      </c>
      <c r="N744" s="8">
        <v>1</v>
      </c>
      <c r="O744" s="9">
        <v>0</v>
      </c>
      <c r="P744" s="9">
        <v>0</v>
      </c>
      <c r="Q744" s="9">
        <v>0</v>
      </c>
      <c r="R744" s="9">
        <v>0</v>
      </c>
      <c r="S744" s="8">
        <v>304</v>
      </c>
      <c r="T744" s="9">
        <v>10</v>
      </c>
      <c r="U744" s="9">
        <f t="shared" si="175"/>
        <v>293</v>
      </c>
      <c r="V744" s="9">
        <f t="shared" si="176"/>
        <v>14</v>
      </c>
      <c r="W744" s="7">
        <v>7.8</v>
      </c>
      <c r="X744" s="7">
        <f t="shared" si="181"/>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82"/>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v>0</v>
      </c>
      <c r="BF744" s="18">
        <v>0</v>
      </c>
      <c r="BG744">
        <v>1</v>
      </c>
      <c r="BH744">
        <v>0</v>
      </c>
      <c r="BI744" s="18">
        <v>0</v>
      </c>
      <c r="BJ744">
        <v>9167</v>
      </c>
      <c r="BK744" t="s">
        <v>98</v>
      </c>
      <c r="BL744" s="25">
        <v>33.86</v>
      </c>
      <c r="BM744">
        <v>1</v>
      </c>
      <c r="BN744">
        <v>0</v>
      </c>
      <c r="BO744">
        <v>0</v>
      </c>
      <c r="BP744">
        <v>0</v>
      </c>
      <c r="BQ744">
        <v>0</v>
      </c>
      <c r="BR744">
        <v>0</v>
      </c>
      <c r="BS744">
        <v>0</v>
      </c>
      <c r="BT744" s="18">
        <v>0</v>
      </c>
      <c r="BU744">
        <v>0</v>
      </c>
      <c r="BV744">
        <v>0</v>
      </c>
      <c r="BW744">
        <v>1</v>
      </c>
      <c r="BX744" s="18">
        <v>0</v>
      </c>
      <c r="BY744">
        <v>0</v>
      </c>
      <c r="BZ744">
        <v>0</v>
      </c>
      <c r="CA744">
        <v>0</v>
      </c>
      <c r="CB744">
        <v>0</v>
      </c>
      <c r="CC744" s="18">
        <v>0</v>
      </c>
      <c r="CD744">
        <v>0</v>
      </c>
      <c r="CE744">
        <v>0</v>
      </c>
      <c r="CF744">
        <v>1</v>
      </c>
      <c r="CG744">
        <v>0</v>
      </c>
      <c r="CH744">
        <v>1</v>
      </c>
      <c r="CI744">
        <v>0</v>
      </c>
      <c r="CJ744">
        <v>0</v>
      </c>
      <c r="CK744">
        <v>0</v>
      </c>
      <c r="CL744">
        <v>0</v>
      </c>
      <c r="CM744">
        <v>0</v>
      </c>
      <c r="CN744" s="18">
        <v>1</v>
      </c>
      <c r="CO744">
        <v>0.29799999999999999</v>
      </c>
      <c r="CP744">
        <v>21</v>
      </c>
      <c r="CQ744">
        <v>1</v>
      </c>
      <c r="CR744">
        <v>0</v>
      </c>
      <c r="CS744">
        <v>20</v>
      </c>
      <c r="CY744" s="34"/>
    </row>
    <row r="745" spans="1:103" x14ac:dyDescent="0.25">
      <c r="A745">
        <v>744</v>
      </c>
      <c r="B745">
        <v>46</v>
      </c>
      <c r="C745" s="25" t="s">
        <v>471</v>
      </c>
      <c r="D745" s="12">
        <v>3.4</v>
      </c>
      <c r="E745" s="14">
        <v>1.5</v>
      </c>
      <c r="F745" s="7">
        <f t="shared" si="180"/>
        <v>2.2666666666666666</v>
      </c>
      <c r="G745" s="7">
        <f t="shared" si="173"/>
        <v>1.9</v>
      </c>
      <c r="H745" s="16">
        <f t="shared" si="174"/>
        <v>4.9000000000000004</v>
      </c>
      <c r="I745" s="11">
        <f t="shared" si="177"/>
        <v>0.13127413127413129</v>
      </c>
      <c r="J745" s="33">
        <f t="shared" si="178"/>
        <v>5.7915057915057917E-2</v>
      </c>
      <c r="K745" s="33">
        <f t="shared" si="179"/>
        <v>17.266666666666666</v>
      </c>
      <c r="L745" s="8">
        <v>1</v>
      </c>
      <c r="M745" s="9">
        <v>0</v>
      </c>
      <c r="N745" s="8">
        <v>1</v>
      </c>
      <c r="O745" s="9">
        <v>0</v>
      </c>
      <c r="P745" s="9">
        <v>0</v>
      </c>
      <c r="Q745" s="9">
        <v>0</v>
      </c>
      <c r="R745" s="9">
        <v>0</v>
      </c>
      <c r="S745" s="8">
        <v>304</v>
      </c>
      <c r="T745" s="9">
        <v>10</v>
      </c>
      <c r="U745" s="9">
        <f t="shared" si="175"/>
        <v>293</v>
      </c>
      <c r="V745" s="9">
        <f t="shared" si="176"/>
        <v>14</v>
      </c>
      <c r="W745" s="7">
        <v>7.8</v>
      </c>
      <c r="X745" s="7">
        <f t="shared" si="181"/>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82"/>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v>0</v>
      </c>
      <c r="BF745" s="18">
        <v>0</v>
      </c>
      <c r="BG745">
        <v>1</v>
      </c>
      <c r="BH745">
        <v>0</v>
      </c>
      <c r="BI745" s="18">
        <v>0</v>
      </c>
      <c r="BJ745">
        <v>9167</v>
      </c>
      <c r="BK745" t="s">
        <v>98</v>
      </c>
      <c r="BL745" s="25">
        <v>33.86</v>
      </c>
      <c r="BM745">
        <v>1</v>
      </c>
      <c r="BN745">
        <v>0</v>
      </c>
      <c r="BO745">
        <v>0</v>
      </c>
      <c r="BP745">
        <v>0</v>
      </c>
      <c r="BQ745">
        <v>0</v>
      </c>
      <c r="BR745">
        <v>0</v>
      </c>
      <c r="BS745">
        <v>0</v>
      </c>
      <c r="BT745" s="18">
        <v>0</v>
      </c>
      <c r="BU745">
        <v>0</v>
      </c>
      <c r="BV745">
        <v>0</v>
      </c>
      <c r="BW745">
        <v>1</v>
      </c>
      <c r="BX745" s="18">
        <v>0</v>
      </c>
      <c r="BY745">
        <v>0</v>
      </c>
      <c r="BZ745">
        <v>0</v>
      </c>
      <c r="CA745">
        <v>0</v>
      </c>
      <c r="CB745">
        <v>0</v>
      </c>
      <c r="CC745" s="18">
        <v>0</v>
      </c>
      <c r="CD745">
        <v>0</v>
      </c>
      <c r="CE745">
        <v>0</v>
      </c>
      <c r="CF745">
        <v>1</v>
      </c>
      <c r="CG745">
        <v>0</v>
      </c>
      <c r="CH745">
        <v>1</v>
      </c>
      <c r="CI745">
        <v>0</v>
      </c>
      <c r="CJ745">
        <v>0</v>
      </c>
      <c r="CK745">
        <v>0</v>
      </c>
      <c r="CL745">
        <v>0</v>
      </c>
      <c r="CM745">
        <v>0</v>
      </c>
      <c r="CN745" s="18">
        <v>1</v>
      </c>
      <c r="CO745">
        <v>0.29799999999999999</v>
      </c>
      <c r="CP745">
        <v>21</v>
      </c>
      <c r="CQ745">
        <v>1</v>
      </c>
      <c r="CR745">
        <v>0</v>
      </c>
      <c r="CS745">
        <v>20</v>
      </c>
      <c r="CY745" s="34"/>
    </row>
    <row r="746" spans="1:103" x14ac:dyDescent="0.25">
      <c r="A746">
        <v>745</v>
      </c>
      <c r="B746">
        <v>46</v>
      </c>
      <c r="C746" s="25" t="s">
        <v>471</v>
      </c>
      <c r="D746" s="12">
        <v>5.7</v>
      </c>
      <c r="E746" s="14">
        <v>0.9</v>
      </c>
      <c r="F746" s="7">
        <f t="shared" si="180"/>
        <v>6.333333333333333</v>
      </c>
      <c r="G746" s="7">
        <f t="shared" si="173"/>
        <v>4.8</v>
      </c>
      <c r="H746" s="16">
        <f t="shared" si="174"/>
        <v>6.6000000000000005</v>
      </c>
      <c r="I746" s="11">
        <f t="shared" si="177"/>
        <v>0.14776263744368376</v>
      </c>
      <c r="J746" s="33">
        <f t="shared" si="178"/>
        <v>2.3330942754265858E-2</v>
      </c>
      <c r="K746" s="33">
        <f t="shared" si="179"/>
        <v>42.861534166559075</v>
      </c>
      <c r="L746" s="8">
        <v>1</v>
      </c>
      <c r="M746" s="9">
        <v>0</v>
      </c>
      <c r="N746" s="8">
        <v>1</v>
      </c>
      <c r="O746" s="9">
        <v>0</v>
      </c>
      <c r="P746" s="9">
        <v>0</v>
      </c>
      <c r="Q746" s="9">
        <v>0</v>
      </c>
      <c r="R746" s="9">
        <v>0</v>
      </c>
      <c r="S746" s="8">
        <v>1800</v>
      </c>
      <c r="T746" s="9">
        <v>2</v>
      </c>
      <c r="U746" s="9">
        <f t="shared" si="175"/>
        <v>1797</v>
      </c>
      <c r="V746" s="9">
        <f t="shared" si="176"/>
        <v>14</v>
      </c>
      <c r="W746" s="7">
        <v>8.75</v>
      </c>
      <c r="X746" s="7">
        <f t="shared" si="181"/>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82"/>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v>0</v>
      </c>
      <c r="BF746" s="18">
        <v>0</v>
      </c>
      <c r="BG746">
        <v>1</v>
      </c>
      <c r="BH746">
        <v>0</v>
      </c>
      <c r="BI746" s="18">
        <v>0</v>
      </c>
      <c r="BJ746">
        <v>9167</v>
      </c>
      <c r="BK746" t="s">
        <v>98</v>
      </c>
      <c r="BL746" s="25">
        <v>34.18</v>
      </c>
      <c r="BM746">
        <v>1</v>
      </c>
      <c r="BN746">
        <v>0</v>
      </c>
      <c r="BO746">
        <v>0</v>
      </c>
      <c r="BP746">
        <v>0</v>
      </c>
      <c r="BQ746">
        <v>0</v>
      </c>
      <c r="BR746">
        <v>0</v>
      </c>
      <c r="BS746">
        <v>0</v>
      </c>
      <c r="BT746" s="18">
        <v>0</v>
      </c>
      <c r="BU746">
        <v>0</v>
      </c>
      <c r="BV746">
        <v>0</v>
      </c>
      <c r="BW746">
        <v>1</v>
      </c>
      <c r="BX746" s="18">
        <v>0</v>
      </c>
      <c r="BY746">
        <v>0</v>
      </c>
      <c r="BZ746">
        <v>0</v>
      </c>
      <c r="CA746">
        <v>0</v>
      </c>
      <c r="CB746">
        <v>0</v>
      </c>
      <c r="CC746" s="18">
        <v>0</v>
      </c>
      <c r="CD746">
        <v>0</v>
      </c>
      <c r="CE746">
        <v>0</v>
      </c>
      <c r="CF746">
        <v>1</v>
      </c>
      <c r="CG746">
        <v>0</v>
      </c>
      <c r="CH746">
        <v>1</v>
      </c>
      <c r="CI746">
        <v>0</v>
      </c>
      <c r="CJ746">
        <v>0</v>
      </c>
      <c r="CK746">
        <v>0</v>
      </c>
      <c r="CL746">
        <v>0</v>
      </c>
      <c r="CM746">
        <v>0</v>
      </c>
      <c r="CN746" s="18">
        <v>1</v>
      </c>
      <c r="CO746">
        <v>0.29799999999999999</v>
      </c>
      <c r="CP746">
        <v>21</v>
      </c>
      <c r="CQ746">
        <v>1</v>
      </c>
      <c r="CR746">
        <v>0</v>
      </c>
      <c r="CS746">
        <v>20</v>
      </c>
      <c r="CY746" s="34"/>
    </row>
    <row r="747" spans="1:103" x14ac:dyDescent="0.25">
      <c r="A747">
        <v>746</v>
      </c>
      <c r="B747">
        <v>46</v>
      </c>
      <c r="C747" s="25" t="s">
        <v>471</v>
      </c>
      <c r="D747" s="12">
        <v>5.7</v>
      </c>
      <c r="E747" s="14">
        <v>0.7</v>
      </c>
      <c r="F747" s="7">
        <f t="shared" si="180"/>
        <v>8.1428571428571441</v>
      </c>
      <c r="G747" s="7">
        <f t="shared" si="173"/>
        <v>5</v>
      </c>
      <c r="H747" s="16">
        <f t="shared" si="174"/>
        <v>6.4</v>
      </c>
      <c r="I747" s="11">
        <f t="shared" si="177"/>
        <v>0.18904666781928181</v>
      </c>
      <c r="J747" s="33">
        <f t="shared" si="178"/>
        <v>2.3216257451490741E-2</v>
      </c>
      <c r="K747" s="33">
        <f t="shared" si="179"/>
        <v>43.073264590102525</v>
      </c>
      <c r="L747" s="8">
        <v>1</v>
      </c>
      <c r="M747" s="9">
        <v>0</v>
      </c>
      <c r="N747" s="8">
        <v>1</v>
      </c>
      <c r="O747" s="9">
        <v>0</v>
      </c>
      <c r="P747" s="9">
        <v>0</v>
      </c>
      <c r="Q747" s="9">
        <v>0</v>
      </c>
      <c r="R747" s="9">
        <v>0</v>
      </c>
      <c r="S747" s="8">
        <v>1800</v>
      </c>
      <c r="T747" s="9">
        <v>10</v>
      </c>
      <c r="U747" s="9">
        <f t="shared" si="175"/>
        <v>1789</v>
      </c>
      <c r="V747" s="9">
        <f t="shared" si="176"/>
        <v>14</v>
      </c>
      <c r="W747" s="7">
        <v>8.75</v>
      </c>
      <c r="X747" s="7">
        <f t="shared" si="181"/>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82"/>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v>0</v>
      </c>
      <c r="BF747" s="18">
        <v>0</v>
      </c>
      <c r="BG747">
        <v>1</v>
      </c>
      <c r="BH747">
        <v>0</v>
      </c>
      <c r="BI747" s="18">
        <v>0</v>
      </c>
      <c r="BJ747">
        <v>9167</v>
      </c>
      <c r="BK747" t="s">
        <v>98</v>
      </c>
      <c r="BL747" s="25">
        <v>34.18</v>
      </c>
      <c r="BM747">
        <v>1</v>
      </c>
      <c r="BN747">
        <v>0</v>
      </c>
      <c r="BO747">
        <v>0</v>
      </c>
      <c r="BP747">
        <v>0</v>
      </c>
      <c r="BQ747">
        <v>0</v>
      </c>
      <c r="BR747">
        <v>0</v>
      </c>
      <c r="BS747">
        <v>0</v>
      </c>
      <c r="BT747" s="18">
        <v>0</v>
      </c>
      <c r="BU747">
        <v>0</v>
      </c>
      <c r="BV747">
        <v>0</v>
      </c>
      <c r="BW747">
        <v>1</v>
      </c>
      <c r="BX747" s="18">
        <v>0</v>
      </c>
      <c r="BY747">
        <v>0</v>
      </c>
      <c r="BZ747">
        <v>0</v>
      </c>
      <c r="CA747">
        <v>0</v>
      </c>
      <c r="CB747">
        <v>0</v>
      </c>
      <c r="CC747" s="18">
        <v>0</v>
      </c>
      <c r="CD747">
        <v>0</v>
      </c>
      <c r="CE747">
        <v>0</v>
      </c>
      <c r="CF747">
        <v>1</v>
      </c>
      <c r="CG747">
        <v>0</v>
      </c>
      <c r="CH747">
        <v>1</v>
      </c>
      <c r="CI747">
        <v>0</v>
      </c>
      <c r="CJ747">
        <v>0</v>
      </c>
      <c r="CK747">
        <v>0</v>
      </c>
      <c r="CL747">
        <v>0</v>
      </c>
      <c r="CM747">
        <v>0</v>
      </c>
      <c r="CN747" s="18">
        <v>1</v>
      </c>
      <c r="CO747">
        <v>0.29799999999999999</v>
      </c>
      <c r="CP747">
        <v>21</v>
      </c>
      <c r="CQ747">
        <v>1</v>
      </c>
      <c r="CR747">
        <v>0</v>
      </c>
      <c r="CS747">
        <v>20</v>
      </c>
      <c r="CY747" s="34"/>
    </row>
    <row r="748" spans="1:103" s="142" customFormat="1" x14ac:dyDescent="0.25">
      <c r="A748" s="142">
        <v>747</v>
      </c>
      <c r="B748" s="142">
        <v>46</v>
      </c>
      <c r="C748" s="143" t="s">
        <v>471</v>
      </c>
      <c r="D748" s="144">
        <v>4.3</v>
      </c>
      <c r="E748" s="145">
        <v>0.8</v>
      </c>
      <c r="F748" s="146">
        <f t="shared" si="180"/>
        <v>5.3749999999999991</v>
      </c>
      <c r="G748" s="146">
        <f t="shared" si="173"/>
        <v>3.5</v>
      </c>
      <c r="H748" s="147">
        <f t="shared" si="174"/>
        <v>5.0999999999999996</v>
      </c>
      <c r="I748" s="11">
        <f t="shared" si="177"/>
        <v>0.12606501899983297</v>
      </c>
      <c r="J748" s="33">
        <f t="shared" si="178"/>
        <v>2.3453957023224743E-2</v>
      </c>
      <c r="K748" s="33">
        <f t="shared" si="179"/>
        <v>42.636728591673162</v>
      </c>
      <c r="L748" s="149">
        <v>1</v>
      </c>
      <c r="M748" s="150">
        <v>0</v>
      </c>
      <c r="N748" s="149">
        <v>1</v>
      </c>
      <c r="O748" s="150">
        <v>0</v>
      </c>
      <c r="P748" s="150">
        <v>0</v>
      </c>
      <c r="Q748" s="150">
        <v>0</v>
      </c>
      <c r="R748" s="150">
        <v>0</v>
      </c>
      <c r="S748" s="149">
        <v>1800</v>
      </c>
      <c r="T748" s="150">
        <v>10</v>
      </c>
      <c r="U748" s="150">
        <f t="shared" si="175"/>
        <v>1789</v>
      </c>
      <c r="V748" s="150">
        <f t="shared" si="176"/>
        <v>14</v>
      </c>
      <c r="W748" s="146">
        <v>8.75</v>
      </c>
      <c r="X748" s="146">
        <f t="shared" si="181"/>
        <v>18.43</v>
      </c>
      <c r="Y748" s="150">
        <v>1</v>
      </c>
      <c r="Z748" s="150">
        <v>0</v>
      </c>
      <c r="AA748" s="150">
        <v>1</v>
      </c>
      <c r="AB748" s="150">
        <v>0</v>
      </c>
      <c r="AC748" s="150">
        <v>0</v>
      </c>
      <c r="AD748" s="150">
        <v>0</v>
      </c>
      <c r="AE748" s="149">
        <v>0</v>
      </c>
      <c r="AF748" s="150">
        <v>0</v>
      </c>
      <c r="AG748" s="151">
        <v>1</v>
      </c>
      <c r="AH748" s="150">
        <v>1</v>
      </c>
      <c r="AI748" s="151">
        <v>0</v>
      </c>
      <c r="AJ748" s="152">
        <v>1960</v>
      </c>
      <c r="AK748" s="33">
        <v>0.33</v>
      </c>
      <c r="AL748" s="33">
        <v>0.36</v>
      </c>
      <c r="AM748" s="33">
        <v>0.26</v>
      </c>
      <c r="AN748" s="43">
        <v>0.05</v>
      </c>
      <c r="AO748" s="154">
        <f t="shared" si="182"/>
        <v>0.97</v>
      </c>
      <c r="AP748" s="155">
        <v>0.03</v>
      </c>
      <c r="AQ748" s="142">
        <v>1</v>
      </c>
      <c r="AR748" s="156">
        <v>0</v>
      </c>
      <c r="AS748" s="142" t="s">
        <v>98</v>
      </c>
      <c r="AT748" s="156" t="s">
        <v>98</v>
      </c>
      <c r="AU748">
        <v>1</v>
      </c>
      <c r="AV748" s="155">
        <v>0</v>
      </c>
      <c r="AW748" s="142">
        <v>0</v>
      </c>
      <c r="AX748" s="155">
        <v>1</v>
      </c>
      <c r="AY748" s="155" t="s">
        <v>472</v>
      </c>
      <c r="AZ748">
        <v>1</v>
      </c>
      <c r="BA748">
        <v>0</v>
      </c>
      <c r="BB748">
        <v>0</v>
      </c>
      <c r="BC748">
        <v>0</v>
      </c>
      <c r="BD748">
        <v>0</v>
      </c>
      <c r="BE748">
        <v>0</v>
      </c>
      <c r="BF748" s="155">
        <v>0</v>
      </c>
      <c r="BG748">
        <v>1</v>
      </c>
      <c r="BH748">
        <v>0</v>
      </c>
      <c r="BI748" s="155">
        <v>0</v>
      </c>
      <c r="BJ748">
        <v>9167</v>
      </c>
      <c r="BK748" t="s">
        <v>98</v>
      </c>
      <c r="BL748" s="143">
        <v>34.18</v>
      </c>
      <c r="BM748" s="142">
        <v>1</v>
      </c>
      <c r="BN748" s="142">
        <v>0</v>
      </c>
      <c r="BO748" s="142">
        <v>0</v>
      </c>
      <c r="BP748" s="142">
        <v>0</v>
      </c>
      <c r="BQ748" s="142">
        <v>0</v>
      </c>
      <c r="BR748" s="142">
        <v>0</v>
      </c>
      <c r="BS748" s="142">
        <v>0</v>
      </c>
      <c r="BT748" s="155">
        <v>0</v>
      </c>
      <c r="BU748" s="142">
        <v>0</v>
      </c>
      <c r="BV748" s="142">
        <v>0</v>
      </c>
      <c r="BW748" s="142">
        <v>1</v>
      </c>
      <c r="BX748" s="155">
        <v>0</v>
      </c>
      <c r="BY748" s="142">
        <v>0</v>
      </c>
      <c r="BZ748" s="142">
        <v>0</v>
      </c>
      <c r="CA748" s="142">
        <v>0</v>
      </c>
      <c r="CB748" s="142">
        <v>0</v>
      </c>
      <c r="CC748" s="155">
        <v>0</v>
      </c>
      <c r="CD748" s="142">
        <v>0</v>
      </c>
      <c r="CE748" s="142">
        <v>0</v>
      </c>
      <c r="CF748" s="142">
        <v>1</v>
      </c>
      <c r="CG748" s="142">
        <v>0</v>
      </c>
      <c r="CH748" s="142">
        <v>1</v>
      </c>
      <c r="CI748" s="142">
        <v>0</v>
      </c>
      <c r="CJ748" s="142">
        <v>0</v>
      </c>
      <c r="CK748" s="142">
        <v>0</v>
      </c>
      <c r="CL748" s="142">
        <v>0</v>
      </c>
      <c r="CM748" s="142">
        <v>0</v>
      </c>
      <c r="CN748" s="155">
        <v>1</v>
      </c>
      <c r="CO748">
        <v>0.29799999999999999</v>
      </c>
      <c r="CP748">
        <v>21</v>
      </c>
      <c r="CQ748">
        <v>1</v>
      </c>
      <c r="CR748">
        <v>0</v>
      </c>
      <c r="CS748">
        <v>20</v>
      </c>
      <c r="CT748" s="157"/>
      <c r="CY748" s="157"/>
    </row>
    <row r="749" spans="1:103" x14ac:dyDescent="0.25">
      <c r="A749">
        <v>748</v>
      </c>
      <c r="B749">
        <v>47</v>
      </c>
      <c r="C749" s="25" t="s">
        <v>473</v>
      </c>
      <c r="D749" s="12">
        <v>18.399999999999999</v>
      </c>
      <c r="E749" s="14">
        <v>0.4</v>
      </c>
      <c r="F749" s="7">
        <f t="shared" si="180"/>
        <v>45.999999999999993</v>
      </c>
      <c r="G749" s="7">
        <f t="shared" si="173"/>
        <v>18</v>
      </c>
      <c r="H749" s="16">
        <f t="shared" si="174"/>
        <v>18.799999999999997</v>
      </c>
      <c r="I749" s="11">
        <f t="shared" si="177"/>
        <v>0.56442779993810444</v>
      </c>
      <c r="J749" s="33">
        <f t="shared" si="178"/>
        <v>1.2270169563871839E-2</v>
      </c>
      <c r="K749" s="33">
        <f t="shared" si="179"/>
        <v>81.498466243236749</v>
      </c>
      <c r="L749" s="8">
        <v>0</v>
      </c>
      <c r="M749" s="9">
        <v>1</v>
      </c>
      <c r="N749" s="8">
        <v>0</v>
      </c>
      <c r="O749" s="9">
        <v>0</v>
      </c>
      <c r="P749" s="9">
        <v>1</v>
      </c>
      <c r="Q749" s="9">
        <v>0</v>
      </c>
      <c r="R749" s="9">
        <v>0</v>
      </c>
      <c r="S749" s="8">
        <v>4530</v>
      </c>
      <c r="T749" s="9">
        <v>3</v>
      </c>
      <c r="U749" s="9">
        <f t="shared" si="175"/>
        <v>4526</v>
      </c>
      <c r="V749" s="9">
        <f t="shared" si="176"/>
        <v>9</v>
      </c>
      <c r="W749" s="7">
        <f t="shared" ref="W749:W757" si="183">(0*AK749+9*AL749+15*AM749+18*AN749)</f>
        <v>10.29</v>
      </c>
      <c r="X749" s="7">
        <f t="shared" ref="X749:X757" si="184">BL749-W749-6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85">1-AR749</f>
        <v>0.61</v>
      </c>
      <c r="AR749" s="40">
        <v>0.39</v>
      </c>
      <c r="AS749" s="39">
        <f t="shared" ref="AS749:AS757" si="186">1-AT749</f>
        <v>0.78800000000000003</v>
      </c>
      <c r="AT749" s="40">
        <v>0.21199999999999999</v>
      </c>
      <c r="AU749">
        <v>0</v>
      </c>
      <c r="AV749" s="18">
        <v>1</v>
      </c>
      <c r="AW749">
        <v>0.36820000000000003</v>
      </c>
      <c r="AX749" s="18">
        <f t="shared" ref="AX749:AX757" si="187">1-AW749</f>
        <v>0.63179999999999992</v>
      </c>
      <c r="AY749" s="18" t="s">
        <v>474</v>
      </c>
      <c r="AZ749">
        <v>0</v>
      </c>
      <c r="BA749">
        <v>0</v>
      </c>
      <c r="BB749">
        <v>0</v>
      </c>
      <c r="BC749">
        <v>0</v>
      </c>
      <c r="BD749">
        <v>0</v>
      </c>
      <c r="BE749">
        <v>0</v>
      </c>
      <c r="BF749" s="18">
        <v>1</v>
      </c>
      <c r="BG749">
        <v>0</v>
      </c>
      <c r="BH749">
        <v>0</v>
      </c>
      <c r="BI749" s="18">
        <v>1</v>
      </c>
      <c r="BJ749">
        <v>430</v>
      </c>
      <c r="BK749">
        <v>26</v>
      </c>
      <c r="BL749" s="25">
        <v>39.5</v>
      </c>
      <c r="BM749">
        <v>1</v>
      </c>
      <c r="BN749">
        <v>0</v>
      </c>
      <c r="BO749">
        <v>0</v>
      </c>
      <c r="BP749">
        <v>0</v>
      </c>
      <c r="BQ749">
        <v>0</v>
      </c>
      <c r="BR749">
        <v>0</v>
      </c>
      <c r="BS749">
        <v>0</v>
      </c>
      <c r="BT749" s="18">
        <v>0</v>
      </c>
      <c r="BU749">
        <v>0</v>
      </c>
      <c r="BV749">
        <v>0</v>
      </c>
      <c r="BW749">
        <v>1</v>
      </c>
      <c r="BX749" s="18">
        <v>0</v>
      </c>
      <c r="BY749">
        <v>0</v>
      </c>
      <c r="BZ749">
        <v>0</v>
      </c>
      <c r="CA749">
        <v>0</v>
      </c>
      <c r="CB749">
        <v>0</v>
      </c>
      <c r="CC749" s="18">
        <v>0</v>
      </c>
      <c r="CD749">
        <v>1</v>
      </c>
      <c r="CE749">
        <v>1</v>
      </c>
      <c r="CF749">
        <v>0</v>
      </c>
      <c r="CG749">
        <v>0</v>
      </c>
      <c r="CH749">
        <v>0</v>
      </c>
      <c r="CI749">
        <v>0</v>
      </c>
      <c r="CJ749">
        <v>0</v>
      </c>
      <c r="CK749">
        <v>0</v>
      </c>
      <c r="CL749">
        <v>0</v>
      </c>
      <c r="CM749">
        <v>0</v>
      </c>
      <c r="CN749" s="18">
        <v>0</v>
      </c>
      <c r="CO749">
        <v>0.14599999999999999</v>
      </c>
      <c r="CP749">
        <v>1</v>
      </c>
      <c r="CQ749">
        <v>1</v>
      </c>
      <c r="CR749">
        <v>0</v>
      </c>
      <c r="CS749">
        <v>24</v>
      </c>
      <c r="CY749" s="34"/>
    </row>
    <row r="750" spans="1:103" x14ac:dyDescent="0.25">
      <c r="A750">
        <v>749</v>
      </c>
      <c r="B750">
        <v>47</v>
      </c>
      <c r="C750" s="25" t="s">
        <v>473</v>
      </c>
      <c r="D750" s="12">
        <v>16</v>
      </c>
      <c r="E750" s="14">
        <v>0.4</v>
      </c>
      <c r="F750" s="7">
        <f t="shared" si="180"/>
        <v>40</v>
      </c>
      <c r="G750" s="7">
        <f t="shared" si="173"/>
        <v>15.6</v>
      </c>
      <c r="H750" s="16">
        <f t="shared" si="174"/>
        <v>16.399999999999999</v>
      </c>
      <c r="I750" s="11">
        <f t="shared" si="177"/>
        <v>0.36366641995444088</v>
      </c>
      <c r="J750" s="33">
        <f t="shared" si="178"/>
        <v>9.0916604988610216E-3</v>
      </c>
      <c r="K750" s="33">
        <f t="shared" si="179"/>
        <v>109.99090871522064</v>
      </c>
      <c r="L750" s="8">
        <v>0</v>
      </c>
      <c r="M750" s="9">
        <v>1</v>
      </c>
      <c r="N750" s="8">
        <v>0</v>
      </c>
      <c r="O750" s="9">
        <v>0</v>
      </c>
      <c r="P750" s="9">
        <v>1</v>
      </c>
      <c r="Q750" s="9">
        <v>0</v>
      </c>
      <c r="R750" s="9">
        <v>0</v>
      </c>
      <c r="S750" s="8">
        <v>10502</v>
      </c>
      <c r="T750" s="9">
        <v>3</v>
      </c>
      <c r="U750" s="9">
        <f t="shared" si="175"/>
        <v>10498</v>
      </c>
      <c r="V750" s="9">
        <f t="shared" si="176"/>
        <v>9</v>
      </c>
      <c r="W750" s="7">
        <f t="shared" si="183"/>
        <v>10.079999999999998</v>
      </c>
      <c r="X750" s="7">
        <f t="shared" si="184"/>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85"/>
        <v>0.62</v>
      </c>
      <c r="AR750" s="40">
        <v>0.38</v>
      </c>
      <c r="AS750" s="39">
        <f t="shared" si="186"/>
        <v>0.80259999999999998</v>
      </c>
      <c r="AT750" s="40">
        <v>0.19739999999999999</v>
      </c>
      <c r="AU750">
        <v>0</v>
      </c>
      <c r="AV750" s="18">
        <v>1</v>
      </c>
      <c r="AW750">
        <v>0.39300000000000002</v>
      </c>
      <c r="AX750" s="18">
        <f t="shared" si="187"/>
        <v>0.60699999999999998</v>
      </c>
      <c r="AY750" s="18" t="s">
        <v>474</v>
      </c>
      <c r="AZ750">
        <v>0</v>
      </c>
      <c r="BA750">
        <v>0</v>
      </c>
      <c r="BB750">
        <v>0</v>
      </c>
      <c r="BC750">
        <v>0</v>
      </c>
      <c r="BD750">
        <v>0</v>
      </c>
      <c r="BE750">
        <v>0</v>
      </c>
      <c r="BF750" s="18">
        <v>1</v>
      </c>
      <c r="BG750">
        <v>0</v>
      </c>
      <c r="BH750">
        <v>0</v>
      </c>
      <c r="BI750" s="18">
        <v>1</v>
      </c>
      <c r="BJ750">
        <v>510</v>
      </c>
      <c r="BK750">
        <v>49</v>
      </c>
      <c r="BL750" s="25">
        <v>39.5</v>
      </c>
      <c r="BM750">
        <v>1</v>
      </c>
      <c r="BN750">
        <v>0</v>
      </c>
      <c r="BO750">
        <v>0</v>
      </c>
      <c r="BP750">
        <v>0</v>
      </c>
      <c r="BQ750">
        <v>0</v>
      </c>
      <c r="BR750">
        <v>0</v>
      </c>
      <c r="BS750">
        <v>0</v>
      </c>
      <c r="BT750" s="18">
        <v>0</v>
      </c>
      <c r="BU750">
        <v>0</v>
      </c>
      <c r="BV750">
        <v>0</v>
      </c>
      <c r="BW750">
        <v>1</v>
      </c>
      <c r="BX750" s="18">
        <v>0</v>
      </c>
      <c r="BY750">
        <v>0</v>
      </c>
      <c r="BZ750">
        <v>0</v>
      </c>
      <c r="CA750">
        <v>0</v>
      </c>
      <c r="CB750">
        <v>0</v>
      </c>
      <c r="CC750" s="18">
        <v>0</v>
      </c>
      <c r="CD750">
        <v>1</v>
      </c>
      <c r="CE750">
        <v>1</v>
      </c>
      <c r="CF750">
        <v>0</v>
      </c>
      <c r="CG750">
        <v>0</v>
      </c>
      <c r="CH750">
        <v>0</v>
      </c>
      <c r="CI750">
        <v>0</v>
      </c>
      <c r="CJ750">
        <v>0</v>
      </c>
      <c r="CK750">
        <v>0</v>
      </c>
      <c r="CL750">
        <v>0</v>
      </c>
      <c r="CM750">
        <v>0</v>
      </c>
      <c r="CN750" s="18">
        <v>0</v>
      </c>
      <c r="CO750">
        <v>0.14599999999999999</v>
      </c>
      <c r="CP750">
        <v>1</v>
      </c>
      <c r="CQ750">
        <v>1</v>
      </c>
      <c r="CR750">
        <v>0</v>
      </c>
      <c r="CS750">
        <v>24</v>
      </c>
      <c r="CY750" s="34"/>
    </row>
    <row r="751" spans="1:103" x14ac:dyDescent="0.25">
      <c r="A751">
        <v>750</v>
      </c>
      <c r="B751">
        <v>47</v>
      </c>
      <c r="C751" s="25" t="s">
        <v>473</v>
      </c>
      <c r="D751" s="12">
        <v>16.399999999999999</v>
      </c>
      <c r="E751" s="14">
        <v>0.4</v>
      </c>
      <c r="F751" s="7">
        <f t="shared" si="180"/>
        <v>40.999999999999993</v>
      </c>
      <c r="G751" s="7">
        <f t="shared" si="173"/>
        <v>15.999999999999998</v>
      </c>
      <c r="H751" s="16">
        <f t="shared" si="174"/>
        <v>16.799999999999997</v>
      </c>
      <c r="I751" s="11">
        <f t="shared" si="177"/>
        <v>0.32424493852851566</v>
      </c>
      <c r="J751" s="33">
        <f t="shared" si="178"/>
        <v>7.9084131348418473E-3</v>
      </c>
      <c r="K751" s="33">
        <f t="shared" si="179"/>
        <v>126.44761761298628</v>
      </c>
      <c r="L751" s="8">
        <v>0</v>
      </c>
      <c r="M751" s="9">
        <v>1</v>
      </c>
      <c r="N751" s="8">
        <v>0</v>
      </c>
      <c r="O751" s="9">
        <v>0</v>
      </c>
      <c r="P751" s="9">
        <v>1</v>
      </c>
      <c r="Q751" s="9">
        <v>0</v>
      </c>
      <c r="R751" s="9">
        <v>0</v>
      </c>
      <c r="S751" s="8">
        <v>14312</v>
      </c>
      <c r="T751" s="9">
        <v>3</v>
      </c>
      <c r="U751" s="9">
        <f t="shared" si="175"/>
        <v>14308</v>
      </c>
      <c r="V751" s="9">
        <f t="shared" si="176"/>
        <v>9</v>
      </c>
      <c r="W751" s="7">
        <f t="shared" si="183"/>
        <v>11.01</v>
      </c>
      <c r="X751" s="7">
        <f t="shared" si="184"/>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85"/>
        <v>0.59000000000000008</v>
      </c>
      <c r="AR751" s="40">
        <v>0.41</v>
      </c>
      <c r="AS751" s="39">
        <f t="shared" si="186"/>
        <v>0.79889999999999994</v>
      </c>
      <c r="AT751" s="40">
        <v>0.2011</v>
      </c>
      <c r="AU751">
        <v>0</v>
      </c>
      <c r="AV751" s="18">
        <v>1</v>
      </c>
      <c r="AW751">
        <v>0.1943</v>
      </c>
      <c r="AX751" s="18">
        <f t="shared" si="187"/>
        <v>0.80569999999999997</v>
      </c>
      <c r="AY751" s="18" t="s">
        <v>474</v>
      </c>
      <c r="AZ751">
        <v>0</v>
      </c>
      <c r="BA751">
        <v>0</v>
      </c>
      <c r="BB751">
        <v>0</v>
      </c>
      <c r="BC751">
        <v>0</v>
      </c>
      <c r="BD751">
        <v>0</v>
      </c>
      <c r="BE751">
        <v>0</v>
      </c>
      <c r="BF751" s="18">
        <v>1</v>
      </c>
      <c r="BG751">
        <v>0</v>
      </c>
      <c r="BH751">
        <v>0</v>
      </c>
      <c r="BI751" s="18">
        <v>1</v>
      </c>
      <c r="BJ751">
        <v>571</v>
      </c>
      <c r="BK751">
        <v>83</v>
      </c>
      <c r="BL751" s="25">
        <v>39.5</v>
      </c>
      <c r="BM751">
        <v>1</v>
      </c>
      <c r="BN751">
        <v>0</v>
      </c>
      <c r="BO751">
        <v>0</v>
      </c>
      <c r="BP751">
        <v>0</v>
      </c>
      <c r="BQ751">
        <v>0</v>
      </c>
      <c r="BR751">
        <v>0</v>
      </c>
      <c r="BS751">
        <v>0</v>
      </c>
      <c r="BT751" s="18">
        <v>0</v>
      </c>
      <c r="BU751">
        <v>0</v>
      </c>
      <c r="BV751">
        <v>0</v>
      </c>
      <c r="BW751">
        <v>1</v>
      </c>
      <c r="BX751" s="18">
        <v>0</v>
      </c>
      <c r="BY751">
        <v>0</v>
      </c>
      <c r="BZ751">
        <v>0</v>
      </c>
      <c r="CA751">
        <v>0</v>
      </c>
      <c r="CB751">
        <v>0</v>
      </c>
      <c r="CC751" s="18">
        <v>0</v>
      </c>
      <c r="CD751">
        <v>1</v>
      </c>
      <c r="CE751">
        <v>1</v>
      </c>
      <c r="CF751">
        <v>0</v>
      </c>
      <c r="CG751">
        <v>0</v>
      </c>
      <c r="CH751">
        <v>0</v>
      </c>
      <c r="CI751">
        <v>0</v>
      </c>
      <c r="CJ751">
        <v>0</v>
      </c>
      <c r="CK751">
        <v>0</v>
      </c>
      <c r="CL751">
        <v>0</v>
      </c>
      <c r="CM751">
        <v>0</v>
      </c>
      <c r="CN751" s="18">
        <v>0</v>
      </c>
      <c r="CO751">
        <v>0.14599999999999999</v>
      </c>
      <c r="CP751">
        <v>1</v>
      </c>
      <c r="CQ751">
        <v>1</v>
      </c>
      <c r="CR751">
        <v>0</v>
      </c>
      <c r="CS751">
        <v>24</v>
      </c>
      <c r="CY751" s="34"/>
    </row>
    <row r="752" spans="1:103" x14ac:dyDescent="0.25">
      <c r="A752">
        <v>751</v>
      </c>
      <c r="B752">
        <v>47</v>
      </c>
      <c r="C752" s="25" t="s">
        <v>473</v>
      </c>
      <c r="D752" s="12">
        <v>9.6</v>
      </c>
      <c r="E752" s="14">
        <v>0.4</v>
      </c>
      <c r="F752" s="7">
        <f t="shared" si="180"/>
        <v>23.999999999999996</v>
      </c>
      <c r="G752" s="7">
        <f t="shared" si="173"/>
        <v>9.1999999999999993</v>
      </c>
      <c r="H752" s="16">
        <f t="shared" si="174"/>
        <v>10</v>
      </c>
      <c r="I752" s="11">
        <f t="shared" si="177"/>
        <v>0.26153475390982339</v>
      </c>
      <c r="J752" s="33">
        <f t="shared" si="178"/>
        <v>1.0897281412909309E-2</v>
      </c>
      <c r="K752" s="33">
        <f t="shared" si="179"/>
        <v>91.766006778109286</v>
      </c>
      <c r="L752" s="8">
        <v>0</v>
      </c>
      <c r="M752" s="9">
        <v>1</v>
      </c>
      <c r="N752" s="8">
        <v>0</v>
      </c>
      <c r="O752" s="9">
        <v>0</v>
      </c>
      <c r="P752" s="9">
        <v>1</v>
      </c>
      <c r="Q752" s="9">
        <v>0</v>
      </c>
      <c r="R752" s="9">
        <v>0</v>
      </c>
      <c r="S752" s="8">
        <v>7860</v>
      </c>
      <c r="T752" s="9">
        <v>14</v>
      </c>
      <c r="U752" s="9">
        <f t="shared" si="175"/>
        <v>7845</v>
      </c>
      <c r="V752" s="9">
        <f t="shared" si="176"/>
        <v>9</v>
      </c>
      <c r="W752" s="7">
        <f t="shared" si="183"/>
        <v>10.29</v>
      </c>
      <c r="X752" s="7">
        <f t="shared" si="184"/>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85"/>
        <v>0.61</v>
      </c>
      <c r="AR752" s="40">
        <v>0.39</v>
      </c>
      <c r="AS752" s="39">
        <f t="shared" si="186"/>
        <v>0.78800000000000003</v>
      </c>
      <c r="AT752" s="40">
        <v>0.21199999999999999</v>
      </c>
      <c r="AU752">
        <v>0</v>
      </c>
      <c r="AV752" s="18">
        <v>1</v>
      </c>
      <c r="AW752">
        <v>0.36820000000000003</v>
      </c>
      <c r="AX752" s="18">
        <f t="shared" si="187"/>
        <v>0.63179999999999992</v>
      </c>
      <c r="AY752" s="18" t="s">
        <v>474</v>
      </c>
      <c r="AZ752">
        <v>0</v>
      </c>
      <c r="BA752">
        <v>0</v>
      </c>
      <c r="BB752">
        <v>0</v>
      </c>
      <c r="BC752">
        <v>0</v>
      </c>
      <c r="BD752">
        <v>0</v>
      </c>
      <c r="BE752">
        <v>0</v>
      </c>
      <c r="BF752" s="18">
        <v>1</v>
      </c>
      <c r="BG752">
        <v>0</v>
      </c>
      <c r="BH752">
        <v>0</v>
      </c>
      <c r="BI752" s="18">
        <v>1</v>
      </c>
      <c r="BJ752">
        <v>430</v>
      </c>
      <c r="BK752">
        <v>26</v>
      </c>
      <c r="BL752" s="25">
        <v>39.5</v>
      </c>
      <c r="BM752">
        <v>1</v>
      </c>
      <c r="BN752">
        <v>0</v>
      </c>
      <c r="BO752">
        <v>0</v>
      </c>
      <c r="BP752">
        <v>0</v>
      </c>
      <c r="BQ752">
        <v>0</v>
      </c>
      <c r="BR752">
        <v>0</v>
      </c>
      <c r="BS752">
        <v>0</v>
      </c>
      <c r="BT752" s="18">
        <v>0</v>
      </c>
      <c r="BU752">
        <v>0</v>
      </c>
      <c r="BV752">
        <v>0</v>
      </c>
      <c r="BW752">
        <v>1</v>
      </c>
      <c r="BX752" s="18">
        <v>0</v>
      </c>
      <c r="BY752">
        <v>0</v>
      </c>
      <c r="BZ752">
        <v>0</v>
      </c>
      <c r="CA752">
        <v>0</v>
      </c>
      <c r="CB752">
        <v>0</v>
      </c>
      <c r="CC752" s="18">
        <v>0</v>
      </c>
      <c r="CD752">
        <v>1</v>
      </c>
      <c r="CE752">
        <v>1</v>
      </c>
      <c r="CF752">
        <v>0</v>
      </c>
      <c r="CG752">
        <v>0</v>
      </c>
      <c r="CH752">
        <v>0</v>
      </c>
      <c r="CI752">
        <v>0</v>
      </c>
      <c r="CJ752">
        <v>1</v>
      </c>
      <c r="CK752">
        <v>1</v>
      </c>
      <c r="CL752">
        <v>0</v>
      </c>
      <c r="CM752">
        <v>1</v>
      </c>
      <c r="CN752" s="18">
        <v>0</v>
      </c>
      <c r="CO752">
        <v>0.14599999999999999</v>
      </c>
      <c r="CP752">
        <v>1</v>
      </c>
      <c r="CQ752">
        <v>1</v>
      </c>
      <c r="CR752">
        <v>0</v>
      </c>
      <c r="CS752">
        <v>24</v>
      </c>
      <c r="CY752" s="34"/>
    </row>
    <row r="753" spans="1:103" x14ac:dyDescent="0.25">
      <c r="A753">
        <v>752</v>
      </c>
      <c r="B753">
        <v>47</v>
      </c>
      <c r="C753" s="25" t="s">
        <v>473</v>
      </c>
      <c r="D753" s="12">
        <v>8.9</v>
      </c>
      <c r="E753" s="14">
        <v>0.4</v>
      </c>
      <c r="F753" s="7">
        <f t="shared" si="180"/>
        <v>22.25</v>
      </c>
      <c r="G753" s="7">
        <f t="shared" si="173"/>
        <v>8.5</v>
      </c>
      <c r="H753" s="16">
        <f t="shared" si="174"/>
        <v>9.3000000000000007</v>
      </c>
      <c r="I753" s="11">
        <f t="shared" si="177"/>
        <v>0.21231860878491449</v>
      </c>
      <c r="J753" s="33">
        <f t="shared" si="178"/>
        <v>9.5424093835916619E-3</v>
      </c>
      <c r="K753" s="33">
        <f t="shared" si="179"/>
        <v>104.79533625119011</v>
      </c>
      <c r="L753" s="8">
        <v>0</v>
      </c>
      <c r="M753" s="9">
        <v>1</v>
      </c>
      <c r="N753" s="8">
        <v>0</v>
      </c>
      <c r="O753" s="9">
        <v>0</v>
      </c>
      <c r="P753" s="9">
        <v>1</v>
      </c>
      <c r="Q753" s="9">
        <v>0</v>
      </c>
      <c r="R753" s="9">
        <v>0</v>
      </c>
      <c r="S753" s="8">
        <v>10502</v>
      </c>
      <c r="T753" s="9">
        <v>14</v>
      </c>
      <c r="U753" s="9">
        <f t="shared" si="175"/>
        <v>10487</v>
      </c>
      <c r="V753" s="9">
        <f t="shared" si="176"/>
        <v>9</v>
      </c>
      <c r="W753" s="7">
        <f t="shared" si="183"/>
        <v>10.079999999999998</v>
      </c>
      <c r="X753" s="7">
        <f t="shared" si="184"/>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85"/>
        <v>0.62</v>
      </c>
      <c r="AR753" s="40">
        <v>0.38</v>
      </c>
      <c r="AS753" s="39">
        <f t="shared" si="186"/>
        <v>0.80259999999999998</v>
      </c>
      <c r="AT753" s="40">
        <v>0.19739999999999999</v>
      </c>
      <c r="AU753">
        <v>0</v>
      </c>
      <c r="AV753" s="18">
        <v>1</v>
      </c>
      <c r="AW753">
        <v>0.39300000000000002</v>
      </c>
      <c r="AX753" s="18">
        <f t="shared" si="187"/>
        <v>0.60699999999999998</v>
      </c>
      <c r="AY753" s="18" t="s">
        <v>474</v>
      </c>
      <c r="AZ753">
        <v>0</v>
      </c>
      <c r="BA753">
        <v>0</v>
      </c>
      <c r="BB753">
        <v>0</v>
      </c>
      <c r="BC753">
        <v>0</v>
      </c>
      <c r="BD753">
        <v>0</v>
      </c>
      <c r="BE753">
        <v>0</v>
      </c>
      <c r="BF753" s="18">
        <v>1</v>
      </c>
      <c r="BG753">
        <v>0</v>
      </c>
      <c r="BH753">
        <v>0</v>
      </c>
      <c r="BI753" s="18">
        <v>1</v>
      </c>
      <c r="BJ753">
        <v>510</v>
      </c>
      <c r="BK753">
        <v>49</v>
      </c>
      <c r="BL753" s="25">
        <v>39.5</v>
      </c>
      <c r="BM753">
        <v>1</v>
      </c>
      <c r="BN753">
        <v>0</v>
      </c>
      <c r="BO753">
        <v>0</v>
      </c>
      <c r="BP753">
        <v>0</v>
      </c>
      <c r="BQ753">
        <v>0</v>
      </c>
      <c r="BR753">
        <v>0</v>
      </c>
      <c r="BS753">
        <v>0</v>
      </c>
      <c r="BT753" s="18">
        <v>0</v>
      </c>
      <c r="BU753">
        <v>0</v>
      </c>
      <c r="BV753">
        <v>0</v>
      </c>
      <c r="BW753">
        <v>1</v>
      </c>
      <c r="BX753" s="18">
        <v>0</v>
      </c>
      <c r="BY753">
        <v>0</v>
      </c>
      <c r="BZ753">
        <v>0</v>
      </c>
      <c r="CA753">
        <v>0</v>
      </c>
      <c r="CB753">
        <v>0</v>
      </c>
      <c r="CC753" s="18">
        <v>0</v>
      </c>
      <c r="CD753">
        <v>1</v>
      </c>
      <c r="CE753">
        <v>1</v>
      </c>
      <c r="CF753">
        <v>0</v>
      </c>
      <c r="CG753">
        <v>0</v>
      </c>
      <c r="CH753">
        <v>0</v>
      </c>
      <c r="CI753">
        <v>0</v>
      </c>
      <c r="CJ753">
        <v>1</v>
      </c>
      <c r="CK753">
        <v>1</v>
      </c>
      <c r="CL753">
        <v>0</v>
      </c>
      <c r="CM753">
        <v>1</v>
      </c>
      <c r="CN753" s="18">
        <v>0</v>
      </c>
      <c r="CO753">
        <v>0.14599999999999999</v>
      </c>
      <c r="CP753">
        <v>1</v>
      </c>
      <c r="CQ753">
        <v>1</v>
      </c>
      <c r="CR753">
        <v>0</v>
      </c>
      <c r="CS753">
        <v>24</v>
      </c>
      <c r="CY753" s="34"/>
    </row>
    <row r="754" spans="1:103" x14ac:dyDescent="0.25">
      <c r="A754">
        <v>753</v>
      </c>
      <c r="B754">
        <v>47</v>
      </c>
      <c r="C754" s="25" t="s">
        <v>473</v>
      </c>
      <c r="D754" s="12">
        <v>10.8</v>
      </c>
      <c r="E754" s="14">
        <v>0.3</v>
      </c>
      <c r="F754" s="7">
        <f t="shared" si="180"/>
        <v>36.000000000000007</v>
      </c>
      <c r="G754" s="7">
        <f t="shared" si="173"/>
        <v>10.5</v>
      </c>
      <c r="H754" s="16">
        <f t="shared" si="174"/>
        <v>11.100000000000001</v>
      </c>
      <c r="I754" s="11">
        <f t="shared" si="177"/>
        <v>0.28829536575931408</v>
      </c>
      <c r="J754" s="33">
        <f t="shared" si="178"/>
        <v>8.0082046044253896E-3</v>
      </c>
      <c r="K754" s="33">
        <f t="shared" si="179"/>
        <v>124.87193439680513</v>
      </c>
      <c r="L754" s="8">
        <v>0</v>
      </c>
      <c r="M754" s="9">
        <v>1</v>
      </c>
      <c r="N754" s="8">
        <v>0</v>
      </c>
      <c r="O754" s="9">
        <v>0</v>
      </c>
      <c r="P754" s="9">
        <v>1</v>
      </c>
      <c r="Q754" s="9">
        <v>0</v>
      </c>
      <c r="R754" s="9">
        <v>0</v>
      </c>
      <c r="S754" s="8">
        <v>14312</v>
      </c>
      <c r="T754" s="9">
        <v>14</v>
      </c>
      <c r="U754" s="9">
        <f t="shared" si="175"/>
        <v>14297</v>
      </c>
      <c r="V754" s="9">
        <f t="shared" si="176"/>
        <v>9</v>
      </c>
      <c r="W754" s="7">
        <f t="shared" si="183"/>
        <v>11.01</v>
      </c>
      <c r="X754" s="7">
        <f t="shared" si="184"/>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85"/>
        <v>0.59000000000000008</v>
      </c>
      <c r="AR754" s="40">
        <v>0.41</v>
      </c>
      <c r="AS754" s="39">
        <f t="shared" si="186"/>
        <v>0.79889999999999994</v>
      </c>
      <c r="AT754" s="40">
        <v>0.2011</v>
      </c>
      <c r="AU754">
        <v>0</v>
      </c>
      <c r="AV754" s="18">
        <v>1</v>
      </c>
      <c r="AW754">
        <v>0.1943</v>
      </c>
      <c r="AX754" s="18">
        <f t="shared" si="187"/>
        <v>0.80569999999999997</v>
      </c>
      <c r="AY754" s="18" t="s">
        <v>474</v>
      </c>
      <c r="AZ754">
        <v>0</v>
      </c>
      <c r="BA754">
        <v>0</v>
      </c>
      <c r="BB754">
        <v>0</v>
      </c>
      <c r="BC754">
        <v>0</v>
      </c>
      <c r="BD754">
        <v>0</v>
      </c>
      <c r="BE754">
        <v>0</v>
      </c>
      <c r="BF754" s="18">
        <v>1</v>
      </c>
      <c r="BG754">
        <v>0</v>
      </c>
      <c r="BH754">
        <v>0</v>
      </c>
      <c r="BI754" s="18">
        <v>1</v>
      </c>
      <c r="BJ754">
        <v>571</v>
      </c>
      <c r="BK754">
        <v>83</v>
      </c>
      <c r="BL754" s="25">
        <v>39.5</v>
      </c>
      <c r="BM754">
        <v>1</v>
      </c>
      <c r="BN754">
        <v>0</v>
      </c>
      <c r="BO754">
        <v>0</v>
      </c>
      <c r="BP754">
        <v>0</v>
      </c>
      <c r="BQ754">
        <v>0</v>
      </c>
      <c r="BR754">
        <v>0</v>
      </c>
      <c r="BS754">
        <v>0</v>
      </c>
      <c r="BT754" s="18">
        <v>0</v>
      </c>
      <c r="BU754">
        <v>0</v>
      </c>
      <c r="BV754">
        <v>0</v>
      </c>
      <c r="BW754">
        <v>1</v>
      </c>
      <c r="BX754" s="18">
        <v>0</v>
      </c>
      <c r="BY754">
        <v>0</v>
      </c>
      <c r="BZ754">
        <v>0</v>
      </c>
      <c r="CA754">
        <v>0</v>
      </c>
      <c r="CB754">
        <v>0</v>
      </c>
      <c r="CC754" s="18">
        <v>0</v>
      </c>
      <c r="CD754">
        <v>1</v>
      </c>
      <c r="CE754">
        <v>1</v>
      </c>
      <c r="CF754">
        <v>0</v>
      </c>
      <c r="CG754">
        <v>0</v>
      </c>
      <c r="CH754">
        <v>0</v>
      </c>
      <c r="CI754">
        <v>0</v>
      </c>
      <c r="CJ754">
        <v>1</v>
      </c>
      <c r="CK754">
        <v>1</v>
      </c>
      <c r="CL754">
        <v>0</v>
      </c>
      <c r="CM754">
        <v>1</v>
      </c>
      <c r="CN754" s="18">
        <v>0</v>
      </c>
      <c r="CO754">
        <v>0.14599999999999999</v>
      </c>
      <c r="CP754">
        <v>1</v>
      </c>
      <c r="CQ754">
        <v>1</v>
      </c>
      <c r="CR754">
        <v>0</v>
      </c>
      <c r="CS754">
        <v>24</v>
      </c>
      <c r="CY754" s="34"/>
    </row>
    <row r="755" spans="1:103" x14ac:dyDescent="0.25">
      <c r="A755">
        <v>754</v>
      </c>
      <c r="B755">
        <v>47</v>
      </c>
      <c r="C755" s="25" t="s">
        <v>473</v>
      </c>
      <c r="D755" s="12">
        <v>10.8</v>
      </c>
      <c r="E755" s="14">
        <v>0.7</v>
      </c>
      <c r="F755" s="7">
        <f t="shared" si="180"/>
        <v>15.428571428571431</v>
      </c>
      <c r="G755" s="7">
        <f t="shared" si="173"/>
        <v>10.100000000000001</v>
      </c>
      <c r="H755" s="16">
        <f t="shared" si="174"/>
        <v>11.5</v>
      </c>
      <c r="I755" s="11">
        <f t="shared" si="177"/>
        <v>0.17160831599091331</v>
      </c>
      <c r="J755" s="33">
        <f t="shared" si="178"/>
        <v>1.1122761221633269E-2</v>
      </c>
      <c r="K755" s="33">
        <f t="shared" si="179"/>
        <v>89.905732944715666</v>
      </c>
      <c r="L755" s="8">
        <v>0</v>
      </c>
      <c r="M755" s="9">
        <v>1</v>
      </c>
      <c r="N755" s="8">
        <v>0</v>
      </c>
      <c r="O755" s="9">
        <v>0</v>
      </c>
      <c r="P755" s="9">
        <v>1</v>
      </c>
      <c r="Q755" s="9">
        <v>0</v>
      </c>
      <c r="R755" s="9">
        <v>0</v>
      </c>
      <c r="S755" s="8">
        <v>7860</v>
      </c>
      <c r="T755" s="9">
        <v>14</v>
      </c>
      <c r="U755" s="9">
        <f t="shared" si="175"/>
        <v>7845</v>
      </c>
      <c r="V755" s="9">
        <f t="shared" si="176"/>
        <v>9</v>
      </c>
      <c r="W755" s="7">
        <f t="shared" si="183"/>
        <v>10.29</v>
      </c>
      <c r="X755" s="7">
        <f t="shared" si="184"/>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85"/>
        <v>0.61</v>
      </c>
      <c r="AR755" s="40">
        <v>0.39</v>
      </c>
      <c r="AS755" s="39">
        <f t="shared" si="186"/>
        <v>0.78800000000000003</v>
      </c>
      <c r="AT755" s="40">
        <v>0.21199999999999999</v>
      </c>
      <c r="AU755">
        <v>0</v>
      </c>
      <c r="AV755" s="18">
        <v>1</v>
      </c>
      <c r="AW755">
        <v>0.36820000000000003</v>
      </c>
      <c r="AX755" s="18">
        <f t="shared" si="187"/>
        <v>0.63179999999999992</v>
      </c>
      <c r="AY755" s="18" t="s">
        <v>474</v>
      </c>
      <c r="AZ755">
        <v>0</v>
      </c>
      <c r="BA755">
        <v>0</v>
      </c>
      <c r="BB755">
        <v>0</v>
      </c>
      <c r="BC755">
        <v>0</v>
      </c>
      <c r="BD755">
        <v>0</v>
      </c>
      <c r="BE755">
        <v>0</v>
      </c>
      <c r="BF755" s="18">
        <v>1</v>
      </c>
      <c r="BG755">
        <v>0</v>
      </c>
      <c r="BH755">
        <v>0</v>
      </c>
      <c r="BI755" s="18">
        <v>1</v>
      </c>
      <c r="BJ755">
        <v>430</v>
      </c>
      <c r="BK755">
        <v>26</v>
      </c>
      <c r="BL755" s="25">
        <v>39.5</v>
      </c>
      <c r="BM755">
        <v>1</v>
      </c>
      <c r="BN755">
        <v>0</v>
      </c>
      <c r="BO755">
        <v>0</v>
      </c>
      <c r="BP755">
        <v>0</v>
      </c>
      <c r="BQ755">
        <v>0</v>
      </c>
      <c r="BR755">
        <v>0</v>
      </c>
      <c r="BS755">
        <v>0</v>
      </c>
      <c r="BT755" s="18">
        <v>0</v>
      </c>
      <c r="BU755">
        <v>0</v>
      </c>
      <c r="BV755">
        <v>1</v>
      </c>
      <c r="BW755">
        <v>0</v>
      </c>
      <c r="BX755" s="18">
        <v>0</v>
      </c>
      <c r="BY755">
        <v>0</v>
      </c>
      <c r="BZ755">
        <v>0</v>
      </c>
      <c r="CA755">
        <v>0</v>
      </c>
      <c r="CB755">
        <v>0</v>
      </c>
      <c r="CC755" s="18">
        <v>0</v>
      </c>
      <c r="CD755">
        <v>1</v>
      </c>
      <c r="CE755">
        <v>1</v>
      </c>
      <c r="CF755">
        <v>0</v>
      </c>
      <c r="CG755">
        <v>0</v>
      </c>
      <c r="CH755">
        <v>0</v>
      </c>
      <c r="CI755">
        <v>0</v>
      </c>
      <c r="CJ755">
        <v>1</v>
      </c>
      <c r="CK755">
        <v>1</v>
      </c>
      <c r="CL755">
        <v>0</v>
      </c>
      <c r="CM755">
        <v>1</v>
      </c>
      <c r="CN755" s="18">
        <v>0</v>
      </c>
      <c r="CO755">
        <v>0.14599999999999999</v>
      </c>
      <c r="CP755">
        <v>1</v>
      </c>
      <c r="CQ755">
        <v>1</v>
      </c>
      <c r="CR755">
        <v>0</v>
      </c>
      <c r="CS755">
        <v>24</v>
      </c>
      <c r="CY755" s="34"/>
    </row>
    <row r="756" spans="1:103" x14ac:dyDescent="0.25">
      <c r="A756">
        <v>755</v>
      </c>
      <c r="B756">
        <v>47</v>
      </c>
      <c r="C756" s="25" t="s">
        <v>473</v>
      </c>
      <c r="D756" s="12">
        <v>12.3</v>
      </c>
      <c r="E756" s="14">
        <v>1</v>
      </c>
      <c r="F756" s="7">
        <f t="shared" si="180"/>
        <v>12.3</v>
      </c>
      <c r="G756" s="7">
        <f t="shared" si="173"/>
        <v>11.3</v>
      </c>
      <c r="H756" s="16">
        <f t="shared" si="174"/>
        <v>13.3</v>
      </c>
      <c r="I756" s="11">
        <f t="shared" si="177"/>
        <v>0.11925296861604824</v>
      </c>
      <c r="J756" s="33">
        <f t="shared" si="178"/>
        <v>9.6953633021177425E-3</v>
      </c>
      <c r="K756" s="33">
        <f t="shared" si="179"/>
        <v>103.14208646328618</v>
      </c>
      <c r="L756" s="8">
        <v>0</v>
      </c>
      <c r="M756" s="9">
        <v>1</v>
      </c>
      <c r="N756" s="8">
        <v>0</v>
      </c>
      <c r="O756" s="9">
        <v>0</v>
      </c>
      <c r="P756" s="9">
        <v>1</v>
      </c>
      <c r="Q756" s="9">
        <v>0</v>
      </c>
      <c r="R756" s="9">
        <v>0</v>
      </c>
      <c r="S756" s="8">
        <v>10502</v>
      </c>
      <c r="T756" s="9">
        <v>14</v>
      </c>
      <c r="U756" s="9">
        <f t="shared" si="175"/>
        <v>10487</v>
      </c>
      <c r="V756" s="9">
        <f t="shared" si="176"/>
        <v>9</v>
      </c>
      <c r="W756" s="7">
        <f t="shared" si="183"/>
        <v>10.079999999999998</v>
      </c>
      <c r="X756" s="7">
        <f t="shared" si="184"/>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85"/>
        <v>0.62</v>
      </c>
      <c r="AR756" s="40">
        <v>0.38</v>
      </c>
      <c r="AS756" s="39">
        <f t="shared" si="186"/>
        <v>0.80259999999999998</v>
      </c>
      <c r="AT756" s="40">
        <v>0.19739999999999999</v>
      </c>
      <c r="AU756">
        <v>0</v>
      </c>
      <c r="AV756" s="18">
        <v>1</v>
      </c>
      <c r="AW756">
        <v>0.39300000000000002</v>
      </c>
      <c r="AX756" s="18">
        <f t="shared" si="187"/>
        <v>0.60699999999999998</v>
      </c>
      <c r="AY756" s="18" t="s">
        <v>474</v>
      </c>
      <c r="AZ756">
        <v>0</v>
      </c>
      <c r="BA756">
        <v>0</v>
      </c>
      <c r="BB756">
        <v>0</v>
      </c>
      <c r="BC756">
        <v>0</v>
      </c>
      <c r="BD756">
        <v>0</v>
      </c>
      <c r="BE756">
        <v>0</v>
      </c>
      <c r="BF756" s="18">
        <v>1</v>
      </c>
      <c r="BG756">
        <v>0</v>
      </c>
      <c r="BH756">
        <v>0</v>
      </c>
      <c r="BI756" s="18">
        <v>1</v>
      </c>
      <c r="BJ756">
        <v>510</v>
      </c>
      <c r="BK756">
        <v>49</v>
      </c>
      <c r="BL756" s="25">
        <v>39.5</v>
      </c>
      <c r="BM756">
        <v>1</v>
      </c>
      <c r="BN756">
        <v>0</v>
      </c>
      <c r="BO756">
        <v>0</v>
      </c>
      <c r="BP756">
        <v>0</v>
      </c>
      <c r="BQ756">
        <v>0</v>
      </c>
      <c r="BR756">
        <v>0</v>
      </c>
      <c r="BS756">
        <v>0</v>
      </c>
      <c r="BT756" s="18">
        <v>0</v>
      </c>
      <c r="BU756">
        <v>0</v>
      </c>
      <c r="BV756">
        <v>1</v>
      </c>
      <c r="BW756">
        <v>0</v>
      </c>
      <c r="BX756" s="18">
        <v>0</v>
      </c>
      <c r="BY756">
        <v>0</v>
      </c>
      <c r="BZ756">
        <v>0</v>
      </c>
      <c r="CA756">
        <v>0</v>
      </c>
      <c r="CB756">
        <v>0</v>
      </c>
      <c r="CC756" s="18">
        <v>0</v>
      </c>
      <c r="CD756">
        <v>1</v>
      </c>
      <c r="CE756">
        <v>1</v>
      </c>
      <c r="CF756">
        <v>0</v>
      </c>
      <c r="CG756">
        <v>0</v>
      </c>
      <c r="CH756">
        <v>0</v>
      </c>
      <c r="CI756">
        <v>0</v>
      </c>
      <c r="CJ756">
        <v>1</v>
      </c>
      <c r="CK756">
        <v>1</v>
      </c>
      <c r="CL756">
        <v>0</v>
      </c>
      <c r="CM756">
        <v>1</v>
      </c>
      <c r="CN756" s="18">
        <v>0</v>
      </c>
      <c r="CO756">
        <v>0.14599999999999999</v>
      </c>
      <c r="CP756">
        <v>1</v>
      </c>
      <c r="CQ756">
        <v>1</v>
      </c>
      <c r="CR756">
        <v>0</v>
      </c>
      <c r="CS756">
        <v>24</v>
      </c>
      <c r="CY756" s="34"/>
    </row>
    <row r="757" spans="1:103" s="142" customFormat="1" x14ac:dyDescent="0.25">
      <c r="A757" s="142">
        <v>756</v>
      </c>
      <c r="B757" s="142">
        <v>47</v>
      </c>
      <c r="C757" s="143" t="s">
        <v>473</v>
      </c>
      <c r="D757" s="144">
        <v>17.399999999999999</v>
      </c>
      <c r="E757" s="145">
        <v>1</v>
      </c>
      <c r="F757" s="146">
        <f t="shared" si="180"/>
        <v>17.399999999999999</v>
      </c>
      <c r="G757" s="146">
        <f t="shared" si="173"/>
        <v>16.399999999999999</v>
      </c>
      <c r="H757" s="147">
        <f t="shared" si="174"/>
        <v>18.399999999999999</v>
      </c>
      <c r="I757" s="11">
        <f t="shared" si="177"/>
        <v>0.14400460822119579</v>
      </c>
      <c r="J757" s="33">
        <f t="shared" si="178"/>
        <v>8.2761269092641258E-3</v>
      </c>
      <c r="K757" s="33">
        <f t="shared" si="179"/>
        <v>120.82946660479803</v>
      </c>
      <c r="L757" s="149">
        <v>0</v>
      </c>
      <c r="M757" s="150">
        <v>1</v>
      </c>
      <c r="N757" s="149">
        <v>0</v>
      </c>
      <c r="O757" s="150">
        <v>0</v>
      </c>
      <c r="P757" s="150">
        <v>1</v>
      </c>
      <c r="Q757" s="150">
        <v>0</v>
      </c>
      <c r="R757" s="150">
        <v>0</v>
      </c>
      <c r="S757" s="149">
        <v>14312</v>
      </c>
      <c r="T757" s="150">
        <v>14</v>
      </c>
      <c r="U757" s="150">
        <f t="shared" si="175"/>
        <v>14297</v>
      </c>
      <c r="V757" s="150">
        <f t="shared" si="176"/>
        <v>9</v>
      </c>
      <c r="W757" s="146">
        <f t="shared" si="183"/>
        <v>11.01</v>
      </c>
      <c r="X757" s="146">
        <f t="shared" si="184"/>
        <v>22.490000000000002</v>
      </c>
      <c r="Y757" s="150">
        <v>1</v>
      </c>
      <c r="Z757" s="150">
        <v>0</v>
      </c>
      <c r="AA757" s="150">
        <v>0</v>
      </c>
      <c r="AB757" s="150">
        <v>0</v>
      </c>
      <c r="AC757" s="150">
        <v>1</v>
      </c>
      <c r="AD757" s="150">
        <v>0</v>
      </c>
      <c r="AE757" s="149">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85"/>
        <v>0.59000000000000008</v>
      </c>
      <c r="AR757" s="156">
        <v>0.41</v>
      </c>
      <c r="AS757" s="169">
        <f t="shared" si="186"/>
        <v>0.79889999999999994</v>
      </c>
      <c r="AT757" s="156">
        <v>0.2011</v>
      </c>
      <c r="AU757">
        <v>0</v>
      </c>
      <c r="AV757" s="155">
        <v>1</v>
      </c>
      <c r="AW757" s="142">
        <v>0.1943</v>
      </c>
      <c r="AX757" s="155">
        <f t="shared" si="187"/>
        <v>0.80569999999999997</v>
      </c>
      <c r="AY757" s="155" t="s">
        <v>474</v>
      </c>
      <c r="AZ757">
        <v>0</v>
      </c>
      <c r="BA757">
        <v>0</v>
      </c>
      <c r="BB757">
        <v>0</v>
      </c>
      <c r="BC757">
        <v>0</v>
      </c>
      <c r="BD757">
        <v>0</v>
      </c>
      <c r="BE757">
        <v>0</v>
      </c>
      <c r="BF757" s="155">
        <v>1</v>
      </c>
      <c r="BG757">
        <v>0</v>
      </c>
      <c r="BH757">
        <v>0</v>
      </c>
      <c r="BI757" s="155">
        <v>1</v>
      </c>
      <c r="BJ757">
        <v>571</v>
      </c>
      <c r="BK757">
        <v>83</v>
      </c>
      <c r="BL757" s="143">
        <v>39.5</v>
      </c>
      <c r="BM757" s="142">
        <v>1</v>
      </c>
      <c r="BN757" s="142">
        <v>0</v>
      </c>
      <c r="BO757" s="142">
        <v>0</v>
      </c>
      <c r="BP757" s="142">
        <v>0</v>
      </c>
      <c r="BQ757" s="142">
        <v>0</v>
      </c>
      <c r="BR757" s="142">
        <v>0</v>
      </c>
      <c r="BS757" s="142">
        <v>0</v>
      </c>
      <c r="BT757" s="155">
        <v>0</v>
      </c>
      <c r="BU757" s="142">
        <v>0</v>
      </c>
      <c r="BV757" s="142">
        <v>1</v>
      </c>
      <c r="BW757" s="142">
        <v>0</v>
      </c>
      <c r="BX757" s="155">
        <v>0</v>
      </c>
      <c r="BY757" s="142">
        <v>0</v>
      </c>
      <c r="BZ757" s="142">
        <v>0</v>
      </c>
      <c r="CA757" s="142">
        <v>0</v>
      </c>
      <c r="CB757" s="142">
        <v>0</v>
      </c>
      <c r="CC757" s="155">
        <v>0</v>
      </c>
      <c r="CD757" s="142">
        <v>1</v>
      </c>
      <c r="CE757" s="142">
        <v>1</v>
      </c>
      <c r="CF757" s="142">
        <v>0</v>
      </c>
      <c r="CG757" s="142">
        <v>0</v>
      </c>
      <c r="CH757" s="142">
        <v>0</v>
      </c>
      <c r="CI757" s="142">
        <v>0</v>
      </c>
      <c r="CJ757" s="142">
        <v>1</v>
      </c>
      <c r="CK757" s="142">
        <v>1</v>
      </c>
      <c r="CL757" s="142">
        <v>0</v>
      </c>
      <c r="CM757" s="142">
        <v>1</v>
      </c>
      <c r="CN757" s="155">
        <v>0</v>
      </c>
      <c r="CO757">
        <v>0.14599999999999999</v>
      </c>
      <c r="CP757">
        <v>1</v>
      </c>
      <c r="CQ757">
        <v>1</v>
      </c>
      <c r="CR757">
        <v>0</v>
      </c>
      <c r="CS757">
        <v>24</v>
      </c>
      <c r="CT757" s="157"/>
      <c r="CY757" s="157"/>
    </row>
    <row r="758" spans="1:103" x14ac:dyDescent="0.25">
      <c r="A758">
        <v>757</v>
      </c>
      <c r="B758">
        <v>48</v>
      </c>
      <c r="C758" s="25" t="s">
        <v>475</v>
      </c>
      <c r="D758" s="12">
        <v>11.7</v>
      </c>
      <c r="E758" s="14">
        <v>0.3</v>
      </c>
      <c r="F758" s="7">
        <f t="shared" si="180"/>
        <v>39</v>
      </c>
      <c r="G758" s="7">
        <f t="shared" si="173"/>
        <v>11.399999999999999</v>
      </c>
      <c r="H758" s="16">
        <f t="shared" si="174"/>
        <v>12</v>
      </c>
      <c r="I758" s="11">
        <f t="shared" si="177"/>
        <v>0.38390587509210189</v>
      </c>
      <c r="J758" s="33">
        <f t="shared" si="178"/>
        <v>9.8437403869769714E-3</v>
      </c>
      <c r="K758" s="33">
        <f t="shared" si="179"/>
        <v>101.58740079360236</v>
      </c>
      <c r="L758" s="8">
        <v>0</v>
      </c>
      <c r="M758" s="9">
        <v>1</v>
      </c>
      <c r="N758" s="8">
        <v>0</v>
      </c>
      <c r="O758" s="9">
        <v>1</v>
      </c>
      <c r="P758" s="9">
        <v>0</v>
      </c>
      <c r="Q758" s="9">
        <v>0</v>
      </c>
      <c r="R758" s="9">
        <v>0</v>
      </c>
      <c r="S758" s="8">
        <v>8807</v>
      </c>
      <c r="T758" s="9">
        <v>7</v>
      </c>
      <c r="U758" s="9">
        <f t="shared" si="175"/>
        <v>8799</v>
      </c>
      <c r="V758" s="9">
        <f t="shared" si="176"/>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88">1-SUM(AK758,AL758,AN758)</f>
        <v>0.498</v>
      </c>
      <c r="AN758" s="43">
        <v>0.193</v>
      </c>
      <c r="AO758" s="42">
        <v>1</v>
      </c>
      <c r="AP758" s="18">
        <v>0</v>
      </c>
      <c r="AQ758">
        <v>0.6391</v>
      </c>
      <c r="AR758" s="40">
        <f>1-AQ758</f>
        <v>0.3609</v>
      </c>
      <c r="AS758" t="s">
        <v>98</v>
      </c>
      <c r="AT758" s="40" t="s">
        <v>98</v>
      </c>
      <c r="AU758">
        <v>0</v>
      </c>
      <c r="AV758" s="18">
        <v>1</v>
      </c>
      <c r="AW758">
        <f t="shared" ref="AW758:AW771" si="189">1-AX758</f>
        <v>0.34599999999999997</v>
      </c>
      <c r="AX758" s="18">
        <v>0.65400000000000003</v>
      </c>
      <c r="AY758" s="18" t="s">
        <v>13</v>
      </c>
      <c r="AZ758">
        <v>0</v>
      </c>
      <c r="BA758">
        <v>1</v>
      </c>
      <c r="BB758">
        <v>0</v>
      </c>
      <c r="BC758">
        <v>0</v>
      </c>
      <c r="BD758">
        <v>0</v>
      </c>
      <c r="BE758">
        <v>0</v>
      </c>
      <c r="BF758" s="18">
        <v>0</v>
      </c>
      <c r="BG758">
        <v>0</v>
      </c>
      <c r="BH758">
        <v>1</v>
      </c>
      <c r="BI758" s="18">
        <v>0</v>
      </c>
      <c r="BJ758">
        <v>1172</v>
      </c>
      <c r="BK758">
        <v>35</v>
      </c>
      <c r="BL758" s="93">
        <f t="shared" ref="BL758:BL767" si="190">W758+X758+6</f>
        <v>32.716000000000001</v>
      </c>
      <c r="BM758">
        <v>1</v>
      </c>
      <c r="BN758">
        <v>0</v>
      </c>
      <c r="BO758">
        <v>0</v>
      </c>
      <c r="BP758">
        <v>0</v>
      </c>
      <c r="BQ758">
        <v>0</v>
      </c>
      <c r="BR758">
        <v>0</v>
      </c>
      <c r="BS758">
        <v>0</v>
      </c>
      <c r="BT758" s="18">
        <v>0</v>
      </c>
      <c r="BU758">
        <v>0</v>
      </c>
      <c r="BV758">
        <v>0</v>
      </c>
      <c r="BW758">
        <v>1</v>
      </c>
      <c r="BX758" s="18">
        <v>0</v>
      </c>
      <c r="BY758">
        <v>0</v>
      </c>
      <c r="BZ758">
        <v>0</v>
      </c>
      <c r="CA758">
        <v>0</v>
      </c>
      <c r="CB758">
        <v>0</v>
      </c>
      <c r="CC758" s="18">
        <v>0</v>
      </c>
      <c r="CD758">
        <v>0</v>
      </c>
      <c r="CE758">
        <v>0</v>
      </c>
      <c r="CF758">
        <v>1</v>
      </c>
      <c r="CG758">
        <v>1</v>
      </c>
      <c r="CH758">
        <v>0</v>
      </c>
      <c r="CI758">
        <v>0</v>
      </c>
      <c r="CJ758">
        <v>0</v>
      </c>
      <c r="CK758">
        <v>0</v>
      </c>
      <c r="CL758">
        <v>0</v>
      </c>
      <c r="CM758">
        <v>1</v>
      </c>
      <c r="CN758" s="18">
        <v>0</v>
      </c>
      <c r="CO758">
        <v>2.5000000000000001E-2</v>
      </c>
      <c r="CP758">
        <v>25</v>
      </c>
      <c r="CQ758">
        <v>1</v>
      </c>
      <c r="CR758">
        <v>0</v>
      </c>
      <c r="CS758">
        <v>19</v>
      </c>
      <c r="CY758" s="34"/>
    </row>
    <row r="759" spans="1:103" x14ac:dyDescent="0.25">
      <c r="A759">
        <v>758</v>
      </c>
      <c r="B759">
        <v>48</v>
      </c>
      <c r="C759" s="25" t="s">
        <v>475</v>
      </c>
      <c r="D759" s="12">
        <v>10.9</v>
      </c>
      <c r="E759" s="14">
        <v>0.3</v>
      </c>
      <c r="F759" s="7">
        <f t="shared" si="180"/>
        <v>36.333333333333336</v>
      </c>
      <c r="G759" s="7">
        <f t="shared" si="173"/>
        <v>10.6</v>
      </c>
      <c r="H759" s="16">
        <f t="shared" si="174"/>
        <v>11.200000000000001</v>
      </c>
      <c r="I759" s="11">
        <f t="shared" si="177"/>
        <v>0.43610467768547451</v>
      </c>
      <c r="J759" s="33">
        <f t="shared" si="178"/>
        <v>1.2002881037214894E-2</v>
      </c>
      <c r="K759" s="33">
        <f t="shared" si="179"/>
        <v>83.313330932757154</v>
      </c>
      <c r="L759" s="8">
        <v>0</v>
      </c>
      <c r="M759" s="9">
        <v>1</v>
      </c>
      <c r="N759" s="8">
        <v>0</v>
      </c>
      <c r="O759" s="9">
        <v>1</v>
      </c>
      <c r="P759" s="9">
        <v>0</v>
      </c>
      <c r="Q759" s="9">
        <v>0</v>
      </c>
      <c r="R759" s="9">
        <v>0</v>
      </c>
      <c r="S759" s="8">
        <v>5629</v>
      </c>
      <c r="T759" s="9">
        <v>7</v>
      </c>
      <c r="U759" s="9">
        <f t="shared" si="175"/>
        <v>5621</v>
      </c>
      <c r="V759" s="9">
        <f t="shared" si="176"/>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88"/>
        <v>0.54899999999999993</v>
      </c>
      <c r="AN759" s="43">
        <v>0.16200000000000001</v>
      </c>
      <c r="AO759" s="42">
        <v>1</v>
      </c>
      <c r="AP759" s="18">
        <v>0</v>
      </c>
      <c r="AQ759">
        <v>1</v>
      </c>
      <c r="AR759" s="40">
        <v>0</v>
      </c>
      <c r="AS759" t="s">
        <v>98</v>
      </c>
      <c r="AT759" s="40" t="s">
        <v>98</v>
      </c>
      <c r="AU759">
        <v>0</v>
      </c>
      <c r="AV759" s="18">
        <v>1</v>
      </c>
      <c r="AW759">
        <f t="shared" si="189"/>
        <v>0.35699999999999998</v>
      </c>
      <c r="AX759" s="18">
        <v>0.64300000000000002</v>
      </c>
      <c r="AY759" s="18" t="s">
        <v>13</v>
      </c>
      <c r="AZ759">
        <v>0</v>
      </c>
      <c r="BA759">
        <v>1</v>
      </c>
      <c r="BB759">
        <v>0</v>
      </c>
      <c r="BC759">
        <v>0</v>
      </c>
      <c r="BD759">
        <v>0</v>
      </c>
      <c r="BE759">
        <v>0</v>
      </c>
      <c r="BF759" s="18">
        <v>0</v>
      </c>
      <c r="BG759">
        <v>0</v>
      </c>
      <c r="BH759">
        <v>1</v>
      </c>
      <c r="BI759" s="18">
        <v>0</v>
      </c>
      <c r="BJ759">
        <v>1172</v>
      </c>
      <c r="BK759">
        <v>35</v>
      </c>
      <c r="BL759" s="93">
        <f t="shared" si="190"/>
        <v>33.022999999999996</v>
      </c>
      <c r="BM759">
        <v>1</v>
      </c>
      <c r="BN759">
        <v>0</v>
      </c>
      <c r="BO759">
        <v>0</v>
      </c>
      <c r="BP759">
        <v>0</v>
      </c>
      <c r="BQ759">
        <v>0</v>
      </c>
      <c r="BR759">
        <v>0</v>
      </c>
      <c r="BS759">
        <v>0</v>
      </c>
      <c r="BT759" s="18">
        <v>0</v>
      </c>
      <c r="BU759">
        <v>0</v>
      </c>
      <c r="BV759">
        <v>0</v>
      </c>
      <c r="BW759">
        <v>1</v>
      </c>
      <c r="BX759" s="18">
        <v>0</v>
      </c>
      <c r="BY759">
        <v>0</v>
      </c>
      <c r="BZ759">
        <v>0</v>
      </c>
      <c r="CA759">
        <v>0</v>
      </c>
      <c r="CB759">
        <v>0</v>
      </c>
      <c r="CC759" s="18">
        <v>0</v>
      </c>
      <c r="CD759">
        <v>0</v>
      </c>
      <c r="CE759">
        <v>0</v>
      </c>
      <c r="CF759">
        <v>1</v>
      </c>
      <c r="CG759">
        <v>1</v>
      </c>
      <c r="CH759">
        <v>0</v>
      </c>
      <c r="CI759">
        <v>0</v>
      </c>
      <c r="CJ759">
        <v>0</v>
      </c>
      <c r="CK759">
        <v>0</v>
      </c>
      <c r="CL759">
        <v>0</v>
      </c>
      <c r="CM759">
        <v>1</v>
      </c>
      <c r="CN759" s="18">
        <v>0</v>
      </c>
      <c r="CO759">
        <v>2.5000000000000001E-2</v>
      </c>
      <c r="CP759">
        <v>25</v>
      </c>
      <c r="CQ759">
        <v>1</v>
      </c>
      <c r="CR759">
        <v>0</v>
      </c>
      <c r="CS759">
        <v>19</v>
      </c>
      <c r="CY759" s="34"/>
    </row>
    <row r="760" spans="1:103" x14ac:dyDescent="0.25">
      <c r="A760">
        <v>759</v>
      </c>
      <c r="B760">
        <v>48</v>
      </c>
      <c r="C760" s="25" t="s">
        <v>475</v>
      </c>
      <c r="D760" s="12">
        <v>11.8</v>
      </c>
      <c r="E760" s="14">
        <v>0.4</v>
      </c>
      <c r="F760" s="7">
        <f t="shared" si="180"/>
        <v>29.5</v>
      </c>
      <c r="G760" s="7">
        <f t="shared" si="173"/>
        <v>11.4</v>
      </c>
      <c r="H760" s="16">
        <f t="shared" si="174"/>
        <v>12.200000000000001</v>
      </c>
      <c r="I760" s="11">
        <f t="shared" si="177"/>
        <v>0.46410676243477589</v>
      </c>
      <c r="J760" s="33">
        <f t="shared" si="178"/>
        <v>1.5732432624907658E-2</v>
      </c>
      <c r="K760" s="33">
        <f t="shared" si="179"/>
        <v>63.562960912783161</v>
      </c>
      <c r="L760" s="8">
        <v>0</v>
      </c>
      <c r="M760" s="9">
        <v>1</v>
      </c>
      <c r="N760" s="8">
        <v>0</v>
      </c>
      <c r="O760" s="9">
        <v>1</v>
      </c>
      <c r="P760" s="9">
        <v>0</v>
      </c>
      <c r="Q760" s="9">
        <v>0</v>
      </c>
      <c r="R760" s="9">
        <v>0</v>
      </c>
      <c r="S760" s="8">
        <v>3178</v>
      </c>
      <c r="T760" s="9">
        <v>7</v>
      </c>
      <c r="U760" s="9">
        <f t="shared" si="175"/>
        <v>3170</v>
      </c>
      <c r="V760" s="9">
        <f t="shared" si="176"/>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88"/>
        <v>0.40800000000000003</v>
      </c>
      <c r="AN760" s="43">
        <v>0.249</v>
      </c>
      <c r="AO760" s="42">
        <v>1</v>
      </c>
      <c r="AP760" s="18">
        <v>0</v>
      </c>
      <c r="AQ760">
        <v>0</v>
      </c>
      <c r="AR760" s="40">
        <v>1</v>
      </c>
      <c r="AS760" t="s">
        <v>98</v>
      </c>
      <c r="AT760" s="40" t="s">
        <v>98</v>
      </c>
      <c r="AU760">
        <v>0</v>
      </c>
      <c r="AV760" s="18">
        <v>1</v>
      </c>
      <c r="AW760">
        <f t="shared" si="189"/>
        <v>0.32599999999999996</v>
      </c>
      <c r="AX760" s="18">
        <v>0.67400000000000004</v>
      </c>
      <c r="AY760" s="18" t="s">
        <v>13</v>
      </c>
      <c r="AZ760">
        <v>0</v>
      </c>
      <c r="BA760">
        <v>1</v>
      </c>
      <c r="BB760">
        <v>0</v>
      </c>
      <c r="BC760">
        <v>0</v>
      </c>
      <c r="BD760">
        <v>0</v>
      </c>
      <c r="BE760">
        <v>0</v>
      </c>
      <c r="BF760" s="18">
        <v>0</v>
      </c>
      <c r="BG760">
        <v>0</v>
      </c>
      <c r="BH760">
        <v>1</v>
      </c>
      <c r="BI760" s="18">
        <v>0</v>
      </c>
      <c r="BJ760">
        <v>1172</v>
      </c>
      <c r="BK760">
        <v>35</v>
      </c>
      <c r="BL760" s="93">
        <f t="shared" si="190"/>
        <v>32.170999999999999</v>
      </c>
      <c r="BM760">
        <v>1</v>
      </c>
      <c r="BN760">
        <v>0</v>
      </c>
      <c r="BO760">
        <v>0</v>
      </c>
      <c r="BP760">
        <v>0</v>
      </c>
      <c r="BQ760">
        <v>0</v>
      </c>
      <c r="BR760">
        <v>0</v>
      </c>
      <c r="BS760">
        <v>0</v>
      </c>
      <c r="BT760" s="18">
        <v>0</v>
      </c>
      <c r="BU760">
        <v>0</v>
      </c>
      <c r="BV760">
        <v>0</v>
      </c>
      <c r="BW760">
        <v>1</v>
      </c>
      <c r="BX760" s="18">
        <v>0</v>
      </c>
      <c r="BY760">
        <v>0</v>
      </c>
      <c r="BZ760">
        <v>0</v>
      </c>
      <c r="CA760">
        <v>0</v>
      </c>
      <c r="CB760">
        <v>0</v>
      </c>
      <c r="CC760" s="18">
        <v>0</v>
      </c>
      <c r="CD760">
        <v>0</v>
      </c>
      <c r="CE760">
        <v>0</v>
      </c>
      <c r="CF760">
        <v>1</v>
      </c>
      <c r="CG760">
        <v>1</v>
      </c>
      <c r="CH760">
        <v>0</v>
      </c>
      <c r="CI760">
        <v>0</v>
      </c>
      <c r="CJ760">
        <v>0</v>
      </c>
      <c r="CK760">
        <v>0</v>
      </c>
      <c r="CL760">
        <v>0</v>
      </c>
      <c r="CM760">
        <v>1</v>
      </c>
      <c r="CN760" s="18">
        <v>0</v>
      </c>
      <c r="CO760">
        <v>2.5000000000000001E-2</v>
      </c>
      <c r="CP760">
        <v>25</v>
      </c>
      <c r="CQ760">
        <v>1</v>
      </c>
      <c r="CR760">
        <v>0</v>
      </c>
      <c r="CS760">
        <v>19</v>
      </c>
      <c r="CY760" s="34"/>
    </row>
    <row r="761" spans="1:103" x14ac:dyDescent="0.25">
      <c r="A761">
        <v>760</v>
      </c>
      <c r="B761">
        <v>48</v>
      </c>
      <c r="C761" s="25" t="s">
        <v>475</v>
      </c>
      <c r="D761" s="12">
        <v>4.5</v>
      </c>
      <c r="E761" s="14">
        <v>0.5</v>
      </c>
      <c r="F761" s="7">
        <f t="shared" si="180"/>
        <v>9</v>
      </c>
      <c r="G761" s="7">
        <f t="shared" si="173"/>
        <v>4</v>
      </c>
      <c r="H761" s="16">
        <f t="shared" si="174"/>
        <v>5</v>
      </c>
      <c r="I761" s="11">
        <f t="shared" si="177"/>
        <v>0.12928579327743625</v>
      </c>
      <c r="J761" s="33">
        <f t="shared" si="178"/>
        <v>1.4365088141937361E-2</v>
      </c>
      <c r="K761" s="33">
        <f t="shared" si="179"/>
        <v>69.613217135828449</v>
      </c>
      <c r="L761" s="8">
        <v>0</v>
      </c>
      <c r="M761" s="9">
        <v>1</v>
      </c>
      <c r="N761" s="8">
        <v>0</v>
      </c>
      <c r="O761" s="9">
        <v>1</v>
      </c>
      <c r="P761" s="9">
        <v>0</v>
      </c>
      <c r="Q761" s="9">
        <v>0</v>
      </c>
      <c r="R761" s="9">
        <v>0</v>
      </c>
      <c r="S761" s="8">
        <v>4777</v>
      </c>
      <c r="T761" s="9">
        <v>11</v>
      </c>
      <c r="U761" s="9">
        <f t="shared" si="175"/>
        <v>4765</v>
      </c>
      <c r="V761" s="9">
        <f t="shared" si="176"/>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88"/>
        <v>0.40800000000000003</v>
      </c>
      <c r="AN761" s="43">
        <v>0.249</v>
      </c>
      <c r="AO761" s="42">
        <v>1</v>
      </c>
      <c r="AP761" s="18">
        <v>0</v>
      </c>
      <c r="AQ761">
        <v>0</v>
      </c>
      <c r="AR761" s="40">
        <v>1</v>
      </c>
      <c r="AS761" t="s">
        <v>98</v>
      </c>
      <c r="AT761" s="40" t="s">
        <v>98</v>
      </c>
      <c r="AU761">
        <v>0</v>
      </c>
      <c r="AV761" s="18">
        <v>1</v>
      </c>
      <c r="AW761">
        <f t="shared" si="189"/>
        <v>0.32599999999999996</v>
      </c>
      <c r="AX761" s="18">
        <v>0.67400000000000004</v>
      </c>
      <c r="AY761" s="18" t="s">
        <v>13</v>
      </c>
      <c r="AZ761">
        <v>0</v>
      </c>
      <c r="BA761">
        <v>1</v>
      </c>
      <c r="BB761">
        <v>0</v>
      </c>
      <c r="BC761">
        <v>0</v>
      </c>
      <c r="BD761">
        <v>0</v>
      </c>
      <c r="BE761">
        <v>0</v>
      </c>
      <c r="BF761" s="18">
        <v>0</v>
      </c>
      <c r="BG761">
        <v>0</v>
      </c>
      <c r="BH761">
        <v>1</v>
      </c>
      <c r="BI761" s="18">
        <v>0</v>
      </c>
      <c r="BJ761">
        <v>1172</v>
      </c>
      <c r="BK761">
        <v>35</v>
      </c>
      <c r="BL761" s="93">
        <f t="shared" si="190"/>
        <v>32.170999999999999</v>
      </c>
      <c r="BM761">
        <v>0</v>
      </c>
      <c r="BN761">
        <v>0</v>
      </c>
      <c r="BO761">
        <v>0</v>
      </c>
      <c r="BP761">
        <v>0</v>
      </c>
      <c r="BQ761">
        <v>0</v>
      </c>
      <c r="BR761">
        <v>1</v>
      </c>
      <c r="BS761">
        <v>0</v>
      </c>
      <c r="BT761" s="18">
        <v>0</v>
      </c>
      <c r="BU761">
        <v>0</v>
      </c>
      <c r="BV761">
        <v>0</v>
      </c>
      <c r="BW761">
        <v>1</v>
      </c>
      <c r="BX761" s="18">
        <v>0</v>
      </c>
      <c r="BY761">
        <v>0</v>
      </c>
      <c r="BZ761">
        <v>0</v>
      </c>
      <c r="CA761">
        <v>0</v>
      </c>
      <c r="CB761">
        <v>0</v>
      </c>
      <c r="CC761" s="18">
        <v>0</v>
      </c>
      <c r="CD761">
        <v>0</v>
      </c>
      <c r="CE761">
        <v>0</v>
      </c>
      <c r="CF761">
        <v>1</v>
      </c>
      <c r="CG761">
        <v>1</v>
      </c>
      <c r="CH761">
        <v>0</v>
      </c>
      <c r="CI761">
        <v>0</v>
      </c>
      <c r="CJ761">
        <v>0</v>
      </c>
      <c r="CK761">
        <v>1</v>
      </c>
      <c r="CL761">
        <v>0</v>
      </c>
      <c r="CM761">
        <v>1</v>
      </c>
      <c r="CN761" s="18">
        <v>1</v>
      </c>
      <c r="CO761">
        <v>2.5000000000000001E-2</v>
      </c>
      <c r="CP761">
        <v>25</v>
      </c>
      <c r="CQ761">
        <v>1</v>
      </c>
      <c r="CR761">
        <v>0</v>
      </c>
      <c r="CS761">
        <v>19</v>
      </c>
      <c r="CY761" s="34"/>
    </row>
    <row r="762" spans="1:103" x14ac:dyDescent="0.25">
      <c r="A762">
        <v>761</v>
      </c>
      <c r="B762">
        <v>48</v>
      </c>
      <c r="C762" s="25" t="s">
        <v>475</v>
      </c>
      <c r="D762" s="12">
        <v>11</v>
      </c>
      <c r="E762" s="14">
        <v>0.5</v>
      </c>
      <c r="F762" s="7">
        <f t="shared" si="180"/>
        <v>22</v>
      </c>
      <c r="G762" s="7">
        <f t="shared" si="173"/>
        <v>10.5</v>
      </c>
      <c r="H762" s="16">
        <f t="shared" si="174"/>
        <v>11.5</v>
      </c>
      <c r="I762" s="11">
        <f t="shared" si="177"/>
        <v>0.30354213217309406</v>
      </c>
      <c r="J762" s="33">
        <f t="shared" si="178"/>
        <v>1.3797369644231547E-2</v>
      </c>
      <c r="K762" s="33">
        <f t="shared" si="179"/>
        <v>72.477582741148311</v>
      </c>
      <c r="L762" s="8">
        <v>0</v>
      </c>
      <c r="M762" s="9">
        <v>1</v>
      </c>
      <c r="N762" s="8">
        <v>0</v>
      </c>
      <c r="O762" s="9">
        <v>1</v>
      </c>
      <c r="P762" s="9">
        <v>0</v>
      </c>
      <c r="Q762" s="9">
        <v>0</v>
      </c>
      <c r="R762" s="9">
        <v>0</v>
      </c>
      <c r="S762" s="8">
        <v>4777</v>
      </c>
      <c r="T762" s="9">
        <v>7</v>
      </c>
      <c r="U762" s="9">
        <f t="shared" si="175"/>
        <v>4769</v>
      </c>
      <c r="V762" s="9">
        <f t="shared" si="176"/>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88"/>
        <v>0.40800000000000003</v>
      </c>
      <c r="AN762" s="43">
        <v>0.249</v>
      </c>
      <c r="AO762" s="42">
        <v>1</v>
      </c>
      <c r="AP762" s="18">
        <v>0</v>
      </c>
      <c r="AQ762">
        <v>0</v>
      </c>
      <c r="AR762" s="40">
        <v>1</v>
      </c>
      <c r="AS762" t="s">
        <v>98</v>
      </c>
      <c r="AT762" s="40" t="s">
        <v>98</v>
      </c>
      <c r="AU762">
        <v>0</v>
      </c>
      <c r="AV762" s="18">
        <v>1</v>
      </c>
      <c r="AW762">
        <f t="shared" si="189"/>
        <v>0.32599999999999996</v>
      </c>
      <c r="AX762" s="18">
        <v>0.67400000000000004</v>
      </c>
      <c r="AY762" s="18" t="s">
        <v>13</v>
      </c>
      <c r="AZ762">
        <v>0</v>
      </c>
      <c r="BA762">
        <v>1</v>
      </c>
      <c r="BB762">
        <v>0</v>
      </c>
      <c r="BC762">
        <v>0</v>
      </c>
      <c r="BD762">
        <v>0</v>
      </c>
      <c r="BE762">
        <v>0</v>
      </c>
      <c r="BF762" s="18">
        <v>0</v>
      </c>
      <c r="BG762">
        <v>0</v>
      </c>
      <c r="BH762">
        <v>1</v>
      </c>
      <c r="BI762" s="18">
        <v>0</v>
      </c>
      <c r="BJ762">
        <v>1172</v>
      </c>
      <c r="BK762">
        <v>35</v>
      </c>
      <c r="BL762" s="93">
        <f t="shared" si="190"/>
        <v>32.170999999999999</v>
      </c>
      <c r="BM762">
        <v>0</v>
      </c>
      <c r="BN762">
        <v>0</v>
      </c>
      <c r="BO762">
        <v>0</v>
      </c>
      <c r="BP762">
        <v>0</v>
      </c>
      <c r="BQ762">
        <v>0</v>
      </c>
      <c r="BR762">
        <v>1</v>
      </c>
      <c r="BS762">
        <v>0</v>
      </c>
      <c r="BT762" s="18">
        <v>0</v>
      </c>
      <c r="BU762">
        <v>0</v>
      </c>
      <c r="BV762">
        <v>0</v>
      </c>
      <c r="BW762">
        <v>1</v>
      </c>
      <c r="BX762" s="18">
        <v>0</v>
      </c>
      <c r="BY762">
        <v>0</v>
      </c>
      <c r="BZ762">
        <v>0</v>
      </c>
      <c r="CA762">
        <v>0</v>
      </c>
      <c r="CB762">
        <v>0</v>
      </c>
      <c r="CC762" s="18">
        <v>0</v>
      </c>
      <c r="CD762">
        <v>0</v>
      </c>
      <c r="CE762">
        <v>0</v>
      </c>
      <c r="CF762">
        <v>1</v>
      </c>
      <c r="CG762">
        <v>1</v>
      </c>
      <c r="CH762">
        <v>0</v>
      </c>
      <c r="CI762">
        <v>0</v>
      </c>
      <c r="CJ762">
        <v>0</v>
      </c>
      <c r="CK762">
        <v>1</v>
      </c>
      <c r="CL762">
        <v>0</v>
      </c>
      <c r="CM762">
        <v>1</v>
      </c>
      <c r="CN762" s="18">
        <v>1</v>
      </c>
      <c r="CO762">
        <v>2.5000000000000001E-2</v>
      </c>
      <c r="CP762">
        <v>25</v>
      </c>
      <c r="CQ762">
        <v>1</v>
      </c>
      <c r="CR762">
        <v>0</v>
      </c>
      <c r="CS762">
        <v>19</v>
      </c>
      <c r="CY762" s="34"/>
    </row>
    <row r="763" spans="1:103" x14ac:dyDescent="0.25">
      <c r="A763">
        <v>762</v>
      </c>
      <c r="B763">
        <v>48</v>
      </c>
      <c r="C763" s="25" t="s">
        <v>475</v>
      </c>
      <c r="D763" s="12">
        <v>17.3</v>
      </c>
      <c r="E763" s="14">
        <v>0.8</v>
      </c>
      <c r="F763" s="7">
        <f t="shared" si="180"/>
        <v>21.625</v>
      </c>
      <c r="G763" s="7">
        <f t="shared" si="173"/>
        <v>16.5</v>
      </c>
      <c r="H763" s="16">
        <f t="shared" si="174"/>
        <v>18.100000000000001</v>
      </c>
      <c r="I763" s="11">
        <f t="shared" si="177"/>
        <v>0.29280132979162882</v>
      </c>
      <c r="J763" s="33">
        <f t="shared" si="178"/>
        <v>1.3539945886318095E-2</v>
      </c>
      <c r="K763" s="33">
        <f t="shared" si="179"/>
        <v>73.855538891812301</v>
      </c>
      <c r="L763" s="8">
        <v>0</v>
      </c>
      <c r="M763" s="9">
        <v>1</v>
      </c>
      <c r="N763" s="8">
        <v>0</v>
      </c>
      <c r="O763" s="9">
        <v>1</v>
      </c>
      <c r="P763" s="9">
        <v>0</v>
      </c>
      <c r="Q763" s="9">
        <v>0</v>
      </c>
      <c r="R763" s="9">
        <v>0</v>
      </c>
      <c r="S763" s="8">
        <v>4994</v>
      </c>
      <c r="T763" s="9">
        <v>6</v>
      </c>
      <c r="U763" s="9">
        <f t="shared" si="175"/>
        <v>4987</v>
      </c>
      <c r="V763" s="9">
        <f t="shared" si="176"/>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88"/>
        <v>0.498</v>
      </c>
      <c r="AN763" s="43">
        <v>0.193</v>
      </c>
      <c r="AO763" s="42">
        <v>1</v>
      </c>
      <c r="AP763" s="18">
        <v>0</v>
      </c>
      <c r="AQ763">
        <v>0.65210000000000001</v>
      </c>
      <c r="AR763" s="40">
        <f>1-AQ763</f>
        <v>0.34789999999999999</v>
      </c>
      <c r="AS763" t="s">
        <v>98</v>
      </c>
      <c r="AT763" s="40" t="s">
        <v>98</v>
      </c>
      <c r="AU763">
        <v>0</v>
      </c>
      <c r="AV763" s="18">
        <v>1</v>
      </c>
      <c r="AW763">
        <f t="shared" si="189"/>
        <v>0.34599999999999997</v>
      </c>
      <c r="AX763" s="18">
        <v>0.65400000000000003</v>
      </c>
      <c r="AY763" s="18" t="s">
        <v>13</v>
      </c>
      <c r="AZ763">
        <v>0</v>
      </c>
      <c r="BA763">
        <v>1</v>
      </c>
      <c r="BB763">
        <v>0</v>
      </c>
      <c r="BC763">
        <v>0</v>
      </c>
      <c r="BD763">
        <v>0</v>
      </c>
      <c r="BE763">
        <v>0</v>
      </c>
      <c r="BF763" s="18">
        <v>0</v>
      </c>
      <c r="BG763">
        <v>0</v>
      </c>
      <c r="BH763">
        <v>1</v>
      </c>
      <c r="BI763" s="18">
        <v>0</v>
      </c>
      <c r="BJ763">
        <v>1172</v>
      </c>
      <c r="BK763">
        <v>35</v>
      </c>
      <c r="BL763" s="93">
        <f t="shared" si="190"/>
        <v>32.716000000000001</v>
      </c>
      <c r="BM763">
        <v>0</v>
      </c>
      <c r="BN763">
        <v>0</v>
      </c>
      <c r="BO763">
        <v>0</v>
      </c>
      <c r="BP763">
        <v>0</v>
      </c>
      <c r="BQ763">
        <v>0</v>
      </c>
      <c r="BR763">
        <v>0</v>
      </c>
      <c r="BS763">
        <v>0</v>
      </c>
      <c r="BT763" s="18">
        <v>1</v>
      </c>
      <c r="BU763">
        <v>0</v>
      </c>
      <c r="BV763">
        <v>1</v>
      </c>
      <c r="BW763">
        <v>0</v>
      </c>
      <c r="BX763" s="18">
        <v>0</v>
      </c>
      <c r="BY763">
        <v>1</v>
      </c>
      <c r="BZ763">
        <v>0</v>
      </c>
      <c r="CA763">
        <v>0</v>
      </c>
      <c r="CB763">
        <v>0</v>
      </c>
      <c r="CC763" s="18">
        <v>0</v>
      </c>
      <c r="CD763">
        <v>0</v>
      </c>
      <c r="CE763">
        <v>0</v>
      </c>
      <c r="CF763">
        <v>1</v>
      </c>
      <c r="CG763">
        <v>1</v>
      </c>
      <c r="CH763">
        <v>0</v>
      </c>
      <c r="CI763">
        <v>0</v>
      </c>
      <c r="CJ763">
        <v>0</v>
      </c>
      <c r="CK763">
        <v>0</v>
      </c>
      <c r="CL763">
        <v>0</v>
      </c>
      <c r="CM763">
        <v>1</v>
      </c>
      <c r="CN763" s="18">
        <v>0</v>
      </c>
      <c r="CO763">
        <v>2.5000000000000001E-2</v>
      </c>
      <c r="CP763">
        <v>25</v>
      </c>
      <c r="CQ763">
        <v>1</v>
      </c>
      <c r="CR763">
        <v>0</v>
      </c>
      <c r="CS763">
        <v>19</v>
      </c>
      <c r="CY763" s="34"/>
    </row>
    <row r="764" spans="1:103" x14ac:dyDescent="0.25">
      <c r="A764">
        <v>763</v>
      </c>
      <c r="B764">
        <v>48</v>
      </c>
      <c r="C764" s="25" t="s">
        <v>475</v>
      </c>
      <c r="D764" s="12">
        <v>16.3</v>
      </c>
      <c r="E764" s="14">
        <v>1</v>
      </c>
      <c r="F764" s="7">
        <f t="shared" si="180"/>
        <v>16.3</v>
      </c>
      <c r="G764" s="7">
        <f t="shared" si="173"/>
        <v>15.3</v>
      </c>
      <c r="H764" s="16">
        <f t="shared" si="174"/>
        <v>17.3</v>
      </c>
      <c r="I764" s="11">
        <f t="shared" si="177"/>
        <v>0.27490479659359807</v>
      </c>
      <c r="J764" s="33">
        <f t="shared" si="178"/>
        <v>1.6865324944392517E-2</v>
      </c>
      <c r="K764" s="33">
        <f t="shared" si="179"/>
        <v>59.293254253751329</v>
      </c>
      <c r="L764" s="8">
        <v>0</v>
      </c>
      <c r="M764" s="9">
        <v>1</v>
      </c>
      <c r="N764" s="8">
        <v>0</v>
      </c>
      <c r="O764" s="9">
        <v>1</v>
      </c>
      <c r="P764" s="9">
        <v>0</v>
      </c>
      <c r="Q764" s="9">
        <v>0</v>
      </c>
      <c r="R764" s="9">
        <v>0</v>
      </c>
      <c r="S764" s="8">
        <v>3257</v>
      </c>
      <c r="T764" s="9">
        <v>6</v>
      </c>
      <c r="U764" s="9">
        <f t="shared" si="175"/>
        <v>3250</v>
      </c>
      <c r="V764" s="9">
        <f t="shared" si="176"/>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88"/>
        <v>0.54899999999999993</v>
      </c>
      <c r="AN764" s="43">
        <v>0.16200000000000001</v>
      </c>
      <c r="AO764" s="42">
        <v>1</v>
      </c>
      <c r="AP764" s="18">
        <v>0</v>
      </c>
      <c r="AQ764">
        <v>1</v>
      </c>
      <c r="AR764" s="40">
        <v>0</v>
      </c>
      <c r="AS764" t="s">
        <v>98</v>
      </c>
      <c r="AT764" s="40" t="s">
        <v>98</v>
      </c>
      <c r="AU764">
        <v>0</v>
      </c>
      <c r="AV764" s="18">
        <v>1</v>
      </c>
      <c r="AW764">
        <f t="shared" si="189"/>
        <v>0.35699999999999998</v>
      </c>
      <c r="AX764" s="18">
        <v>0.64300000000000002</v>
      </c>
      <c r="AY764" s="18" t="s">
        <v>13</v>
      </c>
      <c r="AZ764">
        <v>0</v>
      </c>
      <c r="BA764">
        <v>1</v>
      </c>
      <c r="BB764">
        <v>0</v>
      </c>
      <c r="BC764">
        <v>0</v>
      </c>
      <c r="BD764">
        <v>0</v>
      </c>
      <c r="BE764">
        <v>0</v>
      </c>
      <c r="BF764" s="18">
        <v>0</v>
      </c>
      <c r="BG764">
        <v>0</v>
      </c>
      <c r="BH764">
        <v>1</v>
      </c>
      <c r="BI764" s="18">
        <v>0</v>
      </c>
      <c r="BJ764">
        <v>1172</v>
      </c>
      <c r="BK764">
        <v>35</v>
      </c>
      <c r="BL764" s="93">
        <f t="shared" si="190"/>
        <v>33.022999999999996</v>
      </c>
      <c r="BM764">
        <v>0</v>
      </c>
      <c r="BN764">
        <v>0</v>
      </c>
      <c r="BO764">
        <v>0</v>
      </c>
      <c r="BP764">
        <v>0</v>
      </c>
      <c r="BQ764">
        <v>0</v>
      </c>
      <c r="BR764">
        <v>0</v>
      </c>
      <c r="BS764">
        <v>0</v>
      </c>
      <c r="BT764" s="18">
        <v>1</v>
      </c>
      <c r="BU764">
        <v>0</v>
      </c>
      <c r="BV764">
        <v>1</v>
      </c>
      <c r="BW764">
        <v>0</v>
      </c>
      <c r="BX764" s="18">
        <v>0</v>
      </c>
      <c r="BY764">
        <v>1</v>
      </c>
      <c r="BZ764">
        <v>0</v>
      </c>
      <c r="CA764">
        <v>0</v>
      </c>
      <c r="CB764">
        <v>0</v>
      </c>
      <c r="CC764" s="18">
        <v>0</v>
      </c>
      <c r="CD764">
        <v>0</v>
      </c>
      <c r="CE764">
        <v>0</v>
      </c>
      <c r="CF764">
        <v>1</v>
      </c>
      <c r="CG764">
        <v>1</v>
      </c>
      <c r="CH764">
        <v>0</v>
      </c>
      <c r="CI764">
        <v>0</v>
      </c>
      <c r="CJ764">
        <v>0</v>
      </c>
      <c r="CK764">
        <v>0</v>
      </c>
      <c r="CL764">
        <v>0</v>
      </c>
      <c r="CM764">
        <v>1</v>
      </c>
      <c r="CN764" s="18">
        <v>0</v>
      </c>
      <c r="CO764">
        <v>2.5000000000000001E-2</v>
      </c>
      <c r="CP764">
        <v>25</v>
      </c>
      <c r="CQ764">
        <v>1</v>
      </c>
      <c r="CR764">
        <v>0</v>
      </c>
      <c r="CS764">
        <v>19</v>
      </c>
      <c r="CY764" s="34"/>
    </row>
    <row r="765" spans="1:103" x14ac:dyDescent="0.25">
      <c r="A765">
        <v>764</v>
      </c>
      <c r="B765">
        <v>48</v>
      </c>
      <c r="C765" s="25" t="s">
        <v>475</v>
      </c>
      <c r="D765" s="12">
        <v>18.7</v>
      </c>
      <c r="E765" s="14">
        <v>1.2</v>
      </c>
      <c r="F765" s="7">
        <f t="shared" si="180"/>
        <v>15.583333333333334</v>
      </c>
      <c r="G765" s="7">
        <f t="shared" si="173"/>
        <v>17.5</v>
      </c>
      <c r="H765" s="16">
        <f t="shared" si="174"/>
        <v>19.899999999999999</v>
      </c>
      <c r="I765" s="11">
        <f t="shared" si="177"/>
        <v>0.35084427767354598</v>
      </c>
      <c r="J765" s="33">
        <f t="shared" si="178"/>
        <v>2.2514071294559099E-2</v>
      </c>
      <c r="K765" s="33">
        <f t="shared" si="179"/>
        <v>44.416666666666664</v>
      </c>
      <c r="L765" s="8">
        <v>0</v>
      </c>
      <c r="M765" s="9">
        <v>1</v>
      </c>
      <c r="N765" s="8">
        <v>0</v>
      </c>
      <c r="O765" s="9">
        <v>1</v>
      </c>
      <c r="P765" s="9">
        <v>0</v>
      </c>
      <c r="Q765" s="9">
        <v>0</v>
      </c>
      <c r="R765" s="9">
        <v>0</v>
      </c>
      <c r="S765" s="8">
        <v>1737</v>
      </c>
      <c r="T765" s="9">
        <v>6</v>
      </c>
      <c r="U765" s="9">
        <f t="shared" si="175"/>
        <v>1730</v>
      </c>
      <c r="V765" s="9">
        <f t="shared" si="176"/>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88"/>
        <v>0.40800000000000003</v>
      </c>
      <c r="AN765" s="43">
        <v>0.249</v>
      </c>
      <c r="AO765" s="42">
        <v>1</v>
      </c>
      <c r="AP765" s="18">
        <v>0</v>
      </c>
      <c r="AQ765">
        <v>0</v>
      </c>
      <c r="AR765" s="40">
        <v>1</v>
      </c>
      <c r="AS765" t="s">
        <v>98</v>
      </c>
      <c r="AT765" s="40" t="s">
        <v>98</v>
      </c>
      <c r="AU765">
        <v>0</v>
      </c>
      <c r="AV765" s="18">
        <v>1</v>
      </c>
      <c r="AW765">
        <f t="shared" si="189"/>
        <v>0.32599999999999996</v>
      </c>
      <c r="AX765" s="18">
        <v>0.67400000000000004</v>
      </c>
      <c r="AY765" s="18" t="s">
        <v>13</v>
      </c>
      <c r="AZ765">
        <v>0</v>
      </c>
      <c r="BA765">
        <v>1</v>
      </c>
      <c r="BB765">
        <v>0</v>
      </c>
      <c r="BC765">
        <v>0</v>
      </c>
      <c r="BD765">
        <v>0</v>
      </c>
      <c r="BE765">
        <v>0</v>
      </c>
      <c r="BF765" s="18">
        <v>0</v>
      </c>
      <c r="BG765">
        <v>0</v>
      </c>
      <c r="BH765">
        <v>1</v>
      </c>
      <c r="BI765" s="18">
        <v>0</v>
      </c>
      <c r="BJ765">
        <v>1172</v>
      </c>
      <c r="BK765">
        <v>35</v>
      </c>
      <c r="BL765" s="93">
        <f t="shared" si="190"/>
        <v>32.170999999999999</v>
      </c>
      <c r="BM765">
        <v>0</v>
      </c>
      <c r="BN765">
        <v>0</v>
      </c>
      <c r="BO765">
        <v>0</v>
      </c>
      <c r="BP765">
        <v>0</v>
      </c>
      <c r="BQ765">
        <v>0</v>
      </c>
      <c r="BR765">
        <v>0</v>
      </c>
      <c r="BS765">
        <v>0</v>
      </c>
      <c r="BT765" s="18">
        <v>1</v>
      </c>
      <c r="BU765">
        <v>0</v>
      </c>
      <c r="BV765">
        <v>1</v>
      </c>
      <c r="BW765">
        <v>0</v>
      </c>
      <c r="BX765" s="18">
        <v>0</v>
      </c>
      <c r="BY765">
        <v>1</v>
      </c>
      <c r="BZ765">
        <v>0</v>
      </c>
      <c r="CA765">
        <v>0</v>
      </c>
      <c r="CB765">
        <v>0</v>
      </c>
      <c r="CC765" s="18">
        <v>0</v>
      </c>
      <c r="CD765">
        <v>0</v>
      </c>
      <c r="CE765">
        <v>0</v>
      </c>
      <c r="CF765">
        <v>1</v>
      </c>
      <c r="CG765">
        <v>1</v>
      </c>
      <c r="CH765">
        <v>0</v>
      </c>
      <c r="CI765">
        <v>0</v>
      </c>
      <c r="CJ765">
        <v>0</v>
      </c>
      <c r="CK765">
        <v>0</v>
      </c>
      <c r="CL765">
        <v>0</v>
      </c>
      <c r="CM765">
        <v>1</v>
      </c>
      <c r="CN765" s="18">
        <v>0</v>
      </c>
      <c r="CO765">
        <v>2.5000000000000001E-2</v>
      </c>
      <c r="CP765">
        <v>25</v>
      </c>
      <c r="CQ765">
        <v>1</v>
      </c>
      <c r="CR765">
        <v>0</v>
      </c>
      <c r="CS765">
        <v>19</v>
      </c>
      <c r="CY765" s="34"/>
    </row>
    <row r="766" spans="1:103" x14ac:dyDescent="0.25">
      <c r="A766">
        <v>765</v>
      </c>
      <c r="B766">
        <v>48</v>
      </c>
      <c r="C766" s="25" t="s">
        <v>475</v>
      </c>
      <c r="D766" s="12">
        <v>10.8</v>
      </c>
      <c r="E766" s="14">
        <v>1.1000000000000001</v>
      </c>
      <c r="F766" s="7">
        <f t="shared" si="180"/>
        <v>9.8181818181818183</v>
      </c>
      <c r="G766" s="7">
        <f t="shared" si="173"/>
        <v>9.7000000000000011</v>
      </c>
      <c r="H766" s="16">
        <f t="shared" si="174"/>
        <v>11.9</v>
      </c>
      <c r="I766" s="11">
        <f t="shared" si="177"/>
        <v>0.36180549224905884</v>
      </c>
      <c r="J766" s="33">
        <f t="shared" si="178"/>
        <v>3.6850559395737476E-2</v>
      </c>
      <c r="K766" s="33">
        <f t="shared" si="179"/>
        <v>27.136630118990013</v>
      </c>
      <c r="L766" s="8">
        <v>0</v>
      </c>
      <c r="M766" s="9">
        <v>1</v>
      </c>
      <c r="N766" s="8">
        <v>0</v>
      </c>
      <c r="O766" s="9">
        <v>1</v>
      </c>
      <c r="P766" s="9">
        <v>0</v>
      </c>
      <c r="Q766" s="9">
        <v>0</v>
      </c>
      <c r="R766" s="9">
        <v>0</v>
      </c>
      <c r="S766" s="8">
        <v>648</v>
      </c>
      <c r="T766" s="9">
        <v>7</v>
      </c>
      <c r="U766" s="9">
        <f t="shared" si="175"/>
        <v>640</v>
      </c>
      <c r="V766" s="9">
        <f t="shared" si="176"/>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88"/>
        <v>0.498</v>
      </c>
      <c r="AN766" s="43">
        <v>0.193</v>
      </c>
      <c r="AO766" s="42">
        <v>1</v>
      </c>
      <c r="AP766" s="18">
        <v>0</v>
      </c>
      <c r="AQ766">
        <v>0.6391</v>
      </c>
      <c r="AR766" s="40">
        <f>1-AQ766</f>
        <v>0.3609</v>
      </c>
      <c r="AS766" t="s">
        <v>98</v>
      </c>
      <c r="AT766" s="40" t="s">
        <v>98</v>
      </c>
      <c r="AU766">
        <v>0</v>
      </c>
      <c r="AV766" s="18">
        <v>1</v>
      </c>
      <c r="AW766">
        <f t="shared" si="189"/>
        <v>0.34599999999999997</v>
      </c>
      <c r="AX766" s="18">
        <v>0.65400000000000003</v>
      </c>
      <c r="AY766" s="18" t="s">
        <v>13</v>
      </c>
      <c r="AZ766">
        <v>0</v>
      </c>
      <c r="BA766">
        <v>1</v>
      </c>
      <c r="BB766">
        <v>0</v>
      </c>
      <c r="BC766">
        <v>0</v>
      </c>
      <c r="BD766">
        <v>0</v>
      </c>
      <c r="BE766">
        <v>0</v>
      </c>
      <c r="BF766" s="18">
        <v>0</v>
      </c>
      <c r="BG766">
        <v>0</v>
      </c>
      <c r="BH766">
        <v>1</v>
      </c>
      <c r="BI766" s="18">
        <v>0</v>
      </c>
      <c r="BJ766">
        <v>1172</v>
      </c>
      <c r="BK766">
        <v>35</v>
      </c>
      <c r="BL766" s="93">
        <f t="shared" si="190"/>
        <v>32.716000000000001</v>
      </c>
      <c r="BM766">
        <v>1</v>
      </c>
      <c r="BN766">
        <v>0</v>
      </c>
      <c r="BO766">
        <v>0</v>
      </c>
      <c r="BP766">
        <v>0</v>
      </c>
      <c r="BQ766">
        <v>0</v>
      </c>
      <c r="BR766">
        <v>0</v>
      </c>
      <c r="BS766">
        <v>0</v>
      </c>
      <c r="BT766" s="18">
        <v>0</v>
      </c>
      <c r="BU766">
        <v>0</v>
      </c>
      <c r="BV766">
        <v>0</v>
      </c>
      <c r="BW766">
        <v>1</v>
      </c>
      <c r="BX766" s="18">
        <v>0</v>
      </c>
      <c r="BY766">
        <v>0</v>
      </c>
      <c r="BZ766">
        <v>0</v>
      </c>
      <c r="CA766">
        <v>0</v>
      </c>
      <c r="CB766">
        <v>0</v>
      </c>
      <c r="CC766" s="18">
        <v>0</v>
      </c>
      <c r="CD766">
        <v>0</v>
      </c>
      <c r="CE766">
        <v>0</v>
      </c>
      <c r="CF766">
        <v>1</v>
      </c>
      <c r="CG766">
        <v>1</v>
      </c>
      <c r="CH766">
        <v>0</v>
      </c>
      <c r="CI766">
        <v>0</v>
      </c>
      <c r="CJ766">
        <v>1</v>
      </c>
      <c r="CK766">
        <v>0</v>
      </c>
      <c r="CL766">
        <v>0</v>
      </c>
      <c r="CM766">
        <v>1</v>
      </c>
      <c r="CN766" s="18">
        <v>0</v>
      </c>
      <c r="CO766">
        <v>2.5000000000000001E-2</v>
      </c>
      <c r="CP766">
        <v>25</v>
      </c>
      <c r="CQ766">
        <v>1</v>
      </c>
      <c r="CR766">
        <v>0</v>
      </c>
      <c r="CS766">
        <v>19</v>
      </c>
      <c r="CY766" s="34"/>
    </row>
    <row r="767" spans="1:103" s="142" customFormat="1" x14ac:dyDescent="0.25">
      <c r="A767" s="142">
        <v>766</v>
      </c>
      <c r="B767" s="142">
        <v>48</v>
      </c>
      <c r="C767" s="143" t="s">
        <v>475</v>
      </c>
      <c r="D767" s="144">
        <v>5</v>
      </c>
      <c r="E767" s="145">
        <v>2.4</v>
      </c>
      <c r="F767" s="146">
        <f t="shared" si="180"/>
        <v>2.0833333333333335</v>
      </c>
      <c r="G767" s="146">
        <f t="shared" si="173"/>
        <v>2.6</v>
      </c>
      <c r="H767" s="147">
        <f t="shared" si="174"/>
        <v>7.4</v>
      </c>
      <c r="I767" s="11">
        <f t="shared" si="177"/>
        <v>8.1946074150553536E-2</v>
      </c>
      <c r="J767" s="33">
        <f t="shared" si="178"/>
        <v>3.9334115592265698E-2</v>
      </c>
      <c r="K767" s="33">
        <f t="shared" si="179"/>
        <v>25.423223198048234</v>
      </c>
      <c r="L767" s="149">
        <v>0</v>
      </c>
      <c r="M767" s="150">
        <v>1</v>
      </c>
      <c r="N767" s="149">
        <v>0</v>
      </c>
      <c r="O767" s="150">
        <v>1</v>
      </c>
      <c r="P767" s="150">
        <v>0</v>
      </c>
      <c r="Q767" s="150">
        <v>0</v>
      </c>
      <c r="R767" s="150">
        <v>0</v>
      </c>
      <c r="S767" s="149">
        <v>648</v>
      </c>
      <c r="T767" s="150">
        <v>5</v>
      </c>
      <c r="U767" s="150">
        <f t="shared" si="175"/>
        <v>642</v>
      </c>
      <c r="V767" s="150">
        <f t="shared" si="176"/>
        <v>10</v>
      </c>
      <c r="W767" s="146">
        <v>9.6470000000000002</v>
      </c>
      <c r="X767" s="146">
        <v>17.068999999999999</v>
      </c>
      <c r="Y767" s="150">
        <v>1</v>
      </c>
      <c r="Z767" s="150">
        <v>0</v>
      </c>
      <c r="AA767" s="150">
        <v>0</v>
      </c>
      <c r="AB767" s="150">
        <v>0</v>
      </c>
      <c r="AC767" s="150">
        <v>1</v>
      </c>
      <c r="AD767" s="150">
        <v>0</v>
      </c>
      <c r="AE767" s="149">
        <v>0</v>
      </c>
      <c r="AF767" s="150">
        <v>0</v>
      </c>
      <c r="AG767" s="151">
        <v>1</v>
      </c>
      <c r="AH767" s="150">
        <v>0</v>
      </c>
      <c r="AI767" s="151">
        <v>1</v>
      </c>
      <c r="AJ767" s="152">
        <v>2000</v>
      </c>
      <c r="AK767" s="148">
        <v>2.9000000000000001E-2</v>
      </c>
      <c r="AL767" s="148">
        <v>0.28000000000000003</v>
      </c>
      <c r="AM767" s="148">
        <f t="shared" si="188"/>
        <v>0.498</v>
      </c>
      <c r="AN767" s="153">
        <v>0.193</v>
      </c>
      <c r="AO767" s="154">
        <v>1</v>
      </c>
      <c r="AP767" s="155">
        <v>0</v>
      </c>
      <c r="AQ767" s="142">
        <v>0.6391</v>
      </c>
      <c r="AR767" s="156">
        <f>1-AQ767</f>
        <v>0.3609</v>
      </c>
      <c r="AS767" s="142" t="s">
        <v>98</v>
      </c>
      <c r="AT767" s="156" t="s">
        <v>98</v>
      </c>
      <c r="AU767">
        <v>0</v>
      </c>
      <c r="AV767" s="155">
        <v>1</v>
      </c>
      <c r="AW767" s="142">
        <f t="shared" si="189"/>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f t="shared" si="190"/>
        <v>32.716000000000001</v>
      </c>
      <c r="BM767" s="142">
        <v>0</v>
      </c>
      <c r="BN767" s="142">
        <v>0</v>
      </c>
      <c r="BO767" s="142">
        <v>0</v>
      </c>
      <c r="BP767" s="142">
        <v>1</v>
      </c>
      <c r="BQ767" s="142">
        <v>0</v>
      </c>
      <c r="BR767" s="142">
        <v>0</v>
      </c>
      <c r="BS767" s="142">
        <v>0</v>
      </c>
      <c r="BT767" s="155">
        <v>0</v>
      </c>
      <c r="BU767" s="142">
        <v>0</v>
      </c>
      <c r="BV767" s="142">
        <v>0</v>
      </c>
      <c r="BW767" s="142">
        <v>1</v>
      </c>
      <c r="BX767" s="155">
        <v>0</v>
      </c>
      <c r="BY767" s="142">
        <v>0</v>
      </c>
      <c r="BZ767" s="142">
        <v>0</v>
      </c>
      <c r="CA767" s="142">
        <v>0</v>
      </c>
      <c r="CB767" s="142">
        <v>0</v>
      </c>
      <c r="CC767" s="155">
        <v>0</v>
      </c>
      <c r="CD767" s="142">
        <v>0</v>
      </c>
      <c r="CE767" s="142">
        <v>0</v>
      </c>
      <c r="CF767" s="142">
        <v>1</v>
      </c>
      <c r="CG767" s="142">
        <v>1</v>
      </c>
      <c r="CH767" s="142">
        <v>0</v>
      </c>
      <c r="CI767" s="142">
        <v>0</v>
      </c>
      <c r="CJ767" s="142">
        <v>1</v>
      </c>
      <c r="CK767" s="142">
        <v>0</v>
      </c>
      <c r="CL767" s="142">
        <v>0</v>
      </c>
      <c r="CM767" s="142">
        <v>1</v>
      </c>
      <c r="CN767" s="155">
        <v>0</v>
      </c>
      <c r="CO767">
        <v>2.5000000000000001E-2</v>
      </c>
      <c r="CP767">
        <v>25</v>
      </c>
      <c r="CQ767">
        <v>1</v>
      </c>
      <c r="CR767">
        <v>0</v>
      </c>
      <c r="CS767">
        <v>19</v>
      </c>
      <c r="CT767" s="157"/>
      <c r="CY767" s="157"/>
    </row>
    <row r="768" spans="1:103" x14ac:dyDescent="0.25">
      <c r="A768">
        <v>767</v>
      </c>
      <c r="B768">
        <v>49</v>
      </c>
      <c r="C768" s="25" t="s">
        <v>476</v>
      </c>
      <c r="D768" s="12">
        <v>1.5</v>
      </c>
      <c r="E768" s="14">
        <v>0.2</v>
      </c>
      <c r="F768" s="7">
        <f t="shared" si="180"/>
        <v>7.5</v>
      </c>
      <c r="G768" s="7">
        <f t="shared" si="173"/>
        <v>1.3</v>
      </c>
      <c r="H768" s="16">
        <f t="shared" si="174"/>
        <v>1.7</v>
      </c>
      <c r="I768" s="11">
        <f t="shared" si="177"/>
        <v>3.4257559150632909E-2</v>
      </c>
      <c r="J768" s="33">
        <f t="shared" si="178"/>
        <v>4.5676745534177212E-3</v>
      </c>
      <c r="K768" s="33">
        <f t="shared" si="179"/>
        <v>218.9297832639497</v>
      </c>
      <c r="L768" s="8">
        <v>0</v>
      </c>
      <c r="M768" s="9">
        <v>1</v>
      </c>
      <c r="N768" s="8">
        <v>0</v>
      </c>
      <c r="O768" s="9">
        <v>0</v>
      </c>
      <c r="P768" s="9">
        <v>0</v>
      </c>
      <c r="Q768" s="9">
        <v>1</v>
      </c>
      <c r="R768" s="9">
        <v>0</v>
      </c>
      <c r="S768" s="8">
        <v>47881</v>
      </c>
      <c r="T768" s="9">
        <v>6</v>
      </c>
      <c r="U768" s="9">
        <f t="shared" si="175"/>
        <v>47874</v>
      </c>
      <c r="V768" s="9">
        <f t="shared" si="176"/>
        <v>4</v>
      </c>
      <c r="W768" s="7">
        <f>(6*AL768+11*AM768)</f>
        <v>9.8500000000000014</v>
      </c>
      <c r="X768" s="7">
        <f t="shared" ref="X768:X777" si="191">BL768-W768-6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89"/>
        <v>0.86519999999999997</v>
      </c>
      <c r="AX768" s="18">
        <v>0.1348</v>
      </c>
      <c r="AY768" s="18" t="s">
        <v>477</v>
      </c>
      <c r="AZ768">
        <v>1</v>
      </c>
      <c r="BA768">
        <v>0</v>
      </c>
      <c r="BB768">
        <v>0</v>
      </c>
      <c r="BC768">
        <v>0</v>
      </c>
      <c r="BD768">
        <v>0</v>
      </c>
      <c r="BE768">
        <v>0</v>
      </c>
      <c r="BF768" s="18">
        <v>0</v>
      </c>
      <c r="BG768">
        <v>1</v>
      </c>
      <c r="BH768">
        <v>0</v>
      </c>
      <c r="BI768" s="18">
        <v>0</v>
      </c>
      <c r="BJ768">
        <v>16480</v>
      </c>
      <c r="BK768">
        <v>3916</v>
      </c>
      <c r="BL768" s="25">
        <v>17</v>
      </c>
      <c r="BM768">
        <v>1</v>
      </c>
      <c r="BN768">
        <v>0</v>
      </c>
      <c r="BO768">
        <v>0</v>
      </c>
      <c r="BP768">
        <v>0</v>
      </c>
      <c r="BQ768">
        <v>0</v>
      </c>
      <c r="BR768">
        <v>0</v>
      </c>
      <c r="BS768">
        <v>0</v>
      </c>
      <c r="BT768" s="18">
        <v>0</v>
      </c>
      <c r="BU768">
        <v>0</v>
      </c>
      <c r="BV768">
        <v>1</v>
      </c>
      <c r="BW768">
        <v>0</v>
      </c>
      <c r="BX768" s="18">
        <v>0</v>
      </c>
      <c r="BY768">
        <v>0</v>
      </c>
      <c r="BZ768">
        <v>0</v>
      </c>
      <c r="CA768">
        <v>0</v>
      </c>
      <c r="CB768">
        <v>0</v>
      </c>
      <c r="CC768" s="18">
        <v>1</v>
      </c>
      <c r="CD768">
        <v>1</v>
      </c>
      <c r="CE768">
        <v>1</v>
      </c>
      <c r="CF768">
        <v>1</v>
      </c>
      <c r="CG768">
        <v>1</v>
      </c>
      <c r="CH768">
        <v>1</v>
      </c>
      <c r="CI768">
        <v>0</v>
      </c>
      <c r="CJ768">
        <v>0</v>
      </c>
      <c r="CK768">
        <v>0</v>
      </c>
      <c r="CL768">
        <v>0</v>
      </c>
      <c r="CM768">
        <v>0</v>
      </c>
      <c r="CN768" s="18">
        <v>1</v>
      </c>
      <c r="CO768">
        <v>0.63</v>
      </c>
      <c r="CP768">
        <v>161</v>
      </c>
      <c r="CQ768">
        <v>1</v>
      </c>
      <c r="CR768">
        <v>0</v>
      </c>
      <c r="CS768">
        <v>12</v>
      </c>
      <c r="CY768" s="34"/>
    </row>
    <row r="769" spans="1:103" x14ac:dyDescent="0.25">
      <c r="A769">
        <v>768</v>
      </c>
      <c r="B769">
        <v>49</v>
      </c>
      <c r="C769" s="25" t="s">
        <v>476</v>
      </c>
      <c r="D769" s="12">
        <v>2.7</v>
      </c>
      <c r="E769" s="14">
        <v>0.2</v>
      </c>
      <c r="F769" s="7">
        <f t="shared" si="180"/>
        <v>13.5</v>
      </c>
      <c r="G769" s="7">
        <f t="shared" si="173"/>
        <v>2.5</v>
      </c>
      <c r="H769" s="16">
        <f t="shared" si="174"/>
        <v>2.9000000000000004</v>
      </c>
      <c r="I769" s="11">
        <f t="shared" si="177"/>
        <v>6.1583355408391327E-2</v>
      </c>
      <c r="J769" s="33">
        <f t="shared" si="178"/>
        <v>4.5617300302512095E-3</v>
      </c>
      <c r="K769" s="33">
        <f t="shared" si="179"/>
        <v>219.21507703622942</v>
      </c>
      <c r="L769" s="8">
        <v>0</v>
      </c>
      <c r="M769" s="9">
        <v>1</v>
      </c>
      <c r="N769" s="8">
        <v>0</v>
      </c>
      <c r="O769" s="9">
        <v>0</v>
      </c>
      <c r="P769" s="9">
        <v>0</v>
      </c>
      <c r="Q769" s="9">
        <v>1</v>
      </c>
      <c r="R769" s="9">
        <v>0</v>
      </c>
      <c r="S769" s="8">
        <v>47881</v>
      </c>
      <c r="T769" s="9">
        <v>7</v>
      </c>
      <c r="U769" s="9">
        <f t="shared" si="175"/>
        <v>47873</v>
      </c>
      <c r="V769" s="9">
        <f t="shared" si="176"/>
        <v>4</v>
      </c>
      <c r="W769" s="7">
        <f>(6*AL769+11*AM769)</f>
        <v>9.8500000000000014</v>
      </c>
      <c r="X769" s="7">
        <f t="shared" si="191"/>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89"/>
        <v>0.86519999999999997</v>
      </c>
      <c r="AX769" s="18">
        <v>0.1348</v>
      </c>
      <c r="AY769" s="18" t="s">
        <v>477</v>
      </c>
      <c r="AZ769">
        <v>1</v>
      </c>
      <c r="BA769">
        <v>0</v>
      </c>
      <c r="BB769">
        <v>0</v>
      </c>
      <c r="BC769">
        <v>0</v>
      </c>
      <c r="BD769">
        <v>0</v>
      </c>
      <c r="BE769">
        <v>0</v>
      </c>
      <c r="BF769" s="18">
        <v>0</v>
      </c>
      <c r="BG769">
        <v>1</v>
      </c>
      <c r="BH769">
        <v>0</v>
      </c>
      <c r="BI769" s="18">
        <v>0</v>
      </c>
      <c r="BJ769">
        <v>16480</v>
      </c>
      <c r="BK769">
        <v>3916</v>
      </c>
      <c r="BL769" s="25">
        <v>17</v>
      </c>
      <c r="BM769">
        <v>1</v>
      </c>
      <c r="BN769">
        <v>0</v>
      </c>
      <c r="BO769">
        <v>0</v>
      </c>
      <c r="BP769">
        <v>0</v>
      </c>
      <c r="BQ769">
        <v>0</v>
      </c>
      <c r="BR769">
        <v>0</v>
      </c>
      <c r="BS769">
        <v>0</v>
      </c>
      <c r="BT769" s="18">
        <v>0</v>
      </c>
      <c r="BU769">
        <v>0</v>
      </c>
      <c r="BV769">
        <v>1</v>
      </c>
      <c r="BW769">
        <v>0</v>
      </c>
      <c r="BX769" s="18">
        <v>0</v>
      </c>
      <c r="BY769">
        <v>0</v>
      </c>
      <c r="BZ769">
        <v>0</v>
      </c>
      <c r="CA769">
        <v>0</v>
      </c>
      <c r="CB769">
        <v>0</v>
      </c>
      <c r="CC769" s="18">
        <v>1</v>
      </c>
      <c r="CD769">
        <v>1</v>
      </c>
      <c r="CE769">
        <v>1</v>
      </c>
      <c r="CF769">
        <v>1</v>
      </c>
      <c r="CG769">
        <v>1</v>
      </c>
      <c r="CH769">
        <v>1</v>
      </c>
      <c r="CI769">
        <v>0</v>
      </c>
      <c r="CJ769">
        <v>0</v>
      </c>
      <c r="CK769">
        <v>0</v>
      </c>
      <c r="CL769">
        <v>0</v>
      </c>
      <c r="CM769">
        <v>0</v>
      </c>
      <c r="CN769" s="18">
        <v>1</v>
      </c>
      <c r="CO769">
        <v>0.63</v>
      </c>
      <c r="CP769">
        <v>161</v>
      </c>
      <c r="CQ769">
        <v>1</v>
      </c>
      <c r="CR769">
        <v>0</v>
      </c>
      <c r="CS769">
        <v>12</v>
      </c>
      <c r="CY769" s="34"/>
    </row>
    <row r="770" spans="1:103" x14ac:dyDescent="0.25">
      <c r="A770">
        <v>769</v>
      </c>
      <c r="B770">
        <v>49</v>
      </c>
      <c r="C770" s="25" t="s">
        <v>476</v>
      </c>
      <c r="D770" s="12">
        <v>2.6</v>
      </c>
      <c r="E770" s="14">
        <v>1.6</v>
      </c>
      <c r="F770" s="7">
        <f t="shared" si="180"/>
        <v>1.625</v>
      </c>
      <c r="G770" s="7">
        <f t="shared" ref="G770:G833" si="192">D770-E770</f>
        <v>1</v>
      </c>
      <c r="H770" s="16">
        <f t="shared" ref="H770:H833" si="193">D770+E770</f>
        <v>4.2</v>
      </c>
      <c r="I770" s="11">
        <f t="shared" si="177"/>
        <v>7.4267031656713844E-3</v>
      </c>
      <c r="J770" s="33">
        <f t="shared" si="178"/>
        <v>4.5702788711823898E-3</v>
      </c>
      <c r="K770" s="33">
        <f t="shared" si="179"/>
        <v>218.8050287927588</v>
      </c>
      <c r="L770" s="8">
        <v>0</v>
      </c>
      <c r="M770" s="9">
        <v>1</v>
      </c>
      <c r="N770" s="8">
        <v>0</v>
      </c>
      <c r="O770" s="9">
        <v>0</v>
      </c>
      <c r="P770" s="9">
        <v>0</v>
      </c>
      <c r="Q770" s="9">
        <v>1</v>
      </c>
      <c r="R770" s="9">
        <v>0</v>
      </c>
      <c r="S770" s="8">
        <v>47881</v>
      </c>
      <c r="T770" s="9">
        <v>7</v>
      </c>
      <c r="U770" s="9">
        <f t="shared" ref="U770:U833" si="194">S770-T770-1</f>
        <v>47873</v>
      </c>
      <c r="V770" s="9">
        <f t="shared" ref="V770:V833" si="195">COUNTIF(B:B,B770)</f>
        <v>4</v>
      </c>
      <c r="W770" s="7">
        <f>(6*AL770+11*AM770)</f>
        <v>9.8500000000000014</v>
      </c>
      <c r="X770" s="7">
        <f t="shared" si="191"/>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89"/>
        <v>0.86519999999999997</v>
      </c>
      <c r="AX770" s="18">
        <v>0.1348</v>
      </c>
      <c r="AY770" s="18" t="s">
        <v>477</v>
      </c>
      <c r="AZ770">
        <v>1</v>
      </c>
      <c r="BA770">
        <v>0</v>
      </c>
      <c r="BB770">
        <v>0</v>
      </c>
      <c r="BC770">
        <v>0</v>
      </c>
      <c r="BD770">
        <v>0</v>
      </c>
      <c r="BE770">
        <v>0</v>
      </c>
      <c r="BF770" s="18">
        <v>0</v>
      </c>
      <c r="BG770">
        <v>1</v>
      </c>
      <c r="BH770">
        <v>0</v>
      </c>
      <c r="BI770" s="18">
        <v>0</v>
      </c>
      <c r="BJ770">
        <v>16480</v>
      </c>
      <c r="BK770">
        <v>3916</v>
      </c>
      <c r="BL770" s="25">
        <v>17</v>
      </c>
      <c r="BM770">
        <v>0</v>
      </c>
      <c r="BN770">
        <v>0</v>
      </c>
      <c r="BO770">
        <v>0</v>
      </c>
      <c r="BP770">
        <v>0</v>
      </c>
      <c r="BQ770">
        <v>0</v>
      </c>
      <c r="BR770">
        <v>0</v>
      </c>
      <c r="BS770">
        <v>0</v>
      </c>
      <c r="BT770" s="18">
        <v>1</v>
      </c>
      <c r="BU770">
        <v>0</v>
      </c>
      <c r="BV770">
        <v>1</v>
      </c>
      <c r="BW770">
        <v>0</v>
      </c>
      <c r="BX770" s="18">
        <v>0</v>
      </c>
      <c r="BY770">
        <v>0</v>
      </c>
      <c r="BZ770">
        <v>0</v>
      </c>
      <c r="CA770">
        <v>0</v>
      </c>
      <c r="CB770">
        <v>0</v>
      </c>
      <c r="CC770" s="18">
        <v>1</v>
      </c>
      <c r="CD770">
        <v>1</v>
      </c>
      <c r="CE770">
        <v>1</v>
      </c>
      <c r="CF770">
        <v>1</v>
      </c>
      <c r="CG770">
        <v>1</v>
      </c>
      <c r="CH770">
        <v>1</v>
      </c>
      <c r="CI770">
        <v>0</v>
      </c>
      <c r="CJ770">
        <v>0</v>
      </c>
      <c r="CK770">
        <v>0</v>
      </c>
      <c r="CL770">
        <v>0</v>
      </c>
      <c r="CM770">
        <v>0</v>
      </c>
      <c r="CN770" s="18">
        <v>1</v>
      </c>
      <c r="CO770">
        <v>0.63</v>
      </c>
      <c r="CP770">
        <v>161</v>
      </c>
      <c r="CQ770">
        <v>1</v>
      </c>
      <c r="CR770">
        <v>0</v>
      </c>
      <c r="CS770">
        <v>12</v>
      </c>
      <c r="CY770" s="34"/>
    </row>
    <row r="771" spans="1:103" s="142" customFormat="1" x14ac:dyDescent="0.25">
      <c r="A771" s="142">
        <v>770</v>
      </c>
      <c r="B771" s="142">
        <v>49</v>
      </c>
      <c r="C771" s="143" t="s">
        <v>476</v>
      </c>
      <c r="D771" s="144">
        <v>4.0999999999999996</v>
      </c>
      <c r="E771" s="145">
        <v>1.8</v>
      </c>
      <c r="F771" s="146">
        <f t="shared" si="180"/>
        <v>2.2777777777777777</v>
      </c>
      <c r="G771" s="146">
        <f t="shared" si="192"/>
        <v>2.2999999999999998</v>
      </c>
      <c r="H771" s="147">
        <f t="shared" si="193"/>
        <v>5.8999999999999995</v>
      </c>
      <c r="I771" s="11">
        <f t="shared" si="177"/>
        <v>1.0409802681932152E-2</v>
      </c>
      <c r="J771" s="33">
        <f t="shared" si="178"/>
        <v>4.5701572749946035E-3</v>
      </c>
      <c r="K771" s="33">
        <f t="shared" si="179"/>
        <v>218.81085044303663</v>
      </c>
      <c r="L771" s="149">
        <v>0</v>
      </c>
      <c r="M771" s="150">
        <v>1</v>
      </c>
      <c r="N771" s="149">
        <v>0</v>
      </c>
      <c r="O771" s="150">
        <v>0</v>
      </c>
      <c r="P771" s="150">
        <v>0</v>
      </c>
      <c r="Q771" s="150">
        <v>1</v>
      </c>
      <c r="R771" s="150">
        <v>0</v>
      </c>
      <c r="S771" s="149">
        <v>47881</v>
      </c>
      <c r="T771" s="150">
        <v>7</v>
      </c>
      <c r="U771" s="150">
        <f t="shared" si="194"/>
        <v>47873</v>
      </c>
      <c r="V771" s="150">
        <f t="shared" si="195"/>
        <v>4</v>
      </c>
      <c r="W771" s="146">
        <f>(6*AL771+11*AM771)</f>
        <v>9.8500000000000014</v>
      </c>
      <c r="X771" s="146">
        <f t="shared" si="191"/>
        <v>1.1499999999999986</v>
      </c>
      <c r="Y771" s="150">
        <v>1</v>
      </c>
      <c r="Z771" s="150">
        <v>0</v>
      </c>
      <c r="AA771" s="150">
        <v>1</v>
      </c>
      <c r="AB771" s="150">
        <v>0</v>
      </c>
      <c r="AC771" s="150">
        <v>0</v>
      </c>
      <c r="AD771" s="150">
        <v>0</v>
      </c>
      <c r="AE771" s="149">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2">
        <v>1</v>
      </c>
      <c r="AT771" s="156">
        <v>0</v>
      </c>
      <c r="AU771">
        <v>1</v>
      </c>
      <c r="AV771" s="155">
        <v>0</v>
      </c>
      <c r="AW771" s="142">
        <f t="shared" si="189"/>
        <v>0.86519999999999997</v>
      </c>
      <c r="AX771" s="155">
        <v>0.1348</v>
      </c>
      <c r="AY771" s="155" t="s">
        <v>477</v>
      </c>
      <c r="AZ771">
        <v>1</v>
      </c>
      <c r="BA771">
        <v>0</v>
      </c>
      <c r="BB771">
        <v>0</v>
      </c>
      <c r="BC771">
        <v>0</v>
      </c>
      <c r="BD771">
        <v>0</v>
      </c>
      <c r="BE771">
        <v>0</v>
      </c>
      <c r="BF771" s="155">
        <v>0</v>
      </c>
      <c r="BG771">
        <v>1</v>
      </c>
      <c r="BH771">
        <v>0</v>
      </c>
      <c r="BI771" s="155">
        <v>0</v>
      </c>
      <c r="BJ771">
        <v>16480</v>
      </c>
      <c r="BK771">
        <v>3916</v>
      </c>
      <c r="BL771" s="143">
        <v>17</v>
      </c>
      <c r="BM771" s="142">
        <v>0</v>
      </c>
      <c r="BN771" s="142">
        <v>0</v>
      </c>
      <c r="BO771" s="142">
        <v>0</v>
      </c>
      <c r="BP771" s="142">
        <v>0</v>
      </c>
      <c r="BQ771" s="142">
        <v>0</v>
      </c>
      <c r="BR771" s="142">
        <v>0</v>
      </c>
      <c r="BS771" s="142">
        <v>0</v>
      </c>
      <c r="BT771" s="155">
        <v>1</v>
      </c>
      <c r="BU771" s="142">
        <v>0</v>
      </c>
      <c r="BV771" s="142">
        <v>1</v>
      </c>
      <c r="BW771" s="142">
        <v>0</v>
      </c>
      <c r="BX771" s="155">
        <v>0</v>
      </c>
      <c r="BY771" s="142">
        <v>0</v>
      </c>
      <c r="BZ771" s="142">
        <v>0</v>
      </c>
      <c r="CA771" s="142">
        <v>0</v>
      </c>
      <c r="CB771" s="142">
        <v>0</v>
      </c>
      <c r="CC771" s="155">
        <v>1</v>
      </c>
      <c r="CD771" s="142">
        <v>1</v>
      </c>
      <c r="CE771" s="142">
        <v>1</v>
      </c>
      <c r="CF771" s="142">
        <v>1</v>
      </c>
      <c r="CG771" s="142">
        <v>1</v>
      </c>
      <c r="CH771" s="142">
        <v>1</v>
      </c>
      <c r="CI771" s="142">
        <v>0</v>
      </c>
      <c r="CJ771" s="142">
        <v>0</v>
      </c>
      <c r="CK771" s="142">
        <v>0</v>
      </c>
      <c r="CL771" s="142">
        <v>0</v>
      </c>
      <c r="CM771" s="142">
        <v>0</v>
      </c>
      <c r="CN771" s="155">
        <v>1</v>
      </c>
      <c r="CO771">
        <v>0.63</v>
      </c>
      <c r="CP771">
        <v>161</v>
      </c>
      <c r="CQ771">
        <v>1</v>
      </c>
      <c r="CR771">
        <v>0</v>
      </c>
      <c r="CS771">
        <v>12</v>
      </c>
      <c r="CT771" s="157"/>
      <c r="CY771" s="157"/>
    </row>
    <row r="772" spans="1:103" x14ac:dyDescent="0.25">
      <c r="A772">
        <v>771</v>
      </c>
      <c r="B772">
        <v>50</v>
      </c>
      <c r="C772" s="25" t="s">
        <v>478</v>
      </c>
      <c r="D772" s="12">
        <v>8.6</v>
      </c>
      <c r="E772" s="14">
        <v>0.5</v>
      </c>
      <c r="F772" s="7">
        <f t="shared" si="180"/>
        <v>17.2</v>
      </c>
      <c r="G772" s="7">
        <f t="shared" si="192"/>
        <v>8.1</v>
      </c>
      <c r="H772" s="16">
        <f t="shared" si="193"/>
        <v>9.1</v>
      </c>
      <c r="I772" s="11">
        <f t="shared" si="177"/>
        <v>9.4587141279251663E-2</v>
      </c>
      <c r="J772" s="33">
        <f t="shared" si="178"/>
        <v>5.499252399956492E-3</v>
      </c>
      <c r="K772" s="33">
        <f t="shared" si="179"/>
        <v>181.8428992289773</v>
      </c>
      <c r="L772" s="8">
        <v>0</v>
      </c>
      <c r="M772" s="9">
        <v>1</v>
      </c>
      <c r="N772" s="8">
        <v>0</v>
      </c>
      <c r="O772" s="9">
        <v>0</v>
      </c>
      <c r="P772" s="9">
        <v>0</v>
      </c>
      <c r="Q772" s="9">
        <v>1</v>
      </c>
      <c r="R772" s="9">
        <v>0</v>
      </c>
      <c r="S772" s="8">
        <v>32775</v>
      </c>
      <c r="T772" s="9">
        <v>3</v>
      </c>
      <c r="U772" s="9">
        <f t="shared" si="194"/>
        <v>32771</v>
      </c>
      <c r="V772" s="9">
        <f t="shared" si="195"/>
        <v>6</v>
      </c>
      <c r="W772" s="7">
        <v>12.6</v>
      </c>
      <c r="X772" s="7">
        <f t="shared" si="191"/>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v>0</v>
      </c>
      <c r="BF772" s="18">
        <v>0</v>
      </c>
      <c r="BG772">
        <v>1</v>
      </c>
      <c r="BH772">
        <v>0</v>
      </c>
      <c r="BI772" s="18">
        <v>0</v>
      </c>
      <c r="BJ772">
        <v>30085</v>
      </c>
      <c r="BK772">
        <v>22725</v>
      </c>
      <c r="BL772" s="25">
        <v>44.5</v>
      </c>
      <c r="BM772">
        <v>1</v>
      </c>
      <c r="BN772">
        <v>0</v>
      </c>
      <c r="BO772">
        <v>0</v>
      </c>
      <c r="BP772">
        <v>0</v>
      </c>
      <c r="BQ772">
        <v>0</v>
      </c>
      <c r="BR772">
        <v>0</v>
      </c>
      <c r="BS772">
        <v>0</v>
      </c>
      <c r="BT772" s="18">
        <v>0</v>
      </c>
      <c r="BU772">
        <v>0</v>
      </c>
      <c r="BV772">
        <v>0</v>
      </c>
      <c r="BW772">
        <v>0</v>
      </c>
      <c r="BX772" s="18">
        <v>1</v>
      </c>
      <c r="BY772">
        <v>0</v>
      </c>
      <c r="BZ772">
        <v>0</v>
      </c>
      <c r="CA772">
        <v>0</v>
      </c>
      <c r="CB772">
        <v>0</v>
      </c>
      <c r="CC772" s="18">
        <v>0</v>
      </c>
      <c r="CD772">
        <v>0</v>
      </c>
      <c r="CE772">
        <v>0</v>
      </c>
      <c r="CF772">
        <v>1</v>
      </c>
      <c r="CG772">
        <v>1</v>
      </c>
      <c r="CH772">
        <v>0</v>
      </c>
      <c r="CI772">
        <v>0</v>
      </c>
      <c r="CJ772">
        <v>0</v>
      </c>
      <c r="CK772">
        <v>0</v>
      </c>
      <c r="CL772">
        <v>0</v>
      </c>
      <c r="CM772">
        <v>0</v>
      </c>
      <c r="CN772" s="18">
        <v>0</v>
      </c>
      <c r="CO772">
        <v>0.14599999999999999</v>
      </c>
      <c r="CP772">
        <v>7</v>
      </c>
      <c r="CQ772">
        <v>0</v>
      </c>
      <c r="CR772">
        <v>1</v>
      </c>
      <c r="CS772">
        <v>21</v>
      </c>
      <c r="CY772" s="34"/>
    </row>
    <row r="773" spans="1:103" x14ac:dyDescent="0.25">
      <c r="A773">
        <v>772</v>
      </c>
      <c r="B773">
        <v>50</v>
      </c>
      <c r="C773" s="25" t="s">
        <v>478</v>
      </c>
      <c r="D773" s="12">
        <v>9</v>
      </c>
      <c r="E773" s="14">
        <v>0.7</v>
      </c>
      <c r="F773" s="7">
        <f t="shared" si="180"/>
        <v>12.857142857142858</v>
      </c>
      <c r="G773" s="7">
        <f t="shared" si="192"/>
        <v>8.3000000000000007</v>
      </c>
      <c r="H773" s="16">
        <f t="shared" si="193"/>
        <v>9.6999999999999993</v>
      </c>
      <c r="I773" s="11">
        <f t="shared" si="177"/>
        <v>7.0813475985194219E-2</v>
      </c>
      <c r="J773" s="33">
        <f t="shared" si="178"/>
        <v>5.5077147988484383E-3</v>
      </c>
      <c r="K773" s="33">
        <f t="shared" si="179"/>
        <v>181.5635043791813</v>
      </c>
      <c r="L773" s="8">
        <v>0</v>
      </c>
      <c r="M773" s="9">
        <v>1</v>
      </c>
      <c r="N773" s="8">
        <v>0</v>
      </c>
      <c r="O773" s="9">
        <v>0</v>
      </c>
      <c r="P773" s="9">
        <v>0</v>
      </c>
      <c r="Q773" s="9">
        <v>1</v>
      </c>
      <c r="R773" s="9">
        <v>0</v>
      </c>
      <c r="S773" s="8">
        <v>32804</v>
      </c>
      <c r="T773" s="9">
        <v>3</v>
      </c>
      <c r="U773" s="9">
        <f t="shared" si="194"/>
        <v>32800</v>
      </c>
      <c r="V773" s="9">
        <f t="shared" si="195"/>
        <v>6</v>
      </c>
      <c r="W773" s="7">
        <v>12.6</v>
      </c>
      <c r="X773" s="7">
        <f t="shared" si="191"/>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v>0</v>
      </c>
      <c r="BF773" s="18">
        <v>0</v>
      </c>
      <c r="BG773">
        <v>1</v>
      </c>
      <c r="BH773">
        <v>0</v>
      </c>
      <c r="BI773" s="18">
        <v>0</v>
      </c>
      <c r="BJ773">
        <v>30085</v>
      </c>
      <c r="BK773">
        <v>22725</v>
      </c>
      <c r="BL773" s="25">
        <v>44.5</v>
      </c>
      <c r="BM773">
        <v>1</v>
      </c>
      <c r="BN773">
        <v>0</v>
      </c>
      <c r="BO773">
        <v>0</v>
      </c>
      <c r="BP773">
        <v>0</v>
      </c>
      <c r="BQ773">
        <v>0</v>
      </c>
      <c r="BR773">
        <v>0</v>
      </c>
      <c r="BS773">
        <v>0</v>
      </c>
      <c r="BT773" s="18">
        <v>0</v>
      </c>
      <c r="BU773">
        <v>0</v>
      </c>
      <c r="BV773">
        <v>0</v>
      </c>
      <c r="BW773">
        <v>0</v>
      </c>
      <c r="BX773" s="18">
        <v>1</v>
      </c>
      <c r="BY773">
        <v>0</v>
      </c>
      <c r="BZ773">
        <v>0</v>
      </c>
      <c r="CA773">
        <v>0</v>
      </c>
      <c r="CB773">
        <v>0</v>
      </c>
      <c r="CC773" s="18">
        <v>0</v>
      </c>
      <c r="CD773">
        <v>0</v>
      </c>
      <c r="CE773">
        <v>0</v>
      </c>
      <c r="CF773">
        <v>1</v>
      </c>
      <c r="CG773">
        <v>1</v>
      </c>
      <c r="CH773">
        <v>0</v>
      </c>
      <c r="CI773">
        <v>0</v>
      </c>
      <c r="CJ773">
        <v>0</v>
      </c>
      <c r="CK773">
        <v>0</v>
      </c>
      <c r="CL773">
        <v>0</v>
      </c>
      <c r="CM773">
        <v>0</v>
      </c>
      <c r="CN773" s="18">
        <v>0</v>
      </c>
      <c r="CO773">
        <v>0.14599999999999999</v>
      </c>
      <c r="CP773">
        <v>7</v>
      </c>
      <c r="CQ773">
        <v>0</v>
      </c>
      <c r="CR773">
        <v>1</v>
      </c>
      <c r="CS773">
        <v>21</v>
      </c>
      <c r="CY773" s="34"/>
    </row>
    <row r="774" spans="1:103" x14ac:dyDescent="0.25">
      <c r="A774">
        <v>773</v>
      </c>
      <c r="B774">
        <v>50</v>
      </c>
      <c r="C774" s="25" t="s">
        <v>478</v>
      </c>
      <c r="D774" s="12">
        <v>10.3</v>
      </c>
      <c r="E774" s="14">
        <v>0.7</v>
      </c>
      <c r="F774" s="7">
        <f t="shared" si="180"/>
        <v>14.714285714285717</v>
      </c>
      <c r="G774" s="7">
        <f t="shared" si="192"/>
        <v>9.6000000000000014</v>
      </c>
      <c r="H774" s="16">
        <f t="shared" si="193"/>
        <v>11</v>
      </c>
      <c r="I774" s="11">
        <f t="shared" si="177"/>
        <v>8.0004977370878347E-2</v>
      </c>
      <c r="J774" s="33">
        <f t="shared" si="178"/>
        <v>5.4372314718072658E-3</v>
      </c>
      <c r="K774" s="33">
        <f t="shared" si="179"/>
        <v>183.91712863157045</v>
      </c>
      <c r="L774" s="8">
        <v>0</v>
      </c>
      <c r="M774" s="9">
        <v>1</v>
      </c>
      <c r="N774" s="8">
        <v>0</v>
      </c>
      <c r="O774" s="9">
        <v>0</v>
      </c>
      <c r="P774" s="9">
        <v>0</v>
      </c>
      <c r="Q774" s="9">
        <v>1</v>
      </c>
      <c r="R774" s="9">
        <v>0</v>
      </c>
      <c r="S774" s="8">
        <v>33613</v>
      </c>
      <c r="T774" s="9">
        <v>3</v>
      </c>
      <c r="U774" s="9">
        <f t="shared" si="194"/>
        <v>33609</v>
      </c>
      <c r="V774" s="9">
        <f t="shared" si="195"/>
        <v>6</v>
      </c>
      <c r="W774" s="7">
        <v>12.6</v>
      </c>
      <c r="X774" s="7">
        <f t="shared" si="191"/>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v>0</v>
      </c>
      <c r="BF774" s="18">
        <v>0</v>
      </c>
      <c r="BG774">
        <v>1</v>
      </c>
      <c r="BH774">
        <v>0</v>
      </c>
      <c r="BI774" s="18">
        <v>0</v>
      </c>
      <c r="BJ774">
        <v>30085</v>
      </c>
      <c r="BK774">
        <v>22725</v>
      </c>
      <c r="BL774" s="25">
        <v>44.5</v>
      </c>
      <c r="BM774">
        <v>1</v>
      </c>
      <c r="BN774">
        <v>0</v>
      </c>
      <c r="BO774">
        <v>0</v>
      </c>
      <c r="BP774">
        <v>0</v>
      </c>
      <c r="BQ774">
        <v>0</v>
      </c>
      <c r="BR774">
        <v>0</v>
      </c>
      <c r="BS774">
        <v>0</v>
      </c>
      <c r="BT774" s="18">
        <v>0</v>
      </c>
      <c r="BU774">
        <v>0</v>
      </c>
      <c r="BV774">
        <v>0</v>
      </c>
      <c r="BW774">
        <v>0</v>
      </c>
      <c r="BX774" s="18">
        <v>1</v>
      </c>
      <c r="BY774">
        <v>0</v>
      </c>
      <c r="BZ774">
        <v>0</v>
      </c>
      <c r="CA774">
        <v>0</v>
      </c>
      <c r="CB774">
        <v>0</v>
      </c>
      <c r="CC774" s="18">
        <v>0</v>
      </c>
      <c r="CD774">
        <v>0</v>
      </c>
      <c r="CE774">
        <v>0</v>
      </c>
      <c r="CF774">
        <v>1</v>
      </c>
      <c r="CG774">
        <v>1</v>
      </c>
      <c r="CH774">
        <v>0</v>
      </c>
      <c r="CI774">
        <v>0</v>
      </c>
      <c r="CJ774">
        <v>0</v>
      </c>
      <c r="CK774">
        <v>0</v>
      </c>
      <c r="CL774">
        <v>0</v>
      </c>
      <c r="CM774">
        <v>0</v>
      </c>
      <c r="CN774" s="18">
        <v>0</v>
      </c>
      <c r="CO774">
        <v>0.14599999999999999</v>
      </c>
      <c r="CP774">
        <v>7</v>
      </c>
      <c r="CQ774">
        <v>0</v>
      </c>
      <c r="CR774">
        <v>1</v>
      </c>
      <c r="CS774">
        <v>21</v>
      </c>
      <c r="CY774" s="34"/>
    </row>
    <row r="775" spans="1:103" x14ac:dyDescent="0.25">
      <c r="A775">
        <v>774</v>
      </c>
      <c r="B775">
        <v>50</v>
      </c>
      <c r="C775" s="25" t="s">
        <v>478</v>
      </c>
      <c r="D775" s="12">
        <v>7.6</v>
      </c>
      <c r="E775" s="14">
        <v>0.3</v>
      </c>
      <c r="F775" s="7">
        <f t="shared" si="180"/>
        <v>25.333333333333332</v>
      </c>
      <c r="G775" s="7">
        <f t="shared" si="192"/>
        <v>7.3</v>
      </c>
      <c r="H775" s="16">
        <f t="shared" si="193"/>
        <v>7.8999999999999995</v>
      </c>
      <c r="I775" s="11">
        <f t="shared" si="177"/>
        <v>0.13855815394052531</v>
      </c>
      <c r="J775" s="33">
        <f t="shared" si="178"/>
        <v>5.4694008134417889E-3</v>
      </c>
      <c r="K775" s="33">
        <f t="shared" si="179"/>
        <v>182.83538437014258</v>
      </c>
      <c r="L775" s="8">
        <v>0</v>
      </c>
      <c r="M775" s="9">
        <v>1</v>
      </c>
      <c r="N775" s="8">
        <v>0</v>
      </c>
      <c r="O775" s="9">
        <v>0</v>
      </c>
      <c r="P775" s="9">
        <v>0</v>
      </c>
      <c r="Q775" s="9">
        <v>1</v>
      </c>
      <c r="R775" s="9">
        <v>0</v>
      </c>
      <c r="S775" s="8">
        <v>32791</v>
      </c>
      <c r="T775" s="9">
        <v>3</v>
      </c>
      <c r="U775" s="9">
        <f t="shared" si="194"/>
        <v>32787</v>
      </c>
      <c r="V775" s="9">
        <f t="shared" si="195"/>
        <v>6</v>
      </c>
      <c r="W775" s="7">
        <v>12.8</v>
      </c>
      <c r="X775" s="7">
        <f t="shared" si="191"/>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v>0</v>
      </c>
      <c r="BF775" s="18">
        <v>0</v>
      </c>
      <c r="BG775">
        <v>1</v>
      </c>
      <c r="BH775">
        <v>0</v>
      </c>
      <c r="BI775" s="18">
        <v>0</v>
      </c>
      <c r="BJ775">
        <v>30085</v>
      </c>
      <c r="BK775">
        <v>22725</v>
      </c>
      <c r="BL775" s="25">
        <v>44.5</v>
      </c>
      <c r="BM775">
        <v>1</v>
      </c>
      <c r="BN775">
        <v>0</v>
      </c>
      <c r="BO775">
        <v>0</v>
      </c>
      <c r="BP775">
        <v>0</v>
      </c>
      <c r="BQ775">
        <v>0</v>
      </c>
      <c r="BR775">
        <v>0</v>
      </c>
      <c r="BS775">
        <v>0</v>
      </c>
      <c r="BT775" s="18">
        <v>0</v>
      </c>
      <c r="BU775">
        <v>0</v>
      </c>
      <c r="BV775">
        <v>0</v>
      </c>
      <c r="BW775">
        <v>0</v>
      </c>
      <c r="BX775" s="18">
        <v>1</v>
      </c>
      <c r="BY775">
        <v>0</v>
      </c>
      <c r="BZ775">
        <v>0</v>
      </c>
      <c r="CA775">
        <v>0</v>
      </c>
      <c r="CB775">
        <v>0</v>
      </c>
      <c r="CC775" s="18">
        <v>0</v>
      </c>
      <c r="CD775">
        <v>0</v>
      </c>
      <c r="CE775">
        <v>0</v>
      </c>
      <c r="CF775">
        <v>1</v>
      </c>
      <c r="CG775">
        <v>1</v>
      </c>
      <c r="CH775">
        <v>0</v>
      </c>
      <c r="CI775">
        <v>0</v>
      </c>
      <c r="CJ775">
        <v>0</v>
      </c>
      <c r="CK775">
        <v>0</v>
      </c>
      <c r="CL775">
        <v>0</v>
      </c>
      <c r="CM775">
        <v>0</v>
      </c>
      <c r="CN775" s="18">
        <v>0</v>
      </c>
      <c r="CO775">
        <v>0.14599999999999999</v>
      </c>
      <c r="CP775">
        <v>7</v>
      </c>
      <c r="CQ775">
        <v>0</v>
      </c>
      <c r="CR775">
        <v>1</v>
      </c>
      <c r="CS775">
        <v>21</v>
      </c>
      <c r="CY775" s="34"/>
    </row>
    <row r="776" spans="1:103" x14ac:dyDescent="0.25">
      <c r="A776">
        <v>775</v>
      </c>
      <c r="B776">
        <v>50</v>
      </c>
      <c r="C776" s="25" t="s">
        <v>478</v>
      </c>
      <c r="D776" s="12">
        <v>11.2</v>
      </c>
      <c r="E776" s="14">
        <v>0.5</v>
      </c>
      <c r="F776" s="7">
        <f t="shared" si="180"/>
        <v>22.4</v>
      </c>
      <c r="G776" s="7">
        <f t="shared" si="192"/>
        <v>10.7</v>
      </c>
      <c r="H776" s="16">
        <f t="shared" si="193"/>
        <v>11.7</v>
      </c>
      <c r="I776" s="11">
        <f t="shared" ref="I776:I839" si="196">IFERROR(F776/SQRT(F776^2+U776), "X")</f>
        <v>0.12271852327728827</v>
      </c>
      <c r="J776" s="33">
        <f t="shared" ref="J776:J839" si="197">IFERROR(SQRT((1-I776^2)/U776), "X")</f>
        <v>5.4785055034503698E-3</v>
      </c>
      <c r="K776" s="33">
        <f t="shared" ref="K776:K839" si="198">IFERROR(1/J776, "X")</f>
        <v>182.53153152263857</v>
      </c>
      <c r="L776" s="8">
        <v>0</v>
      </c>
      <c r="M776" s="9">
        <v>1</v>
      </c>
      <c r="N776" s="8">
        <v>0</v>
      </c>
      <c r="O776" s="9">
        <v>0</v>
      </c>
      <c r="P776" s="9">
        <v>0</v>
      </c>
      <c r="Q776" s="9">
        <v>1</v>
      </c>
      <c r="R776" s="9">
        <v>0</v>
      </c>
      <c r="S776" s="8">
        <v>32820</v>
      </c>
      <c r="T776" s="9">
        <v>3</v>
      </c>
      <c r="U776" s="9">
        <f t="shared" si="194"/>
        <v>32816</v>
      </c>
      <c r="V776" s="9">
        <f t="shared" si="195"/>
        <v>6</v>
      </c>
      <c r="W776" s="7">
        <v>12.8</v>
      </c>
      <c r="X776" s="7">
        <f t="shared" si="191"/>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v>0</v>
      </c>
      <c r="BF776" s="18">
        <v>0</v>
      </c>
      <c r="BG776">
        <v>1</v>
      </c>
      <c r="BH776">
        <v>0</v>
      </c>
      <c r="BI776" s="18">
        <v>0</v>
      </c>
      <c r="BJ776">
        <v>30085</v>
      </c>
      <c r="BK776">
        <v>22725</v>
      </c>
      <c r="BL776" s="25">
        <v>44.5</v>
      </c>
      <c r="BM776">
        <v>1</v>
      </c>
      <c r="BN776">
        <v>0</v>
      </c>
      <c r="BO776">
        <v>0</v>
      </c>
      <c r="BP776">
        <v>0</v>
      </c>
      <c r="BQ776">
        <v>0</v>
      </c>
      <c r="BR776">
        <v>0</v>
      </c>
      <c r="BS776">
        <v>0</v>
      </c>
      <c r="BT776" s="18">
        <v>0</v>
      </c>
      <c r="BU776">
        <v>0</v>
      </c>
      <c r="BV776">
        <v>0</v>
      </c>
      <c r="BW776">
        <v>0</v>
      </c>
      <c r="BX776" s="18">
        <v>1</v>
      </c>
      <c r="BY776">
        <v>0</v>
      </c>
      <c r="BZ776">
        <v>0</v>
      </c>
      <c r="CA776">
        <v>0</v>
      </c>
      <c r="CB776">
        <v>0</v>
      </c>
      <c r="CC776" s="18">
        <v>0</v>
      </c>
      <c r="CD776">
        <v>0</v>
      </c>
      <c r="CE776">
        <v>0</v>
      </c>
      <c r="CF776">
        <v>1</v>
      </c>
      <c r="CG776">
        <v>1</v>
      </c>
      <c r="CH776">
        <v>0</v>
      </c>
      <c r="CI776">
        <v>0</v>
      </c>
      <c r="CJ776">
        <v>0</v>
      </c>
      <c r="CK776">
        <v>0</v>
      </c>
      <c r="CL776">
        <v>0</v>
      </c>
      <c r="CM776">
        <v>0</v>
      </c>
      <c r="CN776" s="18">
        <v>0</v>
      </c>
      <c r="CO776">
        <v>0.14599999999999999</v>
      </c>
      <c r="CP776">
        <v>7</v>
      </c>
      <c r="CQ776">
        <v>0</v>
      </c>
      <c r="CR776">
        <v>1</v>
      </c>
      <c r="CS776">
        <v>21</v>
      </c>
      <c r="CY776" s="34"/>
    </row>
    <row r="777" spans="1:103" s="142" customFormat="1" x14ac:dyDescent="0.25">
      <c r="A777" s="142">
        <v>776</v>
      </c>
      <c r="B777" s="142">
        <v>50</v>
      </c>
      <c r="C777" s="143" t="s">
        <v>478</v>
      </c>
      <c r="D777" s="144">
        <v>11.4</v>
      </c>
      <c r="E777" s="145">
        <v>0.5</v>
      </c>
      <c r="F777" s="146">
        <f t="shared" si="180"/>
        <v>22.8</v>
      </c>
      <c r="G777" s="146">
        <f t="shared" si="192"/>
        <v>10.9</v>
      </c>
      <c r="H777" s="147">
        <f t="shared" si="193"/>
        <v>11.9</v>
      </c>
      <c r="I777" s="11">
        <f t="shared" si="196"/>
        <v>0.12474327691742701</v>
      </c>
      <c r="J777" s="33">
        <f t="shared" si="197"/>
        <v>5.4711963560275002E-3</v>
      </c>
      <c r="K777" s="33">
        <f t="shared" si="198"/>
        <v>182.77538127439374</v>
      </c>
      <c r="L777" s="149">
        <v>0</v>
      </c>
      <c r="M777" s="150">
        <v>1</v>
      </c>
      <c r="N777" s="149">
        <v>0</v>
      </c>
      <c r="O777" s="150">
        <v>0</v>
      </c>
      <c r="P777" s="150">
        <v>0</v>
      </c>
      <c r="Q777" s="150">
        <v>1</v>
      </c>
      <c r="R777" s="150">
        <v>0</v>
      </c>
      <c r="S777" s="149">
        <v>32891</v>
      </c>
      <c r="T777" s="150">
        <v>3</v>
      </c>
      <c r="U777" s="150">
        <f t="shared" si="194"/>
        <v>32887</v>
      </c>
      <c r="V777" s="150">
        <f t="shared" si="195"/>
        <v>6</v>
      </c>
      <c r="W777" s="146">
        <v>12.8</v>
      </c>
      <c r="X777" s="146">
        <f t="shared" si="191"/>
        <v>25.7</v>
      </c>
      <c r="Y777" s="150">
        <v>1</v>
      </c>
      <c r="Z777" s="150">
        <v>0</v>
      </c>
      <c r="AA777" s="150">
        <v>0</v>
      </c>
      <c r="AB777" s="150">
        <v>0</v>
      </c>
      <c r="AC777" s="150">
        <v>0</v>
      </c>
      <c r="AD777" s="150">
        <v>1</v>
      </c>
      <c r="AE777" s="149">
        <v>0</v>
      </c>
      <c r="AF777" s="150">
        <v>1</v>
      </c>
      <c r="AG777" s="151">
        <v>0</v>
      </c>
      <c r="AH777" s="150">
        <v>0</v>
      </c>
      <c r="AI777" s="151">
        <v>1</v>
      </c>
      <c r="AJ777" s="152">
        <v>2008</v>
      </c>
      <c r="AK777" s="148">
        <v>0</v>
      </c>
      <c r="AL777" s="148">
        <v>0</v>
      </c>
      <c r="AM777" s="148">
        <v>0</v>
      </c>
      <c r="AN777" s="153">
        <v>1</v>
      </c>
      <c r="AO777" s="154" t="s">
        <v>98</v>
      </c>
      <c r="AP777" s="155" t="s">
        <v>98</v>
      </c>
      <c r="AQ777" s="142">
        <v>0</v>
      </c>
      <c r="AR777" s="156">
        <v>1</v>
      </c>
      <c r="AS777" s="142" t="s">
        <v>98</v>
      </c>
      <c r="AT777" s="156" t="s">
        <v>98</v>
      </c>
      <c r="AU777">
        <v>0</v>
      </c>
      <c r="AV777" s="155">
        <v>1</v>
      </c>
      <c r="AW777" s="142" t="s">
        <v>98</v>
      </c>
      <c r="AX777" s="155" t="s">
        <v>98</v>
      </c>
      <c r="AY777" s="155" t="s">
        <v>2</v>
      </c>
      <c r="AZ777">
        <v>1</v>
      </c>
      <c r="BA777">
        <v>0</v>
      </c>
      <c r="BB777">
        <v>0</v>
      </c>
      <c r="BC777">
        <v>0</v>
      </c>
      <c r="BD777">
        <v>0</v>
      </c>
      <c r="BE777">
        <v>0</v>
      </c>
      <c r="BF777" s="155">
        <v>0</v>
      </c>
      <c r="BG777">
        <v>1</v>
      </c>
      <c r="BH777">
        <v>0</v>
      </c>
      <c r="BI777" s="155">
        <v>0</v>
      </c>
      <c r="BJ777">
        <v>30085</v>
      </c>
      <c r="BK777">
        <v>22725</v>
      </c>
      <c r="BL777" s="143">
        <v>44.5</v>
      </c>
      <c r="BM777" s="142">
        <v>1</v>
      </c>
      <c r="BN777" s="142">
        <v>0</v>
      </c>
      <c r="BO777" s="142">
        <v>0</v>
      </c>
      <c r="BP777" s="142">
        <v>0</v>
      </c>
      <c r="BQ777" s="142">
        <v>0</v>
      </c>
      <c r="BR777" s="142">
        <v>0</v>
      </c>
      <c r="BS777" s="142">
        <v>0</v>
      </c>
      <c r="BT777" s="155">
        <v>0</v>
      </c>
      <c r="BU777" s="142">
        <v>0</v>
      </c>
      <c r="BV777" s="142">
        <v>0</v>
      </c>
      <c r="BW777" s="142">
        <v>0</v>
      </c>
      <c r="BX777" s="155">
        <v>1</v>
      </c>
      <c r="BY777" s="142">
        <v>0</v>
      </c>
      <c r="BZ777" s="142">
        <v>0</v>
      </c>
      <c r="CA777" s="142">
        <v>0</v>
      </c>
      <c r="CB777" s="142">
        <v>0</v>
      </c>
      <c r="CC777" s="155">
        <v>0</v>
      </c>
      <c r="CD777" s="142">
        <v>0</v>
      </c>
      <c r="CE777" s="142">
        <v>0</v>
      </c>
      <c r="CF777" s="142">
        <v>1</v>
      </c>
      <c r="CG777" s="142">
        <v>1</v>
      </c>
      <c r="CH777" s="142">
        <v>0</v>
      </c>
      <c r="CI777" s="142">
        <v>0</v>
      </c>
      <c r="CJ777" s="142">
        <v>0</v>
      </c>
      <c r="CK777" s="142">
        <v>0</v>
      </c>
      <c r="CL777" s="142">
        <v>0</v>
      </c>
      <c r="CM777" s="142">
        <v>0</v>
      </c>
      <c r="CN777" s="155">
        <v>0</v>
      </c>
      <c r="CO777">
        <v>0.14599999999999999</v>
      </c>
      <c r="CP777">
        <v>7</v>
      </c>
      <c r="CQ777">
        <v>0</v>
      </c>
      <c r="CR777">
        <v>1</v>
      </c>
      <c r="CS777">
        <v>21</v>
      </c>
      <c r="CT777" s="157"/>
      <c r="CY777" s="157"/>
    </row>
    <row r="778" spans="1:103" s="126" customFormat="1" x14ac:dyDescent="0.25">
      <c r="A778" s="126">
        <v>777</v>
      </c>
      <c r="B778" s="126">
        <v>51</v>
      </c>
      <c r="C778" s="127" t="s">
        <v>480</v>
      </c>
      <c r="D778" s="128">
        <v>6.9290000000000003</v>
      </c>
      <c r="E778" s="129">
        <v>0.35099999999999998</v>
      </c>
      <c r="F778" s="130">
        <f t="shared" si="180"/>
        <v>19.740740740740744</v>
      </c>
      <c r="G778" s="130">
        <f t="shared" si="192"/>
        <v>6.5780000000000003</v>
      </c>
      <c r="H778" s="131">
        <f t="shared" si="193"/>
        <v>7.28</v>
      </c>
      <c r="I778" s="11">
        <f t="shared" si="196"/>
        <v>0.27982908448508376</v>
      </c>
      <c r="J778" s="33">
        <f t="shared" si="197"/>
        <v>1.4175206906373847E-2</v>
      </c>
      <c r="K778" s="33">
        <f t="shared" si="198"/>
        <v>70.545707488075706</v>
      </c>
      <c r="L778" s="133">
        <v>1</v>
      </c>
      <c r="M778" s="134">
        <v>0</v>
      </c>
      <c r="N778" s="133">
        <v>0</v>
      </c>
      <c r="O778" s="134">
        <v>0</v>
      </c>
      <c r="P778" s="134">
        <v>1</v>
      </c>
      <c r="Q778" s="134">
        <v>0</v>
      </c>
      <c r="R778" s="134">
        <v>0</v>
      </c>
      <c r="S778" s="133">
        <v>4596</v>
      </c>
      <c r="T778" s="134">
        <v>8</v>
      </c>
      <c r="U778" s="134">
        <f t="shared" si="194"/>
        <v>4587</v>
      </c>
      <c r="V778" s="134">
        <f t="shared" si="195"/>
        <v>1</v>
      </c>
      <c r="W778" s="130">
        <v>10.683</v>
      </c>
      <c r="X778" s="130">
        <v>7.8520000000000003</v>
      </c>
      <c r="Y778" s="134">
        <v>1</v>
      </c>
      <c r="Z778" s="134">
        <v>0</v>
      </c>
      <c r="AA778" s="134">
        <v>0</v>
      </c>
      <c r="AB778" s="134">
        <v>0</v>
      </c>
      <c r="AC778" s="134">
        <v>1</v>
      </c>
      <c r="AD778" s="134">
        <v>0</v>
      </c>
      <c r="AE778" s="133">
        <v>0</v>
      </c>
      <c r="AF778" s="134">
        <v>1</v>
      </c>
      <c r="AG778" s="135">
        <v>0</v>
      </c>
      <c r="AH778" s="134">
        <v>1</v>
      </c>
      <c r="AI778" s="135">
        <v>0</v>
      </c>
      <c r="AJ778" s="136">
        <v>2008</v>
      </c>
      <c r="AK778" s="132" t="s">
        <v>98</v>
      </c>
      <c r="AL778" s="132" t="s">
        <v>98</v>
      </c>
      <c r="AM778" s="132" t="s">
        <v>98</v>
      </c>
      <c r="AN778" s="137" t="s">
        <v>98</v>
      </c>
      <c r="AO778" s="138" t="s">
        <v>98</v>
      </c>
      <c r="AP778" s="139" t="s">
        <v>98</v>
      </c>
      <c r="AQ778" s="126">
        <v>0.66700000000000004</v>
      </c>
      <c r="AR778" s="140">
        <v>0.33300000000000002</v>
      </c>
      <c r="AS778" s="126" t="s">
        <v>98</v>
      </c>
      <c r="AT778" s="140" t="s">
        <v>98</v>
      </c>
      <c r="AU778">
        <v>0</v>
      </c>
      <c r="AV778" s="139">
        <v>1</v>
      </c>
      <c r="AW778" s="126">
        <v>0.32400000000000001</v>
      </c>
      <c r="AX778" s="139">
        <v>0.67600000000000005</v>
      </c>
      <c r="AY778" s="139" t="s">
        <v>13</v>
      </c>
      <c r="AZ778">
        <v>0</v>
      </c>
      <c r="BA778">
        <v>1</v>
      </c>
      <c r="BB778">
        <v>0</v>
      </c>
      <c r="BC778">
        <v>0</v>
      </c>
      <c r="BD778">
        <v>0</v>
      </c>
      <c r="BE778">
        <v>0</v>
      </c>
      <c r="BF778" s="139">
        <v>0</v>
      </c>
      <c r="BG778">
        <v>0</v>
      </c>
      <c r="BH778">
        <v>1</v>
      </c>
      <c r="BI778" s="139">
        <v>0</v>
      </c>
      <c r="BJ778">
        <v>1466</v>
      </c>
      <c r="BK778">
        <v>97</v>
      </c>
      <c r="BL778" s="127">
        <v>35.192</v>
      </c>
      <c r="BM778" s="126">
        <v>1</v>
      </c>
      <c r="BN778" s="126">
        <v>0</v>
      </c>
      <c r="BO778" s="126">
        <v>0</v>
      </c>
      <c r="BP778" s="126">
        <v>0</v>
      </c>
      <c r="BQ778" s="126">
        <v>0</v>
      </c>
      <c r="BR778" s="126">
        <v>0</v>
      </c>
      <c r="BS778" s="126">
        <v>0</v>
      </c>
      <c r="BT778" s="139">
        <v>0</v>
      </c>
      <c r="BU778" s="126">
        <v>0</v>
      </c>
      <c r="BV778" s="126">
        <v>0</v>
      </c>
      <c r="BW778" s="126">
        <v>0</v>
      </c>
      <c r="BX778" s="139">
        <v>1</v>
      </c>
      <c r="BY778" s="126">
        <v>0</v>
      </c>
      <c r="BZ778" s="126">
        <v>0</v>
      </c>
      <c r="CA778" s="126">
        <v>0</v>
      </c>
      <c r="CB778" s="126">
        <v>0</v>
      </c>
      <c r="CC778" s="139">
        <v>0</v>
      </c>
      <c r="CD778" s="126">
        <v>0</v>
      </c>
      <c r="CE778" s="126">
        <v>0</v>
      </c>
      <c r="CF778" s="126">
        <v>1</v>
      </c>
      <c r="CG778" s="126">
        <v>1</v>
      </c>
      <c r="CH778" s="126">
        <v>0</v>
      </c>
      <c r="CI778" s="126">
        <v>0</v>
      </c>
      <c r="CJ778" s="126">
        <v>0</v>
      </c>
      <c r="CK778" s="126">
        <v>0</v>
      </c>
      <c r="CL778" s="126">
        <v>0</v>
      </c>
      <c r="CM778" s="126">
        <v>0</v>
      </c>
      <c r="CN778" s="139">
        <v>0</v>
      </c>
      <c r="CO778">
        <v>0.20599999999999999</v>
      </c>
      <c r="CP778">
        <v>0</v>
      </c>
      <c r="CQ778">
        <v>1</v>
      </c>
      <c r="CR778">
        <v>0</v>
      </c>
      <c r="CS778">
        <v>17</v>
      </c>
      <c r="CT778" s="141"/>
      <c r="CY778" s="141"/>
    </row>
    <row r="779" spans="1:103" x14ac:dyDescent="0.25">
      <c r="A779">
        <v>778</v>
      </c>
      <c r="B779">
        <v>52</v>
      </c>
      <c r="C779" s="25" t="s">
        <v>481</v>
      </c>
      <c r="D779" s="12">
        <v>6.55</v>
      </c>
      <c r="E779" s="14">
        <v>0.03</v>
      </c>
      <c r="F779" s="7">
        <f t="shared" si="180"/>
        <v>218.33333333333334</v>
      </c>
      <c r="G779" s="7">
        <f t="shared" si="192"/>
        <v>6.52</v>
      </c>
      <c r="H779" s="16">
        <f t="shared" si="193"/>
        <v>6.58</v>
      </c>
      <c r="I779" s="11">
        <f t="shared" si="196"/>
        <v>0.38170020583238862</v>
      </c>
      <c r="J779" s="33">
        <f t="shared" si="197"/>
        <v>1.7482452175529249E-3</v>
      </c>
      <c r="K779" s="33">
        <f t="shared" si="198"/>
        <v>572.00213674814574</v>
      </c>
      <c r="L779" s="8">
        <v>1</v>
      </c>
      <c r="M779" s="9">
        <v>0</v>
      </c>
      <c r="N779" s="8">
        <v>0</v>
      </c>
      <c r="O779" s="9">
        <v>0</v>
      </c>
      <c r="P779" s="9">
        <v>0</v>
      </c>
      <c r="Q779" s="9">
        <v>1</v>
      </c>
      <c r="R779" s="9">
        <v>0</v>
      </c>
      <c r="S779" s="8">
        <v>279522</v>
      </c>
      <c r="T779" s="9">
        <v>4</v>
      </c>
      <c r="U779" s="9">
        <f t="shared" si="194"/>
        <v>279517</v>
      </c>
      <c r="V779" s="9">
        <f t="shared" si="195"/>
        <v>8</v>
      </c>
      <c r="W779" s="7">
        <v>13.04</v>
      </c>
      <c r="X779" s="7">
        <f t="shared" ref="X779:X786" si="199">BL779-W779-6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v>0</v>
      </c>
      <c r="BF779" s="18">
        <v>0</v>
      </c>
      <c r="BG779">
        <v>1</v>
      </c>
      <c r="BH779">
        <v>0</v>
      </c>
      <c r="BI779" s="18">
        <v>0</v>
      </c>
      <c r="BJ779">
        <v>19291</v>
      </c>
      <c r="BK779">
        <v>21201</v>
      </c>
      <c r="BL779" s="25">
        <v>41.44</v>
      </c>
      <c r="BM779">
        <v>1</v>
      </c>
      <c r="BN779">
        <v>0</v>
      </c>
      <c r="BO779">
        <v>0</v>
      </c>
      <c r="BP779">
        <v>0</v>
      </c>
      <c r="BQ779">
        <v>0</v>
      </c>
      <c r="BR779">
        <v>0</v>
      </c>
      <c r="BS779">
        <v>0</v>
      </c>
      <c r="BT779" s="18">
        <v>0</v>
      </c>
      <c r="BU779">
        <v>0</v>
      </c>
      <c r="BV779">
        <v>0</v>
      </c>
      <c r="BW779">
        <v>1</v>
      </c>
      <c r="BX779" s="18">
        <v>0</v>
      </c>
      <c r="BY779">
        <v>0</v>
      </c>
      <c r="BZ779">
        <v>0</v>
      </c>
      <c r="CA779">
        <v>0</v>
      </c>
      <c r="CB779">
        <v>0</v>
      </c>
      <c r="CC779" s="18">
        <v>0</v>
      </c>
      <c r="CD779">
        <v>0</v>
      </c>
      <c r="CE779">
        <v>0</v>
      </c>
      <c r="CF779">
        <v>0</v>
      </c>
      <c r="CG779">
        <v>0</v>
      </c>
      <c r="CH779">
        <v>0</v>
      </c>
      <c r="CI779">
        <v>0</v>
      </c>
      <c r="CJ779">
        <v>0</v>
      </c>
      <c r="CK779">
        <v>0</v>
      </c>
      <c r="CL779">
        <v>0</v>
      </c>
      <c r="CM779">
        <v>0</v>
      </c>
      <c r="CN779" s="18">
        <v>1</v>
      </c>
      <c r="CO779">
        <v>6.9000000000000006E-2</v>
      </c>
      <c r="CP779">
        <v>47</v>
      </c>
      <c r="CQ779">
        <v>1</v>
      </c>
      <c r="CR779">
        <v>0</v>
      </c>
      <c r="CS779">
        <v>14</v>
      </c>
      <c r="CY779" s="34"/>
    </row>
    <row r="780" spans="1:103" x14ac:dyDescent="0.25">
      <c r="A780">
        <v>779</v>
      </c>
      <c r="B780">
        <v>52</v>
      </c>
      <c r="C780" s="25" t="s">
        <v>481</v>
      </c>
      <c r="D780" s="12">
        <v>9.6</v>
      </c>
      <c r="E780" s="14">
        <v>4.4000000000000004</v>
      </c>
      <c r="F780" s="7">
        <f t="shared" si="180"/>
        <v>2.1818181818181817</v>
      </c>
      <c r="G780" s="7">
        <f t="shared" si="192"/>
        <v>5.1999999999999993</v>
      </c>
      <c r="H780" s="16">
        <f t="shared" si="193"/>
        <v>14</v>
      </c>
      <c r="I780" s="11">
        <f t="shared" si="196"/>
        <v>4.1267745656530536E-3</v>
      </c>
      <c r="J780" s="33">
        <f t="shared" si="197"/>
        <v>1.891438342590983E-3</v>
      </c>
      <c r="K780" s="33">
        <f t="shared" si="198"/>
        <v>528.69817507778339</v>
      </c>
      <c r="L780" s="8">
        <v>1</v>
      </c>
      <c r="M780" s="9">
        <v>0</v>
      </c>
      <c r="N780" s="8">
        <v>0</v>
      </c>
      <c r="O780" s="9">
        <v>0</v>
      </c>
      <c r="P780" s="9">
        <v>0</v>
      </c>
      <c r="Q780" s="9">
        <v>1</v>
      </c>
      <c r="R780" s="9">
        <v>0</v>
      </c>
      <c r="S780" s="8">
        <v>279522</v>
      </c>
      <c r="T780" s="9">
        <v>4</v>
      </c>
      <c r="U780" s="9">
        <f t="shared" si="194"/>
        <v>279517</v>
      </c>
      <c r="V780" s="9">
        <f t="shared" si="195"/>
        <v>8</v>
      </c>
      <c r="W780" s="7">
        <v>13.04</v>
      </c>
      <c r="X780" s="7">
        <f t="shared" si="199"/>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v>0</v>
      </c>
      <c r="BF780" s="18">
        <v>0</v>
      </c>
      <c r="BG780">
        <v>1</v>
      </c>
      <c r="BH780">
        <v>0</v>
      </c>
      <c r="BI780" s="18">
        <v>0</v>
      </c>
      <c r="BJ780">
        <v>19291</v>
      </c>
      <c r="BK780">
        <v>21201</v>
      </c>
      <c r="BL780" s="25">
        <v>41.44</v>
      </c>
      <c r="BM780">
        <v>0</v>
      </c>
      <c r="BN780">
        <v>0</v>
      </c>
      <c r="BO780">
        <v>0</v>
      </c>
      <c r="BP780">
        <v>0</v>
      </c>
      <c r="BQ780">
        <v>1</v>
      </c>
      <c r="BR780">
        <v>0</v>
      </c>
      <c r="BS780">
        <v>0</v>
      </c>
      <c r="BT780" s="18">
        <v>0</v>
      </c>
      <c r="BU780">
        <v>0</v>
      </c>
      <c r="BV780">
        <v>1</v>
      </c>
      <c r="BW780">
        <v>0</v>
      </c>
      <c r="BX780" s="18">
        <v>0</v>
      </c>
      <c r="BY780">
        <v>0</v>
      </c>
      <c r="BZ780">
        <v>0</v>
      </c>
      <c r="CA780">
        <v>0</v>
      </c>
      <c r="CB780">
        <v>0</v>
      </c>
      <c r="CC780" s="18">
        <v>0</v>
      </c>
      <c r="CD780">
        <v>0</v>
      </c>
      <c r="CE780">
        <v>0</v>
      </c>
      <c r="CF780">
        <v>0</v>
      </c>
      <c r="CG780">
        <v>0</v>
      </c>
      <c r="CH780">
        <v>0</v>
      </c>
      <c r="CI780">
        <v>0</v>
      </c>
      <c r="CJ780">
        <v>0</v>
      </c>
      <c r="CK780">
        <v>0</v>
      </c>
      <c r="CL780">
        <v>0</v>
      </c>
      <c r="CM780">
        <v>0</v>
      </c>
      <c r="CN780" s="18">
        <v>1</v>
      </c>
      <c r="CO780">
        <v>6.9000000000000006E-2</v>
      </c>
      <c r="CP780">
        <v>47</v>
      </c>
      <c r="CQ780">
        <v>1</v>
      </c>
      <c r="CR780">
        <v>0</v>
      </c>
      <c r="CS780">
        <v>14</v>
      </c>
      <c r="CY780" s="34"/>
    </row>
    <row r="781" spans="1:103" x14ac:dyDescent="0.25">
      <c r="A781">
        <v>780</v>
      </c>
      <c r="B781">
        <v>52</v>
      </c>
      <c r="C781" s="25" t="s">
        <v>481</v>
      </c>
      <c r="D781" s="12">
        <v>9.8000000000000007</v>
      </c>
      <c r="E781" s="14">
        <v>2</v>
      </c>
      <c r="F781" s="7">
        <f t="shared" si="180"/>
        <v>4.9000000000000004</v>
      </c>
      <c r="G781" s="7">
        <f t="shared" si="192"/>
        <v>7.8000000000000007</v>
      </c>
      <c r="H781" s="16">
        <f t="shared" si="193"/>
        <v>11.8</v>
      </c>
      <c r="I781" s="11">
        <f t="shared" si="196"/>
        <v>9.2677287664315669E-3</v>
      </c>
      <c r="J781" s="33">
        <f t="shared" si="197"/>
        <v>1.8913732176390956E-3</v>
      </c>
      <c r="K781" s="33">
        <f t="shared" si="198"/>
        <v>528.7163795457825</v>
      </c>
      <c r="L781" s="8">
        <v>1</v>
      </c>
      <c r="M781" s="9">
        <v>0</v>
      </c>
      <c r="N781" s="8">
        <v>0</v>
      </c>
      <c r="O781" s="9">
        <v>0</v>
      </c>
      <c r="P781" s="9">
        <v>0</v>
      </c>
      <c r="Q781" s="9">
        <v>1</v>
      </c>
      <c r="R781" s="9">
        <v>0</v>
      </c>
      <c r="S781" s="8">
        <v>279522</v>
      </c>
      <c r="T781" s="9">
        <v>4</v>
      </c>
      <c r="U781" s="9">
        <f t="shared" si="194"/>
        <v>279517</v>
      </c>
      <c r="V781" s="9">
        <f t="shared" si="195"/>
        <v>8</v>
      </c>
      <c r="W781" s="7">
        <v>13.04</v>
      </c>
      <c r="X781" s="7">
        <f t="shared" si="199"/>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v>0</v>
      </c>
      <c r="BF781" s="18">
        <v>0</v>
      </c>
      <c r="BG781">
        <v>1</v>
      </c>
      <c r="BH781">
        <v>0</v>
      </c>
      <c r="BI781" s="18">
        <v>0</v>
      </c>
      <c r="BJ781">
        <v>19291</v>
      </c>
      <c r="BK781">
        <v>21201</v>
      </c>
      <c r="BL781" s="25">
        <v>41.44</v>
      </c>
      <c r="BM781">
        <v>0</v>
      </c>
      <c r="BN781">
        <v>0</v>
      </c>
      <c r="BO781">
        <v>0</v>
      </c>
      <c r="BP781">
        <v>0</v>
      </c>
      <c r="BQ781">
        <v>1</v>
      </c>
      <c r="BR781">
        <v>0</v>
      </c>
      <c r="BS781">
        <v>0</v>
      </c>
      <c r="BT781" s="18">
        <v>0</v>
      </c>
      <c r="BU781">
        <v>0</v>
      </c>
      <c r="BV781">
        <v>1</v>
      </c>
      <c r="BW781">
        <v>0</v>
      </c>
      <c r="BX781" s="18">
        <v>0</v>
      </c>
      <c r="BY781">
        <v>0</v>
      </c>
      <c r="BZ781">
        <v>0</v>
      </c>
      <c r="CA781">
        <v>0</v>
      </c>
      <c r="CB781">
        <v>0</v>
      </c>
      <c r="CC781" s="18">
        <v>0</v>
      </c>
      <c r="CD781">
        <v>0</v>
      </c>
      <c r="CE781">
        <v>0</v>
      </c>
      <c r="CF781">
        <v>0</v>
      </c>
      <c r="CG781">
        <v>0</v>
      </c>
      <c r="CH781">
        <v>0</v>
      </c>
      <c r="CI781">
        <v>0</v>
      </c>
      <c r="CJ781">
        <v>0</v>
      </c>
      <c r="CK781">
        <v>0</v>
      </c>
      <c r="CL781">
        <v>0</v>
      </c>
      <c r="CM781">
        <v>0</v>
      </c>
      <c r="CN781" s="18">
        <v>1</v>
      </c>
      <c r="CO781">
        <v>6.9000000000000006E-2</v>
      </c>
      <c r="CP781">
        <v>47</v>
      </c>
      <c r="CQ781">
        <v>1</v>
      </c>
      <c r="CR781">
        <v>0</v>
      </c>
      <c r="CS781">
        <v>14</v>
      </c>
      <c r="CY781" s="34"/>
    </row>
    <row r="782" spans="1:103" x14ac:dyDescent="0.25">
      <c r="A782">
        <v>781</v>
      </c>
      <c r="B782">
        <v>52</v>
      </c>
      <c r="C782" s="25" t="s">
        <v>481</v>
      </c>
      <c r="D782" s="12">
        <v>9.8000000000000007</v>
      </c>
      <c r="E782" s="14">
        <v>1.8</v>
      </c>
      <c r="F782" s="7">
        <f t="shared" si="180"/>
        <v>5.4444444444444446</v>
      </c>
      <c r="G782" s="7">
        <f t="shared" si="192"/>
        <v>8</v>
      </c>
      <c r="H782" s="16">
        <f t="shared" si="193"/>
        <v>11.600000000000001</v>
      </c>
      <c r="I782" s="11">
        <f t="shared" si="196"/>
        <v>1.0297372675932382E-2</v>
      </c>
      <c r="J782" s="33">
        <f t="shared" si="197"/>
        <v>1.8913541649671723E-3</v>
      </c>
      <c r="K782" s="33">
        <f t="shared" si="198"/>
        <v>528.72170560258701</v>
      </c>
      <c r="L782" s="8">
        <v>1</v>
      </c>
      <c r="M782" s="9">
        <v>0</v>
      </c>
      <c r="N782" s="8">
        <v>0</v>
      </c>
      <c r="O782" s="9">
        <v>0</v>
      </c>
      <c r="P782" s="9">
        <v>0</v>
      </c>
      <c r="Q782" s="9">
        <v>1</v>
      </c>
      <c r="R782" s="9">
        <v>0</v>
      </c>
      <c r="S782" s="8">
        <v>279522</v>
      </c>
      <c r="T782" s="9">
        <v>4</v>
      </c>
      <c r="U782" s="9">
        <f t="shared" si="194"/>
        <v>279517</v>
      </c>
      <c r="V782" s="9">
        <f t="shared" si="195"/>
        <v>8</v>
      </c>
      <c r="W782" s="7">
        <v>13.04</v>
      </c>
      <c r="X782" s="7">
        <f t="shared" si="199"/>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v>0</v>
      </c>
      <c r="BF782" s="18">
        <v>0</v>
      </c>
      <c r="BG782">
        <v>1</v>
      </c>
      <c r="BH782">
        <v>0</v>
      </c>
      <c r="BI782" s="18">
        <v>0</v>
      </c>
      <c r="BJ782">
        <v>19291</v>
      </c>
      <c r="BK782">
        <v>21201</v>
      </c>
      <c r="BL782" s="25">
        <v>41.44</v>
      </c>
      <c r="BM782">
        <v>0</v>
      </c>
      <c r="BN782">
        <v>0</v>
      </c>
      <c r="BO782">
        <v>0</v>
      </c>
      <c r="BP782">
        <v>0</v>
      </c>
      <c r="BQ782">
        <v>1</v>
      </c>
      <c r="BR782">
        <v>0</v>
      </c>
      <c r="BS782">
        <v>0</v>
      </c>
      <c r="BT782" s="18">
        <v>0</v>
      </c>
      <c r="BU782">
        <v>0</v>
      </c>
      <c r="BV782">
        <v>1</v>
      </c>
      <c r="BW782">
        <v>0</v>
      </c>
      <c r="BX782" s="18">
        <v>0</v>
      </c>
      <c r="BY782">
        <v>0</v>
      </c>
      <c r="BZ782">
        <v>0</v>
      </c>
      <c r="CA782">
        <v>0</v>
      </c>
      <c r="CB782">
        <v>0</v>
      </c>
      <c r="CC782" s="18">
        <v>0</v>
      </c>
      <c r="CD782">
        <v>0</v>
      </c>
      <c r="CE782">
        <v>0</v>
      </c>
      <c r="CF782">
        <v>0</v>
      </c>
      <c r="CG782">
        <v>0</v>
      </c>
      <c r="CH782">
        <v>0</v>
      </c>
      <c r="CI782">
        <v>0</v>
      </c>
      <c r="CJ782">
        <v>0</v>
      </c>
      <c r="CK782">
        <v>0</v>
      </c>
      <c r="CL782">
        <v>0</v>
      </c>
      <c r="CM782">
        <v>0</v>
      </c>
      <c r="CN782" s="18">
        <v>1</v>
      </c>
      <c r="CO782">
        <v>6.9000000000000006E-2</v>
      </c>
      <c r="CP782">
        <v>47</v>
      </c>
      <c r="CQ782">
        <v>1</v>
      </c>
      <c r="CR782">
        <v>0</v>
      </c>
      <c r="CS782">
        <v>14</v>
      </c>
      <c r="CY782" s="34"/>
    </row>
    <row r="783" spans="1:103" x14ac:dyDescent="0.25">
      <c r="A783">
        <v>782</v>
      </c>
      <c r="B783">
        <v>52</v>
      </c>
      <c r="C783" s="25" t="s">
        <v>481</v>
      </c>
      <c r="D783" s="12">
        <v>7.43</v>
      </c>
      <c r="E783" s="14">
        <v>0.04</v>
      </c>
      <c r="F783" s="7">
        <f t="shared" si="180"/>
        <v>185.75</v>
      </c>
      <c r="G783" s="7">
        <f t="shared" si="192"/>
        <v>7.39</v>
      </c>
      <c r="H783" s="16">
        <f t="shared" si="193"/>
        <v>7.47</v>
      </c>
      <c r="I783" s="11">
        <f t="shared" si="196"/>
        <v>0.33147450030132436</v>
      </c>
      <c r="J783" s="33">
        <f t="shared" si="197"/>
        <v>1.7845195170999963E-3</v>
      </c>
      <c r="K783" s="33">
        <f t="shared" si="198"/>
        <v>560.37493029221071</v>
      </c>
      <c r="L783" s="8">
        <v>1</v>
      </c>
      <c r="M783" s="9">
        <v>0</v>
      </c>
      <c r="N783" s="8">
        <v>0</v>
      </c>
      <c r="O783" s="9">
        <v>0</v>
      </c>
      <c r="P783" s="9">
        <v>0</v>
      </c>
      <c r="Q783" s="9">
        <v>1</v>
      </c>
      <c r="R783" s="9">
        <v>0</v>
      </c>
      <c r="S783" s="8">
        <v>279522</v>
      </c>
      <c r="T783" s="9">
        <v>4</v>
      </c>
      <c r="U783" s="9">
        <f t="shared" si="194"/>
        <v>279517</v>
      </c>
      <c r="V783" s="9">
        <f t="shared" si="195"/>
        <v>8</v>
      </c>
      <c r="W783" s="7">
        <v>13.04</v>
      </c>
      <c r="X783" s="7">
        <f t="shared" si="199"/>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v>0</v>
      </c>
      <c r="BF783" s="18">
        <v>0</v>
      </c>
      <c r="BG783">
        <v>1</v>
      </c>
      <c r="BH783">
        <v>0</v>
      </c>
      <c r="BI783" s="18">
        <v>0</v>
      </c>
      <c r="BJ783">
        <v>19291</v>
      </c>
      <c r="BK783">
        <v>21201</v>
      </c>
      <c r="BL783" s="25">
        <v>41.44</v>
      </c>
      <c r="BM783">
        <v>1</v>
      </c>
      <c r="BN783">
        <v>0</v>
      </c>
      <c r="BO783">
        <v>0</v>
      </c>
      <c r="BP783">
        <v>0</v>
      </c>
      <c r="BQ783">
        <v>0</v>
      </c>
      <c r="BR783">
        <v>0</v>
      </c>
      <c r="BS783">
        <v>0</v>
      </c>
      <c r="BT783" s="18">
        <v>0</v>
      </c>
      <c r="BU783">
        <v>0</v>
      </c>
      <c r="BV783">
        <v>0</v>
      </c>
      <c r="BW783">
        <v>1</v>
      </c>
      <c r="BX783" s="18">
        <v>0</v>
      </c>
      <c r="BY783">
        <v>0</v>
      </c>
      <c r="BZ783">
        <v>0</v>
      </c>
      <c r="CA783">
        <v>0</v>
      </c>
      <c r="CB783">
        <v>0</v>
      </c>
      <c r="CC783" s="18">
        <v>0</v>
      </c>
      <c r="CD783">
        <v>0</v>
      </c>
      <c r="CE783">
        <v>0</v>
      </c>
      <c r="CF783">
        <v>0</v>
      </c>
      <c r="CG783">
        <v>0</v>
      </c>
      <c r="CH783">
        <v>0</v>
      </c>
      <c r="CI783">
        <v>0</v>
      </c>
      <c r="CJ783">
        <v>0</v>
      </c>
      <c r="CK783">
        <v>0</v>
      </c>
      <c r="CL783">
        <v>0</v>
      </c>
      <c r="CM783">
        <v>0</v>
      </c>
      <c r="CN783" s="18">
        <v>1</v>
      </c>
      <c r="CO783">
        <v>6.9000000000000006E-2</v>
      </c>
      <c r="CP783">
        <v>47</v>
      </c>
      <c r="CQ783">
        <v>1</v>
      </c>
      <c r="CR783">
        <v>0</v>
      </c>
      <c r="CS783">
        <v>14</v>
      </c>
      <c r="CY783" s="34"/>
    </row>
    <row r="784" spans="1:103" x14ac:dyDescent="0.25">
      <c r="A784">
        <v>783</v>
      </c>
      <c r="B784">
        <v>52</v>
      </c>
      <c r="C784" s="25" t="s">
        <v>481</v>
      </c>
      <c r="D784" s="12">
        <v>11.8</v>
      </c>
      <c r="E784" s="14">
        <v>5.6</v>
      </c>
      <c r="F784" s="7">
        <f t="shared" si="180"/>
        <v>2.1071428571428572</v>
      </c>
      <c r="G784" s="7">
        <f t="shared" si="192"/>
        <v>6.2000000000000011</v>
      </c>
      <c r="H784" s="16">
        <f t="shared" si="193"/>
        <v>17.399999999999999</v>
      </c>
      <c r="I784" s="11">
        <f t="shared" si="196"/>
        <v>3.9855330766543993E-3</v>
      </c>
      <c r="J784" s="33">
        <f t="shared" si="197"/>
        <v>1.8914394262088674E-3</v>
      </c>
      <c r="K784" s="33">
        <f t="shared" si="198"/>
        <v>528.69787218317833</v>
      </c>
      <c r="L784" s="8">
        <v>1</v>
      </c>
      <c r="M784" s="9">
        <v>0</v>
      </c>
      <c r="N784" s="8">
        <v>0</v>
      </c>
      <c r="O784" s="9">
        <v>0</v>
      </c>
      <c r="P784" s="9">
        <v>0</v>
      </c>
      <c r="Q784" s="9">
        <v>1</v>
      </c>
      <c r="R784" s="9">
        <v>0</v>
      </c>
      <c r="S784" s="8">
        <v>279522</v>
      </c>
      <c r="T784" s="9">
        <v>4</v>
      </c>
      <c r="U784" s="9">
        <f t="shared" si="194"/>
        <v>279517</v>
      </c>
      <c r="V784" s="9">
        <f t="shared" si="195"/>
        <v>8</v>
      </c>
      <c r="W784" s="7">
        <v>13.04</v>
      </c>
      <c r="X784" s="7">
        <f t="shared" si="199"/>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v>0</v>
      </c>
      <c r="BF784" s="18">
        <v>0</v>
      </c>
      <c r="BG784">
        <v>1</v>
      </c>
      <c r="BH784">
        <v>0</v>
      </c>
      <c r="BI784" s="18">
        <v>0</v>
      </c>
      <c r="BJ784">
        <v>19291</v>
      </c>
      <c r="BK784">
        <v>21201</v>
      </c>
      <c r="BL784" s="25">
        <v>41.44</v>
      </c>
      <c r="BM784">
        <v>0</v>
      </c>
      <c r="BN784">
        <v>0</v>
      </c>
      <c r="BO784">
        <v>0</v>
      </c>
      <c r="BP784">
        <v>0</v>
      </c>
      <c r="BQ784">
        <v>1</v>
      </c>
      <c r="BR784">
        <v>0</v>
      </c>
      <c r="BS784">
        <v>0</v>
      </c>
      <c r="BT784" s="18">
        <v>0</v>
      </c>
      <c r="BU784">
        <v>0</v>
      </c>
      <c r="BV784">
        <v>1</v>
      </c>
      <c r="BW784">
        <v>0</v>
      </c>
      <c r="BX784" s="18">
        <v>0</v>
      </c>
      <c r="BY784">
        <v>0</v>
      </c>
      <c r="BZ784">
        <v>0</v>
      </c>
      <c r="CA784">
        <v>0</v>
      </c>
      <c r="CB784">
        <v>0</v>
      </c>
      <c r="CC784" s="18">
        <v>0</v>
      </c>
      <c r="CD784">
        <v>0</v>
      </c>
      <c r="CE784">
        <v>0</v>
      </c>
      <c r="CF784">
        <v>0</v>
      </c>
      <c r="CG784">
        <v>0</v>
      </c>
      <c r="CH784">
        <v>0</v>
      </c>
      <c r="CI784">
        <v>0</v>
      </c>
      <c r="CJ784">
        <v>0</v>
      </c>
      <c r="CK784">
        <v>0</v>
      </c>
      <c r="CL784">
        <v>0</v>
      </c>
      <c r="CM784">
        <v>0</v>
      </c>
      <c r="CN784" s="18">
        <v>1</v>
      </c>
      <c r="CO784">
        <v>6.9000000000000006E-2</v>
      </c>
      <c r="CP784">
        <v>47</v>
      </c>
      <c r="CQ784">
        <v>1</v>
      </c>
      <c r="CR784">
        <v>0</v>
      </c>
      <c r="CS784">
        <v>14</v>
      </c>
      <c r="CY784" s="34"/>
    </row>
    <row r="785" spans="1:103" x14ac:dyDescent="0.25">
      <c r="A785">
        <v>784</v>
      </c>
      <c r="B785">
        <v>52</v>
      </c>
      <c r="C785" s="25" t="s">
        <v>481</v>
      </c>
      <c r="D785" s="12">
        <v>11.3</v>
      </c>
      <c r="E785" s="14">
        <v>2.2999999999999998</v>
      </c>
      <c r="F785" s="7">
        <f t="shared" si="180"/>
        <v>4.9130434782608701</v>
      </c>
      <c r="G785" s="7">
        <f t="shared" si="192"/>
        <v>9</v>
      </c>
      <c r="H785" s="16">
        <f t="shared" si="193"/>
        <v>13.600000000000001</v>
      </c>
      <c r="I785" s="11">
        <f t="shared" si="196"/>
        <v>9.2923967244782774E-3</v>
      </c>
      <c r="J785" s="33">
        <f t="shared" si="197"/>
        <v>1.8913727846283218E-3</v>
      </c>
      <c r="K785" s="33">
        <f t="shared" si="198"/>
        <v>528.71650059007925</v>
      </c>
      <c r="L785" s="8">
        <v>1</v>
      </c>
      <c r="M785" s="9">
        <v>0</v>
      </c>
      <c r="N785" s="8">
        <v>0</v>
      </c>
      <c r="O785" s="9">
        <v>0</v>
      </c>
      <c r="P785" s="9">
        <v>0</v>
      </c>
      <c r="Q785" s="9">
        <v>1</v>
      </c>
      <c r="R785" s="9">
        <v>0</v>
      </c>
      <c r="S785" s="8">
        <v>279522</v>
      </c>
      <c r="T785" s="9">
        <v>4</v>
      </c>
      <c r="U785" s="9">
        <f t="shared" si="194"/>
        <v>279517</v>
      </c>
      <c r="V785" s="9">
        <f t="shared" si="195"/>
        <v>8</v>
      </c>
      <c r="W785" s="7">
        <v>13.04</v>
      </c>
      <c r="X785" s="7">
        <f t="shared" si="199"/>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v>0</v>
      </c>
      <c r="BF785" s="18">
        <v>0</v>
      </c>
      <c r="BG785">
        <v>1</v>
      </c>
      <c r="BH785">
        <v>0</v>
      </c>
      <c r="BI785" s="18">
        <v>0</v>
      </c>
      <c r="BJ785">
        <v>19291</v>
      </c>
      <c r="BK785">
        <v>21201</v>
      </c>
      <c r="BL785" s="25">
        <v>41.44</v>
      </c>
      <c r="BM785">
        <v>0</v>
      </c>
      <c r="BN785">
        <v>0</v>
      </c>
      <c r="BO785">
        <v>0</v>
      </c>
      <c r="BP785">
        <v>0</v>
      </c>
      <c r="BQ785">
        <v>1</v>
      </c>
      <c r="BR785">
        <v>0</v>
      </c>
      <c r="BS785">
        <v>0</v>
      </c>
      <c r="BT785" s="18">
        <v>0</v>
      </c>
      <c r="BU785">
        <v>0</v>
      </c>
      <c r="BV785">
        <v>1</v>
      </c>
      <c r="BW785">
        <v>0</v>
      </c>
      <c r="BX785" s="18">
        <v>0</v>
      </c>
      <c r="BY785">
        <v>0</v>
      </c>
      <c r="BZ785">
        <v>0</v>
      </c>
      <c r="CA785">
        <v>0</v>
      </c>
      <c r="CB785">
        <v>0</v>
      </c>
      <c r="CC785" s="18">
        <v>0</v>
      </c>
      <c r="CD785">
        <v>0</v>
      </c>
      <c r="CE785">
        <v>0</v>
      </c>
      <c r="CF785">
        <v>0</v>
      </c>
      <c r="CG785">
        <v>0</v>
      </c>
      <c r="CH785">
        <v>0</v>
      </c>
      <c r="CI785">
        <v>0</v>
      </c>
      <c r="CJ785">
        <v>0</v>
      </c>
      <c r="CK785">
        <v>0</v>
      </c>
      <c r="CL785">
        <v>0</v>
      </c>
      <c r="CM785">
        <v>0</v>
      </c>
      <c r="CN785" s="18">
        <v>1</v>
      </c>
      <c r="CO785">
        <v>6.9000000000000006E-2</v>
      </c>
      <c r="CP785">
        <v>47</v>
      </c>
      <c r="CQ785">
        <v>1</v>
      </c>
      <c r="CR785">
        <v>0</v>
      </c>
      <c r="CS785">
        <v>14</v>
      </c>
      <c r="CY785" s="34"/>
    </row>
    <row r="786" spans="1:103" x14ac:dyDescent="0.25">
      <c r="A786">
        <v>785</v>
      </c>
      <c r="B786">
        <v>52</v>
      </c>
      <c r="C786" s="25" t="s">
        <v>481</v>
      </c>
      <c r="D786" s="12">
        <v>11.2</v>
      </c>
      <c r="E786" s="14">
        <v>2.1</v>
      </c>
      <c r="F786" s="7">
        <f t="shared" si="180"/>
        <v>5.333333333333333</v>
      </c>
      <c r="G786" s="7">
        <f t="shared" si="192"/>
        <v>9.1</v>
      </c>
      <c r="H786" s="16">
        <f t="shared" si="193"/>
        <v>13.299999999999999</v>
      </c>
      <c r="I786" s="11">
        <f t="shared" si="196"/>
        <v>1.0087243819210572E-2</v>
      </c>
      <c r="J786" s="33">
        <f t="shared" si="197"/>
        <v>1.8913582161019823E-3</v>
      </c>
      <c r="K786" s="33">
        <f t="shared" si="198"/>
        <v>528.72057312388029</v>
      </c>
      <c r="L786" s="8">
        <v>1</v>
      </c>
      <c r="M786" s="9">
        <v>0</v>
      </c>
      <c r="N786" s="8">
        <v>0</v>
      </c>
      <c r="O786" s="9">
        <v>0</v>
      </c>
      <c r="P786" s="9">
        <v>0</v>
      </c>
      <c r="Q786" s="9">
        <v>1</v>
      </c>
      <c r="R786" s="9">
        <v>0</v>
      </c>
      <c r="S786" s="8">
        <v>279522</v>
      </c>
      <c r="T786" s="9">
        <v>4</v>
      </c>
      <c r="U786" s="9">
        <f t="shared" si="194"/>
        <v>279517</v>
      </c>
      <c r="V786" s="9">
        <f t="shared" si="195"/>
        <v>8</v>
      </c>
      <c r="W786" s="7">
        <v>13.04</v>
      </c>
      <c r="X786" s="7">
        <f t="shared" si="199"/>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v>0</v>
      </c>
      <c r="BF786" s="18">
        <v>0</v>
      </c>
      <c r="BG786">
        <v>1</v>
      </c>
      <c r="BH786">
        <v>0</v>
      </c>
      <c r="BI786" s="18">
        <v>0</v>
      </c>
      <c r="BJ786">
        <v>19291</v>
      </c>
      <c r="BK786">
        <v>21201</v>
      </c>
      <c r="BL786" s="25">
        <v>41.44</v>
      </c>
      <c r="BM786">
        <v>0</v>
      </c>
      <c r="BN786">
        <v>0</v>
      </c>
      <c r="BO786">
        <v>0</v>
      </c>
      <c r="BP786">
        <v>0</v>
      </c>
      <c r="BQ786">
        <v>1</v>
      </c>
      <c r="BR786">
        <v>0</v>
      </c>
      <c r="BS786">
        <v>0</v>
      </c>
      <c r="BT786" s="18">
        <v>0</v>
      </c>
      <c r="BU786">
        <v>0</v>
      </c>
      <c r="BV786">
        <v>1</v>
      </c>
      <c r="BW786">
        <v>0</v>
      </c>
      <c r="BX786" s="18">
        <v>0</v>
      </c>
      <c r="BY786">
        <v>0</v>
      </c>
      <c r="BZ786">
        <v>0</v>
      </c>
      <c r="CA786">
        <v>0</v>
      </c>
      <c r="CB786">
        <v>0</v>
      </c>
      <c r="CC786" s="18">
        <v>0</v>
      </c>
      <c r="CD786">
        <v>0</v>
      </c>
      <c r="CE786">
        <v>0</v>
      </c>
      <c r="CF786">
        <v>0</v>
      </c>
      <c r="CG786">
        <v>0</v>
      </c>
      <c r="CH786">
        <v>0</v>
      </c>
      <c r="CI786">
        <v>0</v>
      </c>
      <c r="CJ786">
        <v>0</v>
      </c>
      <c r="CK786">
        <v>0</v>
      </c>
      <c r="CL786">
        <v>0</v>
      </c>
      <c r="CM786">
        <v>0</v>
      </c>
      <c r="CN786" s="18">
        <v>1</v>
      </c>
      <c r="CO786">
        <v>6.9000000000000006E-2</v>
      </c>
      <c r="CP786">
        <v>47</v>
      </c>
      <c r="CQ786">
        <v>1</v>
      </c>
      <c r="CR786">
        <v>0</v>
      </c>
      <c r="CS786">
        <v>14</v>
      </c>
      <c r="CY786" s="34"/>
    </row>
    <row r="787" spans="1:103" x14ac:dyDescent="0.25">
      <c r="A787">
        <v>786</v>
      </c>
      <c r="B787">
        <v>53</v>
      </c>
      <c r="C787" s="25" t="s">
        <v>4020</v>
      </c>
      <c r="D787" s="12">
        <v>8.5299999999999994</v>
      </c>
      <c r="E787" s="14">
        <f t="shared" ref="E787:E797" si="200">D787/F787</f>
        <v>0.92818280739934711</v>
      </c>
      <c r="F787" s="7">
        <v>9.19</v>
      </c>
      <c r="G787" s="7">
        <f t="shared" si="192"/>
        <v>7.6018171926006524</v>
      </c>
      <c r="H787" s="16">
        <f t="shared" si="193"/>
        <v>9.4581828073993464</v>
      </c>
      <c r="I787" s="11">
        <f t="shared" si="196"/>
        <v>0.4255103448500257</v>
      </c>
      <c r="J787" s="33">
        <f t="shared" si="197"/>
        <v>4.630145210555231E-2</v>
      </c>
      <c r="K787" s="33">
        <f t="shared" si="198"/>
        <v>21.59759477349272</v>
      </c>
      <c r="L787" s="8">
        <v>1</v>
      </c>
      <c r="M787" s="9">
        <v>0</v>
      </c>
      <c r="N787" s="8">
        <v>0</v>
      </c>
      <c r="O787" s="9">
        <v>1</v>
      </c>
      <c r="P787" s="9">
        <v>0</v>
      </c>
      <c r="Q787" s="9">
        <v>0</v>
      </c>
      <c r="R787" s="9">
        <v>0</v>
      </c>
      <c r="S787" s="8">
        <v>389</v>
      </c>
      <c r="T787" s="9">
        <v>6</v>
      </c>
      <c r="U787" s="9">
        <f t="shared" si="194"/>
        <v>382</v>
      </c>
      <c r="V787" s="9">
        <f t="shared" si="195"/>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v>0</v>
      </c>
      <c r="BF787" s="18">
        <v>1</v>
      </c>
      <c r="BG787">
        <v>0</v>
      </c>
      <c r="BH787">
        <v>0</v>
      </c>
      <c r="BI787" s="18">
        <v>1</v>
      </c>
      <c r="BJ787" t="s">
        <v>98</v>
      </c>
      <c r="BK787">
        <v>17</v>
      </c>
      <c r="BL787" s="93">
        <f t="shared" ref="BL787:BL797" si="201">W787+X787+6</f>
        <v>33.92</v>
      </c>
      <c r="BM787">
        <v>1</v>
      </c>
      <c r="BN787">
        <v>0</v>
      </c>
      <c r="BO787">
        <v>0</v>
      </c>
      <c r="BP787">
        <v>0</v>
      </c>
      <c r="BQ787">
        <v>0</v>
      </c>
      <c r="BR787">
        <v>0</v>
      </c>
      <c r="BS787">
        <v>0</v>
      </c>
      <c r="BT787" s="18">
        <v>0</v>
      </c>
      <c r="BU787">
        <v>0</v>
      </c>
      <c r="BV787">
        <v>0</v>
      </c>
      <c r="BW787">
        <v>1</v>
      </c>
      <c r="BX787" s="18">
        <v>0</v>
      </c>
      <c r="BY787">
        <v>0</v>
      </c>
      <c r="BZ787">
        <v>0</v>
      </c>
      <c r="CA787">
        <v>0</v>
      </c>
      <c r="CB787">
        <v>0</v>
      </c>
      <c r="CC787" s="18">
        <v>0</v>
      </c>
      <c r="CD787">
        <v>0</v>
      </c>
      <c r="CE787">
        <v>0</v>
      </c>
      <c r="CF787">
        <v>1</v>
      </c>
      <c r="CG787">
        <v>0</v>
      </c>
      <c r="CH787">
        <v>0</v>
      </c>
      <c r="CI787">
        <v>0</v>
      </c>
      <c r="CJ787">
        <v>1</v>
      </c>
      <c r="CK787">
        <v>0</v>
      </c>
      <c r="CL787">
        <v>0</v>
      </c>
      <c r="CM787">
        <v>1</v>
      </c>
      <c r="CN787" s="18">
        <v>0</v>
      </c>
      <c r="CO787">
        <v>0.76700000000000002</v>
      </c>
      <c r="CP787">
        <v>347</v>
      </c>
      <c r="CQ787">
        <v>1</v>
      </c>
      <c r="CR787">
        <v>0</v>
      </c>
      <c r="CS787">
        <v>0</v>
      </c>
      <c r="CY787" s="34"/>
    </row>
    <row r="788" spans="1:103" x14ac:dyDescent="0.25">
      <c r="A788">
        <v>787</v>
      </c>
      <c r="B788">
        <v>53</v>
      </c>
      <c r="C788" s="25" t="s">
        <v>4020</v>
      </c>
      <c r="D788" s="12">
        <v>7.51</v>
      </c>
      <c r="E788" s="14">
        <f t="shared" si="200"/>
        <v>1.0080536912751676</v>
      </c>
      <c r="F788" s="7">
        <v>7.45</v>
      </c>
      <c r="G788" s="7">
        <f t="shared" si="192"/>
        <v>6.5019463087248326</v>
      </c>
      <c r="H788" s="16">
        <f t="shared" si="193"/>
        <v>8.518053691275167</v>
      </c>
      <c r="I788" s="11">
        <f t="shared" si="196"/>
        <v>0.4409113869173576</v>
      </c>
      <c r="J788" s="33">
        <f t="shared" si="197"/>
        <v>5.9182736498974167E-2</v>
      </c>
      <c r="K788" s="33">
        <f t="shared" si="198"/>
        <v>16.896819227298376</v>
      </c>
      <c r="L788" s="8">
        <v>1</v>
      </c>
      <c r="M788" s="9">
        <v>0</v>
      </c>
      <c r="N788" s="8">
        <v>0</v>
      </c>
      <c r="O788" s="9">
        <v>1</v>
      </c>
      <c r="P788" s="9">
        <v>0</v>
      </c>
      <c r="Q788" s="9">
        <v>0</v>
      </c>
      <c r="R788" s="9">
        <v>0</v>
      </c>
      <c r="S788" s="8">
        <v>237</v>
      </c>
      <c r="T788" s="9">
        <v>6</v>
      </c>
      <c r="U788" s="9">
        <f t="shared" si="194"/>
        <v>230</v>
      </c>
      <c r="V788" s="9">
        <f t="shared" si="195"/>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v>0</v>
      </c>
      <c r="BF788" s="18">
        <v>1</v>
      </c>
      <c r="BG788">
        <v>0</v>
      </c>
      <c r="BH788">
        <v>0</v>
      </c>
      <c r="BI788" s="18">
        <v>1</v>
      </c>
      <c r="BJ788" t="s">
        <v>98</v>
      </c>
      <c r="BK788">
        <v>17</v>
      </c>
      <c r="BL788" s="93">
        <f t="shared" si="201"/>
        <v>33.92</v>
      </c>
      <c r="BM788">
        <v>1</v>
      </c>
      <c r="BN788">
        <v>0</v>
      </c>
      <c r="BO788">
        <v>0</v>
      </c>
      <c r="BP788">
        <v>0</v>
      </c>
      <c r="BQ788">
        <v>0</v>
      </c>
      <c r="BR788">
        <v>0</v>
      </c>
      <c r="BS788">
        <v>0</v>
      </c>
      <c r="BT788" s="18">
        <v>0</v>
      </c>
      <c r="BU788">
        <v>0</v>
      </c>
      <c r="BV788">
        <v>0</v>
      </c>
      <c r="BW788">
        <v>1</v>
      </c>
      <c r="BX788" s="18">
        <v>0</v>
      </c>
      <c r="BY788">
        <v>0</v>
      </c>
      <c r="BZ788">
        <v>0</v>
      </c>
      <c r="CA788">
        <v>0</v>
      </c>
      <c r="CB788">
        <v>0</v>
      </c>
      <c r="CC788" s="18">
        <v>0</v>
      </c>
      <c r="CD788">
        <v>0</v>
      </c>
      <c r="CE788">
        <v>0</v>
      </c>
      <c r="CF788">
        <v>1</v>
      </c>
      <c r="CG788">
        <v>0</v>
      </c>
      <c r="CH788">
        <v>0</v>
      </c>
      <c r="CI788">
        <v>0</v>
      </c>
      <c r="CJ788">
        <v>1</v>
      </c>
      <c r="CK788">
        <v>0</v>
      </c>
      <c r="CL788">
        <v>0</v>
      </c>
      <c r="CM788">
        <v>1</v>
      </c>
      <c r="CN788" s="18">
        <v>0</v>
      </c>
      <c r="CO788">
        <v>0.76700000000000002</v>
      </c>
      <c r="CP788">
        <v>347</v>
      </c>
      <c r="CQ788">
        <v>1</v>
      </c>
      <c r="CR788">
        <v>0</v>
      </c>
      <c r="CS788">
        <v>0</v>
      </c>
      <c r="CY788" s="34"/>
    </row>
    <row r="789" spans="1:103" x14ac:dyDescent="0.25">
      <c r="A789">
        <v>788</v>
      </c>
      <c r="B789">
        <v>53</v>
      </c>
      <c r="C789" s="25" t="s">
        <v>4020</v>
      </c>
      <c r="D789" s="12">
        <v>6.04</v>
      </c>
      <c r="E789" s="14">
        <f t="shared" si="200"/>
        <v>1.6547945205479453</v>
      </c>
      <c r="F789" s="7">
        <v>3.65</v>
      </c>
      <c r="G789" s="7">
        <f t="shared" si="192"/>
        <v>4.385205479452055</v>
      </c>
      <c r="H789" s="16">
        <f t="shared" si="193"/>
        <v>7.6947945205479451</v>
      </c>
      <c r="I789" s="11">
        <f t="shared" si="196"/>
        <v>0.23447470277510901</v>
      </c>
      <c r="J789" s="33">
        <f t="shared" si="197"/>
        <v>6.4239644595920284E-2</v>
      </c>
      <c r="K789" s="33">
        <f t="shared" si="198"/>
        <v>15.566711277594891</v>
      </c>
      <c r="L789" s="8">
        <v>1</v>
      </c>
      <c r="M789" s="9">
        <v>0</v>
      </c>
      <c r="N789" s="8">
        <v>0</v>
      </c>
      <c r="O789" s="9">
        <v>1</v>
      </c>
      <c r="P789" s="9">
        <v>0</v>
      </c>
      <c r="Q789" s="9">
        <v>0</v>
      </c>
      <c r="R789" s="9">
        <v>0</v>
      </c>
      <c r="S789" s="8">
        <v>237</v>
      </c>
      <c r="T789" s="9">
        <v>7</v>
      </c>
      <c r="U789" s="9">
        <f t="shared" si="194"/>
        <v>229</v>
      </c>
      <c r="V789" s="9">
        <f t="shared" si="195"/>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v>0</v>
      </c>
      <c r="BF789" s="18">
        <v>1</v>
      </c>
      <c r="BG789">
        <v>0</v>
      </c>
      <c r="BH789">
        <v>0</v>
      </c>
      <c r="BI789" s="18">
        <v>1</v>
      </c>
      <c r="BJ789" t="s">
        <v>98</v>
      </c>
      <c r="BK789">
        <v>17</v>
      </c>
      <c r="BL789" s="93">
        <f t="shared" si="201"/>
        <v>33.92</v>
      </c>
      <c r="BM789">
        <v>0</v>
      </c>
      <c r="BN789">
        <v>0</v>
      </c>
      <c r="BO789">
        <v>0</v>
      </c>
      <c r="BP789">
        <v>0</v>
      </c>
      <c r="BQ789">
        <v>1</v>
      </c>
      <c r="BR789">
        <v>0</v>
      </c>
      <c r="BS789">
        <v>0</v>
      </c>
      <c r="BT789" s="18">
        <v>0</v>
      </c>
      <c r="BU789">
        <v>0</v>
      </c>
      <c r="BV789">
        <v>0</v>
      </c>
      <c r="BW789">
        <v>1</v>
      </c>
      <c r="BX789" s="18">
        <v>0</v>
      </c>
      <c r="BY789">
        <v>0</v>
      </c>
      <c r="BZ789">
        <v>0</v>
      </c>
      <c r="CA789">
        <v>0</v>
      </c>
      <c r="CB789">
        <v>0</v>
      </c>
      <c r="CC789" s="18">
        <v>0</v>
      </c>
      <c r="CD789">
        <v>0</v>
      </c>
      <c r="CE789">
        <v>0</v>
      </c>
      <c r="CF789">
        <v>1</v>
      </c>
      <c r="CG789">
        <v>0</v>
      </c>
      <c r="CH789">
        <v>0</v>
      </c>
      <c r="CI789">
        <v>0</v>
      </c>
      <c r="CJ789">
        <v>1</v>
      </c>
      <c r="CK789">
        <v>0</v>
      </c>
      <c r="CL789">
        <v>0</v>
      </c>
      <c r="CM789">
        <v>1</v>
      </c>
      <c r="CN789" s="18">
        <v>0</v>
      </c>
      <c r="CO789">
        <v>0.76700000000000002</v>
      </c>
      <c r="CP789">
        <v>347</v>
      </c>
      <c r="CQ789">
        <v>1</v>
      </c>
      <c r="CR789">
        <v>0</v>
      </c>
      <c r="CS789">
        <v>0</v>
      </c>
      <c r="CY789" s="34"/>
    </row>
    <row r="790" spans="1:103" x14ac:dyDescent="0.25">
      <c r="A790">
        <v>789</v>
      </c>
      <c r="B790">
        <v>53</v>
      </c>
      <c r="C790" s="25" t="s">
        <v>4020</v>
      </c>
      <c r="D790" s="12">
        <v>3.87</v>
      </c>
      <c r="E790" s="14">
        <f t="shared" si="200"/>
        <v>1.3253424657534247</v>
      </c>
      <c r="F790" s="7">
        <v>2.92</v>
      </c>
      <c r="G790" s="7">
        <f t="shared" si="192"/>
        <v>2.5446575342465754</v>
      </c>
      <c r="H790" s="16">
        <f t="shared" si="193"/>
        <v>5.1953424657534253</v>
      </c>
      <c r="I790" s="11">
        <f t="shared" si="196"/>
        <v>0.18946408995865949</v>
      </c>
      <c r="J790" s="33">
        <f t="shared" si="197"/>
        <v>6.4884962314609412E-2</v>
      </c>
      <c r="K790" s="33">
        <f t="shared" si="198"/>
        <v>15.411891512724841</v>
      </c>
      <c r="L790" s="8">
        <v>1</v>
      </c>
      <c r="M790" s="9">
        <v>0</v>
      </c>
      <c r="N790" s="8">
        <v>0</v>
      </c>
      <c r="O790" s="9">
        <v>1</v>
      </c>
      <c r="P790" s="9">
        <v>0</v>
      </c>
      <c r="Q790" s="9">
        <v>0</v>
      </c>
      <c r="R790" s="9">
        <v>0</v>
      </c>
      <c r="S790" s="8">
        <v>237</v>
      </c>
      <c r="T790" s="9">
        <v>7</v>
      </c>
      <c r="U790" s="9">
        <f t="shared" si="194"/>
        <v>229</v>
      </c>
      <c r="V790" s="9">
        <f t="shared" si="195"/>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v>0</v>
      </c>
      <c r="BF790" s="18">
        <v>1</v>
      </c>
      <c r="BG790">
        <v>0</v>
      </c>
      <c r="BH790">
        <v>0</v>
      </c>
      <c r="BI790" s="18">
        <v>1</v>
      </c>
      <c r="BJ790" t="s">
        <v>98</v>
      </c>
      <c r="BK790">
        <v>17</v>
      </c>
      <c r="BL790" s="93">
        <f t="shared" si="201"/>
        <v>33.92</v>
      </c>
      <c r="BM790">
        <v>0</v>
      </c>
      <c r="BN790">
        <v>0</v>
      </c>
      <c r="BO790">
        <v>0</v>
      </c>
      <c r="BP790">
        <v>0</v>
      </c>
      <c r="BQ790">
        <v>1</v>
      </c>
      <c r="BR790">
        <v>0</v>
      </c>
      <c r="BS790">
        <v>0</v>
      </c>
      <c r="BT790" s="18">
        <v>0</v>
      </c>
      <c r="BU790">
        <v>0</v>
      </c>
      <c r="BV790">
        <v>0</v>
      </c>
      <c r="BW790">
        <v>1</v>
      </c>
      <c r="BX790" s="18">
        <v>0</v>
      </c>
      <c r="BY790">
        <v>0</v>
      </c>
      <c r="BZ790">
        <v>0</v>
      </c>
      <c r="CA790">
        <v>0</v>
      </c>
      <c r="CB790">
        <v>0</v>
      </c>
      <c r="CC790" s="18">
        <v>0</v>
      </c>
      <c r="CD790">
        <v>0</v>
      </c>
      <c r="CE790">
        <v>0</v>
      </c>
      <c r="CF790">
        <v>1</v>
      </c>
      <c r="CG790">
        <v>0</v>
      </c>
      <c r="CH790">
        <v>0</v>
      </c>
      <c r="CI790">
        <v>0</v>
      </c>
      <c r="CJ790">
        <v>1</v>
      </c>
      <c r="CK790">
        <v>0</v>
      </c>
      <c r="CL790">
        <v>0</v>
      </c>
      <c r="CM790">
        <v>1</v>
      </c>
      <c r="CN790" s="18">
        <v>0</v>
      </c>
      <c r="CO790">
        <v>0.76700000000000002</v>
      </c>
      <c r="CP790">
        <v>347</v>
      </c>
      <c r="CQ790">
        <v>1</v>
      </c>
      <c r="CR790">
        <v>0</v>
      </c>
      <c r="CS790">
        <v>0</v>
      </c>
      <c r="CY790" s="34"/>
    </row>
    <row r="791" spans="1:103" x14ac:dyDescent="0.25">
      <c r="A791">
        <v>790</v>
      </c>
      <c r="B791">
        <v>53</v>
      </c>
      <c r="C791" s="25" t="s">
        <v>4020</v>
      </c>
      <c r="D791" s="12">
        <v>7.28</v>
      </c>
      <c r="E791" s="14">
        <f t="shared" si="200"/>
        <v>2.1927710843373496</v>
      </c>
      <c r="F791" s="7">
        <v>3.32</v>
      </c>
      <c r="G791" s="7">
        <f t="shared" si="192"/>
        <v>5.0872289156626511</v>
      </c>
      <c r="H791" s="16">
        <f t="shared" si="193"/>
        <v>9.4727710843373494</v>
      </c>
      <c r="I791" s="11">
        <f t="shared" si="196"/>
        <v>0.26579365338014427</v>
      </c>
      <c r="J791" s="33">
        <f t="shared" si="197"/>
        <v>8.0058329331368777E-2</v>
      </c>
      <c r="K791" s="33">
        <f t="shared" si="198"/>
        <v>12.49089268227055</v>
      </c>
      <c r="L791" s="8">
        <v>1</v>
      </c>
      <c r="M791" s="9">
        <v>0</v>
      </c>
      <c r="N791" s="8">
        <v>0</v>
      </c>
      <c r="O791" s="9">
        <v>1</v>
      </c>
      <c r="P791" s="9">
        <v>0</v>
      </c>
      <c r="Q791" s="9">
        <v>0</v>
      </c>
      <c r="R791" s="9">
        <v>0</v>
      </c>
      <c r="S791" s="8">
        <v>152</v>
      </c>
      <c r="T791" s="9">
        <v>6</v>
      </c>
      <c r="U791" s="9">
        <f t="shared" si="194"/>
        <v>145</v>
      </c>
      <c r="V791" s="9">
        <f t="shared" si="195"/>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v>0</v>
      </c>
      <c r="BF791" s="18">
        <v>1</v>
      </c>
      <c r="BG791">
        <v>0</v>
      </c>
      <c r="BH791">
        <v>0</v>
      </c>
      <c r="BI791" s="18">
        <v>1</v>
      </c>
      <c r="BJ791" t="s">
        <v>98</v>
      </c>
      <c r="BK791">
        <v>17</v>
      </c>
      <c r="BL791" s="93">
        <f t="shared" si="201"/>
        <v>33.92</v>
      </c>
      <c r="BM791">
        <v>1</v>
      </c>
      <c r="BN791">
        <v>0</v>
      </c>
      <c r="BO791">
        <v>0</v>
      </c>
      <c r="BP791">
        <v>0</v>
      </c>
      <c r="BQ791">
        <v>0</v>
      </c>
      <c r="BR791">
        <v>0</v>
      </c>
      <c r="BS791">
        <v>0</v>
      </c>
      <c r="BT791" s="18">
        <v>0</v>
      </c>
      <c r="BU791">
        <v>0</v>
      </c>
      <c r="BV791">
        <v>0</v>
      </c>
      <c r="BW791">
        <v>1</v>
      </c>
      <c r="BX791" s="18">
        <v>0</v>
      </c>
      <c r="BY791">
        <v>0</v>
      </c>
      <c r="BZ791">
        <v>0</v>
      </c>
      <c r="CA791">
        <v>0</v>
      </c>
      <c r="CB791">
        <v>0</v>
      </c>
      <c r="CC791" s="18">
        <v>0</v>
      </c>
      <c r="CD791">
        <v>0</v>
      </c>
      <c r="CE791">
        <v>0</v>
      </c>
      <c r="CF791">
        <v>1</v>
      </c>
      <c r="CG791">
        <v>0</v>
      </c>
      <c r="CH791">
        <v>0</v>
      </c>
      <c r="CI791">
        <v>0</v>
      </c>
      <c r="CJ791">
        <v>1</v>
      </c>
      <c r="CK791">
        <v>0</v>
      </c>
      <c r="CL791">
        <v>0</v>
      </c>
      <c r="CM791">
        <v>1</v>
      </c>
      <c r="CN791" s="18">
        <v>0</v>
      </c>
      <c r="CO791">
        <v>0.76700000000000002</v>
      </c>
      <c r="CP791">
        <v>347</v>
      </c>
      <c r="CQ791">
        <v>1</v>
      </c>
      <c r="CR791">
        <v>0</v>
      </c>
      <c r="CS791">
        <v>0</v>
      </c>
      <c r="CY791" s="34"/>
    </row>
    <row r="792" spans="1:103" x14ac:dyDescent="0.25">
      <c r="A792">
        <v>791</v>
      </c>
      <c r="B792">
        <v>53</v>
      </c>
      <c r="C792" s="25" t="s">
        <v>4020</v>
      </c>
      <c r="D792" s="12">
        <v>0.32</v>
      </c>
      <c r="E792" s="14">
        <f t="shared" si="200"/>
        <v>4</v>
      </c>
      <c r="F792" s="7">
        <v>0.08</v>
      </c>
      <c r="G792" s="7">
        <f t="shared" si="192"/>
        <v>-3.68</v>
      </c>
      <c r="H792" s="16">
        <f t="shared" si="193"/>
        <v>4.32</v>
      </c>
      <c r="I792" s="11">
        <f t="shared" si="196"/>
        <v>6.6665185234566068E-3</v>
      </c>
      <c r="J792" s="33">
        <f t="shared" si="197"/>
        <v>8.3331481543207589E-2</v>
      </c>
      <c r="K792" s="33">
        <f t="shared" si="198"/>
        <v>12.000266663703769</v>
      </c>
      <c r="L792" s="8">
        <v>1</v>
      </c>
      <c r="M792" s="9">
        <v>0</v>
      </c>
      <c r="N792" s="8">
        <v>0</v>
      </c>
      <c r="O792" s="9">
        <v>1</v>
      </c>
      <c r="P792" s="9">
        <v>0</v>
      </c>
      <c r="Q792" s="9">
        <v>0</v>
      </c>
      <c r="R792" s="9">
        <v>0</v>
      </c>
      <c r="S792" s="8">
        <v>152</v>
      </c>
      <c r="T792" s="9">
        <v>7</v>
      </c>
      <c r="U792" s="9">
        <f t="shared" si="194"/>
        <v>144</v>
      </c>
      <c r="V792" s="9">
        <f t="shared" si="195"/>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v>0</v>
      </c>
      <c r="BF792" s="18">
        <v>1</v>
      </c>
      <c r="BG792">
        <v>0</v>
      </c>
      <c r="BH792">
        <v>0</v>
      </c>
      <c r="BI792" s="18">
        <v>1</v>
      </c>
      <c r="BJ792" t="s">
        <v>98</v>
      </c>
      <c r="BK792">
        <v>17</v>
      </c>
      <c r="BL792" s="93">
        <f t="shared" si="201"/>
        <v>33.92</v>
      </c>
      <c r="BM792">
        <v>0</v>
      </c>
      <c r="BN792">
        <v>0</v>
      </c>
      <c r="BO792">
        <v>0</v>
      </c>
      <c r="BP792">
        <v>0</v>
      </c>
      <c r="BQ792">
        <v>1</v>
      </c>
      <c r="BR792">
        <v>0</v>
      </c>
      <c r="BS792">
        <v>0</v>
      </c>
      <c r="BT792" s="18">
        <v>0</v>
      </c>
      <c r="BU792">
        <v>0</v>
      </c>
      <c r="BV792">
        <v>0</v>
      </c>
      <c r="BW792">
        <v>1</v>
      </c>
      <c r="BX792" s="18">
        <v>0</v>
      </c>
      <c r="BY792">
        <v>0</v>
      </c>
      <c r="BZ792">
        <v>0</v>
      </c>
      <c r="CA792">
        <v>0</v>
      </c>
      <c r="CB792">
        <v>0</v>
      </c>
      <c r="CC792" s="18">
        <v>0</v>
      </c>
      <c r="CD792">
        <v>0</v>
      </c>
      <c r="CE792">
        <v>0</v>
      </c>
      <c r="CF792">
        <v>1</v>
      </c>
      <c r="CG792">
        <v>0</v>
      </c>
      <c r="CH792">
        <v>0</v>
      </c>
      <c r="CI792">
        <v>0</v>
      </c>
      <c r="CJ792">
        <v>1</v>
      </c>
      <c r="CK792">
        <v>0</v>
      </c>
      <c r="CL792">
        <v>0</v>
      </c>
      <c r="CM792">
        <v>1</v>
      </c>
      <c r="CN792" s="18">
        <v>0</v>
      </c>
      <c r="CO792">
        <v>0.76700000000000002</v>
      </c>
      <c r="CP792">
        <v>347</v>
      </c>
      <c r="CQ792">
        <v>1</v>
      </c>
      <c r="CR792">
        <v>0</v>
      </c>
      <c r="CS792">
        <v>0</v>
      </c>
      <c r="CY792" s="34"/>
    </row>
    <row r="793" spans="1:103" x14ac:dyDescent="0.25">
      <c r="A793">
        <v>792</v>
      </c>
      <c r="B793">
        <v>53</v>
      </c>
      <c r="C793" s="25" t="s">
        <v>4020</v>
      </c>
      <c r="D793" s="12">
        <v>-0.45</v>
      </c>
      <c r="E793" s="14">
        <f t="shared" si="200"/>
        <v>10</v>
      </c>
      <c r="F793" s="7">
        <v>-4.4999999999999998E-2</v>
      </c>
      <c r="G793" s="7">
        <f t="shared" si="192"/>
        <v>-10.45</v>
      </c>
      <c r="H793" s="16">
        <f t="shared" si="193"/>
        <v>9.5500000000000007</v>
      </c>
      <c r="I793" s="11">
        <f t="shared" si="196"/>
        <v>-3.749973633090588E-3</v>
      </c>
      <c r="J793" s="33">
        <f t="shared" si="197"/>
        <v>8.3332747402013074E-2</v>
      </c>
      <c r="K793" s="33">
        <f t="shared" si="198"/>
        <v>12.00008437470337</v>
      </c>
      <c r="L793" s="8">
        <v>1</v>
      </c>
      <c r="M793" s="9">
        <v>0</v>
      </c>
      <c r="N793" s="8">
        <v>0</v>
      </c>
      <c r="O793" s="9">
        <v>1</v>
      </c>
      <c r="P793" s="9">
        <v>0</v>
      </c>
      <c r="Q793" s="9">
        <v>0</v>
      </c>
      <c r="R793" s="9">
        <v>0</v>
      </c>
      <c r="S793" s="8">
        <v>152</v>
      </c>
      <c r="T793" s="9">
        <v>7</v>
      </c>
      <c r="U793" s="9">
        <f t="shared" si="194"/>
        <v>144</v>
      </c>
      <c r="V793" s="9">
        <f t="shared" si="195"/>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v>0</v>
      </c>
      <c r="BF793" s="18">
        <v>1</v>
      </c>
      <c r="BG793">
        <v>0</v>
      </c>
      <c r="BH793">
        <v>0</v>
      </c>
      <c r="BI793" s="18">
        <v>1</v>
      </c>
      <c r="BJ793" t="s">
        <v>98</v>
      </c>
      <c r="BK793">
        <v>17</v>
      </c>
      <c r="BL793" s="93">
        <f t="shared" si="201"/>
        <v>33.92</v>
      </c>
      <c r="BM793">
        <v>0</v>
      </c>
      <c r="BN793">
        <v>0</v>
      </c>
      <c r="BO793">
        <v>0</v>
      </c>
      <c r="BP793">
        <v>0</v>
      </c>
      <c r="BQ793">
        <v>1</v>
      </c>
      <c r="BR793">
        <v>0</v>
      </c>
      <c r="BS793">
        <v>0</v>
      </c>
      <c r="BT793" s="18">
        <v>0</v>
      </c>
      <c r="BU793">
        <v>0</v>
      </c>
      <c r="BV793">
        <v>0</v>
      </c>
      <c r="BW793">
        <v>1</v>
      </c>
      <c r="BX793" s="18">
        <v>0</v>
      </c>
      <c r="BY793">
        <v>0</v>
      </c>
      <c r="BZ793">
        <v>0</v>
      </c>
      <c r="CA793">
        <v>0</v>
      </c>
      <c r="CB793">
        <v>0</v>
      </c>
      <c r="CC793" s="18">
        <v>0</v>
      </c>
      <c r="CD793">
        <v>0</v>
      </c>
      <c r="CE793">
        <v>0</v>
      </c>
      <c r="CF793">
        <v>1</v>
      </c>
      <c r="CG793">
        <v>0</v>
      </c>
      <c r="CH793">
        <v>0</v>
      </c>
      <c r="CI793">
        <v>0</v>
      </c>
      <c r="CJ793">
        <v>1</v>
      </c>
      <c r="CK793">
        <v>0</v>
      </c>
      <c r="CL793">
        <v>0</v>
      </c>
      <c r="CM793">
        <v>1</v>
      </c>
      <c r="CN793" s="18">
        <v>0</v>
      </c>
      <c r="CO793">
        <v>0.76700000000000002</v>
      </c>
      <c r="CP793">
        <v>347</v>
      </c>
      <c r="CQ793">
        <v>1</v>
      </c>
      <c r="CR793">
        <v>0</v>
      </c>
      <c r="CS793">
        <v>0</v>
      </c>
      <c r="CY793" s="34"/>
    </row>
    <row r="794" spans="1:103" x14ac:dyDescent="0.25">
      <c r="A794">
        <v>793</v>
      </c>
      <c r="B794">
        <v>53</v>
      </c>
      <c r="C794" s="25" t="s">
        <v>4020</v>
      </c>
      <c r="D794" s="12">
        <v>2.2200000000000002</v>
      </c>
      <c r="E794" s="14">
        <f t="shared" si="200"/>
        <v>2.3368421052631581</v>
      </c>
      <c r="F794" s="7">
        <v>0.95</v>
      </c>
      <c r="G794" s="7">
        <f t="shared" si="192"/>
        <v>-0.11684210526315786</v>
      </c>
      <c r="H794" s="16">
        <f t="shared" si="193"/>
        <v>4.5568421052631578</v>
      </c>
      <c r="I794" s="11">
        <f t="shared" si="196"/>
        <v>6.3918016547565334E-2</v>
      </c>
      <c r="J794" s="33">
        <f t="shared" si="197"/>
        <v>6.7282122681647724E-2</v>
      </c>
      <c r="K794" s="33">
        <f t="shared" si="198"/>
        <v>14.86278910568269</v>
      </c>
      <c r="L794" s="8">
        <v>1</v>
      </c>
      <c r="M794" s="9">
        <v>0</v>
      </c>
      <c r="N794" s="8">
        <v>0</v>
      </c>
      <c r="O794" s="9">
        <v>1</v>
      </c>
      <c r="P794" s="9">
        <v>0</v>
      </c>
      <c r="Q794" s="9">
        <v>0</v>
      </c>
      <c r="R794" s="9">
        <v>0</v>
      </c>
      <c r="S794" s="8">
        <v>237</v>
      </c>
      <c r="T794" s="9">
        <v>16</v>
      </c>
      <c r="U794" s="9">
        <f t="shared" si="194"/>
        <v>220</v>
      </c>
      <c r="V794" s="9">
        <f t="shared" si="195"/>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v>0</v>
      </c>
      <c r="BF794" s="18">
        <v>1</v>
      </c>
      <c r="BG794">
        <v>0</v>
      </c>
      <c r="BH794">
        <v>0</v>
      </c>
      <c r="BI794" s="18">
        <v>1</v>
      </c>
      <c r="BJ794" t="s">
        <v>98</v>
      </c>
      <c r="BK794">
        <v>17</v>
      </c>
      <c r="BL794" s="93">
        <f t="shared" si="201"/>
        <v>33.92</v>
      </c>
      <c r="BM794">
        <v>1</v>
      </c>
      <c r="BN794">
        <v>0</v>
      </c>
      <c r="BO794">
        <v>0</v>
      </c>
      <c r="BP794">
        <v>0</v>
      </c>
      <c r="BQ794">
        <v>0</v>
      </c>
      <c r="BR794">
        <v>0</v>
      </c>
      <c r="BS794">
        <v>0</v>
      </c>
      <c r="BT794" s="18">
        <v>0</v>
      </c>
      <c r="BU794">
        <v>1</v>
      </c>
      <c r="BV794">
        <v>0</v>
      </c>
      <c r="BW794">
        <v>0</v>
      </c>
      <c r="BX794" s="18">
        <v>0</v>
      </c>
      <c r="BY794">
        <v>0</v>
      </c>
      <c r="BZ794">
        <v>0</v>
      </c>
      <c r="CA794">
        <v>0</v>
      </c>
      <c r="CB794">
        <v>0</v>
      </c>
      <c r="CC794" s="18">
        <v>0</v>
      </c>
      <c r="CD794">
        <v>1</v>
      </c>
      <c r="CE794">
        <v>1</v>
      </c>
      <c r="CF794">
        <v>0</v>
      </c>
      <c r="CG794">
        <v>0</v>
      </c>
      <c r="CH794">
        <v>0</v>
      </c>
      <c r="CI794">
        <v>0</v>
      </c>
      <c r="CJ794">
        <v>1</v>
      </c>
      <c r="CK794">
        <v>0</v>
      </c>
      <c r="CL794">
        <v>0</v>
      </c>
      <c r="CM794">
        <v>1</v>
      </c>
      <c r="CN794" s="18">
        <v>0</v>
      </c>
      <c r="CO794">
        <v>0.76700000000000002</v>
      </c>
      <c r="CP794">
        <v>347</v>
      </c>
      <c r="CQ794">
        <v>1</v>
      </c>
      <c r="CR794">
        <v>0</v>
      </c>
      <c r="CS794">
        <v>0</v>
      </c>
      <c r="CY794" s="34"/>
    </row>
    <row r="795" spans="1:103" x14ac:dyDescent="0.25">
      <c r="A795">
        <v>794</v>
      </c>
      <c r="B795">
        <v>53</v>
      </c>
      <c r="C795" s="25" t="s">
        <v>4020</v>
      </c>
      <c r="D795" s="12">
        <v>4.82</v>
      </c>
      <c r="E795" s="14">
        <f t="shared" si="200"/>
        <v>2.9036144578313254</v>
      </c>
      <c r="F795" s="7">
        <v>1.66</v>
      </c>
      <c r="G795" s="7">
        <f t="shared" si="192"/>
        <v>1.9163855421686748</v>
      </c>
      <c r="H795" s="16">
        <f t="shared" si="193"/>
        <v>7.7236144578313262</v>
      </c>
      <c r="I795" s="11">
        <f t="shared" si="196"/>
        <v>0.1112227868108151</v>
      </c>
      <c r="J795" s="33">
        <f t="shared" si="197"/>
        <v>6.7001678801695844E-2</v>
      </c>
      <c r="K795" s="33">
        <f t="shared" si="198"/>
        <v>14.924999162479038</v>
      </c>
      <c r="L795" s="8">
        <v>1</v>
      </c>
      <c r="M795" s="9">
        <v>0</v>
      </c>
      <c r="N795" s="8">
        <v>0</v>
      </c>
      <c r="O795" s="9">
        <v>1</v>
      </c>
      <c r="P795" s="9">
        <v>0</v>
      </c>
      <c r="Q795" s="9">
        <v>0</v>
      </c>
      <c r="R795" s="9">
        <v>0</v>
      </c>
      <c r="S795" s="8">
        <v>237</v>
      </c>
      <c r="T795" s="9">
        <v>16</v>
      </c>
      <c r="U795" s="9">
        <f t="shared" si="194"/>
        <v>220</v>
      </c>
      <c r="V795" s="9">
        <f t="shared" si="195"/>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v>0</v>
      </c>
      <c r="BF795" s="18">
        <v>1</v>
      </c>
      <c r="BG795">
        <v>0</v>
      </c>
      <c r="BH795">
        <v>0</v>
      </c>
      <c r="BI795" s="18">
        <v>1</v>
      </c>
      <c r="BJ795" t="s">
        <v>98</v>
      </c>
      <c r="BK795">
        <v>17</v>
      </c>
      <c r="BL795" s="93">
        <f t="shared" si="201"/>
        <v>33.92</v>
      </c>
      <c r="BM795">
        <v>1</v>
      </c>
      <c r="BN795">
        <v>0</v>
      </c>
      <c r="BO795">
        <v>0</v>
      </c>
      <c r="BP795">
        <v>0</v>
      </c>
      <c r="BQ795">
        <v>0</v>
      </c>
      <c r="BR795">
        <v>0</v>
      </c>
      <c r="BS795">
        <v>0</v>
      </c>
      <c r="BT795" s="18">
        <v>0</v>
      </c>
      <c r="BU795">
        <v>1</v>
      </c>
      <c r="BV795">
        <v>0</v>
      </c>
      <c r="BW795">
        <v>0</v>
      </c>
      <c r="BX795" s="18">
        <v>0</v>
      </c>
      <c r="BY795">
        <v>0</v>
      </c>
      <c r="BZ795">
        <v>0</v>
      </c>
      <c r="CA795">
        <v>0</v>
      </c>
      <c r="CB795">
        <v>0</v>
      </c>
      <c r="CC795" s="18">
        <v>0</v>
      </c>
      <c r="CD795">
        <v>1</v>
      </c>
      <c r="CE795">
        <v>1</v>
      </c>
      <c r="CF795">
        <v>0</v>
      </c>
      <c r="CG795">
        <v>0</v>
      </c>
      <c r="CH795">
        <v>0</v>
      </c>
      <c r="CI795">
        <v>0</v>
      </c>
      <c r="CJ795">
        <v>1</v>
      </c>
      <c r="CK795">
        <v>0</v>
      </c>
      <c r="CL795">
        <v>0</v>
      </c>
      <c r="CM795">
        <v>1</v>
      </c>
      <c r="CN795" s="18">
        <v>0</v>
      </c>
      <c r="CO795">
        <v>0.76700000000000002</v>
      </c>
      <c r="CP795">
        <v>347</v>
      </c>
      <c r="CQ795">
        <v>1</v>
      </c>
      <c r="CR795">
        <v>0</v>
      </c>
      <c r="CS795">
        <v>0</v>
      </c>
      <c r="CY795" s="34"/>
    </row>
    <row r="796" spans="1:103" x14ac:dyDescent="0.25">
      <c r="A796">
        <v>795</v>
      </c>
      <c r="B796">
        <v>53</v>
      </c>
      <c r="C796" s="25" t="s">
        <v>4020</v>
      </c>
      <c r="D796" s="12">
        <v>9.76</v>
      </c>
      <c r="E796" s="14">
        <f t="shared" si="200"/>
        <v>2.8208092485549132</v>
      </c>
      <c r="F796" s="7">
        <v>3.46</v>
      </c>
      <c r="G796" s="7">
        <f t="shared" si="192"/>
        <v>6.9391907514450866</v>
      </c>
      <c r="H796" s="16">
        <f t="shared" si="193"/>
        <v>12.580809248554914</v>
      </c>
      <c r="I796" s="11">
        <f t="shared" si="196"/>
        <v>0.17611584209363634</v>
      </c>
      <c r="J796" s="33">
        <f t="shared" si="197"/>
        <v>5.0900532397004726E-2</v>
      </c>
      <c r="K796" s="33">
        <f t="shared" si="198"/>
        <v>19.646159930123748</v>
      </c>
      <c r="L796" s="8">
        <v>1</v>
      </c>
      <c r="M796" s="9">
        <v>0</v>
      </c>
      <c r="N796" s="8">
        <v>0</v>
      </c>
      <c r="O796" s="9">
        <v>1</v>
      </c>
      <c r="P796" s="9">
        <v>0</v>
      </c>
      <c r="Q796" s="9">
        <v>0</v>
      </c>
      <c r="R796" s="9">
        <v>0</v>
      </c>
      <c r="S796" s="8">
        <v>389</v>
      </c>
      <c r="T796" s="9">
        <v>14</v>
      </c>
      <c r="U796" s="9">
        <f t="shared" si="194"/>
        <v>374</v>
      </c>
      <c r="V796" s="9">
        <f t="shared" si="195"/>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v>0</v>
      </c>
      <c r="BF796" s="18">
        <v>1</v>
      </c>
      <c r="BG796">
        <v>0</v>
      </c>
      <c r="BH796">
        <v>0</v>
      </c>
      <c r="BI796" s="18">
        <v>1</v>
      </c>
      <c r="BJ796" t="s">
        <v>98</v>
      </c>
      <c r="BK796">
        <v>17</v>
      </c>
      <c r="BL796" s="93">
        <f t="shared" si="201"/>
        <v>33.92</v>
      </c>
      <c r="BM796">
        <v>0</v>
      </c>
      <c r="BN796">
        <v>0</v>
      </c>
      <c r="BO796">
        <v>0</v>
      </c>
      <c r="BP796">
        <v>0</v>
      </c>
      <c r="BQ796">
        <v>1</v>
      </c>
      <c r="BR796">
        <v>0</v>
      </c>
      <c r="BS796">
        <v>0</v>
      </c>
      <c r="BT796" s="18">
        <v>0</v>
      </c>
      <c r="BU796">
        <v>1</v>
      </c>
      <c r="BV796">
        <v>0</v>
      </c>
      <c r="BW796">
        <v>0</v>
      </c>
      <c r="BX796" s="18">
        <v>0</v>
      </c>
      <c r="BY796">
        <v>0</v>
      </c>
      <c r="BZ796">
        <v>0</v>
      </c>
      <c r="CA796">
        <v>0</v>
      </c>
      <c r="CB796">
        <v>0</v>
      </c>
      <c r="CC796" s="18">
        <v>0</v>
      </c>
      <c r="CD796">
        <v>0</v>
      </c>
      <c r="CE796">
        <v>0</v>
      </c>
      <c r="CF796">
        <v>1</v>
      </c>
      <c r="CG796">
        <v>1</v>
      </c>
      <c r="CH796">
        <v>0</v>
      </c>
      <c r="CI796">
        <v>0</v>
      </c>
      <c r="CJ796">
        <v>1</v>
      </c>
      <c r="CK796">
        <v>0</v>
      </c>
      <c r="CL796">
        <v>0</v>
      </c>
      <c r="CM796">
        <v>1</v>
      </c>
      <c r="CN796" s="18">
        <v>0</v>
      </c>
      <c r="CO796">
        <v>0.76700000000000002</v>
      </c>
      <c r="CP796">
        <v>347</v>
      </c>
      <c r="CQ796">
        <v>1</v>
      </c>
      <c r="CR796">
        <v>0</v>
      </c>
      <c r="CS796">
        <v>0</v>
      </c>
      <c r="CY796" s="34"/>
    </row>
    <row r="797" spans="1:103" x14ac:dyDescent="0.25">
      <c r="A797">
        <v>796</v>
      </c>
      <c r="B797">
        <v>53</v>
      </c>
      <c r="C797" s="25" t="s">
        <v>4020</v>
      </c>
      <c r="D797" s="12">
        <v>12.12</v>
      </c>
      <c r="E797" s="14">
        <f t="shared" si="200"/>
        <v>3.8113207547169807</v>
      </c>
      <c r="F797" s="7">
        <v>3.18</v>
      </c>
      <c r="G797" s="7">
        <f t="shared" si="192"/>
        <v>8.3086792452830185</v>
      </c>
      <c r="H797" s="16">
        <f t="shared" si="193"/>
        <v>15.93132075471698</v>
      </c>
      <c r="I797" s="11">
        <f t="shared" si="196"/>
        <v>6.4694677588783278E-2</v>
      </c>
      <c r="J797" s="33">
        <f t="shared" si="197"/>
        <v>2.0344238235466439E-2</v>
      </c>
      <c r="K797" s="33">
        <f t="shared" si="198"/>
        <v>49.153966269264579</v>
      </c>
      <c r="L797" s="8">
        <v>1</v>
      </c>
      <c r="M797" s="9">
        <v>0</v>
      </c>
      <c r="N797" s="8">
        <v>0</v>
      </c>
      <c r="O797" s="9">
        <v>1</v>
      </c>
      <c r="P797" s="9">
        <v>0</v>
      </c>
      <c r="Q797" s="9">
        <v>0</v>
      </c>
      <c r="R797" s="9">
        <v>0</v>
      </c>
      <c r="S797" s="8">
        <v>2421</v>
      </c>
      <c r="T797" s="9">
        <v>14</v>
      </c>
      <c r="U797" s="9">
        <f t="shared" si="194"/>
        <v>2406</v>
      </c>
      <c r="V797" s="9">
        <f t="shared" si="195"/>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v>0</v>
      </c>
      <c r="BF797" s="18">
        <v>1</v>
      </c>
      <c r="BG797">
        <v>0</v>
      </c>
      <c r="BH797">
        <v>0</v>
      </c>
      <c r="BI797" s="18">
        <v>1</v>
      </c>
      <c r="BJ797" t="s">
        <v>98</v>
      </c>
      <c r="BK797">
        <v>17</v>
      </c>
      <c r="BL797" s="93">
        <f t="shared" si="201"/>
        <v>33.92</v>
      </c>
      <c r="BM797">
        <v>0</v>
      </c>
      <c r="BN797">
        <v>0</v>
      </c>
      <c r="BO797">
        <v>0</v>
      </c>
      <c r="BP797">
        <v>0</v>
      </c>
      <c r="BQ797">
        <v>1</v>
      </c>
      <c r="BR797">
        <v>0</v>
      </c>
      <c r="BS797">
        <v>0</v>
      </c>
      <c r="BT797" s="18">
        <v>0</v>
      </c>
      <c r="BU797">
        <v>1</v>
      </c>
      <c r="BV797">
        <v>0</v>
      </c>
      <c r="BW797">
        <v>0</v>
      </c>
      <c r="BX797" s="18">
        <v>0</v>
      </c>
      <c r="BY797">
        <v>0</v>
      </c>
      <c r="BZ797">
        <v>0</v>
      </c>
      <c r="CA797">
        <v>0</v>
      </c>
      <c r="CB797">
        <v>0</v>
      </c>
      <c r="CC797" s="18">
        <v>0</v>
      </c>
      <c r="CD797">
        <v>0</v>
      </c>
      <c r="CE797">
        <v>0</v>
      </c>
      <c r="CF797">
        <v>1</v>
      </c>
      <c r="CG797">
        <v>1</v>
      </c>
      <c r="CH797">
        <v>0</v>
      </c>
      <c r="CI797">
        <v>0</v>
      </c>
      <c r="CJ797">
        <v>1</v>
      </c>
      <c r="CK797">
        <v>0</v>
      </c>
      <c r="CL797">
        <v>0</v>
      </c>
      <c r="CM797">
        <v>1</v>
      </c>
      <c r="CN797" s="18">
        <v>0</v>
      </c>
      <c r="CO797">
        <v>0.76700000000000002</v>
      </c>
      <c r="CP797">
        <v>347</v>
      </c>
      <c r="CQ797">
        <v>1</v>
      </c>
      <c r="CR797">
        <v>0</v>
      </c>
      <c r="CS797">
        <v>0</v>
      </c>
      <c r="CY797" s="34"/>
    </row>
    <row r="798" spans="1:103" x14ac:dyDescent="0.25">
      <c r="A798">
        <v>797</v>
      </c>
      <c r="B798">
        <v>54</v>
      </c>
      <c r="C798" s="25" t="s">
        <v>483</v>
      </c>
      <c r="D798" s="12">
        <v>1.580170904221512</v>
      </c>
      <c r="E798" s="14">
        <v>0.1374061655844793</v>
      </c>
      <c r="F798" s="7">
        <v>11.5</v>
      </c>
      <c r="G798" s="7">
        <f t="shared" si="192"/>
        <v>1.4427647386370326</v>
      </c>
      <c r="H798" s="16">
        <f t="shared" si="193"/>
        <v>1.7175770698059913</v>
      </c>
      <c r="I798" s="11">
        <f t="shared" si="196"/>
        <v>0.18736377137981769</v>
      </c>
      <c r="J798" s="33">
        <f t="shared" si="197"/>
        <v>1.6292501859114582E-2</v>
      </c>
      <c r="K798" s="33">
        <f t="shared" si="198"/>
        <v>61.377927628749404</v>
      </c>
      <c r="L798" s="8">
        <v>1</v>
      </c>
      <c r="M798" s="9">
        <v>0</v>
      </c>
      <c r="N798" s="8">
        <v>0</v>
      </c>
      <c r="O798" s="9">
        <v>0</v>
      </c>
      <c r="P798" s="9">
        <v>1</v>
      </c>
      <c r="Q798" s="9">
        <v>0</v>
      </c>
      <c r="R798" s="9">
        <v>0</v>
      </c>
      <c r="S798" s="8">
        <v>3639</v>
      </c>
      <c r="T798" s="9">
        <v>3</v>
      </c>
      <c r="U798" s="9">
        <f t="shared" si="194"/>
        <v>3635</v>
      </c>
      <c r="V798" s="9">
        <f t="shared" si="195"/>
        <v>15</v>
      </c>
      <c r="W798" s="7">
        <f t="shared" ref="W798:W812" si="202">AM798*13+AN798*16</f>
        <v>13.849</v>
      </c>
      <c r="X798" s="7">
        <f t="shared" ref="X798:X824" si="203">BL798-W798-6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v>0</v>
      </c>
      <c r="BF798" s="18">
        <v>0</v>
      </c>
      <c r="BG798">
        <v>1</v>
      </c>
      <c r="BH798">
        <v>0</v>
      </c>
      <c r="BI798" s="18">
        <v>0</v>
      </c>
      <c r="BJ798" t="s">
        <v>98</v>
      </c>
      <c r="BK798">
        <v>27</v>
      </c>
      <c r="BL798" s="25">
        <v>33</v>
      </c>
      <c r="BM798">
        <v>1</v>
      </c>
      <c r="BN798">
        <v>0</v>
      </c>
      <c r="BO798">
        <v>0</v>
      </c>
      <c r="BP798">
        <v>0</v>
      </c>
      <c r="BQ798">
        <v>0</v>
      </c>
      <c r="BR798">
        <v>0</v>
      </c>
      <c r="BS798">
        <v>0</v>
      </c>
      <c r="BT798" s="18">
        <v>0</v>
      </c>
      <c r="BU798">
        <v>0</v>
      </c>
      <c r="BV798">
        <v>1</v>
      </c>
      <c r="BW798">
        <v>0</v>
      </c>
      <c r="BX798" s="18">
        <v>0</v>
      </c>
      <c r="BY798">
        <v>0</v>
      </c>
      <c r="BZ798">
        <v>0</v>
      </c>
      <c r="CA798">
        <v>0</v>
      </c>
      <c r="CB798">
        <v>0</v>
      </c>
      <c r="CC798" s="18">
        <v>0</v>
      </c>
      <c r="CD798">
        <v>0</v>
      </c>
      <c r="CE798">
        <v>0</v>
      </c>
      <c r="CF798">
        <v>0</v>
      </c>
      <c r="CG798">
        <v>0</v>
      </c>
      <c r="CH798">
        <v>1</v>
      </c>
      <c r="CI798">
        <v>0</v>
      </c>
      <c r="CJ798">
        <v>0</v>
      </c>
      <c r="CK798">
        <v>0</v>
      </c>
      <c r="CL798">
        <v>0</v>
      </c>
      <c r="CM798">
        <v>1</v>
      </c>
      <c r="CN798" s="18">
        <v>0</v>
      </c>
      <c r="CO798">
        <v>0</v>
      </c>
      <c r="CP798">
        <v>125</v>
      </c>
      <c r="CQ798">
        <v>0</v>
      </c>
      <c r="CR798">
        <v>1</v>
      </c>
      <c r="CS798">
        <v>5</v>
      </c>
      <c r="CY798" s="34"/>
    </row>
    <row r="799" spans="1:103" x14ac:dyDescent="0.25">
      <c r="A799">
        <v>798</v>
      </c>
      <c r="B799">
        <v>54</v>
      </c>
      <c r="C799" s="25" t="s">
        <v>483</v>
      </c>
      <c r="D799" s="12">
        <v>0.64378274412375536</v>
      </c>
      <c r="E799" s="14">
        <v>0.1095800415529796</v>
      </c>
      <c r="F799" s="7">
        <v>5.875</v>
      </c>
      <c r="G799" s="7">
        <f t="shared" si="192"/>
        <v>0.53420270257077573</v>
      </c>
      <c r="H799" s="16">
        <f t="shared" si="193"/>
        <v>0.75336278567673498</v>
      </c>
      <c r="I799" s="11">
        <f t="shared" si="196"/>
        <v>9.6984761089135257E-2</v>
      </c>
      <c r="J799" s="33">
        <f t="shared" si="197"/>
        <v>1.6508044440703872E-2</v>
      </c>
      <c r="K799" s="33">
        <f t="shared" si="198"/>
        <v>60.576527013357243</v>
      </c>
      <c r="L799" s="8">
        <v>1</v>
      </c>
      <c r="M799" s="9">
        <v>0</v>
      </c>
      <c r="N799" s="8">
        <v>0</v>
      </c>
      <c r="O799" s="9">
        <v>0</v>
      </c>
      <c r="P799" s="9">
        <v>1</v>
      </c>
      <c r="Q799" s="9">
        <v>0</v>
      </c>
      <c r="R799" s="9">
        <v>0</v>
      </c>
      <c r="S799" s="8">
        <v>3639</v>
      </c>
      <c r="T799" s="9">
        <v>3</v>
      </c>
      <c r="U799" s="9">
        <f t="shared" si="194"/>
        <v>3635</v>
      </c>
      <c r="V799" s="9">
        <f t="shared" si="195"/>
        <v>15</v>
      </c>
      <c r="W799" s="7">
        <f t="shared" si="202"/>
        <v>13.849</v>
      </c>
      <c r="X799" s="7">
        <f t="shared" si="203"/>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v>0</v>
      </c>
      <c r="BF799" s="18">
        <v>0</v>
      </c>
      <c r="BG799">
        <v>1</v>
      </c>
      <c r="BH799">
        <v>0</v>
      </c>
      <c r="BI799" s="18">
        <v>0</v>
      </c>
      <c r="BJ799" t="s">
        <v>98</v>
      </c>
      <c r="BK799">
        <v>27</v>
      </c>
      <c r="BL799" s="25">
        <v>33</v>
      </c>
      <c r="BM799">
        <v>1</v>
      </c>
      <c r="BN799">
        <v>0</v>
      </c>
      <c r="BO799">
        <v>0</v>
      </c>
      <c r="BP799">
        <v>0</v>
      </c>
      <c r="BQ799">
        <v>0</v>
      </c>
      <c r="BR799">
        <v>0</v>
      </c>
      <c r="BS799">
        <v>0</v>
      </c>
      <c r="BT799" s="18">
        <v>0</v>
      </c>
      <c r="BU799">
        <v>0</v>
      </c>
      <c r="BV799">
        <v>1</v>
      </c>
      <c r="BW799">
        <v>0</v>
      </c>
      <c r="BX799" s="18">
        <v>0</v>
      </c>
      <c r="BY799">
        <v>0</v>
      </c>
      <c r="BZ799">
        <v>0</v>
      </c>
      <c r="CA799">
        <v>0</v>
      </c>
      <c r="CB799">
        <v>0</v>
      </c>
      <c r="CC799" s="18">
        <v>0</v>
      </c>
      <c r="CD799">
        <v>0</v>
      </c>
      <c r="CE799">
        <v>0</v>
      </c>
      <c r="CF799">
        <v>0</v>
      </c>
      <c r="CG799">
        <v>0</v>
      </c>
      <c r="CH799">
        <v>1</v>
      </c>
      <c r="CI799">
        <v>0</v>
      </c>
      <c r="CJ799">
        <v>0</v>
      </c>
      <c r="CK799">
        <v>0</v>
      </c>
      <c r="CL799">
        <v>0</v>
      </c>
      <c r="CM799">
        <v>1</v>
      </c>
      <c r="CN799" s="18">
        <v>0</v>
      </c>
      <c r="CO799">
        <v>0</v>
      </c>
      <c r="CP799">
        <v>125</v>
      </c>
      <c r="CQ799">
        <v>0</v>
      </c>
      <c r="CR799">
        <v>1</v>
      </c>
      <c r="CS799">
        <v>5</v>
      </c>
      <c r="CY799" s="34"/>
    </row>
    <row r="800" spans="1:103" x14ac:dyDescent="0.25">
      <c r="A800">
        <v>799</v>
      </c>
      <c r="B800">
        <v>54</v>
      </c>
      <c r="C800" s="25" t="s">
        <v>483</v>
      </c>
      <c r="D800" s="12">
        <v>1.6435133671292901</v>
      </c>
      <c r="E800" s="14">
        <v>8.8242328436471951E-2</v>
      </c>
      <c r="F800" s="7">
        <v>18.625</v>
      </c>
      <c r="G800" s="7">
        <f t="shared" si="192"/>
        <v>1.5552710386928181</v>
      </c>
      <c r="H800" s="16">
        <f t="shared" si="193"/>
        <v>1.731755695565762</v>
      </c>
      <c r="I800" s="11">
        <f t="shared" si="196"/>
        <v>0.29515600137965536</v>
      </c>
      <c r="J800" s="33">
        <f t="shared" si="197"/>
        <v>1.5847302087498277E-2</v>
      </c>
      <c r="K800" s="33">
        <f t="shared" si="198"/>
        <v>63.102223613752308</v>
      </c>
      <c r="L800" s="8">
        <v>1</v>
      </c>
      <c r="M800" s="9">
        <v>0</v>
      </c>
      <c r="N800" s="8">
        <v>0</v>
      </c>
      <c r="O800" s="9">
        <v>0</v>
      </c>
      <c r="P800" s="9">
        <v>1</v>
      </c>
      <c r="Q800" s="9">
        <v>0</v>
      </c>
      <c r="R800" s="9">
        <v>0</v>
      </c>
      <c r="S800" s="8">
        <v>3639</v>
      </c>
      <c r="T800" s="9">
        <v>3</v>
      </c>
      <c r="U800" s="9">
        <f t="shared" si="194"/>
        <v>3635</v>
      </c>
      <c r="V800" s="9">
        <f t="shared" si="195"/>
        <v>15</v>
      </c>
      <c r="W800" s="7">
        <f t="shared" si="202"/>
        <v>13.849</v>
      </c>
      <c r="X800" s="7">
        <f t="shared" si="203"/>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v>0</v>
      </c>
      <c r="BF800" s="18">
        <v>0</v>
      </c>
      <c r="BG800">
        <v>1</v>
      </c>
      <c r="BH800">
        <v>0</v>
      </c>
      <c r="BI800" s="18">
        <v>0</v>
      </c>
      <c r="BJ800" t="s">
        <v>98</v>
      </c>
      <c r="BK800">
        <v>27</v>
      </c>
      <c r="BL800" s="25">
        <v>33</v>
      </c>
      <c r="BM800">
        <v>1</v>
      </c>
      <c r="BN800">
        <v>0</v>
      </c>
      <c r="BO800">
        <v>0</v>
      </c>
      <c r="BP800">
        <v>0</v>
      </c>
      <c r="BQ800">
        <v>0</v>
      </c>
      <c r="BR800">
        <v>0</v>
      </c>
      <c r="BS800">
        <v>0</v>
      </c>
      <c r="BT800" s="18">
        <v>0</v>
      </c>
      <c r="BU800">
        <v>0</v>
      </c>
      <c r="BV800">
        <v>1</v>
      </c>
      <c r="BW800">
        <v>0</v>
      </c>
      <c r="BX800" s="18">
        <v>0</v>
      </c>
      <c r="BY800">
        <v>0</v>
      </c>
      <c r="BZ800">
        <v>0</v>
      </c>
      <c r="CA800">
        <v>0</v>
      </c>
      <c r="CB800">
        <v>0</v>
      </c>
      <c r="CC800" s="18">
        <v>0</v>
      </c>
      <c r="CD800">
        <v>0</v>
      </c>
      <c r="CE800">
        <v>0</v>
      </c>
      <c r="CF800">
        <v>0</v>
      </c>
      <c r="CG800">
        <v>0</v>
      </c>
      <c r="CH800">
        <v>1</v>
      </c>
      <c r="CI800">
        <v>0</v>
      </c>
      <c r="CJ800">
        <v>0</v>
      </c>
      <c r="CK800">
        <v>0</v>
      </c>
      <c r="CL800">
        <v>0</v>
      </c>
      <c r="CM800">
        <v>1</v>
      </c>
      <c r="CN800" s="18">
        <v>0</v>
      </c>
      <c r="CO800">
        <v>0</v>
      </c>
      <c r="CP800">
        <v>125</v>
      </c>
      <c r="CQ800">
        <v>0</v>
      </c>
      <c r="CR800">
        <v>1</v>
      </c>
      <c r="CS800">
        <v>5</v>
      </c>
      <c r="CY800" s="34"/>
    </row>
    <row r="801" spans="1:103" x14ac:dyDescent="0.25">
      <c r="A801">
        <v>800</v>
      </c>
      <c r="B801">
        <v>54</v>
      </c>
      <c r="C801" s="25" t="s">
        <v>483</v>
      </c>
      <c r="D801" s="12">
        <v>1.288050552599951</v>
      </c>
      <c r="E801" s="14">
        <v>0.1396681322096332</v>
      </c>
      <c r="F801" s="7">
        <v>9.2222222222222232</v>
      </c>
      <c r="G801" s="7">
        <f t="shared" si="192"/>
        <v>1.1483824203903179</v>
      </c>
      <c r="H801" s="16">
        <f t="shared" si="193"/>
        <v>1.4277186848095842</v>
      </c>
      <c r="I801" s="11">
        <f t="shared" si="196"/>
        <v>0.15120328631414434</v>
      </c>
      <c r="J801" s="33">
        <f t="shared" si="197"/>
        <v>1.6395537070208421E-2</v>
      </c>
      <c r="K801" s="33">
        <f t="shared" si="198"/>
        <v>60.992207557326935</v>
      </c>
      <c r="L801" s="8">
        <v>1</v>
      </c>
      <c r="M801" s="9">
        <v>0</v>
      </c>
      <c r="N801" s="8">
        <v>0</v>
      </c>
      <c r="O801" s="9">
        <v>0</v>
      </c>
      <c r="P801" s="9">
        <v>1</v>
      </c>
      <c r="Q801" s="9">
        <v>0</v>
      </c>
      <c r="R801" s="9">
        <v>0</v>
      </c>
      <c r="S801" s="8">
        <v>3639</v>
      </c>
      <c r="T801" s="9">
        <v>3</v>
      </c>
      <c r="U801" s="9">
        <f t="shared" si="194"/>
        <v>3635</v>
      </c>
      <c r="V801" s="9">
        <f t="shared" si="195"/>
        <v>15</v>
      </c>
      <c r="W801" s="7">
        <f t="shared" si="202"/>
        <v>13.849</v>
      </c>
      <c r="X801" s="7">
        <f t="shared" si="203"/>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v>0</v>
      </c>
      <c r="BF801" s="18">
        <v>0</v>
      </c>
      <c r="BG801">
        <v>1</v>
      </c>
      <c r="BH801">
        <v>0</v>
      </c>
      <c r="BI801" s="18">
        <v>0</v>
      </c>
      <c r="BJ801" t="s">
        <v>98</v>
      </c>
      <c r="BK801">
        <v>27</v>
      </c>
      <c r="BL801" s="25">
        <v>33</v>
      </c>
      <c r="BM801">
        <v>1</v>
      </c>
      <c r="BN801">
        <v>0</v>
      </c>
      <c r="BO801">
        <v>0</v>
      </c>
      <c r="BP801">
        <v>0</v>
      </c>
      <c r="BQ801">
        <v>0</v>
      </c>
      <c r="BR801">
        <v>0</v>
      </c>
      <c r="BS801">
        <v>0</v>
      </c>
      <c r="BT801" s="18">
        <v>0</v>
      </c>
      <c r="BU801">
        <v>0</v>
      </c>
      <c r="BV801">
        <v>1</v>
      </c>
      <c r="BW801">
        <v>0</v>
      </c>
      <c r="BX801" s="18">
        <v>0</v>
      </c>
      <c r="BY801">
        <v>0</v>
      </c>
      <c r="BZ801">
        <v>0</v>
      </c>
      <c r="CA801">
        <v>0</v>
      </c>
      <c r="CB801">
        <v>0</v>
      </c>
      <c r="CC801" s="18">
        <v>0</v>
      </c>
      <c r="CD801">
        <v>0</v>
      </c>
      <c r="CE801">
        <v>0</v>
      </c>
      <c r="CF801">
        <v>0</v>
      </c>
      <c r="CG801">
        <v>0</v>
      </c>
      <c r="CH801">
        <v>1</v>
      </c>
      <c r="CI801">
        <v>0</v>
      </c>
      <c r="CJ801">
        <v>0</v>
      </c>
      <c r="CK801">
        <v>0</v>
      </c>
      <c r="CL801">
        <v>0</v>
      </c>
      <c r="CM801">
        <v>1</v>
      </c>
      <c r="CN801" s="18">
        <v>0</v>
      </c>
      <c r="CO801">
        <v>0</v>
      </c>
      <c r="CP801">
        <v>125</v>
      </c>
      <c r="CQ801">
        <v>0</v>
      </c>
      <c r="CR801">
        <v>1</v>
      </c>
      <c r="CS801">
        <v>5</v>
      </c>
      <c r="CY801" s="34"/>
    </row>
    <row r="802" spans="1:103" x14ac:dyDescent="0.25">
      <c r="A802">
        <v>801</v>
      </c>
      <c r="B802">
        <v>54</v>
      </c>
      <c r="C802" s="25" t="s">
        <v>483</v>
      </c>
      <c r="D802" s="12">
        <v>0.53125904678845703</v>
      </c>
      <c r="E802" s="14">
        <v>0.1103914902417573</v>
      </c>
      <c r="F802" s="7">
        <v>4.8125</v>
      </c>
      <c r="G802" s="7">
        <f t="shared" si="192"/>
        <v>0.42086755654669972</v>
      </c>
      <c r="H802" s="16">
        <f t="shared" si="193"/>
        <v>0.64165053703021435</v>
      </c>
      <c r="I802" s="11">
        <f t="shared" si="196"/>
        <v>7.9568172773817836E-2</v>
      </c>
      <c r="J802" s="33">
        <f t="shared" si="197"/>
        <v>1.6533646290663447E-2</v>
      </c>
      <c r="K802" s="33">
        <f t="shared" si="198"/>
        <v>60.482726098035627</v>
      </c>
      <c r="L802" s="8">
        <v>1</v>
      </c>
      <c r="M802" s="9">
        <v>0</v>
      </c>
      <c r="N802" s="8">
        <v>0</v>
      </c>
      <c r="O802" s="9">
        <v>0</v>
      </c>
      <c r="P802" s="9">
        <v>1</v>
      </c>
      <c r="Q802" s="9">
        <v>0</v>
      </c>
      <c r="R802" s="9">
        <v>0</v>
      </c>
      <c r="S802" s="8">
        <v>3639</v>
      </c>
      <c r="T802" s="9">
        <v>3</v>
      </c>
      <c r="U802" s="9">
        <f t="shared" si="194"/>
        <v>3635</v>
      </c>
      <c r="V802" s="9">
        <f t="shared" si="195"/>
        <v>15</v>
      </c>
      <c r="W802" s="7">
        <f t="shared" si="202"/>
        <v>13.849</v>
      </c>
      <c r="X802" s="7">
        <f t="shared" si="203"/>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v>0</v>
      </c>
      <c r="BF802" s="18">
        <v>0</v>
      </c>
      <c r="BG802">
        <v>1</v>
      </c>
      <c r="BH802">
        <v>0</v>
      </c>
      <c r="BI802" s="18">
        <v>0</v>
      </c>
      <c r="BJ802" t="s">
        <v>98</v>
      </c>
      <c r="BK802">
        <v>27</v>
      </c>
      <c r="BL802" s="25">
        <v>33</v>
      </c>
      <c r="BM802">
        <v>1</v>
      </c>
      <c r="BN802">
        <v>0</v>
      </c>
      <c r="BO802">
        <v>0</v>
      </c>
      <c r="BP802">
        <v>0</v>
      </c>
      <c r="BQ802">
        <v>0</v>
      </c>
      <c r="BR802">
        <v>0</v>
      </c>
      <c r="BS802">
        <v>0</v>
      </c>
      <c r="BT802" s="18">
        <v>0</v>
      </c>
      <c r="BU802">
        <v>0</v>
      </c>
      <c r="BV802">
        <v>1</v>
      </c>
      <c r="BW802">
        <v>0</v>
      </c>
      <c r="BX802" s="18">
        <v>0</v>
      </c>
      <c r="BY802">
        <v>0</v>
      </c>
      <c r="BZ802">
        <v>0</v>
      </c>
      <c r="CA802">
        <v>0</v>
      </c>
      <c r="CB802">
        <v>0</v>
      </c>
      <c r="CC802" s="18">
        <v>0</v>
      </c>
      <c r="CD802">
        <v>0</v>
      </c>
      <c r="CE802">
        <v>0</v>
      </c>
      <c r="CF802">
        <v>0</v>
      </c>
      <c r="CG802">
        <v>0</v>
      </c>
      <c r="CH802">
        <v>1</v>
      </c>
      <c r="CI802">
        <v>0</v>
      </c>
      <c r="CJ802">
        <v>0</v>
      </c>
      <c r="CK802">
        <v>0</v>
      </c>
      <c r="CL802">
        <v>0</v>
      </c>
      <c r="CM802">
        <v>1</v>
      </c>
      <c r="CN802" s="18">
        <v>0</v>
      </c>
      <c r="CO802">
        <v>0</v>
      </c>
      <c r="CP802">
        <v>125</v>
      </c>
      <c r="CQ802">
        <v>0</v>
      </c>
      <c r="CR802">
        <v>1</v>
      </c>
      <c r="CS802">
        <v>5</v>
      </c>
      <c r="CY802" s="34"/>
    </row>
    <row r="803" spans="1:103" x14ac:dyDescent="0.25">
      <c r="A803">
        <v>802</v>
      </c>
      <c r="B803">
        <v>54</v>
      </c>
      <c r="C803" s="25" t="s">
        <v>483</v>
      </c>
      <c r="D803" s="12">
        <v>1.3993456453471831</v>
      </c>
      <c r="E803" s="14">
        <v>8.9917792472108155E-2</v>
      </c>
      <c r="F803" s="7">
        <v>15.5625</v>
      </c>
      <c r="G803" s="7">
        <f t="shared" si="192"/>
        <v>1.3094278528750749</v>
      </c>
      <c r="H803" s="16">
        <f t="shared" si="193"/>
        <v>1.4892634378192913</v>
      </c>
      <c r="I803" s="11">
        <f t="shared" si="196"/>
        <v>0.24993135499564653</v>
      </c>
      <c r="J803" s="33">
        <f t="shared" si="197"/>
        <v>1.605984610413793E-2</v>
      </c>
      <c r="K803" s="33">
        <f t="shared" si="198"/>
        <v>62.267097300661128</v>
      </c>
      <c r="L803" s="8">
        <v>1</v>
      </c>
      <c r="M803" s="9">
        <v>0</v>
      </c>
      <c r="N803" s="8">
        <v>0</v>
      </c>
      <c r="O803" s="9">
        <v>0</v>
      </c>
      <c r="P803" s="9">
        <v>1</v>
      </c>
      <c r="Q803" s="9">
        <v>0</v>
      </c>
      <c r="R803" s="9">
        <v>0</v>
      </c>
      <c r="S803" s="8">
        <v>3639</v>
      </c>
      <c r="T803" s="9">
        <v>3</v>
      </c>
      <c r="U803" s="9">
        <f t="shared" si="194"/>
        <v>3635</v>
      </c>
      <c r="V803" s="9">
        <f t="shared" si="195"/>
        <v>15</v>
      </c>
      <c r="W803" s="7">
        <f t="shared" si="202"/>
        <v>13.849</v>
      </c>
      <c r="X803" s="7">
        <f t="shared" si="203"/>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v>0</v>
      </c>
      <c r="BF803" s="18">
        <v>0</v>
      </c>
      <c r="BG803">
        <v>1</v>
      </c>
      <c r="BH803">
        <v>0</v>
      </c>
      <c r="BI803" s="18">
        <v>0</v>
      </c>
      <c r="BJ803" t="s">
        <v>98</v>
      </c>
      <c r="BK803">
        <v>27</v>
      </c>
      <c r="BL803" s="25">
        <v>33</v>
      </c>
      <c r="BM803">
        <v>1</v>
      </c>
      <c r="BN803">
        <v>0</v>
      </c>
      <c r="BO803">
        <v>0</v>
      </c>
      <c r="BP803">
        <v>0</v>
      </c>
      <c r="BQ803">
        <v>0</v>
      </c>
      <c r="BR803">
        <v>0</v>
      </c>
      <c r="BS803">
        <v>0</v>
      </c>
      <c r="BT803" s="18">
        <v>0</v>
      </c>
      <c r="BU803">
        <v>0</v>
      </c>
      <c r="BV803">
        <v>1</v>
      </c>
      <c r="BW803">
        <v>0</v>
      </c>
      <c r="BX803" s="18">
        <v>0</v>
      </c>
      <c r="BY803">
        <v>0</v>
      </c>
      <c r="BZ803">
        <v>0</v>
      </c>
      <c r="CA803">
        <v>0</v>
      </c>
      <c r="CB803">
        <v>0</v>
      </c>
      <c r="CC803" s="18">
        <v>0</v>
      </c>
      <c r="CD803">
        <v>0</v>
      </c>
      <c r="CE803">
        <v>0</v>
      </c>
      <c r="CF803">
        <v>0</v>
      </c>
      <c r="CG803">
        <v>0</v>
      </c>
      <c r="CH803">
        <v>1</v>
      </c>
      <c r="CI803">
        <v>0</v>
      </c>
      <c r="CJ803">
        <v>0</v>
      </c>
      <c r="CK803">
        <v>0</v>
      </c>
      <c r="CL803">
        <v>0</v>
      </c>
      <c r="CM803">
        <v>1</v>
      </c>
      <c r="CN803" s="18">
        <v>0</v>
      </c>
      <c r="CO803">
        <v>0</v>
      </c>
      <c r="CP803">
        <v>125</v>
      </c>
      <c r="CQ803">
        <v>0</v>
      </c>
      <c r="CR803">
        <v>1</v>
      </c>
      <c r="CS803">
        <v>5</v>
      </c>
      <c r="CY803" s="34"/>
    </row>
    <row r="804" spans="1:103" x14ac:dyDescent="0.25">
      <c r="A804">
        <v>803</v>
      </c>
      <c r="B804">
        <v>54</v>
      </c>
      <c r="C804" s="25" t="s">
        <v>483</v>
      </c>
      <c r="D804" s="12">
        <v>2.3082083868108949</v>
      </c>
      <c r="E804" s="14">
        <v>0.38836522063802359</v>
      </c>
      <c r="F804" s="7">
        <v>5.9433962264150946</v>
      </c>
      <c r="G804" s="7">
        <f t="shared" si="192"/>
        <v>1.9198431661728712</v>
      </c>
      <c r="H804" s="16">
        <f t="shared" si="193"/>
        <v>2.6965736074489186</v>
      </c>
      <c r="I804" s="11">
        <f t="shared" si="196"/>
        <v>9.8103044388919494E-2</v>
      </c>
      <c r="J804" s="33">
        <f t="shared" si="197"/>
        <v>1.6506226516230897E-2</v>
      </c>
      <c r="K804" s="33">
        <f t="shared" si="198"/>
        <v>60.583198650320249</v>
      </c>
      <c r="L804" s="8">
        <v>1</v>
      </c>
      <c r="M804" s="9">
        <v>0</v>
      </c>
      <c r="N804" s="8">
        <v>0</v>
      </c>
      <c r="O804" s="9">
        <v>0</v>
      </c>
      <c r="P804" s="9">
        <v>1</v>
      </c>
      <c r="Q804" s="9">
        <v>0</v>
      </c>
      <c r="R804" s="9">
        <v>0</v>
      </c>
      <c r="S804" s="8">
        <v>3639</v>
      </c>
      <c r="T804" s="9">
        <v>3</v>
      </c>
      <c r="U804" s="9">
        <f t="shared" si="194"/>
        <v>3635</v>
      </c>
      <c r="V804" s="9">
        <f t="shared" si="195"/>
        <v>15</v>
      </c>
      <c r="W804" s="7">
        <f t="shared" si="202"/>
        <v>13.849</v>
      </c>
      <c r="X804" s="7">
        <f t="shared" si="203"/>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v>0</v>
      </c>
      <c r="BF804" s="18">
        <v>0</v>
      </c>
      <c r="BG804">
        <v>1</v>
      </c>
      <c r="BH804">
        <v>0</v>
      </c>
      <c r="BI804" s="18">
        <v>0</v>
      </c>
      <c r="BJ804" t="s">
        <v>98</v>
      </c>
      <c r="BK804">
        <v>27</v>
      </c>
      <c r="BL804" s="25">
        <v>33</v>
      </c>
      <c r="BM804">
        <v>0</v>
      </c>
      <c r="BN804">
        <v>0</v>
      </c>
      <c r="BO804">
        <v>0</v>
      </c>
      <c r="BP804">
        <v>0</v>
      </c>
      <c r="BQ804">
        <v>0</v>
      </c>
      <c r="BR804">
        <v>0</v>
      </c>
      <c r="BS804">
        <v>0</v>
      </c>
      <c r="BT804" s="18">
        <v>1</v>
      </c>
      <c r="BU804">
        <v>0</v>
      </c>
      <c r="BV804">
        <v>1</v>
      </c>
      <c r="BW804">
        <v>0</v>
      </c>
      <c r="BX804" s="18">
        <v>0</v>
      </c>
      <c r="BY804">
        <v>0</v>
      </c>
      <c r="BZ804">
        <v>0</v>
      </c>
      <c r="CA804">
        <v>0</v>
      </c>
      <c r="CB804">
        <v>0</v>
      </c>
      <c r="CC804" s="18">
        <v>0</v>
      </c>
      <c r="CD804">
        <v>0</v>
      </c>
      <c r="CE804">
        <v>0</v>
      </c>
      <c r="CF804">
        <v>0</v>
      </c>
      <c r="CG804">
        <v>0</v>
      </c>
      <c r="CH804">
        <v>1</v>
      </c>
      <c r="CI804">
        <v>0</v>
      </c>
      <c r="CJ804">
        <v>0</v>
      </c>
      <c r="CK804">
        <v>0</v>
      </c>
      <c r="CL804">
        <v>0</v>
      </c>
      <c r="CM804">
        <v>1</v>
      </c>
      <c r="CN804" s="18">
        <v>0</v>
      </c>
      <c r="CO804">
        <v>0</v>
      </c>
      <c r="CP804">
        <v>125</v>
      </c>
      <c r="CQ804">
        <v>0</v>
      </c>
      <c r="CR804">
        <v>1</v>
      </c>
      <c r="CS804">
        <v>5</v>
      </c>
      <c r="CY804" s="34"/>
    </row>
    <row r="805" spans="1:103" x14ac:dyDescent="0.25">
      <c r="A805">
        <v>804</v>
      </c>
      <c r="B805">
        <v>54</v>
      </c>
      <c r="C805" s="25" t="s">
        <v>483</v>
      </c>
      <c r="D805" s="12">
        <v>1.1277672320530781</v>
      </c>
      <c r="E805" s="14">
        <v>0.2321873713050456</v>
      </c>
      <c r="F805" s="7">
        <v>4.8571428571428568</v>
      </c>
      <c r="G805" s="7">
        <f t="shared" si="192"/>
        <v>0.89557986074803242</v>
      </c>
      <c r="H805" s="16">
        <f t="shared" si="193"/>
        <v>1.3599546033581236</v>
      </c>
      <c r="I805" s="11">
        <f t="shared" si="196"/>
        <v>8.0301544138865227E-2</v>
      </c>
      <c r="J805" s="33">
        <f t="shared" si="197"/>
        <v>1.6532670852119312E-2</v>
      </c>
      <c r="K805" s="33">
        <f t="shared" si="198"/>
        <v>60.486294618985333</v>
      </c>
      <c r="L805" s="8">
        <v>1</v>
      </c>
      <c r="M805" s="9">
        <v>0</v>
      </c>
      <c r="N805" s="8">
        <v>0</v>
      </c>
      <c r="O805" s="9">
        <v>0</v>
      </c>
      <c r="P805" s="9">
        <v>1</v>
      </c>
      <c r="Q805" s="9">
        <v>0</v>
      </c>
      <c r="R805" s="9">
        <v>0</v>
      </c>
      <c r="S805" s="8">
        <v>3639</v>
      </c>
      <c r="T805" s="9">
        <v>3</v>
      </c>
      <c r="U805" s="9">
        <f t="shared" si="194"/>
        <v>3635</v>
      </c>
      <c r="V805" s="9">
        <f t="shared" si="195"/>
        <v>15</v>
      </c>
      <c r="W805" s="7">
        <f t="shared" si="202"/>
        <v>13.849</v>
      </c>
      <c r="X805" s="7">
        <f t="shared" si="203"/>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v>0</v>
      </c>
      <c r="BF805" s="18">
        <v>0</v>
      </c>
      <c r="BG805">
        <v>1</v>
      </c>
      <c r="BH805">
        <v>0</v>
      </c>
      <c r="BI805" s="18">
        <v>0</v>
      </c>
      <c r="BJ805" t="s">
        <v>98</v>
      </c>
      <c r="BK805">
        <v>27</v>
      </c>
      <c r="BL805" s="25">
        <v>33</v>
      </c>
      <c r="BM805">
        <v>0</v>
      </c>
      <c r="BN805">
        <v>0</v>
      </c>
      <c r="BO805">
        <v>0</v>
      </c>
      <c r="BP805">
        <v>0</v>
      </c>
      <c r="BQ805">
        <v>0</v>
      </c>
      <c r="BR805">
        <v>0</v>
      </c>
      <c r="BS805">
        <v>0</v>
      </c>
      <c r="BT805" s="18">
        <v>1</v>
      </c>
      <c r="BU805">
        <v>0</v>
      </c>
      <c r="BV805">
        <v>1</v>
      </c>
      <c r="BW805">
        <v>0</v>
      </c>
      <c r="BX805" s="18">
        <v>0</v>
      </c>
      <c r="BY805">
        <v>0</v>
      </c>
      <c r="BZ805">
        <v>0</v>
      </c>
      <c r="CA805">
        <v>0</v>
      </c>
      <c r="CB805">
        <v>0</v>
      </c>
      <c r="CC805" s="18">
        <v>0</v>
      </c>
      <c r="CD805">
        <v>0</v>
      </c>
      <c r="CE805">
        <v>0</v>
      </c>
      <c r="CF805">
        <v>0</v>
      </c>
      <c r="CG805">
        <v>0</v>
      </c>
      <c r="CH805">
        <v>1</v>
      </c>
      <c r="CI805">
        <v>0</v>
      </c>
      <c r="CJ805">
        <v>0</v>
      </c>
      <c r="CK805">
        <v>0</v>
      </c>
      <c r="CL805">
        <v>0</v>
      </c>
      <c r="CM805">
        <v>1</v>
      </c>
      <c r="CN805" s="18">
        <v>0</v>
      </c>
      <c r="CO805">
        <v>0</v>
      </c>
      <c r="CP805">
        <v>125</v>
      </c>
      <c r="CQ805">
        <v>0</v>
      </c>
      <c r="CR805">
        <v>1</v>
      </c>
      <c r="CS805">
        <v>5</v>
      </c>
      <c r="CY805" s="34"/>
    </row>
    <row r="806" spans="1:103" x14ac:dyDescent="0.25">
      <c r="A806">
        <v>805</v>
      </c>
      <c r="B806">
        <v>54</v>
      </c>
      <c r="C806" s="25" t="s">
        <v>483</v>
      </c>
      <c r="D806" s="12">
        <v>2.093230151342373</v>
      </c>
      <c r="E806" s="14">
        <v>0.15446227579880109</v>
      </c>
      <c r="F806" s="7">
        <v>13.55172413793103</v>
      </c>
      <c r="G806" s="7">
        <f t="shared" si="192"/>
        <v>1.938767875543572</v>
      </c>
      <c r="H806" s="16">
        <f t="shared" si="193"/>
        <v>2.2476924271411742</v>
      </c>
      <c r="I806" s="11">
        <f t="shared" si="196"/>
        <v>0.21930052382972096</v>
      </c>
      <c r="J806" s="33">
        <f t="shared" si="197"/>
        <v>1.6182481402193156E-2</v>
      </c>
      <c r="K806" s="33">
        <f t="shared" si="198"/>
        <v>61.795220099216273</v>
      </c>
      <c r="L806" s="8">
        <v>1</v>
      </c>
      <c r="M806" s="9">
        <v>0</v>
      </c>
      <c r="N806" s="8">
        <v>0</v>
      </c>
      <c r="O806" s="9">
        <v>0</v>
      </c>
      <c r="P806" s="9">
        <v>1</v>
      </c>
      <c r="Q806" s="9">
        <v>0</v>
      </c>
      <c r="R806" s="9">
        <v>0</v>
      </c>
      <c r="S806" s="8">
        <v>3639</v>
      </c>
      <c r="T806" s="9">
        <v>3</v>
      </c>
      <c r="U806" s="9">
        <f t="shared" si="194"/>
        <v>3635</v>
      </c>
      <c r="V806" s="9">
        <f t="shared" si="195"/>
        <v>15</v>
      </c>
      <c r="W806" s="7">
        <f t="shared" si="202"/>
        <v>13.849</v>
      </c>
      <c r="X806" s="7">
        <f t="shared" si="203"/>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v>0</v>
      </c>
      <c r="BF806" s="18">
        <v>0</v>
      </c>
      <c r="BG806">
        <v>1</v>
      </c>
      <c r="BH806">
        <v>0</v>
      </c>
      <c r="BI806" s="18">
        <v>0</v>
      </c>
      <c r="BJ806" t="s">
        <v>98</v>
      </c>
      <c r="BK806">
        <v>27</v>
      </c>
      <c r="BL806" s="25">
        <v>33</v>
      </c>
      <c r="BM806">
        <v>0</v>
      </c>
      <c r="BN806">
        <v>0</v>
      </c>
      <c r="BO806">
        <v>0</v>
      </c>
      <c r="BP806">
        <v>0</v>
      </c>
      <c r="BQ806">
        <v>0</v>
      </c>
      <c r="BR806">
        <v>0</v>
      </c>
      <c r="BS806">
        <v>0</v>
      </c>
      <c r="BT806" s="18">
        <v>1</v>
      </c>
      <c r="BU806">
        <v>0</v>
      </c>
      <c r="BV806">
        <v>1</v>
      </c>
      <c r="BW806">
        <v>0</v>
      </c>
      <c r="BX806" s="18">
        <v>0</v>
      </c>
      <c r="BY806">
        <v>0</v>
      </c>
      <c r="BZ806">
        <v>0</v>
      </c>
      <c r="CA806">
        <v>0</v>
      </c>
      <c r="CB806">
        <v>0</v>
      </c>
      <c r="CC806" s="18">
        <v>0</v>
      </c>
      <c r="CD806">
        <v>0</v>
      </c>
      <c r="CE806">
        <v>0</v>
      </c>
      <c r="CF806">
        <v>0</v>
      </c>
      <c r="CG806">
        <v>0</v>
      </c>
      <c r="CH806">
        <v>1</v>
      </c>
      <c r="CI806">
        <v>0</v>
      </c>
      <c r="CJ806">
        <v>0</v>
      </c>
      <c r="CK806">
        <v>0</v>
      </c>
      <c r="CL806">
        <v>0</v>
      </c>
      <c r="CM806">
        <v>1</v>
      </c>
      <c r="CN806" s="18">
        <v>0</v>
      </c>
      <c r="CO806">
        <v>0</v>
      </c>
      <c r="CP806">
        <v>125</v>
      </c>
      <c r="CQ806">
        <v>0</v>
      </c>
      <c r="CR806">
        <v>1</v>
      </c>
      <c r="CS806">
        <v>5</v>
      </c>
      <c r="CY806" s="34"/>
    </row>
    <row r="807" spans="1:103" x14ac:dyDescent="0.25">
      <c r="A807">
        <v>806</v>
      </c>
      <c r="B807">
        <v>54</v>
      </c>
      <c r="C807" s="25" t="s">
        <v>483</v>
      </c>
      <c r="D807" s="12">
        <v>2.1380925633558872</v>
      </c>
      <c r="E807" s="14">
        <v>7.3982441638612007E-2</v>
      </c>
      <c r="F807" s="7">
        <v>28.9</v>
      </c>
      <c r="G807" s="7">
        <f t="shared" si="192"/>
        <v>2.0641101217172753</v>
      </c>
      <c r="H807" s="16">
        <f t="shared" si="193"/>
        <v>2.2120750049944991</v>
      </c>
      <c r="I807" s="11">
        <f t="shared" si="196"/>
        <v>0.4322488832196768</v>
      </c>
      <c r="J807" s="33">
        <f t="shared" si="197"/>
        <v>1.4956708761926535E-2</v>
      </c>
      <c r="K807" s="33">
        <f t="shared" si="198"/>
        <v>66.859629074651622</v>
      </c>
      <c r="L807" s="8">
        <v>1</v>
      </c>
      <c r="M807" s="9">
        <v>0</v>
      </c>
      <c r="N807" s="8">
        <v>0</v>
      </c>
      <c r="O807" s="9">
        <v>0</v>
      </c>
      <c r="P807" s="9">
        <v>1</v>
      </c>
      <c r="Q807" s="9">
        <v>0</v>
      </c>
      <c r="R807" s="9">
        <v>0</v>
      </c>
      <c r="S807" s="8">
        <v>3639</v>
      </c>
      <c r="T807" s="9">
        <v>3</v>
      </c>
      <c r="U807" s="9">
        <f t="shared" si="194"/>
        <v>3635</v>
      </c>
      <c r="V807" s="9">
        <f t="shared" si="195"/>
        <v>15</v>
      </c>
      <c r="W807" s="7">
        <f t="shared" si="202"/>
        <v>13.849</v>
      </c>
      <c r="X807" s="7">
        <f t="shared" si="203"/>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v>0</v>
      </c>
      <c r="BF807" s="18">
        <v>0</v>
      </c>
      <c r="BG807">
        <v>1</v>
      </c>
      <c r="BH807">
        <v>0</v>
      </c>
      <c r="BI807" s="18">
        <v>0</v>
      </c>
      <c r="BJ807" t="s">
        <v>98</v>
      </c>
      <c r="BK807">
        <v>27</v>
      </c>
      <c r="BL807" s="25">
        <v>33</v>
      </c>
      <c r="BM807">
        <v>0</v>
      </c>
      <c r="BN807">
        <v>0</v>
      </c>
      <c r="BO807">
        <v>0</v>
      </c>
      <c r="BP807">
        <v>0</v>
      </c>
      <c r="BQ807">
        <v>0</v>
      </c>
      <c r="BR807">
        <v>0</v>
      </c>
      <c r="BS807">
        <v>0</v>
      </c>
      <c r="BT807" s="18">
        <v>1</v>
      </c>
      <c r="BU807">
        <v>0</v>
      </c>
      <c r="BV807">
        <v>1</v>
      </c>
      <c r="BW807">
        <v>0</v>
      </c>
      <c r="BX807" s="18">
        <v>0</v>
      </c>
      <c r="BY807">
        <v>0</v>
      </c>
      <c r="BZ807">
        <v>0</v>
      </c>
      <c r="CA807">
        <v>0</v>
      </c>
      <c r="CB807">
        <v>0</v>
      </c>
      <c r="CC807" s="18">
        <v>0</v>
      </c>
      <c r="CD807">
        <v>0</v>
      </c>
      <c r="CE807">
        <v>0</v>
      </c>
      <c r="CF807">
        <v>0</v>
      </c>
      <c r="CG807">
        <v>0</v>
      </c>
      <c r="CH807">
        <v>1</v>
      </c>
      <c r="CI807">
        <v>0</v>
      </c>
      <c r="CJ807">
        <v>0</v>
      </c>
      <c r="CK807">
        <v>0</v>
      </c>
      <c r="CL807">
        <v>0</v>
      </c>
      <c r="CM807">
        <v>1</v>
      </c>
      <c r="CN807" s="18">
        <v>0</v>
      </c>
      <c r="CO807">
        <v>0</v>
      </c>
      <c r="CP807">
        <v>125</v>
      </c>
      <c r="CQ807">
        <v>0</v>
      </c>
      <c r="CR807">
        <v>1</v>
      </c>
      <c r="CS807">
        <v>5</v>
      </c>
      <c r="CY807" s="34"/>
    </row>
    <row r="808" spans="1:103" x14ac:dyDescent="0.25">
      <c r="A808">
        <v>807</v>
      </c>
      <c r="B808">
        <v>54</v>
      </c>
      <c r="C808" s="25" t="s">
        <v>483</v>
      </c>
      <c r="D808" s="12">
        <v>1.103032521143499</v>
      </c>
      <c r="E808" s="14">
        <v>0.45184464721540918</v>
      </c>
      <c r="F808" s="7">
        <v>2.4411764705882351</v>
      </c>
      <c r="G808" s="7">
        <f t="shared" si="192"/>
        <v>0.65118787392808986</v>
      </c>
      <c r="H808" s="16">
        <f t="shared" si="193"/>
        <v>1.5548771683589082</v>
      </c>
      <c r="I808" s="11">
        <f t="shared" si="196"/>
        <v>4.0456775047596705E-2</v>
      </c>
      <c r="J808" s="33">
        <f t="shared" si="197"/>
        <v>1.6572654838774556E-2</v>
      </c>
      <c r="K808" s="33">
        <f t="shared" si="198"/>
        <v>60.340362466267578</v>
      </c>
      <c r="L808" s="8">
        <v>1</v>
      </c>
      <c r="M808" s="9">
        <v>0</v>
      </c>
      <c r="N808" s="8">
        <v>0</v>
      </c>
      <c r="O808" s="9">
        <v>0</v>
      </c>
      <c r="P808" s="9">
        <v>1</v>
      </c>
      <c r="Q808" s="9">
        <v>0</v>
      </c>
      <c r="R808" s="9">
        <v>0</v>
      </c>
      <c r="S808" s="8">
        <v>3639</v>
      </c>
      <c r="T808" s="9">
        <v>3</v>
      </c>
      <c r="U808" s="9">
        <f t="shared" si="194"/>
        <v>3635</v>
      </c>
      <c r="V808" s="9">
        <f t="shared" si="195"/>
        <v>15</v>
      </c>
      <c r="W808" s="7">
        <f t="shared" si="202"/>
        <v>13.849</v>
      </c>
      <c r="X808" s="7">
        <f t="shared" si="203"/>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v>0</v>
      </c>
      <c r="BF808" s="18">
        <v>0</v>
      </c>
      <c r="BG808">
        <v>1</v>
      </c>
      <c r="BH808">
        <v>0</v>
      </c>
      <c r="BI808" s="18">
        <v>0</v>
      </c>
      <c r="BJ808" t="s">
        <v>98</v>
      </c>
      <c r="BK808">
        <v>27</v>
      </c>
      <c r="BL808" s="25">
        <v>33</v>
      </c>
      <c r="BM808">
        <v>0</v>
      </c>
      <c r="BN808">
        <v>0</v>
      </c>
      <c r="BO808">
        <v>0</v>
      </c>
      <c r="BP808">
        <v>0</v>
      </c>
      <c r="BQ808">
        <v>0</v>
      </c>
      <c r="BR808">
        <v>0</v>
      </c>
      <c r="BS808">
        <v>0</v>
      </c>
      <c r="BT808" s="18">
        <v>1</v>
      </c>
      <c r="BU808">
        <v>0</v>
      </c>
      <c r="BV808">
        <v>1</v>
      </c>
      <c r="BW808">
        <v>0</v>
      </c>
      <c r="BX808" s="18">
        <v>0</v>
      </c>
      <c r="BY808">
        <v>0</v>
      </c>
      <c r="BZ808">
        <v>0</v>
      </c>
      <c r="CA808">
        <v>0</v>
      </c>
      <c r="CB808">
        <v>0</v>
      </c>
      <c r="CC808" s="18">
        <v>0</v>
      </c>
      <c r="CD808">
        <v>0</v>
      </c>
      <c r="CE808">
        <v>0</v>
      </c>
      <c r="CF808">
        <v>0</v>
      </c>
      <c r="CG808">
        <v>0</v>
      </c>
      <c r="CH808">
        <v>1</v>
      </c>
      <c r="CI808">
        <v>0</v>
      </c>
      <c r="CJ808">
        <v>0</v>
      </c>
      <c r="CK808">
        <v>0</v>
      </c>
      <c r="CL808">
        <v>0</v>
      </c>
      <c r="CM808">
        <v>1</v>
      </c>
      <c r="CN808" s="18">
        <v>0</v>
      </c>
      <c r="CO808">
        <v>0</v>
      </c>
      <c r="CP808">
        <v>125</v>
      </c>
      <c r="CQ808">
        <v>0</v>
      </c>
      <c r="CR808">
        <v>1</v>
      </c>
      <c r="CS808">
        <v>5</v>
      </c>
      <c r="CY808" s="34"/>
    </row>
    <row r="809" spans="1:103" x14ac:dyDescent="0.25">
      <c r="A809">
        <v>808</v>
      </c>
      <c r="B809">
        <v>54</v>
      </c>
      <c r="C809" s="25" t="s">
        <v>483</v>
      </c>
      <c r="D809" s="12">
        <v>2.0009950789031672</v>
      </c>
      <c r="E809" s="14">
        <v>0.33796967820616503</v>
      </c>
      <c r="F809" s="7">
        <v>5.9206349206349209</v>
      </c>
      <c r="G809" s="7">
        <f t="shared" si="192"/>
        <v>1.6630254006970022</v>
      </c>
      <c r="H809" s="16">
        <f t="shared" si="193"/>
        <v>2.3389647571093324</v>
      </c>
      <c r="I809" s="11">
        <f t="shared" si="196"/>
        <v>9.7730936419665043E-2</v>
      </c>
      <c r="J809" s="33">
        <f t="shared" si="197"/>
        <v>1.6506833765251739E-2</v>
      </c>
      <c r="K809" s="33">
        <f t="shared" si="198"/>
        <v>60.580969931682681</v>
      </c>
      <c r="L809" s="8">
        <v>1</v>
      </c>
      <c r="M809" s="9">
        <v>0</v>
      </c>
      <c r="N809" s="8">
        <v>0</v>
      </c>
      <c r="O809" s="9">
        <v>0</v>
      </c>
      <c r="P809" s="9">
        <v>1</v>
      </c>
      <c r="Q809" s="9">
        <v>0</v>
      </c>
      <c r="R809" s="9">
        <v>0</v>
      </c>
      <c r="S809" s="8">
        <v>3639</v>
      </c>
      <c r="T809" s="9">
        <v>3</v>
      </c>
      <c r="U809" s="9">
        <f t="shared" si="194"/>
        <v>3635</v>
      </c>
      <c r="V809" s="9">
        <f t="shared" si="195"/>
        <v>15</v>
      </c>
      <c r="W809" s="7">
        <f t="shared" si="202"/>
        <v>13.849</v>
      </c>
      <c r="X809" s="7">
        <f t="shared" si="203"/>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v>0</v>
      </c>
      <c r="BF809" s="18">
        <v>0</v>
      </c>
      <c r="BG809">
        <v>1</v>
      </c>
      <c r="BH809">
        <v>0</v>
      </c>
      <c r="BI809" s="18">
        <v>0</v>
      </c>
      <c r="BJ809" t="s">
        <v>98</v>
      </c>
      <c r="BK809">
        <v>27</v>
      </c>
      <c r="BL809" s="25">
        <v>33</v>
      </c>
      <c r="BM809">
        <v>0</v>
      </c>
      <c r="BN809">
        <v>0</v>
      </c>
      <c r="BO809">
        <v>0</v>
      </c>
      <c r="BP809">
        <v>0</v>
      </c>
      <c r="BQ809">
        <v>0</v>
      </c>
      <c r="BR809">
        <v>0</v>
      </c>
      <c r="BS809">
        <v>0</v>
      </c>
      <c r="BT809" s="18">
        <v>1</v>
      </c>
      <c r="BU809">
        <v>0</v>
      </c>
      <c r="BV809">
        <v>1</v>
      </c>
      <c r="BW809">
        <v>0</v>
      </c>
      <c r="BX809" s="18">
        <v>0</v>
      </c>
      <c r="BY809">
        <v>0</v>
      </c>
      <c r="BZ809">
        <v>0</v>
      </c>
      <c r="CA809">
        <v>0</v>
      </c>
      <c r="CB809">
        <v>0</v>
      </c>
      <c r="CC809" s="18">
        <v>0</v>
      </c>
      <c r="CD809">
        <v>0</v>
      </c>
      <c r="CE809">
        <v>0</v>
      </c>
      <c r="CF809">
        <v>0</v>
      </c>
      <c r="CG809">
        <v>0</v>
      </c>
      <c r="CH809">
        <v>1</v>
      </c>
      <c r="CI809">
        <v>0</v>
      </c>
      <c r="CJ809">
        <v>0</v>
      </c>
      <c r="CK809">
        <v>0</v>
      </c>
      <c r="CL809">
        <v>0</v>
      </c>
      <c r="CM809">
        <v>1</v>
      </c>
      <c r="CN809" s="18">
        <v>0</v>
      </c>
      <c r="CO809">
        <v>0</v>
      </c>
      <c r="CP809">
        <v>125</v>
      </c>
      <c r="CQ809">
        <v>0</v>
      </c>
      <c r="CR809">
        <v>1</v>
      </c>
      <c r="CS809">
        <v>5</v>
      </c>
      <c r="CY809" s="34"/>
    </row>
    <row r="810" spans="1:103" x14ac:dyDescent="0.25">
      <c r="A810">
        <v>809</v>
      </c>
      <c r="B810">
        <v>54</v>
      </c>
      <c r="C810" s="25" t="s">
        <v>483</v>
      </c>
      <c r="D810" s="12">
        <v>1.677838513019414</v>
      </c>
      <c r="E810" s="14">
        <v>7.5920294706760816E-2</v>
      </c>
      <c r="F810" s="7">
        <v>22.1</v>
      </c>
      <c r="G810" s="7">
        <f t="shared" si="192"/>
        <v>1.6019182183126532</v>
      </c>
      <c r="H810" s="16">
        <f t="shared" si="193"/>
        <v>1.7537588077261748</v>
      </c>
      <c r="I810" s="11">
        <f t="shared" si="196"/>
        <v>0.34416286928355505</v>
      </c>
      <c r="J810" s="33">
        <f t="shared" si="197"/>
        <v>1.5572980510568098E-2</v>
      </c>
      <c r="K810" s="33">
        <f t="shared" si="198"/>
        <v>64.21378356708162</v>
      </c>
      <c r="L810" s="8">
        <v>1</v>
      </c>
      <c r="M810" s="9">
        <v>0</v>
      </c>
      <c r="N810" s="8">
        <v>0</v>
      </c>
      <c r="O810" s="9">
        <v>0</v>
      </c>
      <c r="P810" s="9">
        <v>1</v>
      </c>
      <c r="Q810" s="9">
        <v>0</v>
      </c>
      <c r="R810" s="9">
        <v>0</v>
      </c>
      <c r="S810" s="8">
        <v>3639</v>
      </c>
      <c r="T810" s="9">
        <v>3</v>
      </c>
      <c r="U810" s="9">
        <f t="shared" si="194"/>
        <v>3635</v>
      </c>
      <c r="V810" s="9">
        <f t="shared" si="195"/>
        <v>15</v>
      </c>
      <c r="W810" s="7">
        <f t="shared" si="202"/>
        <v>13.849</v>
      </c>
      <c r="X810" s="7">
        <f t="shared" si="203"/>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v>0</v>
      </c>
      <c r="BF810" s="18">
        <v>0</v>
      </c>
      <c r="BG810">
        <v>1</v>
      </c>
      <c r="BH810">
        <v>0</v>
      </c>
      <c r="BI810" s="18">
        <v>0</v>
      </c>
      <c r="BJ810" t="s">
        <v>98</v>
      </c>
      <c r="BK810">
        <v>27</v>
      </c>
      <c r="BL810" s="25">
        <v>33</v>
      </c>
      <c r="BM810">
        <v>0</v>
      </c>
      <c r="BN810">
        <v>0</v>
      </c>
      <c r="BO810">
        <v>0</v>
      </c>
      <c r="BP810">
        <v>0</v>
      </c>
      <c r="BQ810">
        <v>0</v>
      </c>
      <c r="BR810">
        <v>0</v>
      </c>
      <c r="BS810">
        <v>0</v>
      </c>
      <c r="BT810" s="18">
        <v>1</v>
      </c>
      <c r="BU810">
        <v>0</v>
      </c>
      <c r="BV810">
        <v>1</v>
      </c>
      <c r="BW810">
        <v>0</v>
      </c>
      <c r="BX810" s="18">
        <v>0</v>
      </c>
      <c r="BY810">
        <v>0</v>
      </c>
      <c r="BZ810">
        <v>0</v>
      </c>
      <c r="CA810">
        <v>0</v>
      </c>
      <c r="CB810">
        <v>0</v>
      </c>
      <c r="CC810" s="18">
        <v>0</v>
      </c>
      <c r="CD810">
        <v>0</v>
      </c>
      <c r="CE810">
        <v>0</v>
      </c>
      <c r="CF810">
        <v>0</v>
      </c>
      <c r="CG810">
        <v>0</v>
      </c>
      <c r="CH810">
        <v>1</v>
      </c>
      <c r="CI810">
        <v>0</v>
      </c>
      <c r="CJ810">
        <v>0</v>
      </c>
      <c r="CK810">
        <v>0</v>
      </c>
      <c r="CL810">
        <v>0</v>
      </c>
      <c r="CM810">
        <v>1</v>
      </c>
      <c r="CN810" s="18">
        <v>0</v>
      </c>
      <c r="CO810">
        <v>0</v>
      </c>
      <c r="CP810">
        <v>125</v>
      </c>
      <c r="CQ810">
        <v>0</v>
      </c>
      <c r="CR810">
        <v>1</v>
      </c>
      <c r="CS810">
        <v>5</v>
      </c>
      <c r="CY810" s="34"/>
    </row>
    <row r="811" spans="1:103" x14ac:dyDescent="0.25">
      <c r="A811">
        <v>810</v>
      </c>
      <c r="B811">
        <v>54</v>
      </c>
      <c r="C811" s="25" t="s">
        <v>483</v>
      </c>
      <c r="D811" s="12">
        <v>1.034603563185343</v>
      </c>
      <c r="E811" s="14">
        <v>0.91445605262188434</v>
      </c>
      <c r="F811" s="7">
        <v>1.131386861313868</v>
      </c>
      <c r="G811" s="7">
        <f t="shared" si="192"/>
        <v>0.12014751056345863</v>
      </c>
      <c r="H811" s="16">
        <f t="shared" si="193"/>
        <v>1.9490596158072273</v>
      </c>
      <c r="I811" s="11">
        <f t="shared" si="196"/>
        <v>1.8762144231012204E-2</v>
      </c>
      <c r="J811" s="33">
        <f t="shared" si="197"/>
        <v>1.6583314578378538E-2</v>
      </c>
      <c r="K811" s="33">
        <f t="shared" si="198"/>
        <v>60.30157573587902</v>
      </c>
      <c r="L811" s="8">
        <v>1</v>
      </c>
      <c r="M811" s="9">
        <v>0</v>
      </c>
      <c r="N811" s="8">
        <v>0</v>
      </c>
      <c r="O811" s="9">
        <v>0</v>
      </c>
      <c r="P811" s="9">
        <v>1</v>
      </c>
      <c r="Q811" s="9">
        <v>0</v>
      </c>
      <c r="R811" s="9">
        <v>0</v>
      </c>
      <c r="S811" s="8">
        <v>3639</v>
      </c>
      <c r="T811" s="9">
        <v>3</v>
      </c>
      <c r="U811" s="9">
        <f t="shared" si="194"/>
        <v>3635</v>
      </c>
      <c r="V811" s="9">
        <f t="shared" si="195"/>
        <v>15</v>
      </c>
      <c r="W811" s="7">
        <f t="shared" si="202"/>
        <v>13.849</v>
      </c>
      <c r="X811" s="7">
        <f t="shared" si="203"/>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v>0</v>
      </c>
      <c r="BF811" s="18">
        <v>0</v>
      </c>
      <c r="BG811">
        <v>1</v>
      </c>
      <c r="BH811">
        <v>0</v>
      </c>
      <c r="BI811" s="18">
        <v>0</v>
      </c>
      <c r="BJ811" t="s">
        <v>98</v>
      </c>
      <c r="BK811">
        <v>27</v>
      </c>
      <c r="BL811" s="25">
        <v>33</v>
      </c>
      <c r="BM811">
        <v>0</v>
      </c>
      <c r="BN811">
        <v>0</v>
      </c>
      <c r="BO811">
        <v>0</v>
      </c>
      <c r="BP811">
        <v>0</v>
      </c>
      <c r="BQ811">
        <v>0</v>
      </c>
      <c r="BR811">
        <v>0</v>
      </c>
      <c r="BS811">
        <v>0</v>
      </c>
      <c r="BT811" s="18">
        <v>1</v>
      </c>
      <c r="BU811">
        <v>0</v>
      </c>
      <c r="BV811">
        <v>1</v>
      </c>
      <c r="BW811">
        <v>0</v>
      </c>
      <c r="BX811" s="18">
        <v>0</v>
      </c>
      <c r="BY811">
        <v>0</v>
      </c>
      <c r="BZ811">
        <v>0</v>
      </c>
      <c r="CA811">
        <v>0</v>
      </c>
      <c r="CB811">
        <v>0</v>
      </c>
      <c r="CC811" s="18">
        <v>0</v>
      </c>
      <c r="CD811">
        <v>0</v>
      </c>
      <c r="CE811">
        <v>0</v>
      </c>
      <c r="CF811">
        <v>0</v>
      </c>
      <c r="CG811">
        <v>0</v>
      </c>
      <c r="CH811">
        <v>1</v>
      </c>
      <c r="CI811">
        <v>0</v>
      </c>
      <c r="CJ811">
        <v>0</v>
      </c>
      <c r="CK811">
        <v>0</v>
      </c>
      <c r="CL811">
        <v>0</v>
      </c>
      <c r="CM811">
        <v>1</v>
      </c>
      <c r="CN811" s="18">
        <v>0</v>
      </c>
      <c r="CO811">
        <v>0</v>
      </c>
      <c r="CP811">
        <v>125</v>
      </c>
      <c r="CQ811">
        <v>0</v>
      </c>
      <c r="CR811">
        <v>1</v>
      </c>
      <c r="CS811">
        <v>5</v>
      </c>
      <c r="CY811" s="34"/>
    </row>
    <row r="812" spans="1:103" s="142" customFormat="1" x14ac:dyDescent="0.25">
      <c r="A812" s="142">
        <v>811</v>
      </c>
      <c r="B812" s="142">
        <v>54</v>
      </c>
      <c r="C812" s="143" t="s">
        <v>483</v>
      </c>
      <c r="D812" s="144">
        <v>1.8031294396511079</v>
      </c>
      <c r="E812" s="145">
        <v>0.83347070775413734</v>
      </c>
      <c r="F812" s="146">
        <v>2.1633986928104578</v>
      </c>
      <c r="G812" s="146">
        <f t="shared" si="192"/>
        <v>0.9696587318969706</v>
      </c>
      <c r="H812" s="147">
        <f t="shared" si="193"/>
        <v>2.6366001474052454</v>
      </c>
      <c r="I812" s="11">
        <f t="shared" si="196"/>
        <v>3.5859558999142858E-2</v>
      </c>
      <c r="J812" s="33">
        <f t="shared" si="197"/>
        <v>1.6575566546431591E-2</v>
      </c>
      <c r="K812" s="33">
        <f t="shared" si="198"/>
        <v>60.329762919342343</v>
      </c>
      <c r="L812" s="149">
        <v>1</v>
      </c>
      <c r="M812" s="150">
        <v>0</v>
      </c>
      <c r="N812" s="149">
        <v>0</v>
      </c>
      <c r="O812" s="150">
        <v>0</v>
      </c>
      <c r="P812" s="150">
        <v>1</v>
      </c>
      <c r="Q812" s="150">
        <v>0</v>
      </c>
      <c r="R812" s="150">
        <v>0</v>
      </c>
      <c r="S812" s="149">
        <v>3639</v>
      </c>
      <c r="T812" s="150">
        <v>3</v>
      </c>
      <c r="U812" s="150">
        <f t="shared" si="194"/>
        <v>3635</v>
      </c>
      <c r="V812" s="150">
        <f t="shared" si="195"/>
        <v>15</v>
      </c>
      <c r="W812" s="146">
        <f t="shared" si="202"/>
        <v>13.849</v>
      </c>
      <c r="X812" s="146">
        <f t="shared" si="203"/>
        <v>13.151</v>
      </c>
      <c r="Y812" s="150">
        <v>0</v>
      </c>
      <c r="Z812" s="150">
        <v>1</v>
      </c>
      <c r="AA812" s="150">
        <v>1</v>
      </c>
      <c r="AB812" s="150">
        <v>0</v>
      </c>
      <c r="AC812" s="150">
        <v>0</v>
      </c>
      <c r="AD812" s="150">
        <v>0</v>
      </c>
      <c r="AE812" s="149">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2">
        <v>1</v>
      </c>
      <c r="AR812" s="156">
        <v>0</v>
      </c>
      <c r="AS812" s="142" t="s">
        <v>98</v>
      </c>
      <c r="AT812" s="156" t="s">
        <v>98</v>
      </c>
      <c r="AU812">
        <v>1</v>
      </c>
      <c r="AV812" s="155">
        <v>0</v>
      </c>
      <c r="AW812" s="142" t="s">
        <v>98</v>
      </c>
      <c r="AX812" s="155" t="s">
        <v>98</v>
      </c>
      <c r="AY812" s="155" t="s">
        <v>329</v>
      </c>
      <c r="AZ812">
        <v>1</v>
      </c>
      <c r="BA812">
        <v>0</v>
      </c>
      <c r="BB812">
        <v>1</v>
      </c>
      <c r="BC812">
        <v>0</v>
      </c>
      <c r="BD812">
        <v>0</v>
      </c>
      <c r="BE812">
        <v>0</v>
      </c>
      <c r="BF812" s="155">
        <v>0</v>
      </c>
      <c r="BG812">
        <v>1</v>
      </c>
      <c r="BH812">
        <v>0</v>
      </c>
      <c r="BI812" s="155">
        <v>0</v>
      </c>
      <c r="BJ812" t="s">
        <v>98</v>
      </c>
      <c r="BK812">
        <v>27</v>
      </c>
      <c r="BL812" s="143">
        <v>33</v>
      </c>
      <c r="BM812" s="142">
        <v>0</v>
      </c>
      <c r="BN812" s="142">
        <v>0</v>
      </c>
      <c r="BO812" s="142">
        <v>0</v>
      </c>
      <c r="BP812" s="142">
        <v>0</v>
      </c>
      <c r="BQ812" s="142">
        <v>0</v>
      </c>
      <c r="BR812" s="142">
        <v>0</v>
      </c>
      <c r="BS812" s="142">
        <v>0</v>
      </c>
      <c r="BT812" s="155">
        <v>1</v>
      </c>
      <c r="BU812" s="142">
        <v>0</v>
      </c>
      <c r="BV812" s="142">
        <v>1</v>
      </c>
      <c r="BW812" s="142">
        <v>0</v>
      </c>
      <c r="BX812" s="18">
        <v>0</v>
      </c>
      <c r="BY812">
        <v>0</v>
      </c>
      <c r="BZ812">
        <v>0</v>
      </c>
      <c r="CA812">
        <v>0</v>
      </c>
      <c r="CB812">
        <v>0</v>
      </c>
      <c r="CC812" s="18">
        <v>0</v>
      </c>
      <c r="CD812" s="142">
        <v>0</v>
      </c>
      <c r="CE812" s="142">
        <v>0</v>
      </c>
      <c r="CF812" s="142">
        <v>0</v>
      </c>
      <c r="CG812" s="142">
        <v>0</v>
      </c>
      <c r="CH812" s="142">
        <v>1</v>
      </c>
      <c r="CI812" s="142">
        <v>0</v>
      </c>
      <c r="CJ812" s="142">
        <v>0</v>
      </c>
      <c r="CK812" s="142">
        <v>0</v>
      </c>
      <c r="CL812" s="142">
        <v>0</v>
      </c>
      <c r="CM812" s="142">
        <v>1</v>
      </c>
      <c r="CN812" s="155">
        <v>0</v>
      </c>
      <c r="CO812">
        <v>0</v>
      </c>
      <c r="CP812">
        <v>125</v>
      </c>
      <c r="CQ812">
        <v>0</v>
      </c>
      <c r="CR812">
        <v>1</v>
      </c>
      <c r="CS812">
        <v>5</v>
      </c>
      <c r="CT812" s="157"/>
      <c r="CY812" s="157"/>
    </row>
    <row r="813" spans="1:103" x14ac:dyDescent="0.25">
      <c r="A813">
        <v>812</v>
      </c>
      <c r="B813">
        <v>55</v>
      </c>
      <c r="C813" s="25" t="s">
        <v>491</v>
      </c>
      <c r="D813" s="12">
        <v>3.329569823937617</v>
      </c>
      <c r="E813" s="14">
        <v>0.59017485800962188</v>
      </c>
      <c r="F813" s="7">
        <v>5.6416666666666666</v>
      </c>
      <c r="G813" s="7">
        <f t="shared" si="192"/>
        <v>2.7393949659279953</v>
      </c>
      <c r="H813" s="16">
        <f t="shared" si="193"/>
        <v>3.9197446819472388</v>
      </c>
      <c r="I813" s="11">
        <f t="shared" si="196"/>
        <v>5.1741366373935151E-2</v>
      </c>
      <c r="J813" s="33">
        <f t="shared" si="197"/>
        <v>9.1712909377728493E-3</v>
      </c>
      <c r="K813" s="33">
        <f t="shared" si="198"/>
        <v>109.03590419113226</v>
      </c>
      <c r="L813" s="8">
        <v>1</v>
      </c>
      <c r="M813" s="9">
        <v>0</v>
      </c>
      <c r="N813" s="8">
        <v>0</v>
      </c>
      <c r="O813" s="9">
        <v>1</v>
      </c>
      <c r="P813" s="9">
        <v>0</v>
      </c>
      <c r="Q813" s="9">
        <v>0</v>
      </c>
      <c r="R813" s="9">
        <v>0</v>
      </c>
      <c r="S813" s="8">
        <v>11878</v>
      </c>
      <c r="T813" s="9">
        <v>20</v>
      </c>
      <c r="U813" s="9">
        <f t="shared" si="194"/>
        <v>11857</v>
      </c>
      <c r="V813" s="9">
        <f t="shared" si="195"/>
        <v>12</v>
      </c>
      <c r="W813" s="7">
        <v>12</v>
      </c>
      <c r="X813" s="7">
        <f t="shared" si="203"/>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204">1-AP813</f>
        <v>0.48699999999999999</v>
      </c>
      <c r="AP813" s="18">
        <v>0.51300000000000001</v>
      </c>
      <c r="AQ813">
        <v>1</v>
      </c>
      <c r="AR813" s="40">
        <f t="shared" ref="AR813:AR836" si="205">1-AQ813</f>
        <v>0</v>
      </c>
      <c r="AS813" t="s">
        <v>98</v>
      </c>
      <c r="AT813" s="40" t="s">
        <v>98</v>
      </c>
      <c r="AU813">
        <v>0</v>
      </c>
      <c r="AV813" s="18">
        <v>1</v>
      </c>
      <c r="AW813">
        <f t="shared" ref="AW813:AW824" si="206">1-AX813</f>
        <v>0.23850000000000005</v>
      </c>
      <c r="AX813" s="18">
        <v>0.76149999999999995</v>
      </c>
      <c r="AY813" s="18" t="s">
        <v>508</v>
      </c>
      <c r="AZ813">
        <v>0</v>
      </c>
      <c r="BA813">
        <v>0</v>
      </c>
      <c r="BB813">
        <v>0</v>
      </c>
      <c r="BC813">
        <v>0</v>
      </c>
      <c r="BD813">
        <v>1</v>
      </c>
      <c r="BE813">
        <v>0</v>
      </c>
      <c r="BF813" s="18">
        <v>0</v>
      </c>
      <c r="BG813">
        <v>0</v>
      </c>
      <c r="BH813">
        <v>1</v>
      </c>
      <c r="BI813" s="18">
        <v>0</v>
      </c>
      <c r="BJ813">
        <v>3012</v>
      </c>
      <c r="BK813">
        <v>376</v>
      </c>
      <c r="BL813" s="25">
        <v>35.5</v>
      </c>
      <c r="BM813">
        <v>1</v>
      </c>
      <c r="BN813">
        <v>0</v>
      </c>
      <c r="BO813">
        <v>0</v>
      </c>
      <c r="BP813">
        <v>0</v>
      </c>
      <c r="BQ813">
        <v>0</v>
      </c>
      <c r="BR813">
        <v>0</v>
      </c>
      <c r="BS813">
        <v>0</v>
      </c>
      <c r="BT813" s="18">
        <v>0</v>
      </c>
      <c r="BU813">
        <v>0</v>
      </c>
      <c r="BV813">
        <v>0</v>
      </c>
      <c r="BW813">
        <v>0</v>
      </c>
      <c r="BX813" s="18">
        <v>0</v>
      </c>
      <c r="BY813">
        <v>0</v>
      </c>
      <c r="BZ813">
        <v>0</v>
      </c>
      <c r="CA813">
        <v>0</v>
      </c>
      <c r="CB813">
        <v>0</v>
      </c>
      <c r="CC813" s="18">
        <v>0</v>
      </c>
      <c r="CD813">
        <v>1</v>
      </c>
      <c r="CE813">
        <v>1</v>
      </c>
      <c r="CF813">
        <v>0</v>
      </c>
      <c r="CG813">
        <v>0</v>
      </c>
      <c r="CH813">
        <v>0</v>
      </c>
      <c r="CI813">
        <v>0</v>
      </c>
      <c r="CJ813">
        <v>0</v>
      </c>
      <c r="CK813">
        <v>1</v>
      </c>
      <c r="CL813">
        <v>1</v>
      </c>
      <c r="CM813">
        <v>1</v>
      </c>
      <c r="CN813" s="18">
        <v>1</v>
      </c>
      <c r="CO813">
        <v>4.0000000000000001E-3</v>
      </c>
      <c r="CP813">
        <v>2</v>
      </c>
      <c r="CQ813">
        <v>1</v>
      </c>
      <c r="CR813">
        <v>0</v>
      </c>
      <c r="CS813">
        <v>24</v>
      </c>
      <c r="CY813" s="34"/>
    </row>
    <row r="814" spans="1:103" x14ac:dyDescent="0.25">
      <c r="A814">
        <v>813</v>
      </c>
      <c r="B814">
        <v>55</v>
      </c>
      <c r="C814" s="25" t="s">
        <v>491</v>
      </c>
      <c r="D814" s="12">
        <v>1.453022975882035</v>
      </c>
      <c r="E814" s="14">
        <v>0.41584832643088532</v>
      </c>
      <c r="F814" s="7">
        <v>3.494117647058824</v>
      </c>
      <c r="G814" s="7">
        <f t="shared" si="192"/>
        <v>1.0371746494511496</v>
      </c>
      <c r="H814" s="16">
        <f t="shared" si="193"/>
        <v>1.8688713023129204</v>
      </c>
      <c r="I814" s="11">
        <f t="shared" si="196"/>
        <v>3.207204389156721E-2</v>
      </c>
      <c r="J814" s="33">
        <f t="shared" si="197"/>
        <v>9.178867780414858E-3</v>
      </c>
      <c r="K814" s="33">
        <f t="shared" si="198"/>
        <v>108.94589876691774</v>
      </c>
      <c r="L814" s="8">
        <v>1</v>
      </c>
      <c r="M814" s="9">
        <v>0</v>
      </c>
      <c r="N814" s="8">
        <v>0</v>
      </c>
      <c r="O814" s="9">
        <v>1</v>
      </c>
      <c r="P814" s="9">
        <v>0</v>
      </c>
      <c r="Q814" s="9">
        <v>0</v>
      </c>
      <c r="R814" s="9">
        <v>0</v>
      </c>
      <c r="S814" s="8">
        <v>11878</v>
      </c>
      <c r="T814" s="9">
        <v>20</v>
      </c>
      <c r="U814" s="9">
        <f t="shared" si="194"/>
        <v>11857</v>
      </c>
      <c r="V814" s="9">
        <f t="shared" si="195"/>
        <v>12</v>
      </c>
      <c r="W814" s="7">
        <v>14</v>
      </c>
      <c r="X814" s="7">
        <f t="shared" si="203"/>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204"/>
        <v>0.48699999999999999</v>
      </c>
      <c r="AP814" s="18">
        <v>0.51300000000000001</v>
      </c>
      <c r="AQ814">
        <v>1</v>
      </c>
      <c r="AR814" s="40">
        <f t="shared" si="205"/>
        <v>0</v>
      </c>
      <c r="AS814" t="s">
        <v>98</v>
      </c>
      <c r="AT814" s="40" t="s">
        <v>98</v>
      </c>
      <c r="AU814">
        <v>0</v>
      </c>
      <c r="AV814" s="18">
        <v>1</v>
      </c>
      <c r="AW814">
        <f t="shared" si="206"/>
        <v>0.23850000000000005</v>
      </c>
      <c r="AX814" s="18">
        <v>0.76149999999999995</v>
      </c>
      <c r="AY814" s="18" t="s">
        <v>508</v>
      </c>
      <c r="AZ814">
        <v>0</v>
      </c>
      <c r="BA814">
        <v>0</v>
      </c>
      <c r="BB814">
        <v>0</v>
      </c>
      <c r="BC814">
        <v>0</v>
      </c>
      <c r="BD814">
        <v>1</v>
      </c>
      <c r="BE814">
        <v>0</v>
      </c>
      <c r="BF814" s="18">
        <v>0</v>
      </c>
      <c r="BG814">
        <v>0</v>
      </c>
      <c r="BH814">
        <v>1</v>
      </c>
      <c r="BI814" s="18">
        <v>0</v>
      </c>
      <c r="BJ814">
        <v>3012</v>
      </c>
      <c r="BK814">
        <v>376</v>
      </c>
      <c r="BL814" s="25">
        <v>35.5</v>
      </c>
      <c r="BM814">
        <v>1</v>
      </c>
      <c r="BN814">
        <v>0</v>
      </c>
      <c r="BO814">
        <v>0</v>
      </c>
      <c r="BP814">
        <v>0</v>
      </c>
      <c r="BQ814">
        <v>0</v>
      </c>
      <c r="BR814">
        <v>0</v>
      </c>
      <c r="BS814">
        <v>0</v>
      </c>
      <c r="BT814" s="18">
        <v>0</v>
      </c>
      <c r="BU814">
        <v>0</v>
      </c>
      <c r="BV814">
        <v>0</v>
      </c>
      <c r="BW814">
        <v>0</v>
      </c>
      <c r="BX814" s="18">
        <v>0</v>
      </c>
      <c r="BY814">
        <v>0</v>
      </c>
      <c r="BZ814">
        <v>0</v>
      </c>
      <c r="CA814">
        <v>0</v>
      </c>
      <c r="CB814">
        <v>0</v>
      </c>
      <c r="CC814" s="18">
        <v>0</v>
      </c>
      <c r="CD814">
        <v>1</v>
      </c>
      <c r="CE814">
        <v>1</v>
      </c>
      <c r="CF814">
        <v>0</v>
      </c>
      <c r="CG814">
        <v>0</v>
      </c>
      <c r="CH814">
        <v>0</v>
      </c>
      <c r="CI814">
        <v>0</v>
      </c>
      <c r="CJ814">
        <v>0</v>
      </c>
      <c r="CK814">
        <v>1</v>
      </c>
      <c r="CL814">
        <v>1</v>
      </c>
      <c r="CM814">
        <v>1</v>
      </c>
      <c r="CN814" s="18">
        <v>1</v>
      </c>
      <c r="CO814">
        <v>4.0000000000000001E-3</v>
      </c>
      <c r="CP814">
        <v>2</v>
      </c>
      <c r="CQ814">
        <v>1</v>
      </c>
      <c r="CR814">
        <v>0</v>
      </c>
      <c r="CS814">
        <v>24</v>
      </c>
      <c r="CY814" s="34"/>
    </row>
    <row r="815" spans="1:103" x14ac:dyDescent="0.25">
      <c r="A815">
        <v>814</v>
      </c>
      <c r="B815">
        <v>55</v>
      </c>
      <c r="C815" s="25" t="s">
        <v>491</v>
      </c>
      <c r="D815" s="12">
        <v>3.3781829134533981</v>
      </c>
      <c r="E815" s="14">
        <v>0.2297041872248457</v>
      </c>
      <c r="F815" s="7">
        <v>14.706666666666671</v>
      </c>
      <c r="G815" s="7">
        <f t="shared" si="192"/>
        <v>3.1484787262285523</v>
      </c>
      <c r="H815" s="16">
        <f t="shared" si="193"/>
        <v>3.6078871006782438</v>
      </c>
      <c r="I815" s="11">
        <f t="shared" si="196"/>
        <v>0.13384480026334236</v>
      </c>
      <c r="J815" s="33">
        <f t="shared" si="197"/>
        <v>9.100961033318835E-3</v>
      </c>
      <c r="K815" s="33">
        <f t="shared" si="198"/>
        <v>109.878505834601</v>
      </c>
      <c r="L815" s="8">
        <v>1</v>
      </c>
      <c r="M815" s="9">
        <v>0</v>
      </c>
      <c r="N815" s="8">
        <v>0</v>
      </c>
      <c r="O815" s="9">
        <v>1</v>
      </c>
      <c r="P815" s="9">
        <v>0</v>
      </c>
      <c r="Q815" s="9">
        <v>0</v>
      </c>
      <c r="R815" s="9">
        <v>0</v>
      </c>
      <c r="S815" s="8">
        <v>11878</v>
      </c>
      <c r="T815" s="9">
        <v>20</v>
      </c>
      <c r="U815" s="9">
        <f t="shared" si="194"/>
        <v>11857</v>
      </c>
      <c r="V815" s="9">
        <f t="shared" si="195"/>
        <v>12</v>
      </c>
      <c r="W815" s="7">
        <v>16</v>
      </c>
      <c r="X815" s="7">
        <f t="shared" si="203"/>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204"/>
        <v>0.48699999999999999</v>
      </c>
      <c r="AP815" s="18">
        <v>0.51300000000000001</v>
      </c>
      <c r="AQ815">
        <v>1</v>
      </c>
      <c r="AR815" s="40">
        <f t="shared" si="205"/>
        <v>0</v>
      </c>
      <c r="AS815" t="s">
        <v>98</v>
      </c>
      <c r="AT815" s="40" t="s">
        <v>98</v>
      </c>
      <c r="AU815">
        <v>0</v>
      </c>
      <c r="AV815" s="18">
        <v>1</v>
      </c>
      <c r="AW815">
        <f t="shared" si="206"/>
        <v>0.23850000000000005</v>
      </c>
      <c r="AX815" s="18">
        <v>0.76149999999999995</v>
      </c>
      <c r="AY815" s="18" t="s">
        <v>508</v>
      </c>
      <c r="AZ815">
        <v>0</v>
      </c>
      <c r="BA815">
        <v>0</v>
      </c>
      <c r="BB815">
        <v>0</v>
      </c>
      <c r="BC815">
        <v>0</v>
      </c>
      <c r="BD815">
        <v>1</v>
      </c>
      <c r="BE815">
        <v>0</v>
      </c>
      <c r="BF815" s="18">
        <v>0</v>
      </c>
      <c r="BG815">
        <v>0</v>
      </c>
      <c r="BH815">
        <v>1</v>
      </c>
      <c r="BI815" s="18">
        <v>0</v>
      </c>
      <c r="BJ815">
        <v>3012</v>
      </c>
      <c r="BK815">
        <v>376</v>
      </c>
      <c r="BL815" s="25">
        <v>35.5</v>
      </c>
      <c r="BM815">
        <v>1</v>
      </c>
      <c r="BN815">
        <v>0</v>
      </c>
      <c r="BO815">
        <v>0</v>
      </c>
      <c r="BP815">
        <v>0</v>
      </c>
      <c r="BQ815">
        <v>0</v>
      </c>
      <c r="BR815">
        <v>0</v>
      </c>
      <c r="BS815">
        <v>0</v>
      </c>
      <c r="BT815" s="18">
        <v>0</v>
      </c>
      <c r="BU815">
        <v>0</v>
      </c>
      <c r="BV815">
        <v>0</v>
      </c>
      <c r="BW815">
        <v>0</v>
      </c>
      <c r="BX815" s="18">
        <v>0</v>
      </c>
      <c r="BY815">
        <v>0</v>
      </c>
      <c r="BZ815">
        <v>0</v>
      </c>
      <c r="CA815">
        <v>0</v>
      </c>
      <c r="CB815">
        <v>0</v>
      </c>
      <c r="CC815" s="18">
        <v>0</v>
      </c>
      <c r="CD815">
        <v>1</v>
      </c>
      <c r="CE815">
        <v>1</v>
      </c>
      <c r="CF815">
        <v>0</v>
      </c>
      <c r="CG815">
        <v>0</v>
      </c>
      <c r="CH815">
        <v>0</v>
      </c>
      <c r="CI815">
        <v>0</v>
      </c>
      <c r="CJ815">
        <v>0</v>
      </c>
      <c r="CK815">
        <v>1</v>
      </c>
      <c r="CL815">
        <v>1</v>
      </c>
      <c r="CM815">
        <v>1</v>
      </c>
      <c r="CN815" s="18">
        <v>1</v>
      </c>
      <c r="CO815">
        <v>4.0000000000000001E-3</v>
      </c>
      <c r="CP815">
        <v>2</v>
      </c>
      <c r="CQ815">
        <v>1</v>
      </c>
      <c r="CR815">
        <v>0</v>
      </c>
      <c r="CS815">
        <v>24</v>
      </c>
      <c r="CY815" s="34"/>
    </row>
    <row r="816" spans="1:103" x14ac:dyDescent="0.25">
      <c r="A816">
        <v>815</v>
      </c>
      <c r="B816">
        <v>55</v>
      </c>
      <c r="C816" s="25" t="s">
        <v>491</v>
      </c>
      <c r="D816" s="12">
        <v>3.8762935536986509</v>
      </c>
      <c r="E816" s="14">
        <v>0.95926274669707878</v>
      </c>
      <c r="F816" s="7">
        <v>4.0409090909090919</v>
      </c>
      <c r="G816" s="7">
        <f t="shared" si="192"/>
        <v>2.9170308070015722</v>
      </c>
      <c r="H816" s="16">
        <f t="shared" si="193"/>
        <v>4.83555630039573</v>
      </c>
      <c r="I816" s="11">
        <f t="shared" si="196"/>
        <v>3.7084534349250138E-2</v>
      </c>
      <c r="J816" s="33">
        <f t="shared" si="197"/>
        <v>9.1772750920529021E-3</v>
      </c>
      <c r="K816" s="33">
        <f t="shared" si="198"/>
        <v>108.96480599845525</v>
      </c>
      <c r="L816" s="8">
        <v>1</v>
      </c>
      <c r="M816" s="9">
        <v>0</v>
      </c>
      <c r="N816" s="8">
        <v>0</v>
      </c>
      <c r="O816" s="9">
        <v>1</v>
      </c>
      <c r="P816" s="9">
        <v>0</v>
      </c>
      <c r="Q816" s="9">
        <v>0</v>
      </c>
      <c r="R816" s="9">
        <v>0</v>
      </c>
      <c r="S816" s="8">
        <v>11878</v>
      </c>
      <c r="T816" s="9">
        <v>20</v>
      </c>
      <c r="U816" s="9">
        <f t="shared" si="194"/>
        <v>11857</v>
      </c>
      <c r="V816" s="9">
        <f t="shared" si="195"/>
        <v>12</v>
      </c>
      <c r="W816" s="7">
        <v>18</v>
      </c>
      <c r="X816" s="7">
        <f t="shared" si="203"/>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204"/>
        <v>0.48699999999999999</v>
      </c>
      <c r="AP816" s="18">
        <v>0.51300000000000001</v>
      </c>
      <c r="AQ816">
        <v>1</v>
      </c>
      <c r="AR816" s="40">
        <f t="shared" si="205"/>
        <v>0</v>
      </c>
      <c r="AS816" t="s">
        <v>98</v>
      </c>
      <c r="AT816" s="40" t="s">
        <v>98</v>
      </c>
      <c r="AU816">
        <v>0</v>
      </c>
      <c r="AV816" s="18">
        <v>1</v>
      </c>
      <c r="AW816">
        <f t="shared" si="206"/>
        <v>0.23850000000000005</v>
      </c>
      <c r="AX816" s="18">
        <v>0.76149999999999995</v>
      </c>
      <c r="AY816" s="18" t="s">
        <v>508</v>
      </c>
      <c r="AZ816">
        <v>0</v>
      </c>
      <c r="BA816">
        <v>0</v>
      </c>
      <c r="BB816">
        <v>0</v>
      </c>
      <c r="BC816">
        <v>0</v>
      </c>
      <c r="BD816">
        <v>1</v>
      </c>
      <c r="BE816">
        <v>0</v>
      </c>
      <c r="BF816" s="18">
        <v>0</v>
      </c>
      <c r="BG816">
        <v>0</v>
      </c>
      <c r="BH816">
        <v>1</v>
      </c>
      <c r="BI816" s="18">
        <v>0</v>
      </c>
      <c r="BJ816">
        <v>3012</v>
      </c>
      <c r="BK816">
        <v>376</v>
      </c>
      <c r="BL816" s="25">
        <v>35.5</v>
      </c>
      <c r="BM816">
        <v>1</v>
      </c>
      <c r="BN816">
        <v>0</v>
      </c>
      <c r="BO816">
        <v>0</v>
      </c>
      <c r="BP816">
        <v>0</v>
      </c>
      <c r="BQ816">
        <v>0</v>
      </c>
      <c r="BR816">
        <v>0</v>
      </c>
      <c r="BS816">
        <v>0</v>
      </c>
      <c r="BT816" s="18">
        <v>0</v>
      </c>
      <c r="BU816">
        <v>0</v>
      </c>
      <c r="BV816">
        <v>0</v>
      </c>
      <c r="BW816">
        <v>0</v>
      </c>
      <c r="BX816" s="18">
        <v>0</v>
      </c>
      <c r="BY816">
        <v>0</v>
      </c>
      <c r="BZ816">
        <v>0</v>
      </c>
      <c r="CA816">
        <v>0</v>
      </c>
      <c r="CB816">
        <v>0</v>
      </c>
      <c r="CC816" s="18">
        <v>0</v>
      </c>
      <c r="CD816">
        <v>1</v>
      </c>
      <c r="CE816">
        <v>1</v>
      </c>
      <c r="CF816">
        <v>0</v>
      </c>
      <c r="CG816">
        <v>0</v>
      </c>
      <c r="CH816">
        <v>0</v>
      </c>
      <c r="CI816">
        <v>0</v>
      </c>
      <c r="CJ816">
        <v>0</v>
      </c>
      <c r="CK816">
        <v>1</v>
      </c>
      <c r="CL816">
        <v>1</v>
      </c>
      <c r="CM816">
        <v>1</v>
      </c>
      <c r="CN816" s="18">
        <v>1</v>
      </c>
      <c r="CO816">
        <v>4.0000000000000001E-3</v>
      </c>
      <c r="CP816">
        <v>2</v>
      </c>
      <c r="CQ816">
        <v>1</v>
      </c>
      <c r="CR816">
        <v>0</v>
      </c>
      <c r="CS816">
        <v>24</v>
      </c>
      <c r="CY816" s="34"/>
    </row>
    <row r="817" spans="1:103" x14ac:dyDescent="0.25">
      <c r="A817">
        <v>816</v>
      </c>
      <c r="B817">
        <v>55</v>
      </c>
      <c r="C817" s="25" t="s">
        <v>491</v>
      </c>
      <c r="D817" s="12">
        <v>5.3879920666931591</v>
      </c>
      <c r="E817" s="14">
        <v>0.39245485630504118</v>
      </c>
      <c r="F817" s="7">
        <v>13.728947368421061</v>
      </c>
      <c r="G817" s="7">
        <f t="shared" si="192"/>
        <v>4.9955372103881182</v>
      </c>
      <c r="H817" s="16">
        <f t="shared" si="193"/>
        <v>5.7804469229982001</v>
      </c>
      <c r="I817" s="11">
        <f t="shared" si="196"/>
        <v>0.12509072587246783</v>
      </c>
      <c r="J817" s="33">
        <f t="shared" si="197"/>
        <v>9.1114578937200961E-3</v>
      </c>
      <c r="K817" s="33">
        <f t="shared" si="198"/>
        <v>109.75192023761988</v>
      </c>
      <c r="L817" s="8">
        <v>1</v>
      </c>
      <c r="M817" s="9">
        <v>0</v>
      </c>
      <c r="N817" s="8">
        <v>0</v>
      </c>
      <c r="O817" s="9">
        <v>1</v>
      </c>
      <c r="P817" s="9">
        <v>0</v>
      </c>
      <c r="Q817" s="9">
        <v>0</v>
      </c>
      <c r="R817" s="9">
        <v>0</v>
      </c>
      <c r="S817" s="8">
        <v>11878</v>
      </c>
      <c r="T817" s="9">
        <v>20</v>
      </c>
      <c r="U817" s="9">
        <f t="shared" si="194"/>
        <v>11857</v>
      </c>
      <c r="V817" s="9">
        <f t="shared" si="195"/>
        <v>12</v>
      </c>
      <c r="W817" s="7">
        <v>18</v>
      </c>
      <c r="X817" s="7">
        <f t="shared" si="203"/>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204"/>
        <v>0.48699999999999999</v>
      </c>
      <c r="AP817" s="18">
        <v>0.51300000000000001</v>
      </c>
      <c r="AQ817">
        <v>1</v>
      </c>
      <c r="AR817" s="40">
        <f t="shared" si="205"/>
        <v>0</v>
      </c>
      <c r="AS817" t="s">
        <v>98</v>
      </c>
      <c r="AT817" s="40" t="s">
        <v>98</v>
      </c>
      <c r="AU817">
        <v>0</v>
      </c>
      <c r="AV817" s="18">
        <v>1</v>
      </c>
      <c r="AW817">
        <f t="shared" si="206"/>
        <v>0.23850000000000005</v>
      </c>
      <c r="AX817" s="18">
        <v>0.76149999999999995</v>
      </c>
      <c r="AY817" s="18" t="s">
        <v>508</v>
      </c>
      <c r="AZ817">
        <v>0</v>
      </c>
      <c r="BA817">
        <v>0</v>
      </c>
      <c r="BB817">
        <v>0</v>
      </c>
      <c r="BC817">
        <v>0</v>
      </c>
      <c r="BD817">
        <v>1</v>
      </c>
      <c r="BE817">
        <v>0</v>
      </c>
      <c r="BF817" s="18">
        <v>0</v>
      </c>
      <c r="BG817">
        <v>0</v>
      </c>
      <c r="BH817">
        <v>1</v>
      </c>
      <c r="BI817" s="18">
        <v>0</v>
      </c>
      <c r="BJ817">
        <v>3012</v>
      </c>
      <c r="BK817">
        <v>376</v>
      </c>
      <c r="BL817" s="25">
        <v>35.5</v>
      </c>
      <c r="BM817">
        <v>1</v>
      </c>
      <c r="BN817">
        <v>0</v>
      </c>
      <c r="BO817">
        <v>0</v>
      </c>
      <c r="BP817">
        <v>0</v>
      </c>
      <c r="BQ817">
        <v>0</v>
      </c>
      <c r="BR817">
        <v>0</v>
      </c>
      <c r="BS817">
        <v>0</v>
      </c>
      <c r="BT817" s="18">
        <v>0</v>
      </c>
      <c r="BU817">
        <v>0</v>
      </c>
      <c r="BV817">
        <v>0</v>
      </c>
      <c r="BW817">
        <v>0</v>
      </c>
      <c r="BX817" s="18">
        <v>0</v>
      </c>
      <c r="BY817">
        <v>0</v>
      </c>
      <c r="BZ817">
        <v>0</v>
      </c>
      <c r="CA817">
        <v>0</v>
      </c>
      <c r="CB817">
        <v>0</v>
      </c>
      <c r="CC817" s="18">
        <v>0</v>
      </c>
      <c r="CD817">
        <v>1</v>
      </c>
      <c r="CE817">
        <v>1</v>
      </c>
      <c r="CF817">
        <v>0</v>
      </c>
      <c r="CG817">
        <v>0</v>
      </c>
      <c r="CH817">
        <v>0</v>
      </c>
      <c r="CI817">
        <v>0</v>
      </c>
      <c r="CJ817">
        <v>0</v>
      </c>
      <c r="CK817">
        <v>1</v>
      </c>
      <c r="CL817">
        <v>1</v>
      </c>
      <c r="CM817">
        <v>1</v>
      </c>
      <c r="CN817" s="18">
        <v>1</v>
      </c>
      <c r="CO817">
        <v>4.0000000000000001E-3</v>
      </c>
      <c r="CP817">
        <v>2</v>
      </c>
      <c r="CQ817">
        <v>1</v>
      </c>
      <c r="CR817">
        <v>0</v>
      </c>
      <c r="CS817">
        <v>24</v>
      </c>
      <c r="CY817" s="34"/>
    </row>
    <row r="818" spans="1:103" x14ac:dyDescent="0.25">
      <c r="A818">
        <v>817</v>
      </c>
      <c r="B818">
        <v>55</v>
      </c>
      <c r="C818" s="25" t="s">
        <v>491</v>
      </c>
      <c r="D818" s="12">
        <v>6.1610883636721514</v>
      </c>
      <c r="E818" s="14">
        <v>0.45802982497753331</v>
      </c>
      <c r="F818" s="7">
        <v>13.45128205128205</v>
      </c>
      <c r="G818" s="7">
        <f t="shared" si="192"/>
        <v>5.7030585386946182</v>
      </c>
      <c r="H818" s="16">
        <f t="shared" si="193"/>
        <v>6.6191181886496846</v>
      </c>
      <c r="I818" s="11">
        <f t="shared" si="196"/>
        <v>0.12259920284686227</v>
      </c>
      <c r="J818" s="33">
        <f t="shared" si="197"/>
        <v>9.1143135932665442E-3</v>
      </c>
      <c r="K818" s="33">
        <f t="shared" si="198"/>
        <v>109.71753273211689</v>
      </c>
      <c r="L818" s="8">
        <v>1</v>
      </c>
      <c r="M818" s="9">
        <v>0</v>
      </c>
      <c r="N818" s="8">
        <v>0</v>
      </c>
      <c r="O818" s="9">
        <v>1</v>
      </c>
      <c r="P818" s="9">
        <v>0</v>
      </c>
      <c r="Q818" s="9">
        <v>0</v>
      </c>
      <c r="R818" s="9">
        <v>0</v>
      </c>
      <c r="S818" s="8">
        <v>11878</v>
      </c>
      <c r="T818" s="9">
        <v>20</v>
      </c>
      <c r="U818" s="9">
        <f t="shared" si="194"/>
        <v>11857</v>
      </c>
      <c r="V818" s="9">
        <f t="shared" si="195"/>
        <v>12</v>
      </c>
      <c r="W818" s="7">
        <v>22</v>
      </c>
      <c r="X818" s="7">
        <f t="shared" si="203"/>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204"/>
        <v>0.48699999999999999</v>
      </c>
      <c r="AP818" s="18">
        <v>0.51300000000000001</v>
      </c>
      <c r="AQ818">
        <v>1</v>
      </c>
      <c r="AR818" s="40">
        <f t="shared" si="205"/>
        <v>0</v>
      </c>
      <c r="AS818" t="s">
        <v>98</v>
      </c>
      <c r="AT818" s="40" t="s">
        <v>98</v>
      </c>
      <c r="AU818">
        <v>0</v>
      </c>
      <c r="AV818" s="18">
        <v>1</v>
      </c>
      <c r="AW818">
        <f t="shared" si="206"/>
        <v>0.23850000000000005</v>
      </c>
      <c r="AX818" s="18">
        <v>0.76149999999999995</v>
      </c>
      <c r="AY818" s="18" t="s">
        <v>508</v>
      </c>
      <c r="AZ818">
        <v>0</v>
      </c>
      <c r="BA818">
        <v>0</v>
      </c>
      <c r="BB818">
        <v>0</v>
      </c>
      <c r="BC818">
        <v>0</v>
      </c>
      <c r="BD818">
        <v>1</v>
      </c>
      <c r="BE818">
        <v>0</v>
      </c>
      <c r="BF818" s="18">
        <v>0</v>
      </c>
      <c r="BG818">
        <v>0</v>
      </c>
      <c r="BH818">
        <v>1</v>
      </c>
      <c r="BI818" s="18">
        <v>0</v>
      </c>
      <c r="BJ818">
        <v>3012</v>
      </c>
      <c r="BK818">
        <v>376</v>
      </c>
      <c r="BL818" s="25">
        <v>35.5</v>
      </c>
      <c r="BM818">
        <v>1</v>
      </c>
      <c r="BN818">
        <v>0</v>
      </c>
      <c r="BO818">
        <v>0</v>
      </c>
      <c r="BP818">
        <v>0</v>
      </c>
      <c r="BQ818">
        <v>0</v>
      </c>
      <c r="BR818">
        <v>0</v>
      </c>
      <c r="BS818">
        <v>0</v>
      </c>
      <c r="BT818" s="18">
        <v>0</v>
      </c>
      <c r="BU818">
        <v>0</v>
      </c>
      <c r="BV818">
        <v>0</v>
      </c>
      <c r="BW818">
        <v>0</v>
      </c>
      <c r="BX818" s="18">
        <v>0</v>
      </c>
      <c r="BY818">
        <v>0</v>
      </c>
      <c r="BZ818">
        <v>0</v>
      </c>
      <c r="CA818">
        <v>0</v>
      </c>
      <c r="CB818">
        <v>0</v>
      </c>
      <c r="CC818" s="18">
        <v>0</v>
      </c>
      <c r="CD818">
        <v>1</v>
      </c>
      <c r="CE818">
        <v>1</v>
      </c>
      <c r="CF818">
        <v>0</v>
      </c>
      <c r="CG818">
        <v>0</v>
      </c>
      <c r="CH818">
        <v>0</v>
      </c>
      <c r="CI818">
        <v>0</v>
      </c>
      <c r="CJ818">
        <v>0</v>
      </c>
      <c r="CK818">
        <v>1</v>
      </c>
      <c r="CL818">
        <v>1</v>
      </c>
      <c r="CM818">
        <v>1</v>
      </c>
      <c r="CN818" s="18">
        <v>1</v>
      </c>
      <c r="CO818">
        <v>4.0000000000000001E-3</v>
      </c>
      <c r="CP818">
        <v>2</v>
      </c>
      <c r="CQ818">
        <v>1</v>
      </c>
      <c r="CR818">
        <v>0</v>
      </c>
      <c r="CS818">
        <v>24</v>
      </c>
      <c r="CY818" s="34"/>
    </row>
    <row r="819" spans="1:103" x14ac:dyDescent="0.25">
      <c r="A819">
        <v>818</v>
      </c>
      <c r="B819">
        <v>55</v>
      </c>
      <c r="C819" s="25" t="s">
        <v>491</v>
      </c>
      <c r="D819" s="12">
        <v>1.6562836228041671</v>
      </c>
      <c r="E819" s="14">
        <v>2.876181141396458</v>
      </c>
      <c r="F819" s="7">
        <v>0.57586206896551717</v>
      </c>
      <c r="G819" s="7">
        <f t="shared" si="192"/>
        <v>-1.2198975185922909</v>
      </c>
      <c r="H819" s="16">
        <f t="shared" si="193"/>
        <v>4.5324647642006255</v>
      </c>
      <c r="I819" s="11">
        <f t="shared" si="196"/>
        <v>5.2884084466817312E-3</v>
      </c>
      <c r="J819" s="33">
        <f t="shared" si="197"/>
        <v>9.1834637696868397E-3</v>
      </c>
      <c r="K819" s="33">
        <f t="shared" si="198"/>
        <v>108.89137531100647</v>
      </c>
      <c r="L819" s="8">
        <v>1</v>
      </c>
      <c r="M819" s="9">
        <v>0</v>
      </c>
      <c r="N819" s="8">
        <v>0</v>
      </c>
      <c r="O819" s="9">
        <v>1</v>
      </c>
      <c r="P819" s="9">
        <v>0</v>
      </c>
      <c r="Q819" s="9">
        <v>0</v>
      </c>
      <c r="R819" s="9">
        <v>0</v>
      </c>
      <c r="S819" s="8">
        <v>11878</v>
      </c>
      <c r="T819" s="9">
        <v>20</v>
      </c>
      <c r="U819" s="9">
        <f t="shared" si="194"/>
        <v>11857</v>
      </c>
      <c r="V819" s="9">
        <f t="shared" si="195"/>
        <v>12</v>
      </c>
      <c r="W819" s="7">
        <v>12</v>
      </c>
      <c r="X819" s="7">
        <f t="shared" si="203"/>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204"/>
        <v>0.48699999999999999</v>
      </c>
      <c r="AP819" s="18">
        <v>0.51300000000000001</v>
      </c>
      <c r="AQ819">
        <v>0</v>
      </c>
      <c r="AR819" s="40">
        <f t="shared" si="205"/>
        <v>1</v>
      </c>
      <c r="AS819" t="s">
        <v>98</v>
      </c>
      <c r="AT819" s="40" t="s">
        <v>98</v>
      </c>
      <c r="AU819">
        <v>0</v>
      </c>
      <c r="AV819" s="18">
        <v>1</v>
      </c>
      <c r="AW819">
        <f t="shared" si="206"/>
        <v>0.23850000000000005</v>
      </c>
      <c r="AX819" s="18">
        <v>0.76149999999999995</v>
      </c>
      <c r="AY819" s="18" t="s">
        <v>508</v>
      </c>
      <c r="AZ819">
        <v>0</v>
      </c>
      <c r="BA819">
        <v>0</v>
      </c>
      <c r="BB819">
        <v>0</v>
      </c>
      <c r="BC819">
        <v>0</v>
      </c>
      <c r="BD819">
        <v>1</v>
      </c>
      <c r="BE819">
        <v>0</v>
      </c>
      <c r="BF819" s="18">
        <v>0</v>
      </c>
      <c r="BG819">
        <v>0</v>
      </c>
      <c r="BH819">
        <v>1</v>
      </c>
      <c r="BI819" s="18">
        <v>0</v>
      </c>
      <c r="BJ819">
        <v>3012</v>
      </c>
      <c r="BK819">
        <v>376</v>
      </c>
      <c r="BL819" s="25">
        <v>35.5</v>
      </c>
      <c r="BM819">
        <v>1</v>
      </c>
      <c r="BN819">
        <v>0</v>
      </c>
      <c r="BO819">
        <v>0</v>
      </c>
      <c r="BP819">
        <v>0</v>
      </c>
      <c r="BQ819">
        <v>0</v>
      </c>
      <c r="BR819">
        <v>0</v>
      </c>
      <c r="BS819">
        <v>0</v>
      </c>
      <c r="BT819" s="18">
        <v>0</v>
      </c>
      <c r="BU819">
        <v>0</v>
      </c>
      <c r="BV819">
        <v>0</v>
      </c>
      <c r="BW819">
        <v>0</v>
      </c>
      <c r="BX819" s="18">
        <v>0</v>
      </c>
      <c r="BY819">
        <v>0</v>
      </c>
      <c r="BZ819">
        <v>0</v>
      </c>
      <c r="CA819">
        <v>0</v>
      </c>
      <c r="CB819">
        <v>0</v>
      </c>
      <c r="CC819" s="18">
        <v>0</v>
      </c>
      <c r="CD819">
        <v>1</v>
      </c>
      <c r="CE819">
        <v>1</v>
      </c>
      <c r="CF819">
        <v>0</v>
      </c>
      <c r="CG819">
        <v>0</v>
      </c>
      <c r="CH819">
        <v>0</v>
      </c>
      <c r="CI819">
        <v>0</v>
      </c>
      <c r="CJ819">
        <v>0</v>
      </c>
      <c r="CK819">
        <v>1</v>
      </c>
      <c r="CL819">
        <v>1</v>
      </c>
      <c r="CM819">
        <v>1</v>
      </c>
      <c r="CN819" s="18">
        <v>1</v>
      </c>
      <c r="CO819">
        <v>4.0000000000000001E-3</v>
      </c>
      <c r="CP819">
        <v>2</v>
      </c>
      <c r="CQ819">
        <v>1</v>
      </c>
      <c r="CR819">
        <v>0</v>
      </c>
      <c r="CS819">
        <v>24</v>
      </c>
      <c r="CY819" s="34"/>
    </row>
    <row r="820" spans="1:103" x14ac:dyDescent="0.25">
      <c r="A820">
        <v>819</v>
      </c>
      <c r="B820">
        <v>55</v>
      </c>
      <c r="C820" s="25" t="s">
        <v>491</v>
      </c>
      <c r="D820" s="12">
        <v>8.4910208745827109</v>
      </c>
      <c r="E820" s="14">
        <v>1.343934284767891</v>
      </c>
      <c r="F820" s="7">
        <v>6.3180327868852464</v>
      </c>
      <c r="G820" s="7">
        <f t="shared" si="192"/>
        <v>7.1470865898148199</v>
      </c>
      <c r="H820" s="16">
        <f t="shared" si="193"/>
        <v>9.8349551593506028</v>
      </c>
      <c r="I820" s="11">
        <f t="shared" si="196"/>
        <v>5.7924814228773547E-2</v>
      </c>
      <c r="J820" s="33">
        <f t="shared" si="197"/>
        <v>9.1681724648551774E-3</v>
      </c>
      <c r="K820" s="33">
        <f t="shared" si="198"/>
        <v>109.07299179125948</v>
      </c>
      <c r="L820" s="8">
        <v>1</v>
      </c>
      <c r="M820" s="9">
        <v>0</v>
      </c>
      <c r="N820" s="8">
        <v>0</v>
      </c>
      <c r="O820" s="9">
        <v>1</v>
      </c>
      <c r="P820" s="9">
        <v>0</v>
      </c>
      <c r="Q820" s="9">
        <v>0</v>
      </c>
      <c r="R820" s="9">
        <v>0</v>
      </c>
      <c r="S820" s="8">
        <v>11878</v>
      </c>
      <c r="T820" s="9">
        <v>20</v>
      </c>
      <c r="U820" s="9">
        <f t="shared" si="194"/>
        <v>11857</v>
      </c>
      <c r="V820" s="9">
        <f t="shared" si="195"/>
        <v>12</v>
      </c>
      <c r="W820" s="7">
        <v>14</v>
      </c>
      <c r="X820" s="7">
        <f t="shared" si="203"/>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204"/>
        <v>0.48699999999999999</v>
      </c>
      <c r="AP820" s="18">
        <v>0.51300000000000001</v>
      </c>
      <c r="AQ820">
        <v>0</v>
      </c>
      <c r="AR820" s="40">
        <f t="shared" si="205"/>
        <v>1</v>
      </c>
      <c r="AS820" t="s">
        <v>98</v>
      </c>
      <c r="AT820" s="40" t="s">
        <v>98</v>
      </c>
      <c r="AU820">
        <v>0</v>
      </c>
      <c r="AV820" s="18">
        <v>1</v>
      </c>
      <c r="AW820">
        <f t="shared" si="206"/>
        <v>0.23850000000000005</v>
      </c>
      <c r="AX820" s="18">
        <v>0.76149999999999995</v>
      </c>
      <c r="AY820" s="18" t="s">
        <v>508</v>
      </c>
      <c r="AZ820">
        <v>0</v>
      </c>
      <c r="BA820">
        <v>0</v>
      </c>
      <c r="BB820">
        <v>0</v>
      </c>
      <c r="BC820">
        <v>0</v>
      </c>
      <c r="BD820">
        <v>1</v>
      </c>
      <c r="BE820">
        <v>0</v>
      </c>
      <c r="BF820" s="18">
        <v>0</v>
      </c>
      <c r="BG820">
        <v>0</v>
      </c>
      <c r="BH820">
        <v>1</v>
      </c>
      <c r="BI820" s="18">
        <v>0</v>
      </c>
      <c r="BJ820">
        <v>3012</v>
      </c>
      <c r="BK820">
        <v>376</v>
      </c>
      <c r="BL820" s="25">
        <v>35.5</v>
      </c>
      <c r="BM820">
        <v>1</v>
      </c>
      <c r="BN820">
        <v>0</v>
      </c>
      <c r="BO820">
        <v>0</v>
      </c>
      <c r="BP820">
        <v>0</v>
      </c>
      <c r="BQ820">
        <v>0</v>
      </c>
      <c r="BR820">
        <v>0</v>
      </c>
      <c r="BS820">
        <v>0</v>
      </c>
      <c r="BT820" s="18">
        <v>0</v>
      </c>
      <c r="BU820">
        <v>0</v>
      </c>
      <c r="BV820">
        <v>0</v>
      </c>
      <c r="BW820">
        <v>0</v>
      </c>
      <c r="BX820" s="18">
        <v>0</v>
      </c>
      <c r="BY820">
        <v>0</v>
      </c>
      <c r="BZ820">
        <v>0</v>
      </c>
      <c r="CA820">
        <v>0</v>
      </c>
      <c r="CB820">
        <v>0</v>
      </c>
      <c r="CC820" s="18">
        <v>0</v>
      </c>
      <c r="CD820">
        <v>1</v>
      </c>
      <c r="CE820">
        <v>1</v>
      </c>
      <c r="CF820">
        <v>0</v>
      </c>
      <c r="CG820">
        <v>0</v>
      </c>
      <c r="CH820">
        <v>0</v>
      </c>
      <c r="CI820">
        <v>0</v>
      </c>
      <c r="CJ820">
        <v>0</v>
      </c>
      <c r="CK820">
        <v>1</v>
      </c>
      <c r="CL820">
        <v>1</v>
      </c>
      <c r="CM820">
        <v>1</v>
      </c>
      <c r="CN820" s="18">
        <v>1</v>
      </c>
      <c r="CO820">
        <v>4.0000000000000001E-3</v>
      </c>
      <c r="CP820">
        <v>2</v>
      </c>
      <c r="CQ820">
        <v>1</v>
      </c>
      <c r="CR820">
        <v>0</v>
      </c>
      <c r="CS820">
        <v>24</v>
      </c>
      <c r="CY820" s="34"/>
    </row>
    <row r="821" spans="1:103" x14ac:dyDescent="0.25">
      <c r="A821">
        <v>820</v>
      </c>
      <c r="B821">
        <v>55</v>
      </c>
      <c r="C821" s="25" t="s">
        <v>491</v>
      </c>
      <c r="D821" s="12">
        <v>7.0779257885790647</v>
      </c>
      <c r="E821" s="14">
        <v>0.79527256051450179</v>
      </c>
      <c r="F821" s="7">
        <v>8.8999999999999986</v>
      </c>
      <c r="G821" s="7">
        <f t="shared" si="192"/>
        <v>6.2826532280645626</v>
      </c>
      <c r="H821" s="16">
        <f t="shared" si="193"/>
        <v>7.8731983490935669</v>
      </c>
      <c r="I821" s="11">
        <f t="shared" si="196"/>
        <v>8.1462321271508209E-2</v>
      </c>
      <c r="J821" s="33">
        <f t="shared" si="197"/>
        <v>9.15306980578744E-3</v>
      </c>
      <c r="K821" s="33">
        <f t="shared" si="198"/>
        <v>109.25296334653812</v>
      </c>
      <c r="L821" s="8">
        <v>1</v>
      </c>
      <c r="M821" s="9">
        <v>0</v>
      </c>
      <c r="N821" s="8">
        <v>0</v>
      </c>
      <c r="O821" s="9">
        <v>1</v>
      </c>
      <c r="P821" s="9">
        <v>0</v>
      </c>
      <c r="Q821" s="9">
        <v>0</v>
      </c>
      <c r="R821" s="9">
        <v>0</v>
      </c>
      <c r="S821" s="8">
        <v>11878</v>
      </c>
      <c r="T821" s="9">
        <v>20</v>
      </c>
      <c r="U821" s="9">
        <f t="shared" si="194"/>
        <v>11857</v>
      </c>
      <c r="V821" s="9">
        <f t="shared" si="195"/>
        <v>12</v>
      </c>
      <c r="W821" s="7">
        <v>16</v>
      </c>
      <c r="X821" s="7">
        <f t="shared" si="203"/>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204"/>
        <v>0.48699999999999999</v>
      </c>
      <c r="AP821" s="18">
        <v>0.51300000000000001</v>
      </c>
      <c r="AQ821">
        <v>0</v>
      </c>
      <c r="AR821" s="40">
        <f t="shared" si="205"/>
        <v>1</v>
      </c>
      <c r="AS821" t="s">
        <v>98</v>
      </c>
      <c r="AT821" s="40" t="s">
        <v>98</v>
      </c>
      <c r="AU821">
        <v>0</v>
      </c>
      <c r="AV821" s="18">
        <v>1</v>
      </c>
      <c r="AW821">
        <f t="shared" si="206"/>
        <v>0.23850000000000005</v>
      </c>
      <c r="AX821" s="18">
        <v>0.76149999999999995</v>
      </c>
      <c r="AY821" s="18" t="s">
        <v>508</v>
      </c>
      <c r="AZ821">
        <v>0</v>
      </c>
      <c r="BA821">
        <v>0</v>
      </c>
      <c r="BB821">
        <v>0</v>
      </c>
      <c r="BC821">
        <v>0</v>
      </c>
      <c r="BD821">
        <v>1</v>
      </c>
      <c r="BE821">
        <v>0</v>
      </c>
      <c r="BF821" s="18">
        <v>0</v>
      </c>
      <c r="BG821">
        <v>0</v>
      </c>
      <c r="BH821">
        <v>1</v>
      </c>
      <c r="BI821" s="18">
        <v>0</v>
      </c>
      <c r="BJ821">
        <v>3012</v>
      </c>
      <c r="BK821">
        <v>376</v>
      </c>
      <c r="BL821" s="25">
        <v>35.5</v>
      </c>
      <c r="BM821">
        <v>1</v>
      </c>
      <c r="BN821">
        <v>0</v>
      </c>
      <c r="BO821">
        <v>0</v>
      </c>
      <c r="BP821">
        <v>0</v>
      </c>
      <c r="BQ821">
        <v>0</v>
      </c>
      <c r="BR821">
        <v>0</v>
      </c>
      <c r="BS821">
        <v>0</v>
      </c>
      <c r="BT821" s="18">
        <v>0</v>
      </c>
      <c r="BU821">
        <v>0</v>
      </c>
      <c r="BV821">
        <v>0</v>
      </c>
      <c r="BW821">
        <v>0</v>
      </c>
      <c r="BX821" s="18">
        <v>0</v>
      </c>
      <c r="BY821">
        <v>0</v>
      </c>
      <c r="BZ821">
        <v>0</v>
      </c>
      <c r="CA821">
        <v>0</v>
      </c>
      <c r="CB821">
        <v>0</v>
      </c>
      <c r="CC821" s="18">
        <v>0</v>
      </c>
      <c r="CD821">
        <v>1</v>
      </c>
      <c r="CE821">
        <v>1</v>
      </c>
      <c r="CF821">
        <v>0</v>
      </c>
      <c r="CG821">
        <v>0</v>
      </c>
      <c r="CH821">
        <v>0</v>
      </c>
      <c r="CI821">
        <v>0</v>
      </c>
      <c r="CJ821">
        <v>0</v>
      </c>
      <c r="CK821">
        <v>1</v>
      </c>
      <c r="CL821">
        <v>1</v>
      </c>
      <c r="CM821">
        <v>1</v>
      </c>
      <c r="CN821" s="18">
        <v>1</v>
      </c>
      <c r="CO821">
        <v>4.0000000000000001E-3</v>
      </c>
      <c r="CP821">
        <v>2</v>
      </c>
      <c r="CQ821">
        <v>1</v>
      </c>
      <c r="CR821">
        <v>0</v>
      </c>
      <c r="CS821">
        <v>24</v>
      </c>
      <c r="CY821" s="34"/>
    </row>
    <row r="822" spans="1:103" x14ac:dyDescent="0.25">
      <c r="A822">
        <v>821</v>
      </c>
      <c r="B822">
        <v>55</v>
      </c>
      <c r="C822" s="25" t="s">
        <v>491</v>
      </c>
      <c r="D822" s="12">
        <v>7.2165301368908308</v>
      </c>
      <c r="E822" s="14">
        <v>1.054143372984589</v>
      </c>
      <c r="F822" s="7">
        <v>6.8458715596330277</v>
      </c>
      <c r="G822" s="7">
        <f t="shared" si="192"/>
        <v>6.162386763906242</v>
      </c>
      <c r="H822" s="16">
        <f t="shared" si="193"/>
        <v>8.2706735098754205</v>
      </c>
      <c r="I822" s="11">
        <f t="shared" si="196"/>
        <v>6.2745810395942639E-2</v>
      </c>
      <c r="J822" s="33">
        <f t="shared" si="197"/>
        <v>9.1654962920902534E-3</v>
      </c>
      <c r="K822" s="33">
        <f t="shared" si="198"/>
        <v>109.10483929418984</v>
      </c>
      <c r="L822" s="8">
        <v>1</v>
      </c>
      <c r="M822" s="9">
        <v>0</v>
      </c>
      <c r="N822" s="8">
        <v>0</v>
      </c>
      <c r="O822" s="9">
        <v>1</v>
      </c>
      <c r="P822" s="9">
        <v>0</v>
      </c>
      <c r="Q822" s="9">
        <v>0</v>
      </c>
      <c r="R822" s="9">
        <v>0</v>
      </c>
      <c r="S822" s="8">
        <v>11878</v>
      </c>
      <c r="T822" s="9">
        <v>20</v>
      </c>
      <c r="U822" s="9">
        <f t="shared" si="194"/>
        <v>11857</v>
      </c>
      <c r="V822" s="9">
        <f t="shared" si="195"/>
        <v>12</v>
      </c>
      <c r="W822" s="7">
        <v>18</v>
      </c>
      <c r="X822" s="7">
        <f t="shared" si="203"/>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204"/>
        <v>0.48699999999999999</v>
      </c>
      <c r="AP822" s="18">
        <v>0.51300000000000001</v>
      </c>
      <c r="AQ822">
        <v>0</v>
      </c>
      <c r="AR822" s="40">
        <f t="shared" si="205"/>
        <v>1</v>
      </c>
      <c r="AS822" t="s">
        <v>98</v>
      </c>
      <c r="AT822" s="40" t="s">
        <v>98</v>
      </c>
      <c r="AU822">
        <v>0</v>
      </c>
      <c r="AV822" s="18">
        <v>1</v>
      </c>
      <c r="AW822">
        <f t="shared" si="206"/>
        <v>0.23850000000000005</v>
      </c>
      <c r="AX822" s="18">
        <v>0.76149999999999995</v>
      </c>
      <c r="AY822" s="18" t="s">
        <v>508</v>
      </c>
      <c r="AZ822">
        <v>0</v>
      </c>
      <c r="BA822">
        <v>0</v>
      </c>
      <c r="BB822">
        <v>0</v>
      </c>
      <c r="BC822">
        <v>0</v>
      </c>
      <c r="BD822">
        <v>1</v>
      </c>
      <c r="BE822">
        <v>0</v>
      </c>
      <c r="BF822" s="18">
        <v>0</v>
      </c>
      <c r="BG822">
        <v>0</v>
      </c>
      <c r="BH822">
        <v>1</v>
      </c>
      <c r="BI822" s="18">
        <v>0</v>
      </c>
      <c r="BJ822">
        <v>3012</v>
      </c>
      <c r="BK822">
        <v>376</v>
      </c>
      <c r="BL822" s="25">
        <v>35.5</v>
      </c>
      <c r="BM822">
        <v>1</v>
      </c>
      <c r="BN822">
        <v>0</v>
      </c>
      <c r="BO822">
        <v>0</v>
      </c>
      <c r="BP822">
        <v>0</v>
      </c>
      <c r="BQ822">
        <v>0</v>
      </c>
      <c r="BR822">
        <v>0</v>
      </c>
      <c r="BS822">
        <v>0</v>
      </c>
      <c r="BT822" s="18">
        <v>0</v>
      </c>
      <c r="BU822">
        <v>0</v>
      </c>
      <c r="BV822">
        <v>0</v>
      </c>
      <c r="BW822">
        <v>0</v>
      </c>
      <c r="BX822" s="18">
        <v>0</v>
      </c>
      <c r="BY822">
        <v>0</v>
      </c>
      <c r="BZ822">
        <v>0</v>
      </c>
      <c r="CA822">
        <v>0</v>
      </c>
      <c r="CB822">
        <v>0</v>
      </c>
      <c r="CC822" s="18">
        <v>0</v>
      </c>
      <c r="CD822">
        <v>1</v>
      </c>
      <c r="CE822">
        <v>1</v>
      </c>
      <c r="CF822">
        <v>0</v>
      </c>
      <c r="CG822">
        <v>0</v>
      </c>
      <c r="CH822">
        <v>0</v>
      </c>
      <c r="CI822">
        <v>0</v>
      </c>
      <c r="CJ822">
        <v>0</v>
      </c>
      <c r="CK822">
        <v>1</v>
      </c>
      <c r="CL822">
        <v>1</v>
      </c>
      <c r="CM822">
        <v>1</v>
      </c>
      <c r="CN822" s="18">
        <v>1</v>
      </c>
      <c r="CO822">
        <v>4.0000000000000001E-3</v>
      </c>
      <c r="CP822">
        <v>2</v>
      </c>
      <c r="CQ822">
        <v>1</v>
      </c>
      <c r="CR822">
        <v>0</v>
      </c>
      <c r="CS822">
        <v>24</v>
      </c>
      <c r="CY822" s="34"/>
    </row>
    <row r="823" spans="1:103" x14ac:dyDescent="0.25">
      <c r="A823">
        <v>822</v>
      </c>
      <c r="B823">
        <v>55</v>
      </c>
      <c r="C823" s="25" t="s">
        <v>491</v>
      </c>
      <c r="D823" s="12">
        <v>8.0507515161814869</v>
      </c>
      <c r="E823" s="14">
        <v>10.1894230053268</v>
      </c>
      <c r="F823" s="7">
        <v>0.79010867563087117</v>
      </c>
      <c r="G823" s="7">
        <f t="shared" si="192"/>
        <v>-2.1386714891453131</v>
      </c>
      <c r="H823" s="16">
        <f t="shared" si="193"/>
        <v>18.240174521508287</v>
      </c>
      <c r="I823" s="11">
        <f t="shared" si="196"/>
        <v>7.25584485540922E-3</v>
      </c>
      <c r="J823" s="33">
        <f t="shared" si="197"/>
        <v>9.1833504417803153E-3</v>
      </c>
      <c r="K823" s="33">
        <f t="shared" si="198"/>
        <v>108.89271909415848</v>
      </c>
      <c r="L823" s="8">
        <v>1</v>
      </c>
      <c r="M823" s="9">
        <v>0</v>
      </c>
      <c r="N823" s="8">
        <v>0</v>
      </c>
      <c r="O823" s="9">
        <v>1</v>
      </c>
      <c r="P823" s="9">
        <v>0</v>
      </c>
      <c r="Q823" s="9">
        <v>0</v>
      </c>
      <c r="R823" s="9">
        <v>0</v>
      </c>
      <c r="S823" s="8">
        <v>11878</v>
      </c>
      <c r="T823" s="9">
        <v>20</v>
      </c>
      <c r="U823" s="9">
        <f t="shared" si="194"/>
        <v>11857</v>
      </c>
      <c r="V823" s="9">
        <f t="shared" si="195"/>
        <v>12</v>
      </c>
      <c r="W823" s="7">
        <v>18</v>
      </c>
      <c r="X823" s="7">
        <f t="shared" si="203"/>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204"/>
        <v>0.48699999999999999</v>
      </c>
      <c r="AP823" s="18">
        <v>0.51300000000000001</v>
      </c>
      <c r="AQ823">
        <v>0</v>
      </c>
      <c r="AR823" s="40">
        <f t="shared" si="205"/>
        <v>1</v>
      </c>
      <c r="AS823" t="s">
        <v>98</v>
      </c>
      <c r="AT823" s="40" t="s">
        <v>98</v>
      </c>
      <c r="AU823">
        <v>0</v>
      </c>
      <c r="AV823" s="18">
        <v>1</v>
      </c>
      <c r="AW823">
        <f t="shared" si="206"/>
        <v>0.23850000000000005</v>
      </c>
      <c r="AX823" s="18">
        <v>0.76149999999999995</v>
      </c>
      <c r="AY823" s="18" t="s">
        <v>508</v>
      </c>
      <c r="AZ823">
        <v>0</v>
      </c>
      <c r="BA823">
        <v>0</v>
      </c>
      <c r="BB823">
        <v>0</v>
      </c>
      <c r="BC823">
        <v>0</v>
      </c>
      <c r="BD823">
        <v>1</v>
      </c>
      <c r="BE823">
        <v>0</v>
      </c>
      <c r="BF823" s="18">
        <v>0</v>
      </c>
      <c r="BG823">
        <v>0</v>
      </c>
      <c r="BH823">
        <v>1</v>
      </c>
      <c r="BI823" s="18">
        <v>0</v>
      </c>
      <c r="BJ823">
        <v>3012</v>
      </c>
      <c r="BK823">
        <v>376</v>
      </c>
      <c r="BL823" s="25">
        <v>35.5</v>
      </c>
      <c r="BM823">
        <v>1</v>
      </c>
      <c r="BN823">
        <v>0</v>
      </c>
      <c r="BO823">
        <v>0</v>
      </c>
      <c r="BP823">
        <v>0</v>
      </c>
      <c r="BQ823">
        <v>0</v>
      </c>
      <c r="BR823">
        <v>0</v>
      </c>
      <c r="BS823">
        <v>0</v>
      </c>
      <c r="BT823" s="18">
        <v>0</v>
      </c>
      <c r="BU823">
        <v>0</v>
      </c>
      <c r="BV823">
        <v>0</v>
      </c>
      <c r="BW823">
        <v>0</v>
      </c>
      <c r="BX823" s="18">
        <v>0</v>
      </c>
      <c r="BY823">
        <v>0</v>
      </c>
      <c r="BZ823">
        <v>0</v>
      </c>
      <c r="CA823">
        <v>0</v>
      </c>
      <c r="CB823">
        <v>0</v>
      </c>
      <c r="CC823" s="18">
        <v>0</v>
      </c>
      <c r="CD823">
        <v>1</v>
      </c>
      <c r="CE823">
        <v>1</v>
      </c>
      <c r="CF823">
        <v>0</v>
      </c>
      <c r="CG823">
        <v>0</v>
      </c>
      <c r="CH823">
        <v>0</v>
      </c>
      <c r="CI823">
        <v>0</v>
      </c>
      <c r="CJ823">
        <v>0</v>
      </c>
      <c r="CK823">
        <v>1</v>
      </c>
      <c r="CL823">
        <v>1</v>
      </c>
      <c r="CM823">
        <v>1</v>
      </c>
      <c r="CN823" s="18">
        <v>1</v>
      </c>
      <c r="CO823">
        <v>4.0000000000000001E-3</v>
      </c>
      <c r="CP823">
        <v>2</v>
      </c>
      <c r="CQ823">
        <v>1</v>
      </c>
      <c r="CR823">
        <v>0</v>
      </c>
      <c r="CS823">
        <v>24</v>
      </c>
      <c r="CY823" s="34"/>
    </row>
    <row r="824" spans="1:103" s="142" customFormat="1" x14ac:dyDescent="0.25">
      <c r="A824" s="142">
        <v>823</v>
      </c>
      <c r="B824" s="142">
        <v>55</v>
      </c>
      <c r="C824" s="143" t="s">
        <v>491</v>
      </c>
      <c r="D824" s="144">
        <v>6.3178181029901692</v>
      </c>
      <c r="E824" s="145">
        <v>0.78550878974366622</v>
      </c>
      <c r="F824" s="146">
        <v>8.0429629629629638</v>
      </c>
      <c r="G824" s="146">
        <f t="shared" si="192"/>
        <v>5.5323093132465031</v>
      </c>
      <c r="H824" s="147">
        <f t="shared" si="193"/>
        <v>7.1033268927338353</v>
      </c>
      <c r="I824" s="11">
        <f t="shared" si="196"/>
        <v>7.3662621441902193E-2</v>
      </c>
      <c r="J824" s="33">
        <f t="shared" si="197"/>
        <v>9.1586423785750548E-3</v>
      </c>
      <c r="K824" s="33">
        <f t="shared" si="198"/>
        <v>109.18648841877641</v>
      </c>
      <c r="L824" s="149">
        <v>1</v>
      </c>
      <c r="M824" s="150">
        <v>0</v>
      </c>
      <c r="N824" s="149">
        <v>0</v>
      </c>
      <c r="O824" s="150">
        <v>1</v>
      </c>
      <c r="P824" s="150">
        <v>0</v>
      </c>
      <c r="Q824" s="150">
        <v>0</v>
      </c>
      <c r="R824" s="150">
        <v>0</v>
      </c>
      <c r="S824" s="149">
        <v>11878</v>
      </c>
      <c r="T824" s="150">
        <v>20</v>
      </c>
      <c r="U824" s="150">
        <f t="shared" si="194"/>
        <v>11857</v>
      </c>
      <c r="V824" s="150">
        <f t="shared" si="195"/>
        <v>12</v>
      </c>
      <c r="W824" s="146">
        <v>22</v>
      </c>
      <c r="X824" s="146">
        <f t="shared" si="203"/>
        <v>7.5</v>
      </c>
      <c r="Y824" s="150">
        <v>0</v>
      </c>
      <c r="Z824" s="150">
        <v>1</v>
      </c>
      <c r="AA824" s="150">
        <v>0</v>
      </c>
      <c r="AB824" s="150">
        <v>1</v>
      </c>
      <c r="AC824" s="150">
        <v>0</v>
      </c>
      <c r="AD824" s="150">
        <v>0</v>
      </c>
      <c r="AE824" s="149">
        <v>0</v>
      </c>
      <c r="AF824" s="150">
        <v>1</v>
      </c>
      <c r="AG824" s="151">
        <v>0</v>
      </c>
      <c r="AH824" s="150">
        <v>1</v>
      </c>
      <c r="AI824" s="151">
        <v>0</v>
      </c>
      <c r="AJ824" s="152">
        <v>2017</v>
      </c>
      <c r="AK824" s="148">
        <v>0</v>
      </c>
      <c r="AL824" s="148">
        <v>0</v>
      </c>
      <c r="AM824" s="148">
        <v>0</v>
      </c>
      <c r="AN824" s="153">
        <v>1</v>
      </c>
      <c r="AO824" s="154">
        <f t="shared" si="204"/>
        <v>0.48699999999999999</v>
      </c>
      <c r="AP824" s="155">
        <v>0.51300000000000001</v>
      </c>
      <c r="AQ824" s="142">
        <v>0</v>
      </c>
      <c r="AR824" s="156">
        <f t="shared" si="205"/>
        <v>1</v>
      </c>
      <c r="AS824" s="142" t="s">
        <v>98</v>
      </c>
      <c r="AT824" s="156" t="s">
        <v>98</v>
      </c>
      <c r="AU824">
        <v>0</v>
      </c>
      <c r="AV824" s="155">
        <v>1</v>
      </c>
      <c r="AW824" s="142">
        <f t="shared" si="206"/>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3">
        <v>35.5</v>
      </c>
      <c r="BM824" s="142">
        <v>1</v>
      </c>
      <c r="BN824" s="142">
        <v>0</v>
      </c>
      <c r="BO824" s="142">
        <v>0</v>
      </c>
      <c r="BP824" s="142">
        <v>0</v>
      </c>
      <c r="BQ824" s="142">
        <v>0</v>
      </c>
      <c r="BR824" s="142">
        <v>0</v>
      </c>
      <c r="BS824" s="142">
        <v>0</v>
      </c>
      <c r="BT824" s="155">
        <v>0</v>
      </c>
      <c r="BU824" s="142">
        <v>0</v>
      </c>
      <c r="BV824" s="142">
        <v>0</v>
      </c>
      <c r="BW824" s="142">
        <v>0</v>
      </c>
      <c r="BX824" s="18">
        <v>0</v>
      </c>
      <c r="BY824">
        <v>0</v>
      </c>
      <c r="BZ824">
        <v>0</v>
      </c>
      <c r="CA824">
        <v>0</v>
      </c>
      <c r="CB824">
        <v>0</v>
      </c>
      <c r="CC824" s="18">
        <v>0</v>
      </c>
      <c r="CD824" s="142">
        <v>1</v>
      </c>
      <c r="CE824" s="142">
        <v>1</v>
      </c>
      <c r="CF824" s="142">
        <v>0</v>
      </c>
      <c r="CG824" s="142">
        <v>0</v>
      </c>
      <c r="CH824" s="142">
        <v>0</v>
      </c>
      <c r="CI824" s="142">
        <v>0</v>
      </c>
      <c r="CJ824" s="142">
        <v>0</v>
      </c>
      <c r="CK824" s="142">
        <v>1</v>
      </c>
      <c r="CL824" s="142">
        <v>1</v>
      </c>
      <c r="CM824" s="142">
        <v>1</v>
      </c>
      <c r="CN824" s="155">
        <v>1</v>
      </c>
      <c r="CO824">
        <v>4.0000000000000001E-3</v>
      </c>
      <c r="CP824">
        <v>2</v>
      </c>
      <c r="CQ824">
        <v>1</v>
      </c>
      <c r="CR824">
        <v>0</v>
      </c>
      <c r="CS824">
        <v>24</v>
      </c>
      <c r="CT824" s="157"/>
      <c r="CY824" s="157"/>
    </row>
    <row r="825" spans="1:103" x14ac:dyDescent="0.25">
      <c r="A825">
        <v>824</v>
      </c>
      <c r="B825">
        <v>56</v>
      </c>
      <c r="C825" s="25" t="s">
        <v>3893</v>
      </c>
      <c r="D825" s="12">
        <v>1.4156120261221929</v>
      </c>
      <c r="E825" s="14">
        <v>3.2173000593686198E-2</v>
      </c>
      <c r="F825" s="7">
        <v>44</v>
      </c>
      <c r="G825" s="7">
        <f t="shared" si="192"/>
        <v>1.3834390255285067</v>
      </c>
      <c r="H825" s="16">
        <f t="shared" si="193"/>
        <v>1.4477850267158792</v>
      </c>
      <c r="I825" s="11">
        <f t="shared" si="196"/>
        <v>0.17759268931992303</v>
      </c>
      <c r="J825" s="33">
        <f t="shared" si="197"/>
        <v>4.0361974845437056E-3</v>
      </c>
      <c r="K825" s="33">
        <f t="shared" si="198"/>
        <v>247.7579463912308</v>
      </c>
      <c r="L825" s="8">
        <v>0</v>
      </c>
      <c r="M825" s="9">
        <v>1</v>
      </c>
      <c r="N825" s="8">
        <v>0</v>
      </c>
      <c r="O825" s="9">
        <v>0</v>
      </c>
      <c r="P825" s="9">
        <v>0</v>
      </c>
      <c r="Q825" s="9">
        <v>1</v>
      </c>
      <c r="R825" s="9">
        <v>0</v>
      </c>
      <c r="S825" s="8">
        <v>59461</v>
      </c>
      <c r="T825" s="9">
        <v>12</v>
      </c>
      <c r="U825" s="9">
        <f t="shared" si="194"/>
        <v>59448</v>
      </c>
      <c r="V825" s="9">
        <f t="shared" si="195"/>
        <v>12</v>
      </c>
      <c r="W825" s="7">
        <f t="shared" ref="W825:W836" si="207">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205"/>
        <v>0.33999999999999997</v>
      </c>
      <c r="AS825" t="s">
        <v>98</v>
      </c>
      <c r="AT825" s="40" t="s">
        <v>98</v>
      </c>
      <c r="AU825">
        <v>1</v>
      </c>
      <c r="AV825" s="18">
        <v>0</v>
      </c>
      <c r="AW825" t="s">
        <v>98</v>
      </c>
      <c r="AX825" s="18" t="s">
        <v>98</v>
      </c>
      <c r="AY825" s="18" t="s">
        <v>588</v>
      </c>
      <c r="AZ825">
        <v>1</v>
      </c>
      <c r="BA825">
        <v>0</v>
      </c>
      <c r="BB825">
        <v>0</v>
      </c>
      <c r="BC825">
        <v>0</v>
      </c>
      <c r="BD825">
        <v>0</v>
      </c>
      <c r="BE825">
        <v>0</v>
      </c>
      <c r="BF825" s="18">
        <v>0</v>
      </c>
      <c r="BG825">
        <v>1</v>
      </c>
      <c r="BH825">
        <v>0</v>
      </c>
      <c r="BI825" s="18">
        <v>0</v>
      </c>
      <c r="BJ825">
        <v>20406</v>
      </c>
      <c r="BK825">
        <v>24425</v>
      </c>
      <c r="BL825" s="25">
        <v>19.16</v>
      </c>
      <c r="BM825">
        <v>1</v>
      </c>
      <c r="BN825">
        <v>0</v>
      </c>
      <c r="BO825">
        <v>0</v>
      </c>
      <c r="BP825">
        <v>0</v>
      </c>
      <c r="BQ825">
        <v>0</v>
      </c>
      <c r="BR825">
        <v>0</v>
      </c>
      <c r="BS825">
        <v>0</v>
      </c>
      <c r="BT825" s="18">
        <v>0</v>
      </c>
      <c r="BU825">
        <v>0</v>
      </c>
      <c r="BV825">
        <v>1</v>
      </c>
      <c r="BW825">
        <v>0</v>
      </c>
      <c r="BX825" s="18">
        <v>0</v>
      </c>
      <c r="BY825">
        <v>0</v>
      </c>
      <c r="BZ825">
        <v>0</v>
      </c>
      <c r="CA825">
        <v>0</v>
      </c>
      <c r="CB825">
        <v>0</v>
      </c>
      <c r="CC825" s="18">
        <v>0</v>
      </c>
      <c r="CD825">
        <v>0</v>
      </c>
      <c r="CE825">
        <v>0</v>
      </c>
      <c r="CF825">
        <v>0</v>
      </c>
      <c r="CG825">
        <v>0</v>
      </c>
      <c r="CH825">
        <v>0</v>
      </c>
      <c r="CI825">
        <v>0</v>
      </c>
      <c r="CJ825">
        <v>0</v>
      </c>
      <c r="CK825">
        <v>0</v>
      </c>
      <c r="CL825">
        <v>0</v>
      </c>
      <c r="CM825">
        <v>0</v>
      </c>
      <c r="CN825" s="18">
        <v>0</v>
      </c>
      <c r="CO825">
        <v>4.149</v>
      </c>
      <c r="CP825">
        <v>8</v>
      </c>
      <c r="CQ825">
        <v>1</v>
      </c>
      <c r="CR825">
        <v>0</v>
      </c>
      <c r="CS825">
        <v>23</v>
      </c>
      <c r="CY825" s="34"/>
    </row>
    <row r="826" spans="1:103" x14ac:dyDescent="0.25">
      <c r="A826">
        <v>825</v>
      </c>
      <c r="B826">
        <v>56</v>
      </c>
      <c r="C826" s="25" t="s">
        <v>3893</v>
      </c>
      <c r="D826" s="12">
        <v>1.9975480504584859</v>
      </c>
      <c r="E826" s="14">
        <v>0.19024267147223681</v>
      </c>
      <c r="F826" s="7">
        <v>10.5</v>
      </c>
      <c r="G826" s="7">
        <f t="shared" si="192"/>
        <v>1.8073053789862492</v>
      </c>
      <c r="H826" s="16">
        <f t="shared" si="193"/>
        <v>2.1877907219307229</v>
      </c>
      <c r="I826" s="11">
        <f t="shared" si="196"/>
        <v>4.3025831595010194E-2</v>
      </c>
      <c r="J826" s="33">
        <f t="shared" si="197"/>
        <v>4.0976982471438283E-3</v>
      </c>
      <c r="K826" s="33">
        <f t="shared" si="198"/>
        <v>244.03944353321248</v>
      </c>
      <c r="L826" s="8">
        <v>0</v>
      </c>
      <c r="M826" s="9">
        <v>1</v>
      </c>
      <c r="N826" s="8">
        <v>0</v>
      </c>
      <c r="O826" s="9">
        <v>0</v>
      </c>
      <c r="P826" s="9">
        <v>0</v>
      </c>
      <c r="Q826" s="9">
        <v>1</v>
      </c>
      <c r="R826" s="9">
        <v>0</v>
      </c>
      <c r="S826" s="8">
        <v>59461</v>
      </c>
      <c r="T826" s="9">
        <v>15</v>
      </c>
      <c r="U826" s="9">
        <f t="shared" si="194"/>
        <v>59445</v>
      </c>
      <c r="V826" s="9">
        <f t="shared" si="195"/>
        <v>12</v>
      </c>
      <c r="W826" s="7">
        <f t="shared" si="207"/>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205"/>
        <v>0.33999999999999997</v>
      </c>
      <c r="AS826" t="s">
        <v>98</v>
      </c>
      <c r="AT826" s="40" t="s">
        <v>98</v>
      </c>
      <c r="AU826">
        <v>1</v>
      </c>
      <c r="AV826" s="18">
        <v>0</v>
      </c>
      <c r="AW826" t="s">
        <v>98</v>
      </c>
      <c r="AX826" s="18" t="s">
        <v>98</v>
      </c>
      <c r="AY826" s="18" t="s">
        <v>588</v>
      </c>
      <c r="AZ826">
        <v>1</v>
      </c>
      <c r="BA826">
        <v>0</v>
      </c>
      <c r="BB826">
        <v>0</v>
      </c>
      <c r="BC826">
        <v>0</v>
      </c>
      <c r="BD826">
        <v>0</v>
      </c>
      <c r="BE826">
        <v>0</v>
      </c>
      <c r="BF826" s="18">
        <v>0</v>
      </c>
      <c r="BG826">
        <v>1</v>
      </c>
      <c r="BH826">
        <v>0</v>
      </c>
      <c r="BI826" s="18">
        <v>0</v>
      </c>
      <c r="BJ826">
        <v>20406</v>
      </c>
      <c r="BK826">
        <v>24425</v>
      </c>
      <c r="BL826" s="25">
        <v>19.16</v>
      </c>
      <c r="BM826">
        <v>0</v>
      </c>
      <c r="BN826">
        <v>0</v>
      </c>
      <c r="BO826">
        <v>0</v>
      </c>
      <c r="BP826">
        <v>0</v>
      </c>
      <c r="BQ826">
        <v>0</v>
      </c>
      <c r="BR826">
        <v>0</v>
      </c>
      <c r="BS826">
        <v>0</v>
      </c>
      <c r="BT826" s="18">
        <v>1</v>
      </c>
      <c r="BU826">
        <v>0</v>
      </c>
      <c r="BV826">
        <v>1</v>
      </c>
      <c r="BW826">
        <v>0</v>
      </c>
      <c r="BX826" s="18">
        <v>0</v>
      </c>
      <c r="BY826">
        <v>0</v>
      </c>
      <c r="BZ826">
        <v>0</v>
      </c>
      <c r="CA826">
        <v>0</v>
      </c>
      <c r="CB826">
        <v>0</v>
      </c>
      <c r="CC826" s="18">
        <v>0</v>
      </c>
      <c r="CD826">
        <v>0</v>
      </c>
      <c r="CE826">
        <v>0</v>
      </c>
      <c r="CF826">
        <v>0</v>
      </c>
      <c r="CG826">
        <v>0</v>
      </c>
      <c r="CH826">
        <v>0</v>
      </c>
      <c r="CI826">
        <v>0</v>
      </c>
      <c r="CJ826">
        <v>0</v>
      </c>
      <c r="CK826">
        <v>0</v>
      </c>
      <c r="CL826">
        <v>0</v>
      </c>
      <c r="CM826">
        <v>0</v>
      </c>
      <c r="CN826" s="18">
        <v>0</v>
      </c>
      <c r="CO826">
        <v>4.149</v>
      </c>
      <c r="CP826">
        <v>8</v>
      </c>
      <c r="CQ826">
        <v>1</v>
      </c>
      <c r="CR826">
        <v>0</v>
      </c>
      <c r="CS826">
        <v>23</v>
      </c>
      <c r="CY826" s="34"/>
    </row>
    <row r="827" spans="1:103" x14ac:dyDescent="0.25">
      <c r="A827">
        <v>826</v>
      </c>
      <c r="B827">
        <v>56</v>
      </c>
      <c r="C827" s="25" t="s">
        <v>3893</v>
      </c>
      <c r="D827" s="12">
        <v>1.14977284621034</v>
      </c>
      <c r="E827" s="14">
        <v>3.2387967498882807E-2</v>
      </c>
      <c r="F827" s="7">
        <v>35.499999999999993</v>
      </c>
      <c r="G827" s="7">
        <f t="shared" si="192"/>
        <v>1.1173848787114573</v>
      </c>
      <c r="H827" s="16">
        <f t="shared" si="193"/>
        <v>1.1821608137092228</v>
      </c>
      <c r="I827" s="11">
        <f t="shared" si="196"/>
        <v>0.1440802641742904</v>
      </c>
      <c r="J827" s="33">
        <f t="shared" si="197"/>
        <v>4.0585989908250826E-3</v>
      </c>
      <c r="K827" s="33">
        <f t="shared" si="198"/>
        <v>246.39044218475684</v>
      </c>
      <c r="L827" s="8">
        <v>0</v>
      </c>
      <c r="M827" s="9">
        <v>1</v>
      </c>
      <c r="N827" s="8">
        <v>0</v>
      </c>
      <c r="O827" s="9">
        <v>0</v>
      </c>
      <c r="P827" s="9">
        <v>0</v>
      </c>
      <c r="Q827" s="9">
        <v>1</v>
      </c>
      <c r="R827" s="9">
        <v>0</v>
      </c>
      <c r="S827" s="8">
        <v>59461</v>
      </c>
      <c r="T827" s="9">
        <v>12</v>
      </c>
      <c r="U827" s="9">
        <f t="shared" si="194"/>
        <v>59448</v>
      </c>
      <c r="V827" s="9">
        <f t="shared" si="195"/>
        <v>12</v>
      </c>
      <c r="W827" s="7">
        <f t="shared" si="207"/>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205"/>
        <v>0.33999999999999997</v>
      </c>
      <c r="AS827" t="s">
        <v>98</v>
      </c>
      <c r="AT827" s="40" t="s">
        <v>98</v>
      </c>
      <c r="AU827">
        <v>1</v>
      </c>
      <c r="AV827" s="18">
        <v>0</v>
      </c>
      <c r="AW827" t="s">
        <v>98</v>
      </c>
      <c r="AX827" s="18" t="s">
        <v>98</v>
      </c>
      <c r="AY827" s="18" t="s">
        <v>588</v>
      </c>
      <c r="AZ827">
        <v>1</v>
      </c>
      <c r="BA827">
        <v>0</v>
      </c>
      <c r="BB827">
        <v>0</v>
      </c>
      <c r="BC827">
        <v>0</v>
      </c>
      <c r="BD827">
        <v>0</v>
      </c>
      <c r="BE827">
        <v>0</v>
      </c>
      <c r="BF827" s="18">
        <v>0</v>
      </c>
      <c r="BG827">
        <v>1</v>
      </c>
      <c r="BH827">
        <v>0</v>
      </c>
      <c r="BI827" s="18">
        <v>0</v>
      </c>
      <c r="BJ827">
        <v>20406</v>
      </c>
      <c r="BK827">
        <v>24425</v>
      </c>
      <c r="BL827" s="25">
        <v>19.16</v>
      </c>
      <c r="BM827">
        <v>1</v>
      </c>
      <c r="BN827">
        <v>0</v>
      </c>
      <c r="BO827">
        <v>0</v>
      </c>
      <c r="BP827">
        <v>0</v>
      </c>
      <c r="BQ827">
        <v>0</v>
      </c>
      <c r="BR827">
        <v>0</v>
      </c>
      <c r="BS827">
        <v>0</v>
      </c>
      <c r="BT827" s="18">
        <v>0</v>
      </c>
      <c r="BU827">
        <v>0</v>
      </c>
      <c r="BV827">
        <v>1</v>
      </c>
      <c r="BW827">
        <v>0</v>
      </c>
      <c r="BX827" s="18">
        <v>0</v>
      </c>
      <c r="BY827">
        <v>0</v>
      </c>
      <c r="BZ827">
        <v>0</v>
      </c>
      <c r="CA827">
        <v>0</v>
      </c>
      <c r="CB827">
        <v>0</v>
      </c>
      <c r="CC827" s="18">
        <v>0</v>
      </c>
      <c r="CD827">
        <v>0</v>
      </c>
      <c r="CE827">
        <v>0</v>
      </c>
      <c r="CF827">
        <v>0</v>
      </c>
      <c r="CG827">
        <v>0</v>
      </c>
      <c r="CH827">
        <v>1</v>
      </c>
      <c r="CI827">
        <v>0</v>
      </c>
      <c r="CJ827">
        <v>1</v>
      </c>
      <c r="CK827">
        <v>0</v>
      </c>
      <c r="CL827">
        <v>0</v>
      </c>
      <c r="CM827">
        <v>0</v>
      </c>
      <c r="CN827" s="18">
        <v>0</v>
      </c>
      <c r="CO827">
        <v>4.149</v>
      </c>
      <c r="CP827">
        <v>8</v>
      </c>
      <c r="CQ827">
        <v>1</v>
      </c>
      <c r="CR827">
        <v>0</v>
      </c>
      <c r="CS827">
        <v>23</v>
      </c>
      <c r="CY827" s="34"/>
    </row>
    <row r="828" spans="1:103" x14ac:dyDescent="0.25">
      <c r="A828">
        <v>827</v>
      </c>
      <c r="B828">
        <v>56</v>
      </c>
      <c r="C828" s="25" t="s">
        <v>3893</v>
      </c>
      <c r="D828" s="12">
        <v>0.1494405741624405</v>
      </c>
      <c r="E828" s="14">
        <v>0.26567213184433869</v>
      </c>
      <c r="F828" s="7">
        <v>0.5625</v>
      </c>
      <c r="G828" s="7">
        <f t="shared" si="192"/>
        <v>-0.11623155768189819</v>
      </c>
      <c r="H828" s="16">
        <f t="shared" si="193"/>
        <v>0.41511270600677919</v>
      </c>
      <c r="I828" s="11">
        <f t="shared" si="196"/>
        <v>2.3070855830089852E-3</v>
      </c>
      <c r="J828" s="33">
        <f t="shared" si="197"/>
        <v>4.1014854809048621E-3</v>
      </c>
      <c r="K828" s="33">
        <f t="shared" si="198"/>
        <v>243.81410214803</v>
      </c>
      <c r="L828" s="8">
        <v>0</v>
      </c>
      <c r="M828" s="9">
        <v>1</v>
      </c>
      <c r="N828" s="8">
        <v>0</v>
      </c>
      <c r="O828" s="9">
        <v>0</v>
      </c>
      <c r="P828" s="9">
        <v>0</v>
      </c>
      <c r="Q828" s="9">
        <v>1</v>
      </c>
      <c r="R828" s="9">
        <v>0</v>
      </c>
      <c r="S828" s="8">
        <v>59461</v>
      </c>
      <c r="T828" s="9">
        <v>15</v>
      </c>
      <c r="U828" s="9">
        <f t="shared" si="194"/>
        <v>59445</v>
      </c>
      <c r="V828" s="9">
        <f t="shared" si="195"/>
        <v>12</v>
      </c>
      <c r="W828" s="7">
        <f t="shared" si="207"/>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205"/>
        <v>0.33999999999999997</v>
      </c>
      <c r="AS828" t="s">
        <v>98</v>
      </c>
      <c r="AT828" s="40" t="s">
        <v>98</v>
      </c>
      <c r="AU828">
        <v>1</v>
      </c>
      <c r="AV828" s="18">
        <v>0</v>
      </c>
      <c r="AW828" t="s">
        <v>98</v>
      </c>
      <c r="AX828" s="18" t="s">
        <v>98</v>
      </c>
      <c r="AY828" s="18" t="s">
        <v>588</v>
      </c>
      <c r="AZ828">
        <v>1</v>
      </c>
      <c r="BA828">
        <v>0</v>
      </c>
      <c r="BB828">
        <v>0</v>
      </c>
      <c r="BC828">
        <v>0</v>
      </c>
      <c r="BD828">
        <v>0</v>
      </c>
      <c r="BE828">
        <v>0</v>
      </c>
      <c r="BF828" s="18">
        <v>0</v>
      </c>
      <c r="BG828">
        <v>1</v>
      </c>
      <c r="BH828">
        <v>0</v>
      </c>
      <c r="BI828" s="18">
        <v>0</v>
      </c>
      <c r="BJ828">
        <v>20406</v>
      </c>
      <c r="BK828">
        <v>24425</v>
      </c>
      <c r="BL828" s="25">
        <v>19.16</v>
      </c>
      <c r="BM828">
        <v>0</v>
      </c>
      <c r="BN828">
        <v>0</v>
      </c>
      <c r="BO828">
        <v>0</v>
      </c>
      <c r="BP828">
        <v>0</v>
      </c>
      <c r="BQ828">
        <v>0</v>
      </c>
      <c r="BR828">
        <v>0</v>
      </c>
      <c r="BS828">
        <v>0</v>
      </c>
      <c r="BT828" s="18">
        <v>1</v>
      </c>
      <c r="BU828">
        <v>0</v>
      </c>
      <c r="BV828">
        <v>1</v>
      </c>
      <c r="BW828">
        <v>0</v>
      </c>
      <c r="BX828" s="18">
        <v>0</v>
      </c>
      <c r="BY828">
        <v>0</v>
      </c>
      <c r="BZ828">
        <v>0</v>
      </c>
      <c r="CA828">
        <v>0</v>
      </c>
      <c r="CB828">
        <v>0</v>
      </c>
      <c r="CC828" s="18">
        <v>0</v>
      </c>
      <c r="CD828">
        <v>0</v>
      </c>
      <c r="CE828">
        <v>0</v>
      </c>
      <c r="CF828">
        <v>0</v>
      </c>
      <c r="CG828">
        <v>0</v>
      </c>
      <c r="CH828">
        <v>1</v>
      </c>
      <c r="CI828">
        <v>0</v>
      </c>
      <c r="CJ828">
        <v>1</v>
      </c>
      <c r="CK828">
        <v>0</v>
      </c>
      <c r="CL828">
        <v>0</v>
      </c>
      <c r="CM828">
        <v>0</v>
      </c>
      <c r="CN828" s="18">
        <v>0</v>
      </c>
      <c r="CO828">
        <v>4.149</v>
      </c>
      <c r="CP828">
        <v>8</v>
      </c>
      <c r="CQ828">
        <v>1</v>
      </c>
      <c r="CR828">
        <v>0</v>
      </c>
      <c r="CS828">
        <v>23</v>
      </c>
      <c r="CY828" s="34"/>
    </row>
    <row r="829" spans="1:103" x14ac:dyDescent="0.25">
      <c r="A829">
        <v>828</v>
      </c>
      <c r="B829">
        <v>56</v>
      </c>
      <c r="C829" s="25" t="s">
        <v>3893</v>
      </c>
      <c r="D829" s="12">
        <v>1.4931411025128849</v>
      </c>
      <c r="E829" s="14">
        <v>4.8165842016544683E-2</v>
      </c>
      <c r="F829" s="7">
        <v>31</v>
      </c>
      <c r="G829" s="7">
        <f t="shared" si="192"/>
        <v>1.4449752604963402</v>
      </c>
      <c r="H829" s="16">
        <f t="shared" si="193"/>
        <v>1.5413069445294296</v>
      </c>
      <c r="I829" s="11">
        <f t="shared" si="196"/>
        <v>0.15398131860068121</v>
      </c>
      <c r="J829" s="33">
        <f t="shared" si="197"/>
        <v>4.9671393096993935E-3</v>
      </c>
      <c r="K829" s="33">
        <f t="shared" si="198"/>
        <v>201.32312336142613</v>
      </c>
      <c r="L829" s="8">
        <v>0</v>
      </c>
      <c r="M829" s="9">
        <v>1</v>
      </c>
      <c r="N829" s="8">
        <v>0</v>
      </c>
      <c r="O829" s="9">
        <v>0</v>
      </c>
      <c r="P829" s="9">
        <v>0</v>
      </c>
      <c r="Q829" s="9">
        <v>1</v>
      </c>
      <c r="R829" s="9">
        <v>0</v>
      </c>
      <c r="S829" s="8">
        <v>39583</v>
      </c>
      <c r="T829" s="9">
        <v>12</v>
      </c>
      <c r="U829" s="9">
        <f t="shared" si="194"/>
        <v>39570</v>
      </c>
      <c r="V829" s="9">
        <f t="shared" si="195"/>
        <v>12</v>
      </c>
      <c r="W829" s="7">
        <f t="shared" si="207"/>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205"/>
        <v>0</v>
      </c>
      <c r="AS829" t="s">
        <v>98</v>
      </c>
      <c r="AT829" s="40" t="s">
        <v>98</v>
      </c>
      <c r="AU829">
        <v>1</v>
      </c>
      <c r="AV829" s="18">
        <v>0</v>
      </c>
      <c r="AW829" t="s">
        <v>98</v>
      </c>
      <c r="AX829" s="18" t="s">
        <v>98</v>
      </c>
      <c r="AY829" s="18" t="s">
        <v>588</v>
      </c>
      <c r="AZ829">
        <v>1</v>
      </c>
      <c r="BA829">
        <v>0</v>
      </c>
      <c r="BB829">
        <v>0</v>
      </c>
      <c r="BC829">
        <v>0</v>
      </c>
      <c r="BD829">
        <v>0</v>
      </c>
      <c r="BE829">
        <v>0</v>
      </c>
      <c r="BF829" s="18">
        <v>0</v>
      </c>
      <c r="BG829">
        <v>1</v>
      </c>
      <c r="BH829">
        <v>0</v>
      </c>
      <c r="BI829" s="18">
        <v>0</v>
      </c>
      <c r="BJ829">
        <v>20406</v>
      </c>
      <c r="BK829">
        <v>24425</v>
      </c>
      <c r="BL829" s="25">
        <v>19.16</v>
      </c>
      <c r="BM829">
        <v>1</v>
      </c>
      <c r="BN829">
        <v>0</v>
      </c>
      <c r="BO829">
        <v>0</v>
      </c>
      <c r="BP829">
        <v>0</v>
      </c>
      <c r="BQ829">
        <v>0</v>
      </c>
      <c r="BR829">
        <v>0</v>
      </c>
      <c r="BS829">
        <v>0</v>
      </c>
      <c r="BT829" s="18">
        <v>0</v>
      </c>
      <c r="BU829">
        <v>0</v>
      </c>
      <c r="BV829">
        <v>1</v>
      </c>
      <c r="BW829">
        <v>0</v>
      </c>
      <c r="BX829" s="18">
        <v>0</v>
      </c>
      <c r="BY829">
        <v>0</v>
      </c>
      <c r="BZ829">
        <v>0</v>
      </c>
      <c r="CA829">
        <v>0</v>
      </c>
      <c r="CB829">
        <v>0</v>
      </c>
      <c r="CC829" s="18">
        <v>0</v>
      </c>
      <c r="CD829">
        <v>0</v>
      </c>
      <c r="CE829">
        <v>0</v>
      </c>
      <c r="CF829">
        <v>0</v>
      </c>
      <c r="CG829">
        <v>0</v>
      </c>
      <c r="CH829">
        <v>0</v>
      </c>
      <c r="CI829">
        <v>0</v>
      </c>
      <c r="CJ829">
        <v>0</v>
      </c>
      <c r="CK829">
        <v>0</v>
      </c>
      <c r="CL829">
        <v>0</v>
      </c>
      <c r="CM829">
        <v>0</v>
      </c>
      <c r="CN829" s="18">
        <v>0</v>
      </c>
      <c r="CO829">
        <v>4.149</v>
      </c>
      <c r="CP829">
        <v>8</v>
      </c>
      <c r="CQ829">
        <v>1</v>
      </c>
      <c r="CR829">
        <v>0</v>
      </c>
      <c r="CS829">
        <v>23</v>
      </c>
      <c r="CY829" s="34"/>
    </row>
    <row r="830" spans="1:103" x14ac:dyDescent="0.25">
      <c r="A830">
        <v>829</v>
      </c>
      <c r="B830">
        <v>56</v>
      </c>
      <c r="C830" s="25" t="s">
        <v>3893</v>
      </c>
      <c r="D830" s="12">
        <v>-0.18417930403104019</v>
      </c>
      <c r="E830" s="14">
        <v>0.25115359640596402</v>
      </c>
      <c r="F830" s="7">
        <v>-0.73333333333333328</v>
      </c>
      <c r="G830" s="7">
        <f t="shared" si="192"/>
        <v>-0.43533290043700423</v>
      </c>
      <c r="H830" s="16">
        <f t="shared" si="193"/>
        <v>6.6974292374923833E-2</v>
      </c>
      <c r="I830" s="11">
        <f t="shared" si="196"/>
        <v>-3.6866500371270359E-3</v>
      </c>
      <c r="J830" s="33">
        <f t="shared" si="197"/>
        <v>5.0272500506277767E-3</v>
      </c>
      <c r="K830" s="33">
        <f t="shared" si="198"/>
        <v>198.91590629654979</v>
      </c>
      <c r="L830" s="8">
        <v>0</v>
      </c>
      <c r="M830" s="9">
        <v>1</v>
      </c>
      <c r="N830" s="8">
        <v>0</v>
      </c>
      <c r="O830" s="9">
        <v>0</v>
      </c>
      <c r="P830" s="9">
        <v>0</v>
      </c>
      <c r="Q830" s="9">
        <v>1</v>
      </c>
      <c r="R830" s="9">
        <v>0</v>
      </c>
      <c r="S830" s="8">
        <v>39583</v>
      </c>
      <c r="T830" s="9">
        <v>15</v>
      </c>
      <c r="U830" s="9">
        <f t="shared" si="194"/>
        <v>39567</v>
      </c>
      <c r="V830" s="9">
        <f t="shared" si="195"/>
        <v>12</v>
      </c>
      <c r="W830" s="7">
        <f t="shared" si="207"/>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205"/>
        <v>0</v>
      </c>
      <c r="AS830" t="s">
        <v>98</v>
      </c>
      <c r="AT830" s="40" t="s">
        <v>98</v>
      </c>
      <c r="AU830">
        <v>1</v>
      </c>
      <c r="AV830" s="18">
        <v>0</v>
      </c>
      <c r="AW830" t="s">
        <v>98</v>
      </c>
      <c r="AX830" s="18" t="s">
        <v>98</v>
      </c>
      <c r="AY830" s="18" t="s">
        <v>588</v>
      </c>
      <c r="AZ830">
        <v>1</v>
      </c>
      <c r="BA830">
        <v>0</v>
      </c>
      <c r="BB830">
        <v>0</v>
      </c>
      <c r="BC830">
        <v>0</v>
      </c>
      <c r="BD830">
        <v>0</v>
      </c>
      <c r="BE830">
        <v>0</v>
      </c>
      <c r="BF830" s="18">
        <v>0</v>
      </c>
      <c r="BG830">
        <v>1</v>
      </c>
      <c r="BH830">
        <v>0</v>
      </c>
      <c r="BI830" s="18">
        <v>0</v>
      </c>
      <c r="BJ830">
        <v>20406</v>
      </c>
      <c r="BK830">
        <v>24425</v>
      </c>
      <c r="BL830" s="25">
        <v>19.16</v>
      </c>
      <c r="BM830">
        <v>0</v>
      </c>
      <c r="BN830">
        <v>0</v>
      </c>
      <c r="BO830">
        <v>0</v>
      </c>
      <c r="BP830">
        <v>0</v>
      </c>
      <c r="BQ830">
        <v>0</v>
      </c>
      <c r="BR830">
        <v>0</v>
      </c>
      <c r="BS830">
        <v>0</v>
      </c>
      <c r="BT830" s="18">
        <v>1</v>
      </c>
      <c r="BU830">
        <v>0</v>
      </c>
      <c r="BV830">
        <v>1</v>
      </c>
      <c r="BW830">
        <v>0</v>
      </c>
      <c r="BX830" s="18">
        <v>0</v>
      </c>
      <c r="BY830">
        <v>0</v>
      </c>
      <c r="BZ830">
        <v>0</v>
      </c>
      <c r="CA830">
        <v>0</v>
      </c>
      <c r="CB830">
        <v>0</v>
      </c>
      <c r="CC830" s="18">
        <v>0</v>
      </c>
      <c r="CD830">
        <v>0</v>
      </c>
      <c r="CE830">
        <v>0</v>
      </c>
      <c r="CF830">
        <v>0</v>
      </c>
      <c r="CG830">
        <v>0</v>
      </c>
      <c r="CH830">
        <v>0</v>
      </c>
      <c r="CI830">
        <v>0</v>
      </c>
      <c r="CJ830">
        <v>0</v>
      </c>
      <c r="CK830">
        <v>0</v>
      </c>
      <c r="CL830">
        <v>0</v>
      </c>
      <c r="CM830">
        <v>0</v>
      </c>
      <c r="CN830" s="18">
        <v>0</v>
      </c>
      <c r="CO830">
        <v>4.149</v>
      </c>
      <c r="CP830">
        <v>8</v>
      </c>
      <c r="CQ830">
        <v>1</v>
      </c>
      <c r="CR830">
        <v>0</v>
      </c>
      <c r="CS830">
        <v>23</v>
      </c>
      <c r="CY830" s="34"/>
    </row>
    <row r="831" spans="1:103" x14ac:dyDescent="0.25">
      <c r="A831">
        <v>830</v>
      </c>
      <c r="B831">
        <v>56</v>
      </c>
      <c r="C831" s="25" t="s">
        <v>3893</v>
      </c>
      <c r="D831" s="12">
        <v>1.368951950366637</v>
      </c>
      <c r="E831" s="14">
        <v>4.8315951189410712E-2</v>
      </c>
      <c r="F831" s="7">
        <v>28.333333333333339</v>
      </c>
      <c r="G831" s="7">
        <f t="shared" si="192"/>
        <v>1.3206359991772263</v>
      </c>
      <c r="H831" s="16">
        <f t="shared" si="193"/>
        <v>1.4172679015560476</v>
      </c>
      <c r="I831" s="11">
        <f t="shared" si="196"/>
        <v>0.14101111782312364</v>
      </c>
      <c r="J831" s="33">
        <f t="shared" si="197"/>
        <v>4.9768629819925978E-3</v>
      </c>
      <c r="K831" s="33">
        <f t="shared" si="198"/>
        <v>200.92978320243563</v>
      </c>
      <c r="L831" s="8">
        <v>0</v>
      </c>
      <c r="M831" s="9">
        <v>1</v>
      </c>
      <c r="N831" s="8">
        <v>0</v>
      </c>
      <c r="O831" s="9">
        <v>0</v>
      </c>
      <c r="P831" s="9">
        <v>0</v>
      </c>
      <c r="Q831" s="9">
        <v>1</v>
      </c>
      <c r="R831" s="9">
        <v>0</v>
      </c>
      <c r="S831" s="8">
        <v>39583</v>
      </c>
      <c r="T831" s="9">
        <v>12</v>
      </c>
      <c r="U831" s="9">
        <f t="shared" si="194"/>
        <v>39570</v>
      </c>
      <c r="V831" s="9">
        <f t="shared" si="195"/>
        <v>12</v>
      </c>
      <c r="W831" s="7">
        <f t="shared" si="207"/>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205"/>
        <v>0</v>
      </c>
      <c r="AS831" t="s">
        <v>98</v>
      </c>
      <c r="AT831" s="40" t="s">
        <v>98</v>
      </c>
      <c r="AU831">
        <v>1</v>
      </c>
      <c r="AV831" s="18">
        <v>0</v>
      </c>
      <c r="AW831" t="s">
        <v>98</v>
      </c>
      <c r="AX831" s="18" t="s">
        <v>98</v>
      </c>
      <c r="AY831" s="18" t="s">
        <v>588</v>
      </c>
      <c r="AZ831">
        <v>1</v>
      </c>
      <c r="BA831">
        <v>0</v>
      </c>
      <c r="BB831">
        <v>0</v>
      </c>
      <c r="BC831">
        <v>0</v>
      </c>
      <c r="BD831">
        <v>0</v>
      </c>
      <c r="BE831">
        <v>0</v>
      </c>
      <c r="BF831" s="18">
        <v>0</v>
      </c>
      <c r="BG831">
        <v>1</v>
      </c>
      <c r="BH831">
        <v>0</v>
      </c>
      <c r="BI831" s="18">
        <v>0</v>
      </c>
      <c r="BJ831">
        <v>20406</v>
      </c>
      <c r="BK831">
        <v>24425</v>
      </c>
      <c r="BL831" s="25">
        <v>19.16</v>
      </c>
      <c r="BM831">
        <v>1</v>
      </c>
      <c r="BN831">
        <v>0</v>
      </c>
      <c r="BO831">
        <v>0</v>
      </c>
      <c r="BP831">
        <v>0</v>
      </c>
      <c r="BQ831">
        <v>0</v>
      </c>
      <c r="BR831">
        <v>0</v>
      </c>
      <c r="BS831">
        <v>0</v>
      </c>
      <c r="BT831" s="18">
        <v>0</v>
      </c>
      <c r="BU831">
        <v>0</v>
      </c>
      <c r="BV831">
        <v>1</v>
      </c>
      <c r="BW831">
        <v>0</v>
      </c>
      <c r="BX831" s="18">
        <v>0</v>
      </c>
      <c r="BY831">
        <v>0</v>
      </c>
      <c r="BZ831">
        <v>0</v>
      </c>
      <c r="CA831">
        <v>0</v>
      </c>
      <c r="CB831">
        <v>0</v>
      </c>
      <c r="CC831" s="18">
        <v>0</v>
      </c>
      <c r="CD831">
        <v>0</v>
      </c>
      <c r="CE831">
        <v>0</v>
      </c>
      <c r="CF831">
        <v>0</v>
      </c>
      <c r="CG831">
        <v>0</v>
      </c>
      <c r="CH831">
        <v>1</v>
      </c>
      <c r="CI831">
        <v>0</v>
      </c>
      <c r="CJ831">
        <v>1</v>
      </c>
      <c r="CK831">
        <v>0</v>
      </c>
      <c r="CL831">
        <v>0</v>
      </c>
      <c r="CM831">
        <v>0</v>
      </c>
      <c r="CN831" s="18">
        <v>0</v>
      </c>
      <c r="CO831">
        <v>4.149</v>
      </c>
      <c r="CP831">
        <v>8</v>
      </c>
      <c r="CQ831">
        <v>1</v>
      </c>
      <c r="CR831">
        <v>0</v>
      </c>
      <c r="CS831">
        <v>23</v>
      </c>
      <c r="CY831" s="34"/>
    </row>
    <row r="832" spans="1:103" x14ac:dyDescent="0.25">
      <c r="A832">
        <v>831</v>
      </c>
      <c r="B832">
        <v>56</v>
      </c>
      <c r="C832" s="25" t="s">
        <v>3893</v>
      </c>
      <c r="D832" s="12">
        <v>-1.5775932981637151</v>
      </c>
      <c r="E832" s="14">
        <v>0.38139618197364539</v>
      </c>
      <c r="F832" s="7">
        <v>-4.1363636363636367</v>
      </c>
      <c r="G832" s="7">
        <f t="shared" si="192"/>
        <v>-1.9589894801373604</v>
      </c>
      <c r="H832" s="16">
        <f t="shared" si="193"/>
        <v>-1.1961971161900697</v>
      </c>
      <c r="I832" s="11">
        <f t="shared" si="196"/>
        <v>-2.0790181071080629E-2</v>
      </c>
      <c r="J832" s="33">
        <f t="shared" si="197"/>
        <v>5.0261976215799321E-3</v>
      </c>
      <c r="K832" s="33">
        <f t="shared" si="198"/>
        <v>198.95755704202904</v>
      </c>
      <c r="L832" s="8">
        <v>0</v>
      </c>
      <c r="M832" s="9">
        <v>1</v>
      </c>
      <c r="N832" s="8">
        <v>0</v>
      </c>
      <c r="O832" s="9">
        <v>0</v>
      </c>
      <c r="P832" s="9">
        <v>0</v>
      </c>
      <c r="Q832" s="9">
        <v>1</v>
      </c>
      <c r="R832" s="9">
        <v>0</v>
      </c>
      <c r="S832" s="8">
        <v>39583</v>
      </c>
      <c r="T832" s="9">
        <v>15</v>
      </c>
      <c r="U832" s="9">
        <f t="shared" si="194"/>
        <v>39567</v>
      </c>
      <c r="V832" s="9">
        <f t="shared" si="195"/>
        <v>12</v>
      </c>
      <c r="W832" s="7">
        <f t="shared" si="207"/>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205"/>
        <v>0</v>
      </c>
      <c r="AS832" t="s">
        <v>98</v>
      </c>
      <c r="AT832" s="40" t="s">
        <v>98</v>
      </c>
      <c r="AU832">
        <v>1</v>
      </c>
      <c r="AV832" s="18">
        <v>0</v>
      </c>
      <c r="AW832" t="s">
        <v>98</v>
      </c>
      <c r="AX832" s="18" t="s">
        <v>98</v>
      </c>
      <c r="AY832" s="18" t="s">
        <v>588</v>
      </c>
      <c r="AZ832">
        <v>1</v>
      </c>
      <c r="BA832">
        <v>0</v>
      </c>
      <c r="BB832">
        <v>0</v>
      </c>
      <c r="BC832">
        <v>0</v>
      </c>
      <c r="BD832">
        <v>0</v>
      </c>
      <c r="BE832">
        <v>0</v>
      </c>
      <c r="BF832" s="18">
        <v>0</v>
      </c>
      <c r="BG832">
        <v>1</v>
      </c>
      <c r="BH832">
        <v>0</v>
      </c>
      <c r="BI832" s="18">
        <v>0</v>
      </c>
      <c r="BJ832">
        <v>20406</v>
      </c>
      <c r="BK832">
        <v>24425</v>
      </c>
      <c r="BL832" s="25">
        <v>19.16</v>
      </c>
      <c r="BM832">
        <v>0</v>
      </c>
      <c r="BN832">
        <v>0</v>
      </c>
      <c r="BO832">
        <v>0</v>
      </c>
      <c r="BP832">
        <v>0</v>
      </c>
      <c r="BQ832">
        <v>0</v>
      </c>
      <c r="BR832">
        <v>0</v>
      </c>
      <c r="BS832">
        <v>0</v>
      </c>
      <c r="BT832" s="18">
        <v>1</v>
      </c>
      <c r="BU832">
        <v>0</v>
      </c>
      <c r="BV832">
        <v>1</v>
      </c>
      <c r="BW832">
        <v>0</v>
      </c>
      <c r="BX832" s="18">
        <v>0</v>
      </c>
      <c r="BY832">
        <v>0</v>
      </c>
      <c r="BZ832">
        <v>0</v>
      </c>
      <c r="CA832">
        <v>0</v>
      </c>
      <c r="CB832">
        <v>0</v>
      </c>
      <c r="CC832" s="18">
        <v>0</v>
      </c>
      <c r="CD832">
        <v>0</v>
      </c>
      <c r="CE832">
        <v>0</v>
      </c>
      <c r="CF832">
        <v>0</v>
      </c>
      <c r="CG832">
        <v>0</v>
      </c>
      <c r="CH832">
        <v>1</v>
      </c>
      <c r="CI832">
        <v>0</v>
      </c>
      <c r="CJ832">
        <v>1</v>
      </c>
      <c r="CK832">
        <v>0</v>
      </c>
      <c r="CL832">
        <v>0</v>
      </c>
      <c r="CM832">
        <v>0</v>
      </c>
      <c r="CN832" s="18">
        <v>0</v>
      </c>
      <c r="CO832">
        <v>4.149</v>
      </c>
      <c r="CP832">
        <v>8</v>
      </c>
      <c r="CQ832">
        <v>1</v>
      </c>
      <c r="CR832">
        <v>0</v>
      </c>
      <c r="CS832">
        <v>23</v>
      </c>
      <c r="CY832" s="34"/>
    </row>
    <row r="833" spans="1:103" x14ac:dyDescent="0.25">
      <c r="A833">
        <v>832</v>
      </c>
      <c r="B833">
        <v>56</v>
      </c>
      <c r="C833" s="25" t="s">
        <v>3893</v>
      </c>
      <c r="D833" s="12">
        <v>0.84846446694681887</v>
      </c>
      <c r="E833" s="14">
        <v>4.8949873093085711E-2</v>
      </c>
      <c r="F833" s="7">
        <v>17.333333333333329</v>
      </c>
      <c r="G833" s="7">
        <f t="shared" si="192"/>
        <v>0.79951459385373314</v>
      </c>
      <c r="H833" s="16">
        <f t="shared" si="193"/>
        <v>0.89741434003990461</v>
      </c>
      <c r="I833" s="11">
        <f t="shared" si="196"/>
        <v>0.12206135585639513</v>
      </c>
      <c r="J833" s="33">
        <f t="shared" si="197"/>
        <v>7.0420012994074129E-3</v>
      </c>
      <c r="K833" s="33">
        <f t="shared" si="198"/>
        <v>142.00508598090579</v>
      </c>
      <c r="L833" s="8">
        <v>0</v>
      </c>
      <c r="M833" s="9">
        <v>1</v>
      </c>
      <c r="N833" s="8">
        <v>0</v>
      </c>
      <c r="O833" s="9">
        <v>0</v>
      </c>
      <c r="P833" s="9">
        <v>0</v>
      </c>
      <c r="Q833" s="9">
        <v>1</v>
      </c>
      <c r="R833" s="9">
        <v>0</v>
      </c>
      <c r="S833" s="8">
        <v>19878</v>
      </c>
      <c r="T833" s="9">
        <v>12</v>
      </c>
      <c r="U833" s="9">
        <f t="shared" si="194"/>
        <v>19865</v>
      </c>
      <c r="V833" s="9">
        <f t="shared" si="195"/>
        <v>12</v>
      </c>
      <c r="W833" s="7">
        <f t="shared" si="207"/>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205"/>
        <v>1</v>
      </c>
      <c r="AS833" t="s">
        <v>98</v>
      </c>
      <c r="AT833" s="40" t="s">
        <v>98</v>
      </c>
      <c r="AU833">
        <v>1</v>
      </c>
      <c r="AV833" s="18">
        <v>0</v>
      </c>
      <c r="AW833" t="s">
        <v>98</v>
      </c>
      <c r="AX833" s="18" t="s">
        <v>98</v>
      </c>
      <c r="AY833" s="18" t="s">
        <v>588</v>
      </c>
      <c r="AZ833">
        <v>1</v>
      </c>
      <c r="BA833">
        <v>0</v>
      </c>
      <c r="BB833">
        <v>0</v>
      </c>
      <c r="BC833">
        <v>0</v>
      </c>
      <c r="BD833">
        <v>0</v>
      </c>
      <c r="BE833">
        <v>0</v>
      </c>
      <c r="BF833" s="18">
        <v>0</v>
      </c>
      <c r="BG833">
        <v>1</v>
      </c>
      <c r="BH833">
        <v>0</v>
      </c>
      <c r="BI833" s="18">
        <v>0</v>
      </c>
      <c r="BJ833">
        <v>20406</v>
      </c>
      <c r="BK833">
        <v>24425</v>
      </c>
      <c r="BL833" s="25">
        <v>19.16</v>
      </c>
      <c r="BM833">
        <v>1</v>
      </c>
      <c r="BN833">
        <v>0</v>
      </c>
      <c r="BO833">
        <v>0</v>
      </c>
      <c r="BP833">
        <v>0</v>
      </c>
      <c r="BQ833">
        <v>0</v>
      </c>
      <c r="BR833">
        <v>0</v>
      </c>
      <c r="BS833">
        <v>0</v>
      </c>
      <c r="BT833" s="18">
        <v>0</v>
      </c>
      <c r="BU833">
        <v>0</v>
      </c>
      <c r="BV833">
        <v>1</v>
      </c>
      <c r="BW833">
        <v>0</v>
      </c>
      <c r="BX833" s="18">
        <v>0</v>
      </c>
      <c r="BY833">
        <v>0</v>
      </c>
      <c r="BZ833">
        <v>0</v>
      </c>
      <c r="CA833">
        <v>0</v>
      </c>
      <c r="CB833">
        <v>0</v>
      </c>
      <c r="CC833" s="18">
        <v>0</v>
      </c>
      <c r="CD833">
        <v>0</v>
      </c>
      <c r="CE833">
        <v>0</v>
      </c>
      <c r="CF833">
        <v>0</v>
      </c>
      <c r="CG833">
        <v>0</v>
      </c>
      <c r="CH833">
        <v>0</v>
      </c>
      <c r="CI833">
        <v>0</v>
      </c>
      <c r="CJ833">
        <v>0</v>
      </c>
      <c r="CK833">
        <v>0</v>
      </c>
      <c r="CL833">
        <v>0</v>
      </c>
      <c r="CM833">
        <v>0</v>
      </c>
      <c r="CN833" s="18">
        <v>0</v>
      </c>
      <c r="CO833">
        <v>4.149</v>
      </c>
      <c r="CP833">
        <v>8</v>
      </c>
      <c r="CQ833">
        <v>1</v>
      </c>
      <c r="CR833">
        <v>0</v>
      </c>
      <c r="CS833">
        <v>23</v>
      </c>
      <c r="CY833" s="34"/>
    </row>
    <row r="834" spans="1:103" x14ac:dyDescent="0.25">
      <c r="A834">
        <v>833</v>
      </c>
      <c r="B834">
        <v>56</v>
      </c>
      <c r="C834" s="25" t="s">
        <v>3893</v>
      </c>
      <c r="D834" s="12">
        <v>3.397935540207309</v>
      </c>
      <c r="E834" s="14">
        <v>0.38265039867199419</v>
      </c>
      <c r="F834" s="7">
        <v>8.879999999999999</v>
      </c>
      <c r="G834" s="7">
        <f t="shared" ref="G834:G897" si="208">D834-E834</f>
        <v>3.015285141535315</v>
      </c>
      <c r="H834" s="16">
        <f t="shared" ref="H834:H897" si="209">D834+E834</f>
        <v>3.7805859388793031</v>
      </c>
      <c r="I834" s="11">
        <f t="shared" si="196"/>
        <v>6.2884134011304604E-2</v>
      </c>
      <c r="J834" s="33">
        <f t="shared" si="197"/>
        <v>7.0815466228946631E-3</v>
      </c>
      <c r="K834" s="33">
        <f t="shared" si="198"/>
        <v>141.21209013395418</v>
      </c>
      <c r="L834" s="8">
        <v>0</v>
      </c>
      <c r="M834" s="9">
        <v>1</v>
      </c>
      <c r="N834" s="8">
        <v>0</v>
      </c>
      <c r="O834" s="9">
        <v>0</v>
      </c>
      <c r="P834" s="9">
        <v>0</v>
      </c>
      <c r="Q834" s="9">
        <v>1</v>
      </c>
      <c r="R834" s="9">
        <v>0</v>
      </c>
      <c r="S834" s="8">
        <v>19878</v>
      </c>
      <c r="T834" s="9">
        <v>15</v>
      </c>
      <c r="U834" s="9">
        <f t="shared" ref="U834:U897" si="210">S834-T834-1</f>
        <v>19862</v>
      </c>
      <c r="V834" s="9">
        <f t="shared" ref="V834:V897" si="211">COUNTIF(B:B,B834)</f>
        <v>12</v>
      </c>
      <c r="W834" s="7">
        <f t="shared" si="207"/>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205"/>
        <v>1</v>
      </c>
      <c r="AS834" t="s">
        <v>98</v>
      </c>
      <c r="AT834" s="40" t="s">
        <v>98</v>
      </c>
      <c r="AU834">
        <v>1</v>
      </c>
      <c r="AV834" s="18">
        <v>0</v>
      </c>
      <c r="AW834" t="s">
        <v>98</v>
      </c>
      <c r="AX834" s="18" t="s">
        <v>98</v>
      </c>
      <c r="AY834" s="18" t="s">
        <v>588</v>
      </c>
      <c r="AZ834">
        <v>1</v>
      </c>
      <c r="BA834">
        <v>0</v>
      </c>
      <c r="BB834">
        <v>0</v>
      </c>
      <c r="BC834">
        <v>0</v>
      </c>
      <c r="BD834">
        <v>0</v>
      </c>
      <c r="BE834">
        <v>0</v>
      </c>
      <c r="BF834" s="18">
        <v>0</v>
      </c>
      <c r="BG834">
        <v>1</v>
      </c>
      <c r="BH834">
        <v>0</v>
      </c>
      <c r="BI834" s="18">
        <v>0</v>
      </c>
      <c r="BJ834">
        <v>20406</v>
      </c>
      <c r="BK834">
        <v>24425</v>
      </c>
      <c r="BL834" s="25">
        <v>19.16</v>
      </c>
      <c r="BM834">
        <v>0</v>
      </c>
      <c r="BN834">
        <v>0</v>
      </c>
      <c r="BO834">
        <v>0</v>
      </c>
      <c r="BP834">
        <v>0</v>
      </c>
      <c r="BQ834">
        <v>0</v>
      </c>
      <c r="BR834">
        <v>0</v>
      </c>
      <c r="BS834">
        <v>0</v>
      </c>
      <c r="BT834" s="18">
        <v>1</v>
      </c>
      <c r="BU834">
        <v>0</v>
      </c>
      <c r="BV834">
        <v>1</v>
      </c>
      <c r="BW834">
        <v>0</v>
      </c>
      <c r="BX834" s="18">
        <v>0</v>
      </c>
      <c r="BY834">
        <v>0</v>
      </c>
      <c r="BZ834">
        <v>0</v>
      </c>
      <c r="CA834">
        <v>0</v>
      </c>
      <c r="CB834">
        <v>0</v>
      </c>
      <c r="CC834" s="18">
        <v>0</v>
      </c>
      <c r="CD834">
        <v>0</v>
      </c>
      <c r="CE834">
        <v>0</v>
      </c>
      <c r="CF834">
        <v>0</v>
      </c>
      <c r="CG834">
        <v>0</v>
      </c>
      <c r="CH834">
        <v>0</v>
      </c>
      <c r="CI834">
        <v>0</v>
      </c>
      <c r="CJ834">
        <v>0</v>
      </c>
      <c r="CK834">
        <v>0</v>
      </c>
      <c r="CL834">
        <v>0</v>
      </c>
      <c r="CM834">
        <v>0</v>
      </c>
      <c r="CN834" s="18">
        <v>0</v>
      </c>
      <c r="CO834">
        <v>4.149</v>
      </c>
      <c r="CP834">
        <v>8</v>
      </c>
      <c r="CQ834">
        <v>1</v>
      </c>
      <c r="CR834">
        <v>0</v>
      </c>
      <c r="CS834">
        <v>23</v>
      </c>
      <c r="CY834" s="34"/>
    </row>
    <row r="835" spans="1:103" x14ac:dyDescent="0.25">
      <c r="A835">
        <v>834</v>
      </c>
      <c r="B835">
        <v>56</v>
      </c>
      <c r="C835" s="25" t="s">
        <v>3893</v>
      </c>
      <c r="D835" s="12">
        <v>0.60736920618000845</v>
      </c>
      <c r="E835" s="14">
        <v>4.9246151852433119E-2</v>
      </c>
      <c r="F835" s="7">
        <v>12.33333333333333</v>
      </c>
      <c r="G835" s="7">
        <f t="shared" si="208"/>
        <v>0.55812305432757536</v>
      </c>
      <c r="H835" s="16">
        <f t="shared" si="209"/>
        <v>0.65661535803244153</v>
      </c>
      <c r="I835" s="11">
        <f t="shared" si="196"/>
        <v>8.7172553837586486E-2</v>
      </c>
      <c r="J835" s="33">
        <f t="shared" si="197"/>
        <v>7.0680449057502559E-3</v>
      </c>
      <c r="K835" s="33">
        <f t="shared" si="198"/>
        <v>141.48184021672574</v>
      </c>
      <c r="L835" s="8">
        <v>0</v>
      </c>
      <c r="M835" s="9">
        <v>1</v>
      </c>
      <c r="N835" s="8">
        <v>0</v>
      </c>
      <c r="O835" s="9">
        <v>0</v>
      </c>
      <c r="P835" s="9">
        <v>0</v>
      </c>
      <c r="Q835" s="9">
        <v>1</v>
      </c>
      <c r="R835" s="9">
        <v>0</v>
      </c>
      <c r="S835" s="8">
        <v>19878</v>
      </c>
      <c r="T835" s="9">
        <v>12</v>
      </c>
      <c r="U835" s="9">
        <f t="shared" si="210"/>
        <v>19865</v>
      </c>
      <c r="V835" s="9">
        <f t="shared" si="211"/>
        <v>12</v>
      </c>
      <c r="W835" s="7">
        <f t="shared" si="207"/>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205"/>
        <v>1</v>
      </c>
      <c r="AS835" t="s">
        <v>98</v>
      </c>
      <c r="AT835" s="40" t="s">
        <v>98</v>
      </c>
      <c r="AU835">
        <v>1</v>
      </c>
      <c r="AV835" s="18">
        <v>0</v>
      </c>
      <c r="AW835" t="s">
        <v>98</v>
      </c>
      <c r="AX835" s="18" t="s">
        <v>98</v>
      </c>
      <c r="AY835" s="18" t="s">
        <v>588</v>
      </c>
      <c r="AZ835">
        <v>1</v>
      </c>
      <c r="BA835">
        <v>0</v>
      </c>
      <c r="BB835">
        <v>0</v>
      </c>
      <c r="BC835">
        <v>0</v>
      </c>
      <c r="BD835">
        <v>0</v>
      </c>
      <c r="BE835">
        <v>0</v>
      </c>
      <c r="BF835" s="18">
        <v>0</v>
      </c>
      <c r="BG835">
        <v>1</v>
      </c>
      <c r="BH835">
        <v>0</v>
      </c>
      <c r="BI835" s="18">
        <v>0</v>
      </c>
      <c r="BJ835">
        <v>20406</v>
      </c>
      <c r="BK835">
        <v>24425</v>
      </c>
      <c r="BL835" s="25">
        <v>19.16</v>
      </c>
      <c r="BM835">
        <v>1</v>
      </c>
      <c r="BN835">
        <v>0</v>
      </c>
      <c r="BO835">
        <v>0</v>
      </c>
      <c r="BP835">
        <v>0</v>
      </c>
      <c r="BQ835">
        <v>0</v>
      </c>
      <c r="BR835">
        <v>0</v>
      </c>
      <c r="BS835">
        <v>0</v>
      </c>
      <c r="BT835" s="18">
        <v>0</v>
      </c>
      <c r="BU835">
        <v>0</v>
      </c>
      <c r="BV835">
        <v>1</v>
      </c>
      <c r="BW835">
        <v>0</v>
      </c>
      <c r="BX835" s="18">
        <v>0</v>
      </c>
      <c r="BY835">
        <v>0</v>
      </c>
      <c r="BZ835">
        <v>0</v>
      </c>
      <c r="CA835">
        <v>0</v>
      </c>
      <c r="CB835">
        <v>0</v>
      </c>
      <c r="CC835" s="18">
        <v>0</v>
      </c>
      <c r="CD835">
        <v>0</v>
      </c>
      <c r="CE835">
        <v>0</v>
      </c>
      <c r="CF835">
        <v>0</v>
      </c>
      <c r="CG835">
        <v>0</v>
      </c>
      <c r="CH835">
        <v>1</v>
      </c>
      <c r="CI835">
        <v>0</v>
      </c>
      <c r="CJ835">
        <v>1</v>
      </c>
      <c r="CK835">
        <v>0</v>
      </c>
      <c r="CL835">
        <v>0</v>
      </c>
      <c r="CM835">
        <v>0</v>
      </c>
      <c r="CN835" s="18">
        <v>0</v>
      </c>
      <c r="CO835">
        <v>4.149</v>
      </c>
      <c r="CP835">
        <v>8</v>
      </c>
      <c r="CQ835">
        <v>1</v>
      </c>
      <c r="CR835">
        <v>0</v>
      </c>
      <c r="CS835">
        <v>23</v>
      </c>
      <c r="CY835" s="34"/>
    </row>
    <row r="836" spans="1:103" x14ac:dyDescent="0.25">
      <c r="A836">
        <v>835</v>
      </c>
      <c r="B836">
        <v>56</v>
      </c>
      <c r="C836" s="25" t="s">
        <v>3893</v>
      </c>
      <c r="D836" s="12">
        <v>3.5104472838743521</v>
      </c>
      <c r="E836" s="14">
        <v>0.5341984997200101</v>
      </c>
      <c r="F836" s="7">
        <v>6.5714285714285712</v>
      </c>
      <c r="G836" s="146">
        <f t="shared" si="208"/>
        <v>2.9762487841543419</v>
      </c>
      <c r="H836" s="147">
        <f t="shared" si="209"/>
        <v>4.0446457835943619</v>
      </c>
      <c r="I836" s="11">
        <f t="shared" si="196"/>
        <v>4.6577556035354413E-2</v>
      </c>
      <c r="J836" s="33">
        <f t="shared" si="197"/>
        <v>7.0878889619017584E-3</v>
      </c>
      <c r="K836" s="33">
        <f t="shared" si="198"/>
        <v>141.08573164381076</v>
      </c>
      <c r="L836" s="8">
        <v>0</v>
      </c>
      <c r="M836" s="9">
        <v>1</v>
      </c>
      <c r="N836" s="8">
        <v>0</v>
      </c>
      <c r="O836" s="9">
        <v>0</v>
      </c>
      <c r="P836" s="9">
        <v>0</v>
      </c>
      <c r="Q836" s="9">
        <v>1</v>
      </c>
      <c r="R836" s="9">
        <v>0</v>
      </c>
      <c r="S836" s="8">
        <v>19878</v>
      </c>
      <c r="T836" s="9">
        <v>15</v>
      </c>
      <c r="U836" s="9">
        <f t="shared" si="210"/>
        <v>19862</v>
      </c>
      <c r="V836" s="9">
        <f t="shared" si="211"/>
        <v>12</v>
      </c>
      <c r="W836" s="7">
        <f t="shared" si="207"/>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205"/>
        <v>1</v>
      </c>
      <c r="AS836" t="s">
        <v>98</v>
      </c>
      <c r="AT836" s="40" t="s">
        <v>98</v>
      </c>
      <c r="AU836">
        <v>1</v>
      </c>
      <c r="AV836" s="18">
        <v>0</v>
      </c>
      <c r="AW836" t="s">
        <v>98</v>
      </c>
      <c r="AX836" s="18" t="s">
        <v>98</v>
      </c>
      <c r="AY836" s="18" t="s">
        <v>588</v>
      </c>
      <c r="AZ836">
        <v>1</v>
      </c>
      <c r="BA836">
        <v>0</v>
      </c>
      <c r="BB836">
        <v>0</v>
      </c>
      <c r="BC836">
        <v>0</v>
      </c>
      <c r="BD836">
        <v>0</v>
      </c>
      <c r="BE836">
        <v>0</v>
      </c>
      <c r="BF836" s="18">
        <v>0</v>
      </c>
      <c r="BG836">
        <v>1</v>
      </c>
      <c r="BH836">
        <v>0</v>
      </c>
      <c r="BI836" s="18">
        <v>0</v>
      </c>
      <c r="BJ836">
        <v>20406</v>
      </c>
      <c r="BK836">
        <v>24425</v>
      </c>
      <c r="BL836" s="25">
        <v>19.16</v>
      </c>
      <c r="BM836">
        <v>0</v>
      </c>
      <c r="BN836">
        <v>0</v>
      </c>
      <c r="BO836">
        <v>0</v>
      </c>
      <c r="BP836">
        <v>0</v>
      </c>
      <c r="BQ836">
        <v>0</v>
      </c>
      <c r="BR836">
        <v>0</v>
      </c>
      <c r="BS836">
        <v>0</v>
      </c>
      <c r="BT836" s="18">
        <v>1</v>
      </c>
      <c r="BU836">
        <v>0</v>
      </c>
      <c r="BV836">
        <v>1</v>
      </c>
      <c r="BW836">
        <v>0</v>
      </c>
      <c r="BX836" s="18">
        <v>0</v>
      </c>
      <c r="BY836">
        <v>0</v>
      </c>
      <c r="BZ836">
        <v>0</v>
      </c>
      <c r="CA836">
        <v>0</v>
      </c>
      <c r="CB836">
        <v>0</v>
      </c>
      <c r="CC836" s="18">
        <v>0</v>
      </c>
      <c r="CD836">
        <v>0</v>
      </c>
      <c r="CE836">
        <v>0</v>
      </c>
      <c r="CF836">
        <v>0</v>
      </c>
      <c r="CG836">
        <v>0</v>
      </c>
      <c r="CH836">
        <v>1</v>
      </c>
      <c r="CI836">
        <v>0</v>
      </c>
      <c r="CJ836">
        <v>1</v>
      </c>
      <c r="CK836">
        <v>0</v>
      </c>
      <c r="CL836">
        <v>0</v>
      </c>
      <c r="CM836">
        <v>0</v>
      </c>
      <c r="CN836" s="18">
        <v>0</v>
      </c>
      <c r="CO836">
        <v>4.149</v>
      </c>
      <c r="CP836">
        <v>8</v>
      </c>
      <c r="CQ836">
        <v>1</v>
      </c>
      <c r="CR836">
        <v>0</v>
      </c>
      <c r="CS836">
        <v>23</v>
      </c>
      <c r="CY836" s="34"/>
    </row>
    <row r="837" spans="1:103" x14ac:dyDescent="0.25">
      <c r="A837">
        <v>836</v>
      </c>
      <c r="B837">
        <v>57</v>
      </c>
      <c r="C837" s="25" t="s">
        <v>3912</v>
      </c>
      <c r="D837" s="12">
        <v>1.4</v>
      </c>
      <c r="E837" s="14">
        <f t="shared" ref="E837:E844" si="212">D837/F837</f>
        <v>0.72164948453608246</v>
      </c>
      <c r="F837" s="7">
        <v>1.94</v>
      </c>
      <c r="G837" s="7">
        <f t="shared" si="208"/>
        <v>0.67835051546391745</v>
      </c>
      <c r="H837" s="16">
        <f t="shared" si="209"/>
        <v>2.1216494845360825</v>
      </c>
      <c r="I837" s="11">
        <f t="shared" si="196"/>
        <v>5.6481241425366466E-2</v>
      </c>
      <c r="J837" s="33">
        <f t="shared" si="197"/>
        <v>2.9114041971838388E-2</v>
      </c>
      <c r="K837" s="33">
        <f t="shared" si="198"/>
        <v>34.347686967247157</v>
      </c>
      <c r="L837" s="8">
        <v>1</v>
      </c>
      <c r="M837" s="9">
        <v>0</v>
      </c>
      <c r="N837" s="8">
        <v>0</v>
      </c>
      <c r="O837" s="9">
        <v>1</v>
      </c>
      <c r="P837" s="9">
        <v>0</v>
      </c>
      <c r="Q837" s="9">
        <v>0</v>
      </c>
      <c r="R837" s="9">
        <v>0</v>
      </c>
      <c r="S837" s="8">
        <v>1182</v>
      </c>
      <c r="T837" s="9">
        <v>5</v>
      </c>
      <c r="U837" s="9">
        <f t="shared" si="210"/>
        <v>1176</v>
      </c>
      <c r="V837" s="9">
        <f t="shared" si="211"/>
        <v>8</v>
      </c>
      <c r="W837" s="7">
        <v>8.2799999999999994</v>
      </c>
      <c r="X837" s="7">
        <f t="shared" ref="X837:X844" si="213">BL837-W837-6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v>0</v>
      </c>
      <c r="BF837" s="18">
        <v>0</v>
      </c>
      <c r="BG837">
        <v>0</v>
      </c>
      <c r="BH837">
        <v>1</v>
      </c>
      <c r="BI837" s="18">
        <v>0</v>
      </c>
      <c r="BJ837">
        <v>615</v>
      </c>
      <c r="BK837">
        <v>47</v>
      </c>
      <c r="BL837" s="25">
        <v>33.81</v>
      </c>
      <c r="BM837">
        <v>1</v>
      </c>
      <c r="BN837">
        <v>0</v>
      </c>
      <c r="BO837">
        <v>0</v>
      </c>
      <c r="BP837">
        <v>0</v>
      </c>
      <c r="BQ837">
        <v>0</v>
      </c>
      <c r="BR837">
        <v>0</v>
      </c>
      <c r="BS837">
        <v>0</v>
      </c>
      <c r="BT837" s="18">
        <v>0</v>
      </c>
      <c r="BU837">
        <v>0</v>
      </c>
      <c r="BV837">
        <v>0</v>
      </c>
      <c r="BW837">
        <v>1</v>
      </c>
      <c r="BX837" s="18">
        <v>0</v>
      </c>
      <c r="BY837">
        <v>0</v>
      </c>
      <c r="BZ837">
        <v>0</v>
      </c>
      <c r="CA837">
        <v>0</v>
      </c>
      <c r="CB837">
        <v>0</v>
      </c>
      <c r="CC837" s="18">
        <v>0</v>
      </c>
      <c r="CD837">
        <v>0</v>
      </c>
      <c r="CE837">
        <v>0</v>
      </c>
      <c r="CF837">
        <v>1</v>
      </c>
      <c r="CG837">
        <v>1</v>
      </c>
      <c r="CH837">
        <v>1</v>
      </c>
      <c r="CI837">
        <v>0</v>
      </c>
      <c r="CJ837">
        <v>1</v>
      </c>
      <c r="CK837">
        <v>0</v>
      </c>
      <c r="CL837">
        <v>0</v>
      </c>
      <c r="CM837">
        <v>0</v>
      </c>
      <c r="CN837" s="18">
        <v>0</v>
      </c>
      <c r="CO837">
        <v>0.14599999999999999</v>
      </c>
      <c r="CP837">
        <v>4</v>
      </c>
      <c r="CQ837">
        <v>1</v>
      </c>
      <c r="CR837">
        <v>0</v>
      </c>
      <c r="CS837">
        <v>11</v>
      </c>
      <c r="CY837" s="34"/>
    </row>
    <row r="838" spans="1:103" x14ac:dyDescent="0.25">
      <c r="A838">
        <v>837</v>
      </c>
      <c r="B838">
        <v>57</v>
      </c>
      <c r="C838" s="25" t="s">
        <v>3912</v>
      </c>
      <c r="D838" s="12">
        <v>1.2</v>
      </c>
      <c r="E838" s="14">
        <f t="shared" si="212"/>
        <v>0.72727272727272729</v>
      </c>
      <c r="F838" s="7">
        <v>1.65</v>
      </c>
      <c r="G838" s="7">
        <f t="shared" si="208"/>
        <v>0.47272727272727266</v>
      </c>
      <c r="H838" s="16">
        <f t="shared" si="209"/>
        <v>1.9272727272727272</v>
      </c>
      <c r="I838" s="11">
        <f t="shared" si="196"/>
        <v>4.8059379292181577E-2</v>
      </c>
      <c r="J838" s="33">
        <f t="shared" si="197"/>
        <v>2.912689654071611E-2</v>
      </c>
      <c r="K838" s="33">
        <f t="shared" si="198"/>
        <v>34.332528307714249</v>
      </c>
      <c r="L838" s="8">
        <v>1</v>
      </c>
      <c r="M838" s="9">
        <v>0</v>
      </c>
      <c r="N838" s="8">
        <v>0</v>
      </c>
      <c r="O838" s="9">
        <v>1</v>
      </c>
      <c r="P838" s="9">
        <v>0</v>
      </c>
      <c r="Q838" s="9">
        <v>0</v>
      </c>
      <c r="R838" s="9">
        <v>0</v>
      </c>
      <c r="S838" s="8">
        <v>1182</v>
      </c>
      <c r="T838" s="9">
        <v>5</v>
      </c>
      <c r="U838" s="9">
        <f t="shared" si="210"/>
        <v>1176</v>
      </c>
      <c r="V838" s="9">
        <f t="shared" si="211"/>
        <v>8</v>
      </c>
      <c r="W838" s="7">
        <v>8.2799999999999994</v>
      </c>
      <c r="X838" s="7">
        <f t="shared" si="213"/>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v>0</v>
      </c>
      <c r="BF838" s="18">
        <v>0</v>
      </c>
      <c r="BG838">
        <v>0</v>
      </c>
      <c r="BH838">
        <v>1</v>
      </c>
      <c r="BI838" s="18">
        <v>0</v>
      </c>
      <c r="BJ838">
        <v>615</v>
      </c>
      <c r="BK838">
        <v>47</v>
      </c>
      <c r="BL838" s="25">
        <v>33.81</v>
      </c>
      <c r="BM838">
        <v>1</v>
      </c>
      <c r="BN838">
        <v>0</v>
      </c>
      <c r="BO838">
        <v>0</v>
      </c>
      <c r="BP838">
        <v>0</v>
      </c>
      <c r="BQ838">
        <v>0</v>
      </c>
      <c r="BR838">
        <v>0</v>
      </c>
      <c r="BS838">
        <v>0</v>
      </c>
      <c r="BT838" s="18">
        <v>0</v>
      </c>
      <c r="BU838">
        <v>0</v>
      </c>
      <c r="BV838">
        <v>0</v>
      </c>
      <c r="BW838">
        <v>1</v>
      </c>
      <c r="BX838" s="18">
        <v>0</v>
      </c>
      <c r="BY838">
        <v>0</v>
      </c>
      <c r="BZ838">
        <v>0</v>
      </c>
      <c r="CA838">
        <v>0</v>
      </c>
      <c r="CB838">
        <v>0</v>
      </c>
      <c r="CC838" s="18">
        <v>0</v>
      </c>
      <c r="CD838">
        <v>0</v>
      </c>
      <c r="CE838">
        <v>0</v>
      </c>
      <c r="CF838">
        <v>1</v>
      </c>
      <c r="CG838">
        <v>1</v>
      </c>
      <c r="CH838">
        <v>1</v>
      </c>
      <c r="CI838">
        <v>0</v>
      </c>
      <c r="CJ838">
        <v>1</v>
      </c>
      <c r="CK838">
        <v>0</v>
      </c>
      <c r="CL838">
        <v>0</v>
      </c>
      <c r="CM838">
        <v>0</v>
      </c>
      <c r="CN838" s="18">
        <v>0</v>
      </c>
      <c r="CO838">
        <v>0.14599999999999999</v>
      </c>
      <c r="CP838">
        <v>4</v>
      </c>
      <c r="CQ838">
        <v>1</v>
      </c>
      <c r="CR838">
        <v>0</v>
      </c>
      <c r="CS838">
        <v>11</v>
      </c>
      <c r="CY838" s="34"/>
    </row>
    <row r="839" spans="1:103" x14ac:dyDescent="0.25">
      <c r="A839">
        <v>838</v>
      </c>
      <c r="B839">
        <v>57</v>
      </c>
      <c r="C839" s="25" t="s">
        <v>3912</v>
      </c>
      <c r="D839" s="12">
        <v>0.83</v>
      </c>
      <c r="E839" s="14">
        <f t="shared" si="212"/>
        <v>0.77570093457943912</v>
      </c>
      <c r="F839" s="7">
        <v>1.07</v>
      </c>
      <c r="G839" s="7">
        <f t="shared" si="208"/>
        <v>5.4299065420560844E-2</v>
      </c>
      <c r="H839" s="16">
        <f t="shared" si="209"/>
        <v>1.6057009345794391</v>
      </c>
      <c r="I839" s="11">
        <f t="shared" si="196"/>
        <v>3.1186656367779658E-2</v>
      </c>
      <c r="J839" s="33">
        <f t="shared" si="197"/>
        <v>2.9146407820354818E-2</v>
      </c>
      <c r="K839" s="33">
        <f t="shared" si="198"/>
        <v>34.309545319050791</v>
      </c>
      <c r="L839" s="8">
        <v>1</v>
      </c>
      <c r="M839" s="9">
        <v>0</v>
      </c>
      <c r="N839" s="8">
        <v>0</v>
      </c>
      <c r="O839" s="9">
        <v>1</v>
      </c>
      <c r="P839" s="9">
        <v>0</v>
      </c>
      <c r="Q839" s="9">
        <v>0</v>
      </c>
      <c r="R839" s="9">
        <v>0</v>
      </c>
      <c r="S839" s="8">
        <v>1182</v>
      </c>
      <c r="T839" s="9">
        <v>5</v>
      </c>
      <c r="U839" s="9">
        <f t="shared" si="210"/>
        <v>1176</v>
      </c>
      <c r="V839" s="9">
        <f t="shared" si="211"/>
        <v>8</v>
      </c>
      <c r="W839" s="7">
        <v>8.2799999999999994</v>
      </c>
      <c r="X839" s="7">
        <f t="shared" si="213"/>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v>0</v>
      </c>
      <c r="BF839" s="18">
        <v>0</v>
      </c>
      <c r="BG839">
        <v>0</v>
      </c>
      <c r="BH839">
        <v>1</v>
      </c>
      <c r="BI839" s="18">
        <v>0</v>
      </c>
      <c r="BJ839">
        <v>615</v>
      </c>
      <c r="BK839">
        <v>47</v>
      </c>
      <c r="BL839" s="25">
        <v>33.81</v>
      </c>
      <c r="BM839">
        <v>1</v>
      </c>
      <c r="BN839">
        <v>0</v>
      </c>
      <c r="BO839">
        <v>0</v>
      </c>
      <c r="BP839">
        <v>0</v>
      </c>
      <c r="BQ839">
        <v>0</v>
      </c>
      <c r="BR839">
        <v>0</v>
      </c>
      <c r="BS839">
        <v>0</v>
      </c>
      <c r="BT839" s="18">
        <v>0</v>
      </c>
      <c r="BU839">
        <v>0</v>
      </c>
      <c r="BV839">
        <v>0</v>
      </c>
      <c r="BW839">
        <v>1</v>
      </c>
      <c r="BX839" s="18">
        <v>0</v>
      </c>
      <c r="BY839">
        <v>0</v>
      </c>
      <c r="BZ839">
        <v>0</v>
      </c>
      <c r="CA839">
        <v>0</v>
      </c>
      <c r="CB839">
        <v>0</v>
      </c>
      <c r="CC839" s="18">
        <v>0</v>
      </c>
      <c r="CD839">
        <v>0</v>
      </c>
      <c r="CE839">
        <v>0</v>
      </c>
      <c r="CF839">
        <v>1</v>
      </c>
      <c r="CG839">
        <v>1</v>
      </c>
      <c r="CH839">
        <v>1</v>
      </c>
      <c r="CI839">
        <v>0</v>
      </c>
      <c r="CJ839">
        <v>1</v>
      </c>
      <c r="CK839">
        <v>1</v>
      </c>
      <c r="CL839">
        <v>0</v>
      </c>
      <c r="CM839">
        <v>0</v>
      </c>
      <c r="CN839" s="18">
        <v>0</v>
      </c>
      <c r="CO839">
        <v>0.14599999999999999</v>
      </c>
      <c r="CP839">
        <v>4</v>
      </c>
      <c r="CQ839">
        <v>1</v>
      </c>
      <c r="CR839">
        <v>0</v>
      </c>
      <c r="CS839">
        <v>11</v>
      </c>
      <c r="CY839" s="34"/>
    </row>
    <row r="840" spans="1:103" x14ac:dyDescent="0.25">
      <c r="A840">
        <v>839</v>
      </c>
      <c r="B840">
        <v>57</v>
      </c>
      <c r="C840" s="25" t="s">
        <v>3912</v>
      </c>
      <c r="D840" s="12">
        <v>0.68</v>
      </c>
      <c r="E840" s="14">
        <f t="shared" si="212"/>
        <v>0.66666666666666674</v>
      </c>
      <c r="F840" s="7">
        <v>1.02</v>
      </c>
      <c r="G840" s="7">
        <f t="shared" si="208"/>
        <v>1.3333333333333308E-2</v>
      </c>
      <c r="H840" s="16">
        <f t="shared" si="209"/>
        <v>1.3466666666666667</v>
      </c>
      <c r="I840" s="11">
        <f t="shared" ref="I840:I903" si="214">IFERROR(F840/SQRT(F840^2+U840), "X")</f>
        <v>2.9730655662414812E-2</v>
      </c>
      <c r="J840" s="33">
        <f t="shared" ref="J840:J903" si="215">IFERROR(SQRT((1-I840^2)/U840), "X")</f>
        <v>2.9147701629818445E-2</v>
      </c>
      <c r="K840" s="33">
        <f t="shared" ref="K840:K903" si="216">IFERROR(1/J840, "X")</f>
        <v>34.308022385442158</v>
      </c>
      <c r="L840" s="8">
        <v>1</v>
      </c>
      <c r="M840" s="9">
        <v>0</v>
      </c>
      <c r="N840" s="8">
        <v>0</v>
      </c>
      <c r="O840" s="9">
        <v>1</v>
      </c>
      <c r="P840" s="9">
        <v>0</v>
      </c>
      <c r="Q840" s="9">
        <v>0</v>
      </c>
      <c r="R840" s="9">
        <v>0</v>
      </c>
      <c r="S840" s="8">
        <v>1182</v>
      </c>
      <c r="T840" s="9">
        <v>5</v>
      </c>
      <c r="U840" s="9">
        <f t="shared" si="210"/>
        <v>1176</v>
      </c>
      <c r="V840" s="9">
        <f t="shared" si="211"/>
        <v>8</v>
      </c>
      <c r="W840" s="7">
        <v>8.2799999999999994</v>
      </c>
      <c r="X840" s="7">
        <f t="shared" si="213"/>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v>0</v>
      </c>
      <c r="BF840" s="18">
        <v>0</v>
      </c>
      <c r="BG840">
        <v>0</v>
      </c>
      <c r="BH840">
        <v>1</v>
      </c>
      <c r="BI840" s="18">
        <v>0</v>
      </c>
      <c r="BJ840">
        <v>615</v>
      </c>
      <c r="BK840">
        <v>47</v>
      </c>
      <c r="BL840" s="25">
        <v>33.81</v>
      </c>
      <c r="BM840">
        <v>1</v>
      </c>
      <c r="BN840">
        <v>0</v>
      </c>
      <c r="BO840">
        <v>0</v>
      </c>
      <c r="BP840">
        <v>0</v>
      </c>
      <c r="BQ840">
        <v>0</v>
      </c>
      <c r="BR840">
        <v>0</v>
      </c>
      <c r="BS840">
        <v>0</v>
      </c>
      <c r="BT840" s="18">
        <v>0</v>
      </c>
      <c r="BU840">
        <v>0</v>
      </c>
      <c r="BV840">
        <v>0</v>
      </c>
      <c r="BW840">
        <v>1</v>
      </c>
      <c r="BX840" s="18">
        <v>0</v>
      </c>
      <c r="BY840">
        <v>0</v>
      </c>
      <c r="BZ840">
        <v>0</v>
      </c>
      <c r="CA840">
        <v>0</v>
      </c>
      <c r="CB840">
        <v>0</v>
      </c>
      <c r="CC840" s="18">
        <v>0</v>
      </c>
      <c r="CD840">
        <v>0</v>
      </c>
      <c r="CE840">
        <v>0</v>
      </c>
      <c r="CF840">
        <v>1</v>
      </c>
      <c r="CG840">
        <v>1</v>
      </c>
      <c r="CH840">
        <v>1</v>
      </c>
      <c r="CI840">
        <v>0</v>
      </c>
      <c r="CJ840">
        <v>1</v>
      </c>
      <c r="CK840">
        <v>0</v>
      </c>
      <c r="CL840">
        <v>0</v>
      </c>
      <c r="CM840">
        <v>0</v>
      </c>
      <c r="CN840" s="18">
        <v>0</v>
      </c>
      <c r="CO840">
        <v>0.14599999999999999</v>
      </c>
      <c r="CP840">
        <v>4</v>
      </c>
      <c r="CQ840">
        <v>1</v>
      </c>
      <c r="CR840">
        <v>0</v>
      </c>
      <c r="CS840">
        <v>11</v>
      </c>
      <c r="CY840" s="34"/>
    </row>
    <row r="841" spans="1:103" x14ac:dyDescent="0.25">
      <c r="A841">
        <v>840</v>
      </c>
      <c r="B841">
        <v>57</v>
      </c>
      <c r="C841" s="25" t="s">
        <v>3912</v>
      </c>
      <c r="D841" s="12">
        <v>0.71</v>
      </c>
      <c r="E841" s="14">
        <f t="shared" si="212"/>
        <v>0.70297029702970293</v>
      </c>
      <c r="F841" s="7">
        <v>1.01</v>
      </c>
      <c r="G841" s="7">
        <f t="shared" si="208"/>
        <v>7.0297029702970359E-3</v>
      </c>
      <c r="H841" s="16">
        <f t="shared" si="209"/>
        <v>1.4129702970297029</v>
      </c>
      <c r="I841" s="11">
        <f t="shared" si="214"/>
        <v>2.9439432512957893E-2</v>
      </c>
      <c r="J841" s="33">
        <f t="shared" si="215"/>
        <v>2.9147952983126627E-2</v>
      </c>
      <c r="K841" s="33">
        <f t="shared" si="216"/>
        <v>34.307726534994998</v>
      </c>
      <c r="L841" s="8">
        <v>1</v>
      </c>
      <c r="M841" s="9">
        <v>0</v>
      </c>
      <c r="N841" s="8">
        <v>0</v>
      </c>
      <c r="O841" s="9">
        <v>1</v>
      </c>
      <c r="P841" s="9">
        <v>0</v>
      </c>
      <c r="Q841" s="9">
        <v>0</v>
      </c>
      <c r="R841" s="9">
        <v>0</v>
      </c>
      <c r="S841" s="8">
        <v>1182</v>
      </c>
      <c r="T841" s="9">
        <v>5</v>
      </c>
      <c r="U841" s="9">
        <f t="shared" si="210"/>
        <v>1176</v>
      </c>
      <c r="V841" s="9">
        <f t="shared" si="211"/>
        <v>8</v>
      </c>
      <c r="W841" s="7">
        <v>8.2799999999999994</v>
      </c>
      <c r="X841" s="7">
        <f t="shared" si="213"/>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v>0</v>
      </c>
      <c r="BF841" s="18">
        <v>0</v>
      </c>
      <c r="BG841">
        <v>0</v>
      </c>
      <c r="BH841">
        <v>1</v>
      </c>
      <c r="BI841" s="18">
        <v>0</v>
      </c>
      <c r="BJ841">
        <v>615</v>
      </c>
      <c r="BK841">
        <v>47</v>
      </c>
      <c r="BL841" s="25">
        <v>33.81</v>
      </c>
      <c r="BM841">
        <v>1</v>
      </c>
      <c r="BN841">
        <v>0</v>
      </c>
      <c r="BO841">
        <v>0</v>
      </c>
      <c r="BP841">
        <v>0</v>
      </c>
      <c r="BQ841">
        <v>0</v>
      </c>
      <c r="BR841">
        <v>0</v>
      </c>
      <c r="BS841">
        <v>0</v>
      </c>
      <c r="BT841" s="18">
        <v>0</v>
      </c>
      <c r="BU841">
        <v>0</v>
      </c>
      <c r="BV841">
        <v>0</v>
      </c>
      <c r="BW841">
        <v>1</v>
      </c>
      <c r="BX841" s="18">
        <v>0</v>
      </c>
      <c r="BY841">
        <v>0</v>
      </c>
      <c r="BZ841">
        <v>0</v>
      </c>
      <c r="CA841">
        <v>0</v>
      </c>
      <c r="CB841">
        <v>0</v>
      </c>
      <c r="CC841" s="18">
        <v>0</v>
      </c>
      <c r="CD841">
        <v>0</v>
      </c>
      <c r="CE841">
        <v>0</v>
      </c>
      <c r="CF841">
        <v>1</v>
      </c>
      <c r="CG841">
        <v>1</v>
      </c>
      <c r="CH841">
        <v>1</v>
      </c>
      <c r="CI841">
        <v>0</v>
      </c>
      <c r="CJ841">
        <v>1</v>
      </c>
      <c r="CK841">
        <v>0</v>
      </c>
      <c r="CL841">
        <v>0</v>
      </c>
      <c r="CM841">
        <v>0</v>
      </c>
      <c r="CN841" s="18">
        <v>0</v>
      </c>
      <c r="CO841">
        <v>0.14599999999999999</v>
      </c>
      <c r="CP841">
        <v>4</v>
      </c>
      <c r="CQ841">
        <v>1</v>
      </c>
      <c r="CR841">
        <v>0</v>
      </c>
      <c r="CS841">
        <v>11</v>
      </c>
      <c r="CY841" s="34"/>
    </row>
    <row r="842" spans="1:103" x14ac:dyDescent="0.25">
      <c r="A842">
        <v>841</v>
      </c>
      <c r="B842">
        <v>57</v>
      </c>
      <c r="C842" s="25" t="s">
        <v>3912</v>
      </c>
      <c r="D842" s="12">
        <v>1.1000000000000001</v>
      </c>
      <c r="E842" s="14">
        <f t="shared" si="212"/>
        <v>0.73825503355704702</v>
      </c>
      <c r="F842" s="7">
        <v>1.49</v>
      </c>
      <c r="G842" s="7">
        <f t="shared" si="208"/>
        <v>0.36174496644295306</v>
      </c>
      <c r="H842" s="16">
        <f t="shared" si="209"/>
        <v>1.8382550335570471</v>
      </c>
      <c r="I842" s="11">
        <f t="shared" si="214"/>
        <v>4.340832767047214E-2</v>
      </c>
      <c r="J842" s="33">
        <f t="shared" si="215"/>
        <v>2.9133105819108818E-2</v>
      </c>
      <c r="K842" s="33">
        <f t="shared" si="216"/>
        <v>34.32521085150097</v>
      </c>
      <c r="L842" s="8">
        <v>1</v>
      </c>
      <c r="M842" s="9">
        <v>0</v>
      </c>
      <c r="N842" s="8">
        <v>0</v>
      </c>
      <c r="O842" s="9">
        <v>1</v>
      </c>
      <c r="P842" s="9">
        <v>0</v>
      </c>
      <c r="Q842" s="9">
        <v>0</v>
      </c>
      <c r="R842" s="9">
        <v>0</v>
      </c>
      <c r="S842" s="8">
        <v>1182</v>
      </c>
      <c r="T842" s="9">
        <v>5</v>
      </c>
      <c r="U842" s="9">
        <f t="shared" si="210"/>
        <v>1176</v>
      </c>
      <c r="V842" s="9">
        <f t="shared" si="211"/>
        <v>8</v>
      </c>
      <c r="W842" s="7">
        <v>8.2799999999999994</v>
      </c>
      <c r="X842" s="7">
        <f t="shared" si="213"/>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v>0</v>
      </c>
      <c r="BF842" s="18">
        <v>0</v>
      </c>
      <c r="BG842">
        <v>0</v>
      </c>
      <c r="BH842">
        <v>1</v>
      </c>
      <c r="BI842" s="18">
        <v>0</v>
      </c>
      <c r="BJ842">
        <v>615</v>
      </c>
      <c r="BK842">
        <v>47</v>
      </c>
      <c r="BL842" s="25">
        <v>33.81</v>
      </c>
      <c r="BM842">
        <v>1</v>
      </c>
      <c r="BN842">
        <v>0</v>
      </c>
      <c r="BO842">
        <v>0</v>
      </c>
      <c r="BP842">
        <v>0</v>
      </c>
      <c r="BQ842">
        <v>0</v>
      </c>
      <c r="BR842">
        <v>0</v>
      </c>
      <c r="BS842">
        <v>0</v>
      </c>
      <c r="BT842" s="18">
        <v>0</v>
      </c>
      <c r="BU842">
        <v>0</v>
      </c>
      <c r="BV842">
        <v>0</v>
      </c>
      <c r="BW842">
        <v>1</v>
      </c>
      <c r="BX842" s="18">
        <v>0</v>
      </c>
      <c r="BY842">
        <v>0</v>
      </c>
      <c r="BZ842">
        <v>0</v>
      </c>
      <c r="CA842">
        <v>0</v>
      </c>
      <c r="CB842">
        <v>0</v>
      </c>
      <c r="CC842" s="18">
        <v>0</v>
      </c>
      <c r="CD842">
        <v>0</v>
      </c>
      <c r="CE842">
        <v>0</v>
      </c>
      <c r="CF842">
        <v>1</v>
      </c>
      <c r="CG842">
        <v>1</v>
      </c>
      <c r="CH842">
        <v>1</v>
      </c>
      <c r="CI842">
        <v>0</v>
      </c>
      <c r="CJ842">
        <v>1</v>
      </c>
      <c r="CK842">
        <v>0</v>
      </c>
      <c r="CL842">
        <v>0</v>
      </c>
      <c r="CM842">
        <v>0</v>
      </c>
      <c r="CN842" s="18">
        <v>0</v>
      </c>
      <c r="CO842">
        <v>0.14599999999999999</v>
      </c>
      <c r="CP842">
        <v>4</v>
      </c>
      <c r="CQ842">
        <v>1</v>
      </c>
      <c r="CR842">
        <v>0</v>
      </c>
      <c r="CS842">
        <v>11</v>
      </c>
      <c r="CY842" s="34"/>
    </row>
    <row r="843" spans="1:103" x14ac:dyDescent="0.25">
      <c r="A843">
        <v>842</v>
      </c>
      <c r="B843">
        <v>57</v>
      </c>
      <c r="C843" s="25" t="s">
        <v>3912</v>
      </c>
      <c r="D843" s="12">
        <v>0.87</v>
      </c>
      <c r="E843" s="14">
        <f t="shared" si="212"/>
        <v>0.87878787878787878</v>
      </c>
      <c r="F843" s="7">
        <v>0.99</v>
      </c>
      <c r="G843" s="7">
        <f t="shared" si="208"/>
        <v>-8.787878787878789E-3</v>
      </c>
      <c r="H843" s="16">
        <f t="shared" si="209"/>
        <v>1.7487878787878788</v>
      </c>
      <c r="I843" s="11">
        <f t="shared" si="214"/>
        <v>2.8856963796815759E-2</v>
      </c>
      <c r="J843" s="33">
        <f t="shared" si="215"/>
        <v>2.9148448279611879E-2</v>
      </c>
      <c r="K843" s="33">
        <f t="shared" si="216"/>
        <v>34.307143570982412</v>
      </c>
      <c r="L843" s="8">
        <v>1</v>
      </c>
      <c r="M843" s="9">
        <v>0</v>
      </c>
      <c r="N843" s="8">
        <v>0</v>
      </c>
      <c r="O843" s="9">
        <v>1</v>
      </c>
      <c r="P843" s="9">
        <v>0</v>
      </c>
      <c r="Q843" s="9">
        <v>0</v>
      </c>
      <c r="R843" s="9">
        <v>0</v>
      </c>
      <c r="S843" s="8">
        <v>1182</v>
      </c>
      <c r="T843" s="9">
        <v>5</v>
      </c>
      <c r="U843" s="9">
        <f t="shared" si="210"/>
        <v>1176</v>
      </c>
      <c r="V843" s="9">
        <f t="shared" si="211"/>
        <v>8</v>
      </c>
      <c r="W843" s="7">
        <v>8.2799999999999994</v>
      </c>
      <c r="X843" s="7">
        <f t="shared" si="213"/>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v>0</v>
      </c>
      <c r="BF843" s="18">
        <v>0</v>
      </c>
      <c r="BG843">
        <v>0</v>
      </c>
      <c r="BH843">
        <v>1</v>
      </c>
      <c r="BI843" s="18">
        <v>0</v>
      </c>
      <c r="BJ843">
        <v>615</v>
      </c>
      <c r="BK843">
        <v>47</v>
      </c>
      <c r="BL843" s="25">
        <v>33.81</v>
      </c>
      <c r="BM843">
        <v>0</v>
      </c>
      <c r="BN843">
        <v>0</v>
      </c>
      <c r="BO843">
        <v>0</v>
      </c>
      <c r="BP843">
        <v>0</v>
      </c>
      <c r="BQ843">
        <v>1</v>
      </c>
      <c r="BR843">
        <v>0</v>
      </c>
      <c r="BS843">
        <v>0</v>
      </c>
      <c r="BT843" s="18">
        <v>0</v>
      </c>
      <c r="BU843">
        <v>0</v>
      </c>
      <c r="BV843">
        <v>0</v>
      </c>
      <c r="BW843">
        <v>1</v>
      </c>
      <c r="BX843" s="18">
        <v>0</v>
      </c>
      <c r="BY843">
        <v>0</v>
      </c>
      <c r="BZ843">
        <v>0</v>
      </c>
      <c r="CA843">
        <v>0</v>
      </c>
      <c r="CB843">
        <v>0</v>
      </c>
      <c r="CC843" s="18">
        <v>0</v>
      </c>
      <c r="CD843">
        <v>0</v>
      </c>
      <c r="CE843">
        <v>0</v>
      </c>
      <c r="CF843">
        <v>1</v>
      </c>
      <c r="CG843">
        <v>1</v>
      </c>
      <c r="CH843">
        <v>1</v>
      </c>
      <c r="CI843">
        <v>0</v>
      </c>
      <c r="CJ843">
        <v>1</v>
      </c>
      <c r="CK843">
        <v>0</v>
      </c>
      <c r="CL843">
        <v>0</v>
      </c>
      <c r="CM843">
        <v>0</v>
      </c>
      <c r="CN843" s="18">
        <v>0</v>
      </c>
      <c r="CO843">
        <v>0.14599999999999999</v>
      </c>
      <c r="CP843">
        <v>4</v>
      </c>
      <c r="CQ843">
        <v>1</v>
      </c>
      <c r="CR843">
        <v>0</v>
      </c>
      <c r="CS843">
        <v>11</v>
      </c>
      <c r="CY843" s="34"/>
    </row>
    <row r="844" spans="1:103" x14ac:dyDescent="0.25">
      <c r="A844">
        <v>843</v>
      </c>
      <c r="B844">
        <v>57</v>
      </c>
      <c r="C844" s="25" t="s">
        <v>3912</v>
      </c>
      <c r="D844" s="12">
        <v>1.5</v>
      </c>
      <c r="E844" s="14">
        <f t="shared" si="212"/>
        <v>0.81521739130434778</v>
      </c>
      <c r="F844" s="7">
        <v>1.84</v>
      </c>
      <c r="G844" s="7">
        <f t="shared" si="208"/>
        <v>0.68478260869565222</v>
      </c>
      <c r="H844" s="16">
        <f t="shared" si="209"/>
        <v>2.3152173913043477</v>
      </c>
      <c r="I844" s="11">
        <f t="shared" si="214"/>
        <v>5.3578421263895587E-2</v>
      </c>
      <c r="J844" s="33">
        <f t="shared" si="215"/>
        <v>2.9118707208638905E-2</v>
      </c>
      <c r="K844" s="33">
        <f t="shared" si="216"/>
        <v>34.342183972484918</v>
      </c>
      <c r="L844" s="8">
        <v>1</v>
      </c>
      <c r="M844" s="9">
        <v>0</v>
      </c>
      <c r="N844" s="8">
        <v>0</v>
      </c>
      <c r="O844" s="9">
        <v>1</v>
      </c>
      <c r="P844" s="9">
        <v>0</v>
      </c>
      <c r="Q844" s="9">
        <v>0</v>
      </c>
      <c r="R844" s="9">
        <v>0</v>
      </c>
      <c r="S844" s="8">
        <v>1182</v>
      </c>
      <c r="T844" s="9">
        <v>5</v>
      </c>
      <c r="U844" s="9">
        <f t="shared" si="210"/>
        <v>1176</v>
      </c>
      <c r="V844" s="9">
        <f t="shared" si="211"/>
        <v>8</v>
      </c>
      <c r="W844" s="7">
        <v>8.2799999999999994</v>
      </c>
      <c r="X844" s="7">
        <f t="shared" si="213"/>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v>0</v>
      </c>
      <c r="BF844" s="18">
        <v>0</v>
      </c>
      <c r="BG844">
        <v>0</v>
      </c>
      <c r="BH844">
        <v>1</v>
      </c>
      <c r="BI844" s="18">
        <v>0</v>
      </c>
      <c r="BJ844">
        <v>615</v>
      </c>
      <c r="BK844">
        <v>47</v>
      </c>
      <c r="BL844" s="25">
        <v>33.81</v>
      </c>
      <c r="BM844">
        <v>0</v>
      </c>
      <c r="BN844">
        <v>0</v>
      </c>
      <c r="BO844">
        <v>0</v>
      </c>
      <c r="BP844">
        <v>0</v>
      </c>
      <c r="BQ844">
        <v>1</v>
      </c>
      <c r="BR844">
        <v>0</v>
      </c>
      <c r="BS844">
        <v>0</v>
      </c>
      <c r="BT844" s="18">
        <v>0</v>
      </c>
      <c r="BU844">
        <v>0</v>
      </c>
      <c r="BV844">
        <v>0</v>
      </c>
      <c r="BW844">
        <v>1</v>
      </c>
      <c r="BX844" s="18">
        <v>0</v>
      </c>
      <c r="BY844">
        <v>0</v>
      </c>
      <c r="BZ844">
        <v>0</v>
      </c>
      <c r="CA844">
        <v>0</v>
      </c>
      <c r="CB844">
        <v>0</v>
      </c>
      <c r="CC844" s="18">
        <v>0</v>
      </c>
      <c r="CD844">
        <v>0</v>
      </c>
      <c r="CE844">
        <v>0</v>
      </c>
      <c r="CF844">
        <v>1</v>
      </c>
      <c r="CG844">
        <v>1</v>
      </c>
      <c r="CH844">
        <v>1</v>
      </c>
      <c r="CI844">
        <v>0</v>
      </c>
      <c r="CJ844">
        <v>1</v>
      </c>
      <c r="CK844">
        <v>0</v>
      </c>
      <c r="CL844">
        <v>0</v>
      </c>
      <c r="CM844">
        <v>0</v>
      </c>
      <c r="CN844" s="18">
        <v>0</v>
      </c>
      <c r="CO844">
        <v>0.14599999999999999</v>
      </c>
      <c r="CP844">
        <v>4</v>
      </c>
      <c r="CQ844">
        <v>1</v>
      </c>
      <c r="CR844">
        <v>0</v>
      </c>
      <c r="CS844">
        <v>11</v>
      </c>
      <c r="CY844" s="34"/>
    </row>
    <row r="845" spans="1:103" x14ac:dyDescent="0.25">
      <c r="A845">
        <v>844</v>
      </c>
      <c r="B845">
        <v>58</v>
      </c>
      <c r="C845" s="25" t="s">
        <v>3921</v>
      </c>
      <c r="D845" s="12">
        <v>7.2</v>
      </c>
      <c r="E845" s="14">
        <v>0.6</v>
      </c>
      <c r="F845" s="7">
        <f t="shared" ref="F845:F908" si="217">D845/E845</f>
        <v>12</v>
      </c>
      <c r="G845" s="7">
        <f t="shared" si="208"/>
        <v>6.6000000000000005</v>
      </c>
      <c r="H845" s="16">
        <f t="shared" si="209"/>
        <v>7.8</v>
      </c>
      <c r="I845" s="11">
        <f t="shared" si="214"/>
        <v>0.20433118274318615</v>
      </c>
      <c r="J845" s="33">
        <f t="shared" si="215"/>
        <v>1.7027598561932179E-2</v>
      </c>
      <c r="K845" s="33">
        <f t="shared" si="216"/>
        <v>58.728187440104094</v>
      </c>
      <c r="L845" s="8">
        <v>1</v>
      </c>
      <c r="M845" s="9">
        <v>0</v>
      </c>
      <c r="N845" s="8">
        <v>1</v>
      </c>
      <c r="O845" s="9">
        <v>0</v>
      </c>
      <c r="P845" s="9">
        <v>0</v>
      </c>
      <c r="Q845" s="9">
        <v>0</v>
      </c>
      <c r="R845" s="9">
        <v>0</v>
      </c>
      <c r="S845" s="8">
        <v>3316</v>
      </c>
      <c r="T845" s="9">
        <v>10</v>
      </c>
      <c r="U845" s="9">
        <f t="shared" si="210"/>
        <v>3305</v>
      </c>
      <c r="V845" s="9">
        <f t="shared" si="211"/>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v>0</v>
      </c>
      <c r="BF845" s="18">
        <v>0</v>
      </c>
      <c r="BG845">
        <v>0</v>
      </c>
      <c r="BH845">
        <v>1</v>
      </c>
      <c r="BI845" s="18">
        <v>0</v>
      </c>
      <c r="BJ845">
        <v>1732</v>
      </c>
      <c r="BK845">
        <v>201</v>
      </c>
      <c r="BL845" s="25">
        <v>38</v>
      </c>
      <c r="BM845">
        <v>1</v>
      </c>
      <c r="BN845">
        <v>0</v>
      </c>
      <c r="BO845">
        <v>0</v>
      </c>
      <c r="BP845">
        <v>0</v>
      </c>
      <c r="BQ845">
        <v>0</v>
      </c>
      <c r="BR845">
        <v>0</v>
      </c>
      <c r="BS845">
        <v>0</v>
      </c>
      <c r="BT845" s="18">
        <v>0</v>
      </c>
      <c r="BU845">
        <v>0</v>
      </c>
      <c r="BV845">
        <v>1</v>
      </c>
      <c r="BW845">
        <v>0</v>
      </c>
      <c r="BX845" s="18">
        <v>0</v>
      </c>
      <c r="BY845">
        <v>0</v>
      </c>
      <c r="BZ845">
        <v>0</v>
      </c>
      <c r="CA845">
        <v>0</v>
      </c>
      <c r="CB845">
        <v>0</v>
      </c>
      <c r="CC845" s="18">
        <v>0</v>
      </c>
      <c r="CD845">
        <v>0</v>
      </c>
      <c r="CE845">
        <v>0</v>
      </c>
      <c r="CF845">
        <v>1</v>
      </c>
      <c r="CG845">
        <v>1</v>
      </c>
      <c r="CH845">
        <v>0</v>
      </c>
      <c r="CI845">
        <v>0</v>
      </c>
      <c r="CJ845">
        <v>0</v>
      </c>
      <c r="CK845">
        <v>0</v>
      </c>
      <c r="CL845">
        <v>1</v>
      </c>
      <c r="CM845">
        <v>0</v>
      </c>
      <c r="CN845" s="18">
        <v>0</v>
      </c>
      <c r="CO845">
        <v>0</v>
      </c>
      <c r="CP845">
        <v>0</v>
      </c>
      <c r="CQ845">
        <v>0</v>
      </c>
      <c r="CR845">
        <v>1</v>
      </c>
      <c r="CS845">
        <v>19</v>
      </c>
      <c r="CY845" s="34"/>
    </row>
    <row r="846" spans="1:103" x14ac:dyDescent="0.25">
      <c r="A846">
        <v>845</v>
      </c>
      <c r="B846">
        <v>58</v>
      </c>
      <c r="C846" s="25" t="s">
        <v>3921</v>
      </c>
      <c r="D846" s="12">
        <v>9.1</v>
      </c>
      <c r="E846" s="14">
        <v>2.2999999999999998</v>
      </c>
      <c r="F846" s="7">
        <f t="shared" si="217"/>
        <v>3.956521739130435</v>
      </c>
      <c r="G846" s="7">
        <f t="shared" si="208"/>
        <v>6.8</v>
      </c>
      <c r="H846" s="16">
        <f t="shared" si="209"/>
        <v>11.399999999999999</v>
      </c>
      <c r="I846" s="11">
        <f t="shared" si="214"/>
        <v>6.8659674321075184E-2</v>
      </c>
      <c r="J846" s="33">
        <f t="shared" si="215"/>
        <v>1.7353544059172846E-2</v>
      </c>
      <c r="K846" s="33">
        <f t="shared" si="216"/>
        <v>57.625116609619212</v>
      </c>
      <c r="L846" s="8">
        <v>1</v>
      </c>
      <c r="M846" s="9">
        <v>0</v>
      </c>
      <c r="N846" s="8">
        <v>1</v>
      </c>
      <c r="O846" s="9">
        <v>0</v>
      </c>
      <c r="P846" s="9">
        <v>0</v>
      </c>
      <c r="Q846" s="9">
        <v>0</v>
      </c>
      <c r="R846" s="9">
        <v>0</v>
      </c>
      <c r="S846" s="8">
        <v>3316</v>
      </c>
      <c r="T846" s="9">
        <v>10</v>
      </c>
      <c r="U846" s="9">
        <f t="shared" si="210"/>
        <v>3305</v>
      </c>
      <c r="V846" s="9">
        <f t="shared" si="211"/>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v>0</v>
      </c>
      <c r="BF846" s="18">
        <v>0</v>
      </c>
      <c r="BG846">
        <v>0</v>
      </c>
      <c r="BH846">
        <v>1</v>
      </c>
      <c r="BI846" s="18">
        <v>0</v>
      </c>
      <c r="BJ846">
        <v>1732</v>
      </c>
      <c r="BK846">
        <v>201</v>
      </c>
      <c r="BL846" s="25">
        <v>38</v>
      </c>
      <c r="BM846">
        <v>0</v>
      </c>
      <c r="BN846">
        <v>0</v>
      </c>
      <c r="BO846">
        <v>0</v>
      </c>
      <c r="BP846">
        <v>0</v>
      </c>
      <c r="BQ846">
        <v>0</v>
      </c>
      <c r="BR846">
        <v>0</v>
      </c>
      <c r="BS846">
        <v>0</v>
      </c>
      <c r="BT846" s="18">
        <v>1</v>
      </c>
      <c r="BU846">
        <v>0</v>
      </c>
      <c r="BV846">
        <v>0</v>
      </c>
      <c r="BW846">
        <v>1</v>
      </c>
      <c r="BX846" s="18">
        <v>0</v>
      </c>
      <c r="BY846">
        <v>0</v>
      </c>
      <c r="BZ846">
        <v>0</v>
      </c>
      <c r="CA846">
        <v>0</v>
      </c>
      <c r="CB846">
        <v>0</v>
      </c>
      <c r="CC846" s="18">
        <v>0</v>
      </c>
      <c r="CD846">
        <v>0</v>
      </c>
      <c r="CE846">
        <v>0</v>
      </c>
      <c r="CF846">
        <v>1</v>
      </c>
      <c r="CG846">
        <v>1</v>
      </c>
      <c r="CH846">
        <v>0</v>
      </c>
      <c r="CI846">
        <v>0</v>
      </c>
      <c r="CJ846">
        <v>0</v>
      </c>
      <c r="CK846">
        <v>0</v>
      </c>
      <c r="CL846">
        <v>1</v>
      </c>
      <c r="CM846">
        <v>0</v>
      </c>
      <c r="CN846" s="18">
        <v>0</v>
      </c>
      <c r="CO846">
        <v>0</v>
      </c>
      <c r="CP846">
        <v>0</v>
      </c>
      <c r="CQ846">
        <v>0</v>
      </c>
      <c r="CR846">
        <v>1</v>
      </c>
      <c r="CS846">
        <v>19</v>
      </c>
      <c r="CY846" s="34"/>
    </row>
    <row r="847" spans="1:103" x14ac:dyDescent="0.25">
      <c r="A847">
        <v>846</v>
      </c>
      <c r="B847">
        <v>58</v>
      </c>
      <c r="C847" s="25" t="s">
        <v>3921</v>
      </c>
      <c r="D847" s="12">
        <v>5.7</v>
      </c>
      <c r="E847" s="14">
        <v>0.6</v>
      </c>
      <c r="F847" s="7">
        <f t="shared" si="217"/>
        <v>9.5</v>
      </c>
      <c r="G847" s="7">
        <f t="shared" si="208"/>
        <v>5.1000000000000005</v>
      </c>
      <c r="H847" s="16">
        <f t="shared" si="209"/>
        <v>6.3</v>
      </c>
      <c r="I847" s="11">
        <f t="shared" si="214"/>
        <v>0.1889355130790461</v>
      </c>
      <c r="J847" s="33">
        <f t="shared" si="215"/>
        <v>1.9887948745162747E-2</v>
      </c>
      <c r="K847" s="33">
        <f t="shared" si="216"/>
        <v>50.281706414957718</v>
      </c>
      <c r="L847" s="8">
        <v>1</v>
      </c>
      <c r="M847" s="9">
        <v>0</v>
      </c>
      <c r="N847" s="8">
        <v>1</v>
      </c>
      <c r="O847" s="9">
        <v>0</v>
      </c>
      <c r="P847" s="9">
        <v>0</v>
      </c>
      <c r="Q847" s="9">
        <v>0</v>
      </c>
      <c r="R847" s="9">
        <v>0</v>
      </c>
      <c r="S847" s="8">
        <v>2451</v>
      </c>
      <c r="T847" s="9">
        <v>12</v>
      </c>
      <c r="U847" s="9">
        <f t="shared" si="210"/>
        <v>2438</v>
      </c>
      <c r="V847" s="9">
        <f t="shared" si="211"/>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v>0</v>
      </c>
      <c r="BF847" s="18">
        <v>0</v>
      </c>
      <c r="BG847">
        <v>0</v>
      </c>
      <c r="BH847">
        <v>1</v>
      </c>
      <c r="BI847" s="18">
        <v>0</v>
      </c>
      <c r="BJ847">
        <v>1732</v>
      </c>
      <c r="BK847">
        <v>201</v>
      </c>
      <c r="BL847" s="25">
        <v>38</v>
      </c>
      <c r="BM847">
        <v>1</v>
      </c>
      <c r="BN847">
        <v>0</v>
      </c>
      <c r="BO847">
        <v>0</v>
      </c>
      <c r="BP847">
        <v>0</v>
      </c>
      <c r="BQ847">
        <v>0</v>
      </c>
      <c r="BR847">
        <v>0</v>
      </c>
      <c r="BS847">
        <v>0</v>
      </c>
      <c r="BT847" s="18">
        <v>0</v>
      </c>
      <c r="BU847">
        <v>0</v>
      </c>
      <c r="BV847">
        <v>0</v>
      </c>
      <c r="BW847">
        <v>0</v>
      </c>
      <c r="BX847" s="18">
        <v>0</v>
      </c>
      <c r="BY847">
        <v>0</v>
      </c>
      <c r="BZ847">
        <v>0</v>
      </c>
      <c r="CA847">
        <v>0</v>
      </c>
      <c r="CB847">
        <v>0</v>
      </c>
      <c r="CC847" s="18">
        <v>0</v>
      </c>
      <c r="CD847">
        <v>0</v>
      </c>
      <c r="CE847">
        <v>0</v>
      </c>
      <c r="CF847">
        <v>1</v>
      </c>
      <c r="CG847">
        <v>1</v>
      </c>
      <c r="CH847">
        <v>0</v>
      </c>
      <c r="CI847">
        <v>0</v>
      </c>
      <c r="CJ847">
        <v>0</v>
      </c>
      <c r="CK847">
        <v>0</v>
      </c>
      <c r="CL847">
        <v>1</v>
      </c>
      <c r="CM847">
        <v>0</v>
      </c>
      <c r="CN847" s="18">
        <v>0</v>
      </c>
      <c r="CO847">
        <v>0</v>
      </c>
      <c r="CP847">
        <v>0</v>
      </c>
      <c r="CQ847">
        <v>0</v>
      </c>
      <c r="CR847">
        <v>1</v>
      </c>
      <c r="CS847">
        <v>19</v>
      </c>
      <c r="CY847" s="34"/>
    </row>
    <row r="848" spans="1:103" x14ac:dyDescent="0.25">
      <c r="A848">
        <v>847</v>
      </c>
      <c r="B848">
        <v>58</v>
      </c>
      <c r="C848" s="25" t="s">
        <v>3921</v>
      </c>
      <c r="D848" s="12">
        <v>5.4</v>
      </c>
      <c r="E848" s="14">
        <v>0.6</v>
      </c>
      <c r="F848" s="7">
        <f t="shared" si="217"/>
        <v>9.0000000000000018</v>
      </c>
      <c r="G848" s="7">
        <f t="shared" si="208"/>
        <v>4.8000000000000007</v>
      </c>
      <c r="H848" s="16">
        <f t="shared" si="209"/>
        <v>6</v>
      </c>
      <c r="I848" s="11">
        <f t="shared" si="214"/>
        <v>0.15942318366671104</v>
      </c>
      <c r="J848" s="33">
        <f t="shared" si="215"/>
        <v>1.7713687074079002E-2</v>
      </c>
      <c r="K848" s="33">
        <f t="shared" si="216"/>
        <v>56.453520705089772</v>
      </c>
      <c r="L848" s="8">
        <v>1</v>
      </c>
      <c r="M848" s="9">
        <v>0</v>
      </c>
      <c r="N848" s="8">
        <v>1</v>
      </c>
      <c r="O848" s="9">
        <v>0</v>
      </c>
      <c r="P848" s="9">
        <v>0</v>
      </c>
      <c r="Q848" s="9">
        <v>0</v>
      </c>
      <c r="R848" s="9">
        <v>0</v>
      </c>
      <c r="S848" s="8">
        <v>3119</v>
      </c>
      <c r="T848" s="9">
        <v>12</v>
      </c>
      <c r="U848" s="9">
        <f t="shared" si="210"/>
        <v>3106</v>
      </c>
      <c r="V848" s="9">
        <f t="shared" si="211"/>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v>0</v>
      </c>
      <c r="BF848" s="18">
        <v>0</v>
      </c>
      <c r="BG848">
        <v>0</v>
      </c>
      <c r="BH848">
        <v>1</v>
      </c>
      <c r="BI848" s="18">
        <v>0</v>
      </c>
      <c r="BJ848">
        <v>1732</v>
      </c>
      <c r="BK848">
        <v>201</v>
      </c>
      <c r="BL848" s="25">
        <v>38</v>
      </c>
      <c r="BM848">
        <v>0</v>
      </c>
      <c r="BN848">
        <v>0</v>
      </c>
      <c r="BO848">
        <v>0</v>
      </c>
      <c r="BP848">
        <v>0</v>
      </c>
      <c r="BQ848">
        <v>0</v>
      </c>
      <c r="BR848">
        <v>1</v>
      </c>
      <c r="BS848">
        <v>0</v>
      </c>
      <c r="BT848" s="18">
        <v>0</v>
      </c>
      <c r="BU848">
        <v>0</v>
      </c>
      <c r="BV848">
        <v>0</v>
      </c>
      <c r="BW848">
        <v>1</v>
      </c>
      <c r="BX848" s="18">
        <v>0</v>
      </c>
      <c r="BY848">
        <v>0</v>
      </c>
      <c r="BZ848">
        <v>0</v>
      </c>
      <c r="CA848">
        <v>0</v>
      </c>
      <c r="CB848">
        <v>0</v>
      </c>
      <c r="CC848" s="18">
        <v>0</v>
      </c>
      <c r="CD848">
        <v>0</v>
      </c>
      <c r="CE848">
        <v>0</v>
      </c>
      <c r="CF848">
        <v>1</v>
      </c>
      <c r="CG848">
        <v>1</v>
      </c>
      <c r="CH848">
        <v>0</v>
      </c>
      <c r="CI848">
        <v>0</v>
      </c>
      <c r="CJ848">
        <v>0</v>
      </c>
      <c r="CK848">
        <v>0</v>
      </c>
      <c r="CL848">
        <v>1</v>
      </c>
      <c r="CM848">
        <v>0</v>
      </c>
      <c r="CN848" s="18">
        <v>0</v>
      </c>
      <c r="CO848">
        <v>0</v>
      </c>
      <c r="CP848">
        <v>0</v>
      </c>
      <c r="CQ848">
        <v>0</v>
      </c>
      <c r="CR848">
        <v>1</v>
      </c>
      <c r="CS848">
        <v>19</v>
      </c>
      <c r="CY848" s="34"/>
    </row>
    <row r="849" spans="1:103" x14ac:dyDescent="0.25">
      <c r="A849">
        <v>848</v>
      </c>
      <c r="B849">
        <v>58</v>
      </c>
      <c r="C849" s="25" t="s">
        <v>3921</v>
      </c>
      <c r="D849" s="12">
        <v>5</v>
      </c>
      <c r="E849" s="14">
        <v>1.5</v>
      </c>
      <c r="F849" s="7">
        <f t="shared" si="217"/>
        <v>3.3333333333333335</v>
      </c>
      <c r="G849" s="7">
        <f t="shared" si="208"/>
        <v>3.5</v>
      </c>
      <c r="H849" s="16">
        <f t="shared" si="209"/>
        <v>6.5</v>
      </c>
      <c r="I849" s="11">
        <f t="shared" si="214"/>
        <v>6.7341975958526951E-2</v>
      </c>
      <c r="J849" s="33">
        <f t="shared" si="215"/>
        <v>2.0202592787558083E-2</v>
      </c>
      <c r="K849" s="33">
        <f t="shared" si="216"/>
        <v>49.498597062049257</v>
      </c>
      <c r="L849" s="8">
        <v>1</v>
      </c>
      <c r="M849" s="9">
        <v>0</v>
      </c>
      <c r="N849" s="8">
        <v>1</v>
      </c>
      <c r="O849" s="9">
        <v>0</v>
      </c>
      <c r="P849" s="9">
        <v>0</v>
      </c>
      <c r="Q849" s="9">
        <v>0</v>
      </c>
      <c r="R849" s="9">
        <v>0</v>
      </c>
      <c r="S849" s="8">
        <v>2451</v>
      </c>
      <c r="T849" s="9">
        <v>11</v>
      </c>
      <c r="U849" s="9">
        <f t="shared" si="210"/>
        <v>2439</v>
      </c>
      <c r="V849" s="9">
        <f t="shared" si="211"/>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v>0</v>
      </c>
      <c r="BF849" s="18">
        <v>0</v>
      </c>
      <c r="BG849">
        <v>0</v>
      </c>
      <c r="BH849">
        <v>1</v>
      </c>
      <c r="BI849" s="18">
        <v>0</v>
      </c>
      <c r="BJ849">
        <v>1732</v>
      </c>
      <c r="BK849">
        <v>201</v>
      </c>
      <c r="BL849" s="25">
        <v>38</v>
      </c>
      <c r="BM849">
        <v>0</v>
      </c>
      <c r="BN849">
        <v>0</v>
      </c>
      <c r="BO849">
        <v>0</v>
      </c>
      <c r="BP849">
        <v>0</v>
      </c>
      <c r="BQ849">
        <v>0</v>
      </c>
      <c r="BR849">
        <v>0</v>
      </c>
      <c r="BS849">
        <v>0</v>
      </c>
      <c r="BT849" s="18">
        <v>1</v>
      </c>
      <c r="BU849">
        <v>0</v>
      </c>
      <c r="BV849">
        <v>1</v>
      </c>
      <c r="BW849">
        <v>0</v>
      </c>
      <c r="BX849" s="18">
        <v>0</v>
      </c>
      <c r="BY849">
        <v>0</v>
      </c>
      <c r="BZ849">
        <v>0</v>
      </c>
      <c r="CA849">
        <v>0</v>
      </c>
      <c r="CB849">
        <v>0</v>
      </c>
      <c r="CC849" s="18">
        <v>0</v>
      </c>
      <c r="CD849">
        <v>0</v>
      </c>
      <c r="CE849">
        <v>0</v>
      </c>
      <c r="CF849">
        <v>1</v>
      </c>
      <c r="CG849">
        <v>1</v>
      </c>
      <c r="CH849">
        <v>0</v>
      </c>
      <c r="CI849">
        <v>0</v>
      </c>
      <c r="CJ849">
        <v>0</v>
      </c>
      <c r="CK849">
        <v>0</v>
      </c>
      <c r="CL849">
        <v>1</v>
      </c>
      <c r="CM849">
        <v>0</v>
      </c>
      <c r="CN849" s="18">
        <v>0</v>
      </c>
      <c r="CO849">
        <v>0</v>
      </c>
      <c r="CP849">
        <v>0</v>
      </c>
      <c r="CQ849">
        <v>0</v>
      </c>
      <c r="CR849">
        <v>1</v>
      </c>
      <c r="CS849">
        <v>19</v>
      </c>
      <c r="CY849" s="34"/>
    </row>
    <row r="850" spans="1:103" x14ac:dyDescent="0.25">
      <c r="A850">
        <v>849</v>
      </c>
      <c r="B850">
        <v>58</v>
      </c>
      <c r="C850" s="25" t="s">
        <v>3921</v>
      </c>
      <c r="D850" s="12">
        <v>6.3</v>
      </c>
      <c r="E850" s="14">
        <v>1.3</v>
      </c>
      <c r="F850" s="7">
        <f t="shared" si="217"/>
        <v>4.8461538461538458</v>
      </c>
      <c r="G850" s="7">
        <f t="shared" si="208"/>
        <v>5</v>
      </c>
      <c r="H850" s="16">
        <f t="shared" si="209"/>
        <v>7.6</v>
      </c>
      <c r="I850" s="11">
        <f t="shared" si="214"/>
        <v>9.7678410112133671E-2</v>
      </c>
      <c r="J850" s="33">
        <f t="shared" si="215"/>
        <v>2.0155862404091077E-2</v>
      </c>
      <c r="K850" s="33">
        <f t="shared" si="216"/>
        <v>49.613357144025152</v>
      </c>
      <c r="L850" s="8">
        <v>1</v>
      </c>
      <c r="M850" s="9">
        <v>0</v>
      </c>
      <c r="N850" s="8">
        <v>1</v>
      </c>
      <c r="O850" s="9">
        <v>0</v>
      </c>
      <c r="P850" s="9">
        <v>0</v>
      </c>
      <c r="Q850" s="9">
        <v>0</v>
      </c>
      <c r="R850" s="9">
        <v>0</v>
      </c>
      <c r="S850" s="8">
        <v>2451</v>
      </c>
      <c r="T850" s="9">
        <v>12</v>
      </c>
      <c r="U850" s="9">
        <f t="shared" si="210"/>
        <v>2438</v>
      </c>
      <c r="V850" s="9">
        <f t="shared" si="211"/>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v>0</v>
      </c>
      <c r="BF850" s="18">
        <v>0</v>
      </c>
      <c r="BG850">
        <v>0</v>
      </c>
      <c r="BH850">
        <v>1</v>
      </c>
      <c r="BI850" s="18">
        <v>0</v>
      </c>
      <c r="BJ850">
        <v>1732</v>
      </c>
      <c r="BK850">
        <v>201</v>
      </c>
      <c r="BL850" s="25">
        <v>38</v>
      </c>
      <c r="BM850">
        <v>0</v>
      </c>
      <c r="BN850">
        <v>0</v>
      </c>
      <c r="BO850">
        <v>0</v>
      </c>
      <c r="BP850">
        <v>0</v>
      </c>
      <c r="BQ850">
        <v>0</v>
      </c>
      <c r="BR850">
        <v>0</v>
      </c>
      <c r="BS850">
        <v>0</v>
      </c>
      <c r="BT850" s="18">
        <v>1</v>
      </c>
      <c r="BU850">
        <v>0</v>
      </c>
      <c r="BV850">
        <v>1</v>
      </c>
      <c r="BW850">
        <v>0</v>
      </c>
      <c r="BX850" s="18">
        <v>0</v>
      </c>
      <c r="BY850">
        <v>0</v>
      </c>
      <c r="BZ850">
        <v>0</v>
      </c>
      <c r="CA850">
        <v>0</v>
      </c>
      <c r="CB850">
        <v>0</v>
      </c>
      <c r="CC850" s="18">
        <v>0</v>
      </c>
      <c r="CD850">
        <v>0</v>
      </c>
      <c r="CE850">
        <v>0</v>
      </c>
      <c r="CF850">
        <v>1</v>
      </c>
      <c r="CG850">
        <v>1</v>
      </c>
      <c r="CH850">
        <v>0</v>
      </c>
      <c r="CI850">
        <v>0</v>
      </c>
      <c r="CJ850">
        <v>0</v>
      </c>
      <c r="CK850">
        <v>0</v>
      </c>
      <c r="CL850">
        <v>1</v>
      </c>
      <c r="CM850">
        <v>0</v>
      </c>
      <c r="CN850" s="18">
        <v>0</v>
      </c>
      <c r="CO850">
        <v>0</v>
      </c>
      <c r="CP850">
        <v>0</v>
      </c>
      <c r="CQ850">
        <v>0</v>
      </c>
      <c r="CR850">
        <v>1</v>
      </c>
      <c r="CS850">
        <v>19</v>
      </c>
      <c r="CY850" s="34"/>
    </row>
    <row r="851" spans="1:103" x14ac:dyDescent="0.25">
      <c r="A851">
        <v>850</v>
      </c>
      <c r="B851">
        <v>58</v>
      </c>
      <c r="C851" s="25" t="s">
        <v>3921</v>
      </c>
      <c r="D851" s="12">
        <v>4.5</v>
      </c>
      <c r="E851" s="14">
        <v>0.9</v>
      </c>
      <c r="F851" s="7">
        <f t="shared" si="217"/>
        <v>5</v>
      </c>
      <c r="G851" s="7">
        <f t="shared" si="208"/>
        <v>3.6</v>
      </c>
      <c r="H851" s="16">
        <f t="shared" si="209"/>
        <v>5.4</v>
      </c>
      <c r="I851" s="11">
        <f t="shared" si="214"/>
        <v>0.13277976293203617</v>
      </c>
      <c r="J851" s="33">
        <f t="shared" si="215"/>
        <v>2.6555952586407236E-2</v>
      </c>
      <c r="K851" s="33">
        <f t="shared" si="216"/>
        <v>37.656340767525464</v>
      </c>
      <c r="L851" s="8">
        <v>1</v>
      </c>
      <c r="M851" s="9">
        <v>0</v>
      </c>
      <c r="N851" s="8">
        <v>1</v>
      </c>
      <c r="O851" s="9">
        <v>0</v>
      </c>
      <c r="P851" s="9">
        <v>0</v>
      </c>
      <c r="Q851" s="9">
        <v>0</v>
      </c>
      <c r="R851" s="9">
        <v>0</v>
      </c>
      <c r="S851" s="8">
        <v>1405</v>
      </c>
      <c r="T851" s="9">
        <v>11</v>
      </c>
      <c r="U851" s="9">
        <f t="shared" si="210"/>
        <v>1393</v>
      </c>
      <c r="V851" s="9">
        <f t="shared" si="211"/>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v>0</v>
      </c>
      <c r="BF851" s="18">
        <v>0</v>
      </c>
      <c r="BG851">
        <v>0</v>
      </c>
      <c r="BH851">
        <v>1</v>
      </c>
      <c r="BI851" s="18">
        <v>0</v>
      </c>
      <c r="BJ851">
        <v>1732</v>
      </c>
      <c r="BK851">
        <v>201</v>
      </c>
      <c r="BL851" s="25">
        <v>38</v>
      </c>
      <c r="BM851">
        <v>1</v>
      </c>
      <c r="BN851">
        <v>0</v>
      </c>
      <c r="BO851">
        <v>0</v>
      </c>
      <c r="BP851">
        <v>0</v>
      </c>
      <c r="BQ851">
        <v>0</v>
      </c>
      <c r="BR851">
        <v>0</v>
      </c>
      <c r="BS851">
        <v>0</v>
      </c>
      <c r="BT851" s="18">
        <v>0</v>
      </c>
      <c r="BU851">
        <v>0</v>
      </c>
      <c r="BV851">
        <v>0</v>
      </c>
      <c r="BW851">
        <v>1</v>
      </c>
      <c r="BX851" s="18">
        <v>0</v>
      </c>
      <c r="BY851">
        <v>0</v>
      </c>
      <c r="BZ851">
        <v>0</v>
      </c>
      <c r="CA851">
        <v>0</v>
      </c>
      <c r="CB851">
        <v>0</v>
      </c>
      <c r="CC851" s="18">
        <v>0</v>
      </c>
      <c r="CD851">
        <v>0</v>
      </c>
      <c r="CE851">
        <v>0</v>
      </c>
      <c r="CF851">
        <v>1</v>
      </c>
      <c r="CG851">
        <v>1</v>
      </c>
      <c r="CH851">
        <v>0</v>
      </c>
      <c r="CI851">
        <v>0</v>
      </c>
      <c r="CJ851">
        <v>0</v>
      </c>
      <c r="CK851">
        <v>0</v>
      </c>
      <c r="CL851">
        <v>1</v>
      </c>
      <c r="CM851">
        <v>0</v>
      </c>
      <c r="CN851" s="18">
        <v>0</v>
      </c>
      <c r="CO851">
        <v>0</v>
      </c>
      <c r="CP851">
        <v>0</v>
      </c>
      <c r="CQ851">
        <v>0</v>
      </c>
      <c r="CR851">
        <v>1</v>
      </c>
      <c r="CS851">
        <v>19</v>
      </c>
      <c r="CY851" s="34"/>
    </row>
    <row r="852" spans="1:103" x14ac:dyDescent="0.25">
      <c r="A852">
        <v>851</v>
      </c>
      <c r="B852">
        <v>58</v>
      </c>
      <c r="C852" s="25" t="s">
        <v>3921</v>
      </c>
      <c r="D852" s="12">
        <v>8</v>
      </c>
      <c r="E852" s="14">
        <v>3.4</v>
      </c>
      <c r="F852" s="7">
        <f t="shared" si="217"/>
        <v>2.3529411764705883</v>
      </c>
      <c r="G852" s="7">
        <f t="shared" si="208"/>
        <v>4.5999999999999996</v>
      </c>
      <c r="H852" s="16">
        <f t="shared" si="209"/>
        <v>11.4</v>
      </c>
      <c r="I852" s="11">
        <f t="shared" si="214"/>
        <v>6.2895414166532826E-2</v>
      </c>
      <c r="J852" s="33">
        <f t="shared" si="215"/>
        <v>2.6730551020776452E-2</v>
      </c>
      <c r="K852" s="33">
        <f t="shared" si="216"/>
        <v>37.410377332765982</v>
      </c>
      <c r="L852" s="8">
        <v>1</v>
      </c>
      <c r="M852" s="9">
        <v>0</v>
      </c>
      <c r="N852" s="8">
        <v>1</v>
      </c>
      <c r="O852" s="9">
        <v>0</v>
      </c>
      <c r="P852" s="9">
        <v>0</v>
      </c>
      <c r="Q852" s="9">
        <v>0</v>
      </c>
      <c r="R852" s="9">
        <v>0</v>
      </c>
      <c r="S852" s="8">
        <v>1405</v>
      </c>
      <c r="T852" s="9">
        <v>10</v>
      </c>
      <c r="U852" s="9">
        <f t="shared" si="210"/>
        <v>1394</v>
      </c>
      <c r="V852" s="9">
        <f t="shared" si="211"/>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v>0</v>
      </c>
      <c r="BF852" s="18">
        <v>0</v>
      </c>
      <c r="BG852">
        <v>0</v>
      </c>
      <c r="BH852">
        <v>1</v>
      </c>
      <c r="BI852" s="18">
        <v>0</v>
      </c>
      <c r="BJ852">
        <v>1732</v>
      </c>
      <c r="BK852">
        <v>201</v>
      </c>
      <c r="BL852" s="25">
        <v>38</v>
      </c>
      <c r="BM852">
        <v>0</v>
      </c>
      <c r="BN852">
        <v>0</v>
      </c>
      <c r="BO852">
        <v>0</v>
      </c>
      <c r="BP852">
        <v>0</v>
      </c>
      <c r="BQ852">
        <v>0</v>
      </c>
      <c r="BR852">
        <v>0</v>
      </c>
      <c r="BS852">
        <v>0</v>
      </c>
      <c r="BT852" s="18">
        <v>1</v>
      </c>
      <c r="BU852">
        <v>0</v>
      </c>
      <c r="BV852">
        <v>1</v>
      </c>
      <c r="BW852">
        <v>0</v>
      </c>
      <c r="BX852" s="18">
        <v>0</v>
      </c>
      <c r="BY852">
        <v>0</v>
      </c>
      <c r="BZ852">
        <v>0</v>
      </c>
      <c r="CA852">
        <v>0</v>
      </c>
      <c r="CB852">
        <v>0</v>
      </c>
      <c r="CC852" s="18">
        <v>0</v>
      </c>
      <c r="CD852">
        <v>0</v>
      </c>
      <c r="CE852">
        <v>0</v>
      </c>
      <c r="CF852">
        <v>1</v>
      </c>
      <c r="CG852">
        <v>1</v>
      </c>
      <c r="CH852">
        <v>0</v>
      </c>
      <c r="CI852">
        <v>0</v>
      </c>
      <c r="CJ852">
        <v>0</v>
      </c>
      <c r="CK852">
        <v>0</v>
      </c>
      <c r="CL852">
        <v>1</v>
      </c>
      <c r="CM852">
        <v>0</v>
      </c>
      <c r="CN852" s="18">
        <v>0</v>
      </c>
      <c r="CO852">
        <v>0</v>
      </c>
      <c r="CP852">
        <v>0</v>
      </c>
      <c r="CQ852">
        <v>0</v>
      </c>
      <c r="CR852">
        <v>1</v>
      </c>
      <c r="CS852">
        <v>19</v>
      </c>
      <c r="CY852" s="34"/>
    </row>
    <row r="853" spans="1:103" x14ac:dyDescent="0.25">
      <c r="A853">
        <v>852</v>
      </c>
      <c r="B853">
        <v>58</v>
      </c>
      <c r="C853" s="25" t="s">
        <v>3921</v>
      </c>
      <c r="D853" s="12">
        <v>8</v>
      </c>
      <c r="E853" s="14">
        <v>3.5</v>
      </c>
      <c r="F853" s="7">
        <f t="shared" si="217"/>
        <v>2.2857142857142856</v>
      </c>
      <c r="G853" s="7">
        <f t="shared" si="208"/>
        <v>4.5</v>
      </c>
      <c r="H853" s="16">
        <f t="shared" si="209"/>
        <v>11.5</v>
      </c>
      <c r="I853" s="11">
        <f t="shared" si="214"/>
        <v>6.1105210393711161E-2</v>
      </c>
      <c r="J853" s="33">
        <f t="shared" si="215"/>
        <v>2.6733529547248634E-2</v>
      </c>
      <c r="K853" s="33">
        <f t="shared" si="216"/>
        <v>37.406209241193075</v>
      </c>
      <c r="L853" s="8">
        <v>1</v>
      </c>
      <c r="M853" s="9">
        <v>0</v>
      </c>
      <c r="N853" s="8">
        <v>1</v>
      </c>
      <c r="O853" s="9">
        <v>0</v>
      </c>
      <c r="P853" s="9">
        <v>0</v>
      </c>
      <c r="Q853" s="9">
        <v>0</v>
      </c>
      <c r="R853" s="9">
        <v>0</v>
      </c>
      <c r="S853" s="8">
        <v>1405</v>
      </c>
      <c r="T853" s="9">
        <v>10</v>
      </c>
      <c r="U853" s="9">
        <f t="shared" si="210"/>
        <v>1394</v>
      </c>
      <c r="V853" s="9">
        <f t="shared" si="211"/>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v>0</v>
      </c>
      <c r="BF853" s="18">
        <v>0</v>
      </c>
      <c r="BG853">
        <v>0</v>
      </c>
      <c r="BH853">
        <v>1</v>
      </c>
      <c r="BI853" s="18">
        <v>0</v>
      </c>
      <c r="BJ853">
        <v>1732</v>
      </c>
      <c r="BK853">
        <v>201</v>
      </c>
      <c r="BL853" s="25">
        <v>38</v>
      </c>
      <c r="BM853">
        <v>0</v>
      </c>
      <c r="BN853">
        <v>0</v>
      </c>
      <c r="BO853">
        <v>0</v>
      </c>
      <c r="BP853">
        <v>0</v>
      </c>
      <c r="BQ853">
        <v>0</v>
      </c>
      <c r="BR853">
        <v>0</v>
      </c>
      <c r="BS853">
        <v>0</v>
      </c>
      <c r="BT853" s="18">
        <v>1</v>
      </c>
      <c r="BU853">
        <v>0</v>
      </c>
      <c r="BV853">
        <v>1</v>
      </c>
      <c r="BW853">
        <v>0</v>
      </c>
      <c r="BX853" s="18">
        <v>0</v>
      </c>
      <c r="BY853">
        <v>0</v>
      </c>
      <c r="BZ853">
        <v>0</v>
      </c>
      <c r="CA853">
        <v>0</v>
      </c>
      <c r="CB853">
        <v>0</v>
      </c>
      <c r="CC853" s="18">
        <v>0</v>
      </c>
      <c r="CD853">
        <v>0</v>
      </c>
      <c r="CE853">
        <v>0</v>
      </c>
      <c r="CF853">
        <v>1</v>
      </c>
      <c r="CG853">
        <v>1</v>
      </c>
      <c r="CH853">
        <v>0</v>
      </c>
      <c r="CI853">
        <v>0</v>
      </c>
      <c r="CJ853">
        <v>0</v>
      </c>
      <c r="CK853">
        <v>0</v>
      </c>
      <c r="CL853">
        <v>1</v>
      </c>
      <c r="CM853">
        <v>0</v>
      </c>
      <c r="CN853" s="18">
        <v>0</v>
      </c>
      <c r="CO853">
        <v>0</v>
      </c>
      <c r="CP853">
        <v>0</v>
      </c>
      <c r="CQ853">
        <v>0</v>
      </c>
      <c r="CR853">
        <v>1</v>
      </c>
      <c r="CS853">
        <v>19</v>
      </c>
      <c r="CY853" s="34"/>
    </row>
    <row r="854" spans="1:103" x14ac:dyDescent="0.25">
      <c r="A854">
        <v>853</v>
      </c>
      <c r="B854">
        <v>58</v>
      </c>
      <c r="C854" s="25" t="s">
        <v>3921</v>
      </c>
      <c r="D854" s="12">
        <v>8.4</v>
      </c>
      <c r="E854" s="14">
        <v>3.8</v>
      </c>
      <c r="F854" s="7">
        <f t="shared" si="217"/>
        <v>2.2105263157894739</v>
      </c>
      <c r="G854" s="7">
        <f t="shared" si="208"/>
        <v>4.6000000000000005</v>
      </c>
      <c r="H854" s="16">
        <f t="shared" si="209"/>
        <v>12.2</v>
      </c>
      <c r="I854" s="11">
        <f t="shared" si="214"/>
        <v>5.9102310791739193E-2</v>
      </c>
      <c r="J854" s="33">
        <f t="shared" si="215"/>
        <v>2.6736759643882013E-2</v>
      </c>
      <c r="K854" s="33">
        <f t="shared" si="216"/>
        <v>37.401690156900635</v>
      </c>
      <c r="L854" s="8">
        <v>1</v>
      </c>
      <c r="M854" s="9">
        <v>0</v>
      </c>
      <c r="N854" s="8">
        <v>1</v>
      </c>
      <c r="O854" s="9">
        <v>0</v>
      </c>
      <c r="P854" s="9">
        <v>0</v>
      </c>
      <c r="Q854" s="9">
        <v>0</v>
      </c>
      <c r="R854" s="9">
        <v>0</v>
      </c>
      <c r="S854" s="8">
        <v>1405</v>
      </c>
      <c r="T854" s="9">
        <v>10</v>
      </c>
      <c r="U854" s="9">
        <f t="shared" si="210"/>
        <v>1394</v>
      </c>
      <c r="V854" s="9">
        <f t="shared" si="211"/>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v>0</v>
      </c>
      <c r="BF854" s="18">
        <v>0</v>
      </c>
      <c r="BG854">
        <v>0</v>
      </c>
      <c r="BH854">
        <v>1</v>
      </c>
      <c r="BI854" s="18">
        <v>0</v>
      </c>
      <c r="BJ854">
        <v>1732</v>
      </c>
      <c r="BK854">
        <v>201</v>
      </c>
      <c r="BL854" s="25">
        <v>38</v>
      </c>
      <c r="BM854">
        <v>0</v>
      </c>
      <c r="BN854">
        <v>0</v>
      </c>
      <c r="BO854">
        <v>0</v>
      </c>
      <c r="BP854">
        <v>0</v>
      </c>
      <c r="BQ854">
        <v>0</v>
      </c>
      <c r="BR854">
        <v>0</v>
      </c>
      <c r="BS854">
        <v>0</v>
      </c>
      <c r="BT854" s="18">
        <v>1</v>
      </c>
      <c r="BU854">
        <v>0</v>
      </c>
      <c r="BV854">
        <v>1</v>
      </c>
      <c r="BW854">
        <v>0</v>
      </c>
      <c r="BX854" s="18">
        <v>0</v>
      </c>
      <c r="BY854">
        <v>0</v>
      </c>
      <c r="BZ854">
        <v>0</v>
      </c>
      <c r="CA854">
        <v>0</v>
      </c>
      <c r="CB854">
        <v>0</v>
      </c>
      <c r="CC854" s="18">
        <v>0</v>
      </c>
      <c r="CD854">
        <v>0</v>
      </c>
      <c r="CE854">
        <v>0</v>
      </c>
      <c r="CF854">
        <v>1</v>
      </c>
      <c r="CG854">
        <v>1</v>
      </c>
      <c r="CH854">
        <v>0</v>
      </c>
      <c r="CI854">
        <v>0</v>
      </c>
      <c r="CJ854">
        <v>0</v>
      </c>
      <c r="CK854">
        <v>0</v>
      </c>
      <c r="CL854">
        <v>1</v>
      </c>
      <c r="CM854">
        <v>0</v>
      </c>
      <c r="CN854" s="18">
        <v>0</v>
      </c>
      <c r="CO854">
        <v>0</v>
      </c>
      <c r="CP854">
        <v>0</v>
      </c>
      <c r="CQ854">
        <v>0</v>
      </c>
      <c r="CR854">
        <v>1</v>
      </c>
      <c r="CS854">
        <v>19</v>
      </c>
      <c r="CY854" s="34"/>
    </row>
    <row r="855" spans="1:103" x14ac:dyDescent="0.25">
      <c r="A855">
        <v>854</v>
      </c>
      <c r="B855">
        <v>58</v>
      </c>
      <c r="C855" s="25" t="s">
        <v>3921</v>
      </c>
      <c r="D855" s="12">
        <v>3.6</v>
      </c>
      <c r="E855" s="14">
        <v>0.8</v>
      </c>
      <c r="F855" s="7">
        <f t="shared" si="217"/>
        <v>4.5</v>
      </c>
      <c r="G855" s="7">
        <f t="shared" si="208"/>
        <v>2.8</v>
      </c>
      <c r="H855" s="16">
        <f t="shared" si="209"/>
        <v>4.4000000000000004</v>
      </c>
      <c r="I855" s="11">
        <f t="shared" si="214"/>
        <v>0.14575018235653436</v>
      </c>
      <c r="J855" s="33">
        <f t="shared" si="215"/>
        <v>3.2388929412563189E-2</v>
      </c>
      <c r="K855" s="33">
        <f t="shared" si="216"/>
        <v>30.874746962525865</v>
      </c>
      <c r="L855" s="8">
        <v>1</v>
      </c>
      <c r="M855" s="9">
        <v>0</v>
      </c>
      <c r="N855" s="8">
        <v>1</v>
      </c>
      <c r="O855" s="9">
        <v>0</v>
      </c>
      <c r="P855" s="9">
        <v>0</v>
      </c>
      <c r="Q855" s="9">
        <v>0</v>
      </c>
      <c r="R855" s="9">
        <v>0</v>
      </c>
      <c r="S855" s="8">
        <v>945</v>
      </c>
      <c r="T855" s="9">
        <v>11</v>
      </c>
      <c r="U855" s="9">
        <f t="shared" si="210"/>
        <v>933</v>
      </c>
      <c r="V855" s="9">
        <f t="shared" si="211"/>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v>0</v>
      </c>
      <c r="BF855" s="18">
        <v>0</v>
      </c>
      <c r="BG855">
        <v>0</v>
      </c>
      <c r="BH855">
        <v>1</v>
      </c>
      <c r="BI855" s="18">
        <v>0</v>
      </c>
      <c r="BJ855">
        <v>1732</v>
      </c>
      <c r="BK855">
        <v>201</v>
      </c>
      <c r="BL855" s="25">
        <v>38</v>
      </c>
      <c r="BM855">
        <v>1</v>
      </c>
      <c r="BN855">
        <v>0</v>
      </c>
      <c r="BO855">
        <v>0</v>
      </c>
      <c r="BP855">
        <v>0</v>
      </c>
      <c r="BQ855">
        <v>0</v>
      </c>
      <c r="BR855">
        <v>0</v>
      </c>
      <c r="BS855">
        <v>0</v>
      </c>
      <c r="BT855" s="18">
        <v>0</v>
      </c>
      <c r="BU855">
        <v>0</v>
      </c>
      <c r="BV855">
        <v>0</v>
      </c>
      <c r="BW855">
        <v>1</v>
      </c>
      <c r="BX855" s="18">
        <v>0</v>
      </c>
      <c r="BY855">
        <v>0</v>
      </c>
      <c r="BZ855">
        <v>0</v>
      </c>
      <c r="CA855">
        <v>0</v>
      </c>
      <c r="CB855">
        <v>0</v>
      </c>
      <c r="CC855" s="18">
        <v>0</v>
      </c>
      <c r="CD855">
        <v>0</v>
      </c>
      <c r="CE855">
        <v>0</v>
      </c>
      <c r="CF855">
        <v>1</v>
      </c>
      <c r="CG855">
        <v>1</v>
      </c>
      <c r="CH855">
        <v>0</v>
      </c>
      <c r="CI855">
        <v>0</v>
      </c>
      <c r="CJ855">
        <v>0</v>
      </c>
      <c r="CK855">
        <v>0</v>
      </c>
      <c r="CL855">
        <v>1</v>
      </c>
      <c r="CM855">
        <v>0</v>
      </c>
      <c r="CN855" s="18">
        <v>0</v>
      </c>
      <c r="CO855">
        <v>0</v>
      </c>
      <c r="CP855">
        <v>0</v>
      </c>
      <c r="CQ855">
        <v>0</v>
      </c>
      <c r="CR855">
        <v>1</v>
      </c>
      <c r="CS855">
        <v>19</v>
      </c>
      <c r="CY855" s="34"/>
    </row>
    <row r="856" spans="1:103" x14ac:dyDescent="0.25">
      <c r="A856">
        <v>855</v>
      </c>
      <c r="B856">
        <v>58</v>
      </c>
      <c r="C856" s="25" t="s">
        <v>3921</v>
      </c>
      <c r="D856" s="12">
        <v>3.3</v>
      </c>
      <c r="E856" s="14">
        <v>0.9</v>
      </c>
      <c r="F856" s="7">
        <f t="shared" si="217"/>
        <v>3.6666666666666665</v>
      </c>
      <c r="G856" s="7">
        <f t="shared" si="208"/>
        <v>2.4</v>
      </c>
      <c r="H856" s="16">
        <f t="shared" si="209"/>
        <v>4.2</v>
      </c>
      <c r="I856" s="11">
        <f t="shared" si="214"/>
        <v>0.11323970232334872</v>
      </c>
      <c r="J856" s="33">
        <f t="shared" si="215"/>
        <v>3.0883555179095103E-2</v>
      </c>
      <c r="K856" s="33">
        <f t="shared" si="216"/>
        <v>32.379691852215707</v>
      </c>
      <c r="L856" s="8">
        <v>1</v>
      </c>
      <c r="M856" s="9">
        <v>0</v>
      </c>
      <c r="N856" s="8">
        <v>1</v>
      </c>
      <c r="O856" s="9">
        <v>0</v>
      </c>
      <c r="P856" s="9">
        <v>0</v>
      </c>
      <c r="Q856" s="9">
        <v>0</v>
      </c>
      <c r="R856" s="9">
        <v>0</v>
      </c>
      <c r="S856" s="8">
        <v>1047</v>
      </c>
      <c r="T856" s="9">
        <v>11</v>
      </c>
      <c r="U856" s="9">
        <f t="shared" si="210"/>
        <v>1035</v>
      </c>
      <c r="V856" s="9">
        <f t="shared" si="211"/>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v>0</v>
      </c>
      <c r="BF856" s="18">
        <v>0</v>
      </c>
      <c r="BG856">
        <v>0</v>
      </c>
      <c r="BH856">
        <v>1</v>
      </c>
      <c r="BI856" s="18">
        <v>0</v>
      </c>
      <c r="BJ856">
        <v>1732</v>
      </c>
      <c r="BK856">
        <v>201</v>
      </c>
      <c r="BL856" s="25">
        <v>38</v>
      </c>
      <c r="BM856">
        <v>0</v>
      </c>
      <c r="BN856">
        <v>0</v>
      </c>
      <c r="BO856">
        <v>0</v>
      </c>
      <c r="BP856">
        <v>0</v>
      </c>
      <c r="BQ856">
        <v>0</v>
      </c>
      <c r="BR856">
        <v>1</v>
      </c>
      <c r="BS856">
        <v>0</v>
      </c>
      <c r="BT856" s="18">
        <v>0</v>
      </c>
      <c r="BU856">
        <v>0</v>
      </c>
      <c r="BV856">
        <v>0</v>
      </c>
      <c r="BW856">
        <v>1</v>
      </c>
      <c r="BX856" s="18">
        <v>0</v>
      </c>
      <c r="BY856">
        <v>0</v>
      </c>
      <c r="BZ856">
        <v>0</v>
      </c>
      <c r="CA856">
        <v>0</v>
      </c>
      <c r="CB856">
        <v>0</v>
      </c>
      <c r="CC856" s="18">
        <v>0</v>
      </c>
      <c r="CD856">
        <v>0</v>
      </c>
      <c r="CE856">
        <v>0</v>
      </c>
      <c r="CF856">
        <v>1</v>
      </c>
      <c r="CG856">
        <v>1</v>
      </c>
      <c r="CH856">
        <v>0</v>
      </c>
      <c r="CI856">
        <v>0</v>
      </c>
      <c r="CJ856">
        <v>0</v>
      </c>
      <c r="CK856">
        <v>0</v>
      </c>
      <c r="CL856">
        <v>1</v>
      </c>
      <c r="CM856">
        <v>0</v>
      </c>
      <c r="CN856" s="18">
        <v>0</v>
      </c>
      <c r="CO856">
        <v>0</v>
      </c>
      <c r="CP856">
        <v>0</v>
      </c>
      <c r="CQ856">
        <v>0</v>
      </c>
      <c r="CR856">
        <v>1</v>
      </c>
      <c r="CS856">
        <v>19</v>
      </c>
      <c r="CY856" s="34"/>
    </row>
    <row r="857" spans="1:103" x14ac:dyDescent="0.25">
      <c r="A857">
        <v>856</v>
      </c>
      <c r="B857">
        <v>58</v>
      </c>
      <c r="C857" s="25" t="s">
        <v>3921</v>
      </c>
      <c r="D857" s="12">
        <v>7.4</v>
      </c>
      <c r="E857" s="14">
        <v>3.2</v>
      </c>
      <c r="F857" s="7">
        <f t="shared" si="217"/>
        <v>2.3125</v>
      </c>
      <c r="G857" s="7">
        <f t="shared" si="208"/>
        <v>4.2</v>
      </c>
      <c r="H857" s="16">
        <f t="shared" si="209"/>
        <v>10.600000000000001</v>
      </c>
      <c r="I857" s="11">
        <f t="shared" si="214"/>
        <v>7.5451619050317345E-2</v>
      </c>
      <c r="J857" s="33">
        <f t="shared" si="215"/>
        <v>3.2627727156893979E-2</v>
      </c>
      <c r="K857" s="33">
        <f t="shared" si="216"/>
        <v>30.648779033592842</v>
      </c>
      <c r="L857" s="8">
        <v>1</v>
      </c>
      <c r="M857" s="9">
        <v>0</v>
      </c>
      <c r="N857" s="8">
        <v>1</v>
      </c>
      <c r="O857" s="9">
        <v>0</v>
      </c>
      <c r="P857" s="9">
        <v>0</v>
      </c>
      <c r="Q857" s="9">
        <v>0</v>
      </c>
      <c r="R857" s="9">
        <v>0</v>
      </c>
      <c r="S857" s="8">
        <v>945</v>
      </c>
      <c r="T857" s="9">
        <v>10</v>
      </c>
      <c r="U857" s="9">
        <f t="shared" si="210"/>
        <v>934</v>
      </c>
      <c r="V857" s="9">
        <f t="shared" si="211"/>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v>0</v>
      </c>
      <c r="BF857" s="18">
        <v>0</v>
      </c>
      <c r="BG857">
        <v>0</v>
      </c>
      <c r="BH857">
        <v>1</v>
      </c>
      <c r="BI857" s="18">
        <v>0</v>
      </c>
      <c r="BJ857">
        <v>1732</v>
      </c>
      <c r="BK857">
        <v>201</v>
      </c>
      <c r="BL857" s="25">
        <v>38</v>
      </c>
      <c r="BM857">
        <v>0</v>
      </c>
      <c r="BN857">
        <v>0</v>
      </c>
      <c r="BO857">
        <v>0</v>
      </c>
      <c r="BP857">
        <v>0</v>
      </c>
      <c r="BQ857">
        <v>0</v>
      </c>
      <c r="BR857">
        <v>0</v>
      </c>
      <c r="BS857">
        <v>0</v>
      </c>
      <c r="BT857" s="18">
        <v>1</v>
      </c>
      <c r="BU857">
        <v>0</v>
      </c>
      <c r="BV857">
        <v>1</v>
      </c>
      <c r="BW857">
        <v>0</v>
      </c>
      <c r="BX857" s="18">
        <v>0</v>
      </c>
      <c r="BY857">
        <v>0</v>
      </c>
      <c r="BZ857">
        <v>0</v>
      </c>
      <c r="CA857">
        <v>0</v>
      </c>
      <c r="CB857">
        <v>0</v>
      </c>
      <c r="CC857" s="18">
        <v>0</v>
      </c>
      <c r="CD857">
        <v>0</v>
      </c>
      <c r="CE857">
        <v>0</v>
      </c>
      <c r="CF857">
        <v>1</v>
      </c>
      <c r="CG857">
        <v>1</v>
      </c>
      <c r="CH857">
        <v>0</v>
      </c>
      <c r="CI857">
        <v>0</v>
      </c>
      <c r="CJ857">
        <v>0</v>
      </c>
      <c r="CK857">
        <v>0</v>
      </c>
      <c r="CL857">
        <v>1</v>
      </c>
      <c r="CM857">
        <v>0</v>
      </c>
      <c r="CN857" s="18">
        <v>0</v>
      </c>
      <c r="CO857">
        <v>0</v>
      </c>
      <c r="CP857">
        <v>0</v>
      </c>
      <c r="CQ857">
        <v>0</v>
      </c>
      <c r="CR857">
        <v>1</v>
      </c>
      <c r="CS857">
        <v>19</v>
      </c>
      <c r="CY857" s="34"/>
    </row>
    <row r="858" spans="1:103" x14ac:dyDescent="0.25">
      <c r="A858">
        <v>857</v>
      </c>
      <c r="B858">
        <v>58</v>
      </c>
      <c r="C858" s="25" t="s">
        <v>3921</v>
      </c>
      <c r="D858" s="12">
        <v>7.2</v>
      </c>
      <c r="E858" s="14">
        <v>4</v>
      </c>
      <c r="F858" s="7">
        <f t="shared" si="217"/>
        <v>1.8</v>
      </c>
      <c r="G858" s="7">
        <f t="shared" si="208"/>
        <v>3.2</v>
      </c>
      <c r="H858" s="16">
        <f t="shared" si="209"/>
        <v>11.2</v>
      </c>
      <c r="I858" s="11">
        <f t="shared" si="214"/>
        <v>5.8764565986251648E-2</v>
      </c>
      <c r="J858" s="33">
        <f t="shared" si="215"/>
        <v>3.2646981103473138E-2</v>
      </c>
      <c r="K858" s="33">
        <f t="shared" si="216"/>
        <v>30.630703550522632</v>
      </c>
      <c r="L858" s="8">
        <v>1</v>
      </c>
      <c r="M858" s="9">
        <v>0</v>
      </c>
      <c r="N858" s="8">
        <v>1</v>
      </c>
      <c r="O858" s="9">
        <v>0</v>
      </c>
      <c r="P858" s="9">
        <v>0</v>
      </c>
      <c r="Q858" s="9">
        <v>0</v>
      </c>
      <c r="R858" s="9">
        <v>0</v>
      </c>
      <c r="S858" s="8">
        <v>945</v>
      </c>
      <c r="T858" s="9">
        <v>9</v>
      </c>
      <c r="U858" s="9">
        <f t="shared" si="210"/>
        <v>935</v>
      </c>
      <c r="V858" s="9">
        <f t="shared" si="211"/>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v>0</v>
      </c>
      <c r="BF858" s="18">
        <v>0</v>
      </c>
      <c r="BG858">
        <v>0</v>
      </c>
      <c r="BH858">
        <v>1</v>
      </c>
      <c r="BI858" s="18">
        <v>0</v>
      </c>
      <c r="BJ858">
        <v>1732</v>
      </c>
      <c r="BK858">
        <v>201</v>
      </c>
      <c r="BL858" s="25">
        <v>38</v>
      </c>
      <c r="BM858">
        <v>0</v>
      </c>
      <c r="BN858">
        <v>0</v>
      </c>
      <c r="BO858">
        <v>0</v>
      </c>
      <c r="BP858">
        <v>0</v>
      </c>
      <c r="BQ858">
        <v>0</v>
      </c>
      <c r="BR858">
        <v>0</v>
      </c>
      <c r="BS858">
        <v>0</v>
      </c>
      <c r="BT858" s="18">
        <v>1</v>
      </c>
      <c r="BU858">
        <v>0</v>
      </c>
      <c r="BV858">
        <v>1</v>
      </c>
      <c r="BW858">
        <v>0</v>
      </c>
      <c r="BX858" s="18">
        <v>0</v>
      </c>
      <c r="BY858">
        <v>0</v>
      </c>
      <c r="BZ858">
        <v>0</v>
      </c>
      <c r="CA858">
        <v>0</v>
      </c>
      <c r="CB858">
        <v>0</v>
      </c>
      <c r="CC858" s="18">
        <v>0</v>
      </c>
      <c r="CD858">
        <v>0</v>
      </c>
      <c r="CE858">
        <v>0</v>
      </c>
      <c r="CF858">
        <v>1</v>
      </c>
      <c r="CG858">
        <v>1</v>
      </c>
      <c r="CH858">
        <v>0</v>
      </c>
      <c r="CI858">
        <v>0</v>
      </c>
      <c r="CJ858">
        <v>0</v>
      </c>
      <c r="CK858">
        <v>0</v>
      </c>
      <c r="CL858">
        <v>1</v>
      </c>
      <c r="CM858">
        <v>0</v>
      </c>
      <c r="CN858" s="18">
        <v>0</v>
      </c>
      <c r="CO858">
        <v>0</v>
      </c>
      <c r="CP858">
        <v>0</v>
      </c>
      <c r="CQ858">
        <v>0</v>
      </c>
      <c r="CR858">
        <v>1</v>
      </c>
      <c r="CS858">
        <v>19</v>
      </c>
      <c r="CY858" s="34"/>
    </row>
    <row r="859" spans="1:103" x14ac:dyDescent="0.25">
      <c r="A859">
        <v>858</v>
      </c>
      <c r="B859">
        <v>59</v>
      </c>
      <c r="C859" s="25" t="s">
        <v>3929</v>
      </c>
      <c r="D859" s="12">
        <v>10.4</v>
      </c>
      <c r="E859" s="14">
        <v>1.1000000000000001</v>
      </c>
      <c r="F859" s="7">
        <f t="shared" si="217"/>
        <v>9.4545454545454533</v>
      </c>
      <c r="G859" s="7">
        <f t="shared" si="208"/>
        <v>9.3000000000000007</v>
      </c>
      <c r="H859" s="16">
        <f t="shared" si="209"/>
        <v>11.5</v>
      </c>
      <c r="I859" s="11">
        <f t="shared" si="214"/>
        <v>0.29410936723884318</v>
      </c>
      <c r="J859" s="33">
        <f t="shared" si="215"/>
        <v>3.110772153487765E-2</v>
      </c>
      <c r="K859" s="33">
        <f t="shared" si="216"/>
        <v>32.146359510091749</v>
      </c>
      <c r="L859" s="8">
        <v>0</v>
      </c>
      <c r="M859" s="9">
        <v>1</v>
      </c>
      <c r="N859" s="8">
        <v>0</v>
      </c>
      <c r="O859" s="9">
        <v>0</v>
      </c>
      <c r="P859" s="9">
        <v>0</v>
      </c>
      <c r="Q859" s="9">
        <v>1</v>
      </c>
      <c r="R859" s="9">
        <v>0</v>
      </c>
      <c r="S859" s="8">
        <v>948</v>
      </c>
      <c r="T859" s="9">
        <v>3</v>
      </c>
      <c r="U859" s="9">
        <f t="shared" si="210"/>
        <v>944</v>
      </c>
      <c r="V859" s="9">
        <f t="shared" si="211"/>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v>0</v>
      </c>
      <c r="BF859" s="18">
        <v>1</v>
      </c>
      <c r="BG859">
        <v>0</v>
      </c>
      <c r="BH859">
        <v>0</v>
      </c>
      <c r="BI859" s="18">
        <v>1</v>
      </c>
      <c r="BJ859" t="s">
        <v>98</v>
      </c>
      <c r="BK859">
        <v>27</v>
      </c>
      <c r="BL859" s="25">
        <v>36.799999999999997</v>
      </c>
      <c r="BM859">
        <v>1</v>
      </c>
      <c r="BN859">
        <v>0</v>
      </c>
      <c r="BO859">
        <v>0</v>
      </c>
      <c r="BP859">
        <v>0</v>
      </c>
      <c r="BQ859">
        <v>0</v>
      </c>
      <c r="BR859">
        <v>0</v>
      </c>
      <c r="BS859">
        <v>0</v>
      </c>
      <c r="BT859" s="18">
        <v>0</v>
      </c>
      <c r="BU859">
        <v>1</v>
      </c>
      <c r="BV859">
        <v>0</v>
      </c>
      <c r="BW859">
        <v>0</v>
      </c>
      <c r="BX859" s="18">
        <v>0</v>
      </c>
      <c r="BY859">
        <v>0</v>
      </c>
      <c r="BZ859">
        <v>0</v>
      </c>
      <c r="CA859">
        <v>0</v>
      </c>
      <c r="CB859">
        <v>0</v>
      </c>
      <c r="CC859" s="18">
        <v>0</v>
      </c>
      <c r="CD859">
        <v>0</v>
      </c>
      <c r="CE859">
        <v>0</v>
      </c>
      <c r="CF859">
        <v>1</v>
      </c>
      <c r="CG859">
        <v>1</v>
      </c>
      <c r="CH859">
        <v>0</v>
      </c>
      <c r="CI859">
        <v>0</v>
      </c>
      <c r="CJ859">
        <v>0</v>
      </c>
      <c r="CK859">
        <v>0</v>
      </c>
      <c r="CL859">
        <v>0</v>
      </c>
      <c r="CM859">
        <v>0</v>
      </c>
      <c r="CN859" s="18">
        <v>0</v>
      </c>
      <c r="CO859">
        <v>0</v>
      </c>
      <c r="CP859">
        <v>2</v>
      </c>
      <c r="CQ859">
        <v>0</v>
      </c>
      <c r="CR859">
        <v>1</v>
      </c>
      <c r="CS859">
        <v>27</v>
      </c>
      <c r="CY859" s="34"/>
    </row>
    <row r="860" spans="1:103" x14ac:dyDescent="0.25">
      <c r="A860">
        <v>859</v>
      </c>
      <c r="B860">
        <v>59</v>
      </c>
      <c r="C860" s="25" t="s">
        <v>3929</v>
      </c>
      <c r="D860" s="12">
        <v>7.4</v>
      </c>
      <c r="E860" s="14">
        <v>1.4</v>
      </c>
      <c r="F860" s="7">
        <f t="shared" si="217"/>
        <v>5.2857142857142865</v>
      </c>
      <c r="G860" s="7">
        <f t="shared" si="208"/>
        <v>6</v>
      </c>
      <c r="H860" s="16">
        <f t="shared" si="209"/>
        <v>8.8000000000000007</v>
      </c>
      <c r="I860" s="11">
        <f t="shared" si="214"/>
        <v>0.16963199170970289</v>
      </c>
      <c r="J860" s="33">
        <f t="shared" si="215"/>
        <v>3.2092538972105948E-2</v>
      </c>
      <c r="K860" s="33">
        <f t="shared" si="216"/>
        <v>31.159890492590055</v>
      </c>
      <c r="L860" s="8">
        <v>0</v>
      </c>
      <c r="M860" s="9">
        <v>1</v>
      </c>
      <c r="N860" s="8">
        <v>0</v>
      </c>
      <c r="O860" s="9">
        <v>0</v>
      </c>
      <c r="P860" s="9">
        <v>0</v>
      </c>
      <c r="Q860" s="9">
        <v>1</v>
      </c>
      <c r="R860" s="9">
        <v>0</v>
      </c>
      <c r="S860" s="8">
        <v>948</v>
      </c>
      <c r="T860" s="9">
        <v>4</v>
      </c>
      <c r="U860" s="9">
        <f t="shared" si="210"/>
        <v>943</v>
      </c>
      <c r="V860" s="9">
        <f t="shared" si="211"/>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v>0</v>
      </c>
      <c r="BF860" s="18">
        <v>1</v>
      </c>
      <c r="BG860">
        <v>0</v>
      </c>
      <c r="BH860">
        <v>0</v>
      </c>
      <c r="BI860" s="18">
        <v>1</v>
      </c>
      <c r="BJ860" t="s">
        <v>98</v>
      </c>
      <c r="BK860">
        <v>27</v>
      </c>
      <c r="BL860" s="25">
        <v>36.799999999999997</v>
      </c>
      <c r="BM860">
        <v>0</v>
      </c>
      <c r="BN860">
        <v>0</v>
      </c>
      <c r="BO860">
        <v>0</v>
      </c>
      <c r="BP860">
        <v>1</v>
      </c>
      <c r="BQ860">
        <v>0</v>
      </c>
      <c r="BR860">
        <v>0</v>
      </c>
      <c r="BS860">
        <v>0</v>
      </c>
      <c r="BT860" s="18">
        <v>0</v>
      </c>
      <c r="BU860">
        <v>1</v>
      </c>
      <c r="BV860">
        <v>0</v>
      </c>
      <c r="BW860">
        <v>0</v>
      </c>
      <c r="BX860" s="18">
        <v>0</v>
      </c>
      <c r="BY860">
        <v>0</v>
      </c>
      <c r="BZ860">
        <v>0</v>
      </c>
      <c r="CA860">
        <v>0</v>
      </c>
      <c r="CB860">
        <v>0</v>
      </c>
      <c r="CC860" s="18">
        <v>0</v>
      </c>
      <c r="CD860">
        <v>0</v>
      </c>
      <c r="CE860">
        <v>0</v>
      </c>
      <c r="CF860">
        <v>1</v>
      </c>
      <c r="CG860">
        <v>1</v>
      </c>
      <c r="CH860">
        <v>0</v>
      </c>
      <c r="CI860">
        <v>0</v>
      </c>
      <c r="CJ860">
        <v>0</v>
      </c>
      <c r="CK860">
        <v>0</v>
      </c>
      <c r="CL860">
        <v>0</v>
      </c>
      <c r="CM860">
        <v>1</v>
      </c>
      <c r="CN860" s="18">
        <v>0</v>
      </c>
      <c r="CO860">
        <v>0</v>
      </c>
      <c r="CP860">
        <v>2</v>
      </c>
      <c r="CQ860">
        <v>0</v>
      </c>
      <c r="CR860">
        <v>1</v>
      </c>
      <c r="CS860">
        <v>27</v>
      </c>
      <c r="CY860" s="34"/>
    </row>
    <row r="861" spans="1:103" x14ac:dyDescent="0.25">
      <c r="A861">
        <v>860</v>
      </c>
      <c r="B861">
        <v>59</v>
      </c>
      <c r="C861" s="25" t="s">
        <v>3929</v>
      </c>
      <c r="D861" s="12">
        <v>8.1</v>
      </c>
      <c r="E861" s="14">
        <v>1.1000000000000001</v>
      </c>
      <c r="F861" s="7">
        <f t="shared" si="217"/>
        <v>7.3636363636363624</v>
      </c>
      <c r="G861" s="7">
        <f t="shared" si="208"/>
        <v>7</v>
      </c>
      <c r="H861" s="16">
        <f t="shared" si="209"/>
        <v>9.1999999999999993</v>
      </c>
      <c r="I861" s="11">
        <f t="shared" si="214"/>
        <v>0.23318261044731342</v>
      </c>
      <c r="J861" s="33">
        <f t="shared" si="215"/>
        <v>3.1666774258277137E-2</v>
      </c>
      <c r="K861" s="33">
        <f t="shared" si="216"/>
        <v>31.578840075212828</v>
      </c>
      <c r="L861" s="8">
        <v>0</v>
      </c>
      <c r="M861" s="9">
        <v>1</v>
      </c>
      <c r="N861" s="8">
        <v>0</v>
      </c>
      <c r="O861" s="9">
        <v>0</v>
      </c>
      <c r="P861" s="9">
        <v>0</v>
      </c>
      <c r="Q861" s="9">
        <v>1</v>
      </c>
      <c r="R861" s="9">
        <v>0</v>
      </c>
      <c r="S861" s="8">
        <v>948</v>
      </c>
      <c r="T861" s="9">
        <v>4</v>
      </c>
      <c r="U861" s="9">
        <f t="shared" si="210"/>
        <v>943</v>
      </c>
      <c r="V861" s="9">
        <f t="shared" si="211"/>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v>0</v>
      </c>
      <c r="BF861" s="18">
        <v>1</v>
      </c>
      <c r="BG861">
        <v>0</v>
      </c>
      <c r="BH861">
        <v>0</v>
      </c>
      <c r="BI861" s="18">
        <v>1</v>
      </c>
      <c r="BJ861" t="s">
        <v>98</v>
      </c>
      <c r="BK861">
        <v>27</v>
      </c>
      <c r="BL861" s="25">
        <v>36.799999999999997</v>
      </c>
      <c r="BM861">
        <v>1</v>
      </c>
      <c r="BN861">
        <v>0</v>
      </c>
      <c r="BO861">
        <v>0</v>
      </c>
      <c r="BP861">
        <v>0</v>
      </c>
      <c r="BQ861">
        <v>0</v>
      </c>
      <c r="BR861">
        <v>0</v>
      </c>
      <c r="BS861">
        <v>0</v>
      </c>
      <c r="BT861" s="18">
        <v>0</v>
      </c>
      <c r="BU861">
        <v>1</v>
      </c>
      <c r="BV861">
        <v>0</v>
      </c>
      <c r="BW861">
        <v>0</v>
      </c>
      <c r="BX861" s="18">
        <v>0</v>
      </c>
      <c r="BY861">
        <v>0</v>
      </c>
      <c r="BZ861">
        <v>0</v>
      </c>
      <c r="CA861">
        <v>0</v>
      </c>
      <c r="CB861">
        <v>0</v>
      </c>
      <c r="CC861" s="18">
        <v>0</v>
      </c>
      <c r="CD861">
        <v>0</v>
      </c>
      <c r="CE861">
        <v>0</v>
      </c>
      <c r="CF861">
        <v>1</v>
      </c>
      <c r="CG861">
        <v>1</v>
      </c>
      <c r="CH861">
        <v>0</v>
      </c>
      <c r="CI861">
        <v>0</v>
      </c>
      <c r="CJ861">
        <v>1</v>
      </c>
      <c r="CK861">
        <v>0</v>
      </c>
      <c r="CL861">
        <v>0</v>
      </c>
      <c r="CM861">
        <v>0</v>
      </c>
      <c r="CN861" s="18">
        <v>0</v>
      </c>
      <c r="CO861">
        <v>0</v>
      </c>
      <c r="CP861">
        <v>2</v>
      </c>
      <c r="CQ861">
        <v>0</v>
      </c>
      <c r="CR861">
        <v>1</v>
      </c>
      <c r="CS861">
        <v>27</v>
      </c>
      <c r="CY861" s="34"/>
    </row>
    <row r="862" spans="1:103" x14ac:dyDescent="0.25">
      <c r="A862">
        <v>861</v>
      </c>
      <c r="B862">
        <v>59</v>
      </c>
      <c r="C862" s="25" t="s">
        <v>3929</v>
      </c>
      <c r="D862" s="12">
        <v>7.2</v>
      </c>
      <c r="E862" s="14">
        <v>1.6</v>
      </c>
      <c r="F862" s="7">
        <f t="shared" si="217"/>
        <v>4.5</v>
      </c>
      <c r="G862" s="7">
        <f t="shared" si="208"/>
        <v>5.6</v>
      </c>
      <c r="H862" s="16">
        <f t="shared" si="209"/>
        <v>8.8000000000000007</v>
      </c>
      <c r="I862" s="11">
        <f t="shared" si="214"/>
        <v>0.14506697461492843</v>
      </c>
      <c r="J862" s="33">
        <f t="shared" si="215"/>
        <v>3.2237105469984102E-2</v>
      </c>
      <c r="K862" s="33">
        <f t="shared" si="216"/>
        <v>31.020154738492195</v>
      </c>
      <c r="L862" s="8">
        <v>0</v>
      </c>
      <c r="M862" s="9">
        <v>1</v>
      </c>
      <c r="N862" s="8">
        <v>0</v>
      </c>
      <c r="O862" s="9">
        <v>0</v>
      </c>
      <c r="P862" s="9">
        <v>0</v>
      </c>
      <c r="Q862" s="9">
        <v>1</v>
      </c>
      <c r="R862" s="9">
        <v>0</v>
      </c>
      <c r="S862" s="8">
        <v>948</v>
      </c>
      <c r="T862" s="9">
        <v>5</v>
      </c>
      <c r="U862" s="9">
        <f t="shared" si="210"/>
        <v>942</v>
      </c>
      <c r="V862" s="9">
        <f t="shared" si="211"/>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v>0</v>
      </c>
      <c r="BF862" s="18">
        <v>1</v>
      </c>
      <c r="BG862">
        <v>0</v>
      </c>
      <c r="BH862">
        <v>0</v>
      </c>
      <c r="BI862" s="18">
        <v>1</v>
      </c>
      <c r="BJ862" t="s">
        <v>98</v>
      </c>
      <c r="BK862">
        <v>27</v>
      </c>
      <c r="BL862" s="25">
        <v>36.799999999999997</v>
      </c>
      <c r="BM862">
        <v>0</v>
      </c>
      <c r="BN862">
        <v>0</v>
      </c>
      <c r="BO862">
        <v>0</v>
      </c>
      <c r="BP862">
        <v>1</v>
      </c>
      <c r="BQ862">
        <v>0</v>
      </c>
      <c r="BR862">
        <v>0</v>
      </c>
      <c r="BS862">
        <v>0</v>
      </c>
      <c r="BT862" s="18">
        <v>0</v>
      </c>
      <c r="BU862">
        <v>1</v>
      </c>
      <c r="BV862">
        <v>0</v>
      </c>
      <c r="BW862">
        <v>0</v>
      </c>
      <c r="BX862" s="18">
        <v>0</v>
      </c>
      <c r="BY862">
        <v>0</v>
      </c>
      <c r="BZ862">
        <v>0</v>
      </c>
      <c r="CA862">
        <v>0</v>
      </c>
      <c r="CB862">
        <v>0</v>
      </c>
      <c r="CC862" s="18">
        <v>0</v>
      </c>
      <c r="CD862">
        <v>0</v>
      </c>
      <c r="CE862">
        <v>0</v>
      </c>
      <c r="CF862">
        <v>1</v>
      </c>
      <c r="CG862">
        <v>1</v>
      </c>
      <c r="CH862">
        <v>0</v>
      </c>
      <c r="CI862">
        <v>0</v>
      </c>
      <c r="CJ862">
        <v>1</v>
      </c>
      <c r="CK862">
        <v>0</v>
      </c>
      <c r="CL862">
        <v>0</v>
      </c>
      <c r="CM862">
        <v>1</v>
      </c>
      <c r="CN862" s="18">
        <v>0</v>
      </c>
      <c r="CO862">
        <v>0</v>
      </c>
      <c r="CP862">
        <v>2</v>
      </c>
      <c r="CQ862">
        <v>0</v>
      </c>
      <c r="CR862">
        <v>1</v>
      </c>
      <c r="CS862">
        <v>27</v>
      </c>
      <c r="CY862" s="34"/>
    </row>
    <row r="863" spans="1:103" x14ac:dyDescent="0.25">
      <c r="A863">
        <v>862</v>
      </c>
      <c r="B863">
        <v>59</v>
      </c>
      <c r="C863" s="25" t="s">
        <v>3929</v>
      </c>
      <c r="D863" s="12">
        <v>11.2</v>
      </c>
      <c r="E863" s="14">
        <v>1.6</v>
      </c>
      <c r="F863" s="7">
        <f t="shared" si="217"/>
        <v>6.9999999999999991</v>
      </c>
      <c r="G863" s="7">
        <f t="shared" si="208"/>
        <v>9.6</v>
      </c>
      <c r="H863" s="16">
        <f t="shared" si="209"/>
        <v>12.799999999999999</v>
      </c>
      <c r="I863" s="11">
        <f t="shared" si="214"/>
        <v>0.22225022225033333</v>
      </c>
      <c r="J863" s="33">
        <f t="shared" si="215"/>
        <v>3.1750031750047626E-2</v>
      </c>
      <c r="K863" s="33">
        <f t="shared" si="216"/>
        <v>31.496031496047245</v>
      </c>
      <c r="L863" s="8">
        <v>0</v>
      </c>
      <c r="M863" s="9">
        <v>1</v>
      </c>
      <c r="N863" s="8">
        <v>0</v>
      </c>
      <c r="O863" s="9">
        <v>0</v>
      </c>
      <c r="P863" s="9">
        <v>0</v>
      </c>
      <c r="Q863" s="9">
        <v>1</v>
      </c>
      <c r="R863" s="9">
        <v>0</v>
      </c>
      <c r="S863" s="8">
        <v>948</v>
      </c>
      <c r="T863" s="9">
        <v>4</v>
      </c>
      <c r="U863" s="9">
        <f t="shared" si="210"/>
        <v>943</v>
      </c>
      <c r="V863" s="9">
        <f t="shared" si="211"/>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v>0</v>
      </c>
      <c r="BF863" s="18">
        <v>1</v>
      </c>
      <c r="BG863">
        <v>0</v>
      </c>
      <c r="BH863">
        <v>0</v>
      </c>
      <c r="BI863" s="18">
        <v>1</v>
      </c>
      <c r="BJ863" t="s">
        <v>98</v>
      </c>
      <c r="BK863">
        <v>27</v>
      </c>
      <c r="BL863" s="25">
        <v>36.799999999999997</v>
      </c>
      <c r="BM863">
        <v>1</v>
      </c>
      <c r="BN863">
        <v>0</v>
      </c>
      <c r="BO863">
        <v>0</v>
      </c>
      <c r="BP863">
        <v>0</v>
      </c>
      <c r="BQ863">
        <v>0</v>
      </c>
      <c r="BR863">
        <v>0</v>
      </c>
      <c r="BS863">
        <v>0</v>
      </c>
      <c r="BT863" s="18">
        <v>0</v>
      </c>
      <c r="BU863">
        <v>1</v>
      </c>
      <c r="BV863">
        <v>0</v>
      </c>
      <c r="BW863">
        <v>0</v>
      </c>
      <c r="BX863" s="18">
        <v>0</v>
      </c>
      <c r="BY863">
        <v>0</v>
      </c>
      <c r="BZ863">
        <v>0</v>
      </c>
      <c r="CA863">
        <v>0</v>
      </c>
      <c r="CB863">
        <v>0</v>
      </c>
      <c r="CC863" s="18">
        <v>0</v>
      </c>
      <c r="CD863">
        <v>0</v>
      </c>
      <c r="CE863">
        <v>0</v>
      </c>
      <c r="CF863">
        <v>1</v>
      </c>
      <c r="CG863">
        <v>1</v>
      </c>
      <c r="CH863">
        <v>0</v>
      </c>
      <c r="CI863">
        <v>0</v>
      </c>
      <c r="CJ863">
        <v>0</v>
      </c>
      <c r="CK863">
        <v>0</v>
      </c>
      <c r="CL863">
        <v>0</v>
      </c>
      <c r="CM863">
        <v>0</v>
      </c>
      <c r="CN863" s="18">
        <v>0</v>
      </c>
      <c r="CO863">
        <v>0</v>
      </c>
      <c r="CP863">
        <v>2</v>
      </c>
      <c r="CQ863">
        <v>0</v>
      </c>
      <c r="CR863">
        <v>1</v>
      </c>
      <c r="CS863">
        <v>27</v>
      </c>
      <c r="CY863" s="34"/>
    </row>
    <row r="864" spans="1:103" x14ac:dyDescent="0.25">
      <c r="A864">
        <v>863</v>
      </c>
      <c r="B864">
        <v>59</v>
      </c>
      <c r="C864" s="25" t="s">
        <v>3929</v>
      </c>
      <c r="D864" s="12">
        <v>8.1999999999999993</v>
      </c>
      <c r="E864" s="14">
        <v>2</v>
      </c>
      <c r="F864" s="7">
        <f t="shared" si="217"/>
        <v>4.0999999999999996</v>
      </c>
      <c r="G864" s="7">
        <f t="shared" si="208"/>
        <v>6.1999999999999993</v>
      </c>
      <c r="H864" s="16">
        <f t="shared" si="209"/>
        <v>10.199999999999999</v>
      </c>
      <c r="I864" s="11">
        <f t="shared" si="214"/>
        <v>0.13240902245181604</v>
      </c>
      <c r="J864" s="33">
        <f t="shared" si="215"/>
        <v>3.2294883524833187E-2</v>
      </c>
      <c r="K864" s="33">
        <f t="shared" si="216"/>
        <v>30.964657272445304</v>
      </c>
      <c r="L864" s="8">
        <v>0</v>
      </c>
      <c r="M864" s="9">
        <v>1</v>
      </c>
      <c r="N864" s="8">
        <v>0</v>
      </c>
      <c r="O864" s="9">
        <v>0</v>
      </c>
      <c r="P864" s="9">
        <v>0</v>
      </c>
      <c r="Q864" s="9">
        <v>1</v>
      </c>
      <c r="R864" s="9">
        <v>0</v>
      </c>
      <c r="S864" s="8">
        <v>948</v>
      </c>
      <c r="T864" s="9">
        <v>5</v>
      </c>
      <c r="U864" s="9">
        <f t="shared" si="210"/>
        <v>942</v>
      </c>
      <c r="V864" s="9">
        <f t="shared" si="211"/>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v>0</v>
      </c>
      <c r="BF864" s="18">
        <v>1</v>
      </c>
      <c r="BG864">
        <v>0</v>
      </c>
      <c r="BH864">
        <v>0</v>
      </c>
      <c r="BI864" s="18">
        <v>1</v>
      </c>
      <c r="BJ864" t="s">
        <v>98</v>
      </c>
      <c r="BK864">
        <v>27</v>
      </c>
      <c r="BL864" s="25">
        <v>36.799999999999997</v>
      </c>
      <c r="BM864">
        <v>0</v>
      </c>
      <c r="BN864">
        <v>0</v>
      </c>
      <c r="BO864">
        <v>0</v>
      </c>
      <c r="BP864">
        <v>1</v>
      </c>
      <c r="BQ864">
        <v>0</v>
      </c>
      <c r="BR864">
        <v>0</v>
      </c>
      <c r="BS864">
        <v>0</v>
      </c>
      <c r="BT864" s="18">
        <v>0</v>
      </c>
      <c r="BU864">
        <v>1</v>
      </c>
      <c r="BV864">
        <v>0</v>
      </c>
      <c r="BW864">
        <v>0</v>
      </c>
      <c r="BX864" s="18">
        <v>0</v>
      </c>
      <c r="BY864">
        <v>0</v>
      </c>
      <c r="BZ864">
        <v>0</v>
      </c>
      <c r="CA864">
        <v>0</v>
      </c>
      <c r="CB864">
        <v>0</v>
      </c>
      <c r="CC864" s="18">
        <v>0</v>
      </c>
      <c r="CD864">
        <v>0</v>
      </c>
      <c r="CE864">
        <v>0</v>
      </c>
      <c r="CF864">
        <v>1</v>
      </c>
      <c r="CG864">
        <v>1</v>
      </c>
      <c r="CH864">
        <v>0</v>
      </c>
      <c r="CI864">
        <v>0</v>
      </c>
      <c r="CJ864">
        <v>0</v>
      </c>
      <c r="CK864">
        <v>0</v>
      </c>
      <c r="CL864">
        <v>0</v>
      </c>
      <c r="CM864">
        <v>1</v>
      </c>
      <c r="CN864" s="18">
        <v>0</v>
      </c>
      <c r="CO864">
        <v>0</v>
      </c>
      <c r="CP864">
        <v>2</v>
      </c>
      <c r="CQ864">
        <v>0</v>
      </c>
      <c r="CR864">
        <v>1</v>
      </c>
      <c r="CS864">
        <v>27</v>
      </c>
      <c r="CY864" s="34"/>
    </row>
    <row r="865" spans="1:103" x14ac:dyDescent="0.25">
      <c r="A865">
        <v>864</v>
      </c>
      <c r="B865">
        <v>59</v>
      </c>
      <c r="C865" s="25" t="s">
        <v>3929</v>
      </c>
      <c r="D865" s="12">
        <v>10</v>
      </c>
      <c r="E865" s="14">
        <v>1.5</v>
      </c>
      <c r="F865" s="7">
        <f t="shared" si="217"/>
        <v>6.666666666666667</v>
      </c>
      <c r="G865" s="7">
        <f t="shared" si="208"/>
        <v>8.5</v>
      </c>
      <c r="H865" s="16">
        <f t="shared" si="209"/>
        <v>11.5</v>
      </c>
      <c r="I865" s="11">
        <f t="shared" si="214"/>
        <v>0.21226208472298677</v>
      </c>
      <c r="J865" s="33">
        <f t="shared" si="215"/>
        <v>3.1839312708448017E-2</v>
      </c>
      <c r="K865" s="33">
        <f t="shared" si="216"/>
        <v>31.407713136177939</v>
      </c>
      <c r="L865" s="8">
        <v>0</v>
      </c>
      <c r="M865" s="9">
        <v>1</v>
      </c>
      <c r="N865" s="8">
        <v>0</v>
      </c>
      <c r="O865" s="9">
        <v>0</v>
      </c>
      <c r="P865" s="9">
        <v>0</v>
      </c>
      <c r="Q865" s="9">
        <v>1</v>
      </c>
      <c r="R865" s="9">
        <v>0</v>
      </c>
      <c r="S865" s="8">
        <v>948</v>
      </c>
      <c r="T865" s="9">
        <v>5</v>
      </c>
      <c r="U865" s="9">
        <f t="shared" si="210"/>
        <v>942</v>
      </c>
      <c r="V865" s="9">
        <f t="shared" si="211"/>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v>0</v>
      </c>
      <c r="BF865" s="18">
        <v>1</v>
      </c>
      <c r="BG865">
        <v>0</v>
      </c>
      <c r="BH865">
        <v>0</v>
      </c>
      <c r="BI865" s="18">
        <v>1</v>
      </c>
      <c r="BJ865" t="s">
        <v>98</v>
      </c>
      <c r="BK865">
        <v>27</v>
      </c>
      <c r="BL865" s="25">
        <v>36.799999999999997</v>
      </c>
      <c r="BM865">
        <v>1</v>
      </c>
      <c r="BN865">
        <v>0</v>
      </c>
      <c r="BO865">
        <v>0</v>
      </c>
      <c r="BP865">
        <v>0</v>
      </c>
      <c r="BQ865">
        <v>0</v>
      </c>
      <c r="BR865">
        <v>0</v>
      </c>
      <c r="BS865">
        <v>0</v>
      </c>
      <c r="BT865" s="18">
        <v>0</v>
      </c>
      <c r="BU865">
        <v>1</v>
      </c>
      <c r="BV865">
        <v>0</v>
      </c>
      <c r="BW865">
        <v>0</v>
      </c>
      <c r="BX865" s="18">
        <v>0</v>
      </c>
      <c r="BY865">
        <v>0</v>
      </c>
      <c r="BZ865">
        <v>0</v>
      </c>
      <c r="CA865">
        <v>0</v>
      </c>
      <c r="CB865">
        <v>0</v>
      </c>
      <c r="CC865" s="18">
        <v>0</v>
      </c>
      <c r="CD865">
        <v>0</v>
      </c>
      <c r="CE865">
        <v>0</v>
      </c>
      <c r="CF865">
        <v>1</v>
      </c>
      <c r="CG865">
        <v>1</v>
      </c>
      <c r="CH865">
        <v>0</v>
      </c>
      <c r="CI865">
        <v>0</v>
      </c>
      <c r="CJ865">
        <v>1</v>
      </c>
      <c r="CK865">
        <v>0</v>
      </c>
      <c r="CL865">
        <v>0</v>
      </c>
      <c r="CM865">
        <v>0</v>
      </c>
      <c r="CN865" s="18">
        <v>0</v>
      </c>
      <c r="CO865">
        <v>0</v>
      </c>
      <c r="CP865">
        <v>2</v>
      </c>
      <c r="CQ865">
        <v>0</v>
      </c>
      <c r="CR865">
        <v>1</v>
      </c>
      <c r="CS865">
        <v>27</v>
      </c>
      <c r="CY865" s="34"/>
    </row>
    <row r="866" spans="1:103" x14ac:dyDescent="0.25">
      <c r="A866">
        <v>865</v>
      </c>
      <c r="B866">
        <v>59</v>
      </c>
      <c r="C866" s="25" t="s">
        <v>3929</v>
      </c>
      <c r="D866" s="12">
        <v>8</v>
      </c>
      <c r="E866" s="14">
        <v>2</v>
      </c>
      <c r="F866" s="7">
        <f t="shared" si="217"/>
        <v>4</v>
      </c>
      <c r="G866" s="7">
        <f t="shared" si="208"/>
        <v>6</v>
      </c>
      <c r="H866" s="16">
        <f t="shared" si="209"/>
        <v>10</v>
      </c>
      <c r="I866" s="11">
        <f t="shared" si="214"/>
        <v>0.1293016367670472</v>
      </c>
      <c r="J866" s="33">
        <f t="shared" si="215"/>
        <v>3.2325409191761793E-2</v>
      </c>
      <c r="K866" s="33">
        <f t="shared" si="216"/>
        <v>30.935416596516042</v>
      </c>
      <c r="L866" s="8">
        <v>0</v>
      </c>
      <c r="M866" s="9">
        <v>1</v>
      </c>
      <c r="N866" s="8">
        <v>0</v>
      </c>
      <c r="O866" s="9">
        <v>0</v>
      </c>
      <c r="P866" s="9">
        <v>0</v>
      </c>
      <c r="Q866" s="9">
        <v>1</v>
      </c>
      <c r="R866" s="9">
        <v>0</v>
      </c>
      <c r="S866" s="8">
        <v>948</v>
      </c>
      <c r="T866" s="9">
        <v>6</v>
      </c>
      <c r="U866" s="9">
        <f t="shared" si="210"/>
        <v>941</v>
      </c>
      <c r="V866" s="9">
        <f t="shared" si="211"/>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v>0</v>
      </c>
      <c r="BF866" s="18">
        <v>1</v>
      </c>
      <c r="BG866">
        <v>0</v>
      </c>
      <c r="BH866">
        <v>0</v>
      </c>
      <c r="BI866" s="18">
        <v>1</v>
      </c>
      <c r="BJ866" t="s">
        <v>98</v>
      </c>
      <c r="BK866">
        <v>27</v>
      </c>
      <c r="BL866" s="25">
        <v>36.799999999999997</v>
      </c>
      <c r="BM866">
        <v>0</v>
      </c>
      <c r="BN866">
        <v>0</v>
      </c>
      <c r="BO866">
        <v>0</v>
      </c>
      <c r="BP866">
        <v>1</v>
      </c>
      <c r="BQ866">
        <v>0</v>
      </c>
      <c r="BR866">
        <v>0</v>
      </c>
      <c r="BS866">
        <v>0</v>
      </c>
      <c r="BT866" s="18">
        <v>0</v>
      </c>
      <c r="BU866">
        <v>1</v>
      </c>
      <c r="BV866">
        <v>0</v>
      </c>
      <c r="BW866">
        <v>0</v>
      </c>
      <c r="BX866" s="18">
        <v>0</v>
      </c>
      <c r="BY866">
        <v>0</v>
      </c>
      <c r="BZ866">
        <v>0</v>
      </c>
      <c r="CA866">
        <v>0</v>
      </c>
      <c r="CB866">
        <v>0</v>
      </c>
      <c r="CC866" s="18">
        <v>0</v>
      </c>
      <c r="CD866">
        <v>0</v>
      </c>
      <c r="CE866">
        <v>0</v>
      </c>
      <c r="CF866">
        <v>1</v>
      </c>
      <c r="CG866">
        <v>1</v>
      </c>
      <c r="CH866">
        <v>0</v>
      </c>
      <c r="CI866">
        <v>0</v>
      </c>
      <c r="CJ866">
        <v>1</v>
      </c>
      <c r="CK866">
        <v>0</v>
      </c>
      <c r="CL866">
        <v>0</v>
      </c>
      <c r="CM866">
        <v>1</v>
      </c>
      <c r="CN866" s="18">
        <v>0</v>
      </c>
      <c r="CO866">
        <v>0</v>
      </c>
      <c r="CP866">
        <v>2</v>
      </c>
      <c r="CQ866">
        <v>0</v>
      </c>
      <c r="CR866">
        <v>1</v>
      </c>
      <c r="CS866">
        <v>27</v>
      </c>
      <c r="CY866" s="34"/>
    </row>
    <row r="867" spans="1:103" x14ac:dyDescent="0.25">
      <c r="A867">
        <v>866</v>
      </c>
      <c r="B867">
        <v>59</v>
      </c>
      <c r="C867" s="25" t="s">
        <v>3929</v>
      </c>
      <c r="D867" s="12">
        <v>9.6999999999999993</v>
      </c>
      <c r="E867" s="14">
        <v>1</v>
      </c>
      <c r="F867" s="7">
        <f t="shared" si="217"/>
        <v>9.6999999999999993</v>
      </c>
      <c r="G867" s="7">
        <f t="shared" si="208"/>
        <v>8.6999999999999993</v>
      </c>
      <c r="H867" s="16">
        <f t="shared" si="209"/>
        <v>10.7</v>
      </c>
      <c r="I867" s="11">
        <f t="shared" si="214"/>
        <v>0.30120592524269102</v>
      </c>
      <c r="J867" s="33">
        <f t="shared" si="215"/>
        <v>3.1052157241514538E-2</v>
      </c>
      <c r="K867" s="33">
        <f t="shared" si="216"/>
        <v>32.203881753602317</v>
      </c>
      <c r="L867" s="8">
        <v>0</v>
      </c>
      <c r="M867" s="9">
        <v>1</v>
      </c>
      <c r="N867" s="8">
        <v>0</v>
      </c>
      <c r="O867" s="9">
        <v>0</v>
      </c>
      <c r="P867" s="9">
        <v>0</v>
      </c>
      <c r="Q867" s="9">
        <v>1</v>
      </c>
      <c r="R867" s="9">
        <v>0</v>
      </c>
      <c r="S867" s="8">
        <v>948</v>
      </c>
      <c r="T867" s="9">
        <v>4</v>
      </c>
      <c r="U867" s="9">
        <f t="shared" si="210"/>
        <v>943</v>
      </c>
      <c r="V867" s="9">
        <f t="shared" si="211"/>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v>0</v>
      </c>
      <c r="BF867" s="18">
        <v>1</v>
      </c>
      <c r="BG867">
        <v>0</v>
      </c>
      <c r="BH867">
        <v>0</v>
      </c>
      <c r="BI867" s="18">
        <v>1</v>
      </c>
      <c r="BJ867" t="s">
        <v>98</v>
      </c>
      <c r="BK867">
        <v>27</v>
      </c>
      <c r="BL867" s="25">
        <v>36.799999999999997</v>
      </c>
      <c r="BM867">
        <v>1</v>
      </c>
      <c r="BN867">
        <v>0</v>
      </c>
      <c r="BO867">
        <v>0</v>
      </c>
      <c r="BP867">
        <v>0</v>
      </c>
      <c r="BQ867">
        <v>0</v>
      </c>
      <c r="BR867">
        <v>0</v>
      </c>
      <c r="BS867">
        <v>0</v>
      </c>
      <c r="BT867" s="18">
        <v>0</v>
      </c>
      <c r="BU867">
        <v>1</v>
      </c>
      <c r="BV867">
        <v>0</v>
      </c>
      <c r="BW867">
        <v>0</v>
      </c>
      <c r="BX867" s="18">
        <v>0</v>
      </c>
      <c r="BY867">
        <v>0</v>
      </c>
      <c r="BZ867">
        <v>0</v>
      </c>
      <c r="CA867">
        <v>0</v>
      </c>
      <c r="CB867">
        <v>0</v>
      </c>
      <c r="CC867" s="18">
        <v>0</v>
      </c>
      <c r="CD867">
        <v>0</v>
      </c>
      <c r="CE867">
        <v>0</v>
      </c>
      <c r="CF867">
        <v>1</v>
      </c>
      <c r="CG867">
        <v>1</v>
      </c>
      <c r="CH867">
        <v>0</v>
      </c>
      <c r="CI867">
        <v>0</v>
      </c>
      <c r="CJ867">
        <v>0</v>
      </c>
      <c r="CK867">
        <v>0</v>
      </c>
      <c r="CL867">
        <v>0</v>
      </c>
      <c r="CM867">
        <v>0</v>
      </c>
      <c r="CN867" s="18">
        <v>0</v>
      </c>
      <c r="CO867">
        <v>0</v>
      </c>
      <c r="CP867">
        <v>2</v>
      </c>
      <c r="CQ867">
        <v>0</v>
      </c>
      <c r="CR867">
        <v>1</v>
      </c>
      <c r="CS867">
        <v>27</v>
      </c>
      <c r="CY867" s="34"/>
    </row>
    <row r="868" spans="1:103" x14ac:dyDescent="0.25">
      <c r="A868">
        <v>867</v>
      </c>
      <c r="B868">
        <v>59</v>
      </c>
      <c r="C868" s="25" t="s">
        <v>3929</v>
      </c>
      <c r="D868" s="12">
        <v>7.5</v>
      </c>
      <c r="E868" s="14">
        <v>1.4</v>
      </c>
      <c r="F868" s="7">
        <f t="shared" si="217"/>
        <v>5.3571428571428577</v>
      </c>
      <c r="G868" s="7">
        <f t="shared" si="208"/>
        <v>6.1</v>
      </c>
      <c r="H868" s="16">
        <f t="shared" si="209"/>
        <v>8.9</v>
      </c>
      <c r="I868" s="11">
        <f t="shared" si="214"/>
        <v>0.17194555021002075</v>
      </c>
      <c r="J868" s="33">
        <f t="shared" si="215"/>
        <v>3.2096502705870535E-2</v>
      </c>
      <c r="K868" s="33">
        <f t="shared" si="216"/>
        <v>31.156042425055155</v>
      </c>
      <c r="L868" s="8">
        <v>0</v>
      </c>
      <c r="M868" s="9">
        <v>1</v>
      </c>
      <c r="N868" s="8">
        <v>0</v>
      </c>
      <c r="O868" s="9">
        <v>0</v>
      </c>
      <c r="P868" s="9">
        <v>0</v>
      </c>
      <c r="Q868" s="9">
        <v>1</v>
      </c>
      <c r="R868" s="9">
        <v>0</v>
      </c>
      <c r="S868" s="8">
        <v>948</v>
      </c>
      <c r="T868" s="9">
        <v>5</v>
      </c>
      <c r="U868" s="9">
        <f t="shared" si="210"/>
        <v>942</v>
      </c>
      <c r="V868" s="9">
        <f t="shared" si="211"/>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v>0</v>
      </c>
      <c r="BF868" s="18">
        <v>1</v>
      </c>
      <c r="BG868">
        <v>0</v>
      </c>
      <c r="BH868">
        <v>0</v>
      </c>
      <c r="BI868" s="18">
        <v>1</v>
      </c>
      <c r="BJ868" t="s">
        <v>98</v>
      </c>
      <c r="BK868">
        <v>27</v>
      </c>
      <c r="BL868" s="25">
        <v>36.799999999999997</v>
      </c>
      <c r="BM868">
        <v>0</v>
      </c>
      <c r="BN868">
        <v>0</v>
      </c>
      <c r="BO868">
        <v>0</v>
      </c>
      <c r="BP868">
        <v>1</v>
      </c>
      <c r="BQ868">
        <v>0</v>
      </c>
      <c r="BR868">
        <v>0</v>
      </c>
      <c r="BS868">
        <v>0</v>
      </c>
      <c r="BT868" s="18">
        <v>0</v>
      </c>
      <c r="BU868">
        <v>1</v>
      </c>
      <c r="BV868">
        <v>0</v>
      </c>
      <c r="BW868">
        <v>0</v>
      </c>
      <c r="BX868" s="18">
        <v>0</v>
      </c>
      <c r="BY868">
        <v>0</v>
      </c>
      <c r="BZ868">
        <v>0</v>
      </c>
      <c r="CA868">
        <v>0</v>
      </c>
      <c r="CB868">
        <v>0</v>
      </c>
      <c r="CC868" s="18">
        <v>0</v>
      </c>
      <c r="CD868">
        <v>0</v>
      </c>
      <c r="CE868">
        <v>0</v>
      </c>
      <c r="CF868">
        <v>1</v>
      </c>
      <c r="CG868">
        <v>1</v>
      </c>
      <c r="CH868">
        <v>0</v>
      </c>
      <c r="CI868">
        <v>0</v>
      </c>
      <c r="CJ868">
        <v>0</v>
      </c>
      <c r="CK868">
        <v>0</v>
      </c>
      <c r="CL868">
        <v>0</v>
      </c>
      <c r="CM868">
        <v>1</v>
      </c>
      <c r="CN868" s="18">
        <v>0</v>
      </c>
      <c r="CO868">
        <v>0</v>
      </c>
      <c r="CP868">
        <v>2</v>
      </c>
      <c r="CQ868">
        <v>0</v>
      </c>
      <c r="CR868">
        <v>1</v>
      </c>
      <c r="CS868">
        <v>27</v>
      </c>
      <c r="CY868" s="34"/>
    </row>
    <row r="869" spans="1:103" x14ac:dyDescent="0.25">
      <c r="A869">
        <v>868</v>
      </c>
      <c r="B869">
        <v>59</v>
      </c>
      <c r="C869" s="25" t="s">
        <v>3929</v>
      </c>
      <c r="D869" s="12">
        <v>9</v>
      </c>
      <c r="E869" s="14">
        <v>1.1000000000000001</v>
      </c>
      <c r="F869" s="7">
        <f t="shared" si="217"/>
        <v>8.1818181818181817</v>
      </c>
      <c r="G869" s="7">
        <f t="shared" si="208"/>
        <v>7.9</v>
      </c>
      <c r="H869" s="16">
        <f t="shared" si="209"/>
        <v>10.1</v>
      </c>
      <c r="I869" s="11">
        <f t="shared" si="214"/>
        <v>0.25758270030408748</v>
      </c>
      <c r="J869" s="33">
        <f t="shared" si="215"/>
        <v>3.1482330037166245E-2</v>
      </c>
      <c r="K869" s="33">
        <f t="shared" si="216"/>
        <v>31.763849715680415</v>
      </c>
      <c r="L869" s="8">
        <v>0</v>
      </c>
      <c r="M869" s="9">
        <v>1</v>
      </c>
      <c r="N869" s="8">
        <v>0</v>
      </c>
      <c r="O869" s="9">
        <v>0</v>
      </c>
      <c r="P869" s="9">
        <v>0</v>
      </c>
      <c r="Q869" s="9">
        <v>1</v>
      </c>
      <c r="R869" s="9">
        <v>0</v>
      </c>
      <c r="S869" s="8">
        <v>948</v>
      </c>
      <c r="T869" s="9">
        <v>5</v>
      </c>
      <c r="U869" s="9">
        <f t="shared" si="210"/>
        <v>942</v>
      </c>
      <c r="V869" s="9">
        <f t="shared" si="211"/>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v>0</v>
      </c>
      <c r="BF869" s="18">
        <v>1</v>
      </c>
      <c r="BG869">
        <v>0</v>
      </c>
      <c r="BH869">
        <v>0</v>
      </c>
      <c r="BI869" s="18">
        <v>1</v>
      </c>
      <c r="BJ869" t="s">
        <v>98</v>
      </c>
      <c r="BK869">
        <v>27</v>
      </c>
      <c r="BL869" s="25">
        <v>36.799999999999997</v>
      </c>
      <c r="BM869">
        <v>1</v>
      </c>
      <c r="BN869">
        <v>0</v>
      </c>
      <c r="BO869">
        <v>0</v>
      </c>
      <c r="BP869">
        <v>0</v>
      </c>
      <c r="BQ869">
        <v>0</v>
      </c>
      <c r="BR869">
        <v>0</v>
      </c>
      <c r="BS869">
        <v>0</v>
      </c>
      <c r="BT869" s="18">
        <v>0</v>
      </c>
      <c r="BU869">
        <v>1</v>
      </c>
      <c r="BV869">
        <v>0</v>
      </c>
      <c r="BW869">
        <v>0</v>
      </c>
      <c r="BX869" s="18">
        <v>0</v>
      </c>
      <c r="BY869">
        <v>0</v>
      </c>
      <c r="BZ869">
        <v>0</v>
      </c>
      <c r="CA869">
        <v>0</v>
      </c>
      <c r="CB869">
        <v>0</v>
      </c>
      <c r="CC869" s="18">
        <v>0</v>
      </c>
      <c r="CD869">
        <v>0</v>
      </c>
      <c r="CE869">
        <v>0</v>
      </c>
      <c r="CF869">
        <v>1</v>
      </c>
      <c r="CG869">
        <v>1</v>
      </c>
      <c r="CH869">
        <v>0</v>
      </c>
      <c r="CI869">
        <v>0</v>
      </c>
      <c r="CJ869">
        <v>1</v>
      </c>
      <c r="CK869">
        <v>0</v>
      </c>
      <c r="CL869">
        <v>0</v>
      </c>
      <c r="CM869">
        <v>0</v>
      </c>
      <c r="CN869" s="18">
        <v>0</v>
      </c>
      <c r="CO869">
        <v>0</v>
      </c>
      <c r="CP869">
        <v>2</v>
      </c>
      <c r="CQ869">
        <v>0</v>
      </c>
      <c r="CR869">
        <v>1</v>
      </c>
      <c r="CS869">
        <v>27</v>
      </c>
      <c r="CY869" s="34"/>
    </row>
    <row r="870" spans="1:103" x14ac:dyDescent="0.25">
      <c r="A870">
        <v>869</v>
      </c>
      <c r="B870">
        <v>59</v>
      </c>
      <c r="C870" s="25" t="s">
        <v>3929</v>
      </c>
      <c r="D870" s="12">
        <v>7.2</v>
      </c>
      <c r="E870" s="14">
        <v>1.6</v>
      </c>
      <c r="F870" s="7">
        <f t="shared" si="217"/>
        <v>4.5</v>
      </c>
      <c r="G870" s="7">
        <f t="shared" si="208"/>
        <v>5.6</v>
      </c>
      <c r="H870" s="16">
        <f t="shared" si="209"/>
        <v>8.8000000000000007</v>
      </c>
      <c r="I870" s="11">
        <f t="shared" si="214"/>
        <v>0.14514241246434065</v>
      </c>
      <c r="J870" s="33">
        <f t="shared" si="215"/>
        <v>3.2253869436520144E-2</v>
      </c>
      <c r="K870" s="33">
        <f t="shared" si="216"/>
        <v>31.004031995854994</v>
      </c>
      <c r="L870" s="8">
        <v>0</v>
      </c>
      <c r="M870" s="9">
        <v>1</v>
      </c>
      <c r="N870" s="8">
        <v>0</v>
      </c>
      <c r="O870" s="9">
        <v>0</v>
      </c>
      <c r="P870" s="9">
        <v>0</v>
      </c>
      <c r="Q870" s="9">
        <v>1</v>
      </c>
      <c r="R870" s="9">
        <v>0</v>
      </c>
      <c r="S870" s="8">
        <v>948</v>
      </c>
      <c r="T870" s="9">
        <v>6</v>
      </c>
      <c r="U870" s="9">
        <f t="shared" si="210"/>
        <v>941</v>
      </c>
      <c r="V870" s="9">
        <f t="shared" si="211"/>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v>0</v>
      </c>
      <c r="BF870" s="18">
        <v>1</v>
      </c>
      <c r="BG870">
        <v>0</v>
      </c>
      <c r="BH870">
        <v>0</v>
      </c>
      <c r="BI870" s="18">
        <v>1</v>
      </c>
      <c r="BJ870" t="s">
        <v>98</v>
      </c>
      <c r="BK870">
        <v>27</v>
      </c>
      <c r="BL870" s="25">
        <v>36.799999999999997</v>
      </c>
      <c r="BM870">
        <v>0</v>
      </c>
      <c r="BN870">
        <v>0</v>
      </c>
      <c r="BO870">
        <v>0</v>
      </c>
      <c r="BP870">
        <v>1</v>
      </c>
      <c r="BQ870">
        <v>0</v>
      </c>
      <c r="BR870">
        <v>0</v>
      </c>
      <c r="BS870">
        <v>0</v>
      </c>
      <c r="BT870" s="18">
        <v>0</v>
      </c>
      <c r="BU870">
        <v>1</v>
      </c>
      <c r="BV870">
        <v>0</v>
      </c>
      <c r="BW870">
        <v>0</v>
      </c>
      <c r="BX870" s="18">
        <v>0</v>
      </c>
      <c r="BY870">
        <v>0</v>
      </c>
      <c r="BZ870">
        <v>0</v>
      </c>
      <c r="CA870">
        <v>0</v>
      </c>
      <c r="CB870">
        <v>0</v>
      </c>
      <c r="CC870" s="18">
        <v>0</v>
      </c>
      <c r="CD870">
        <v>0</v>
      </c>
      <c r="CE870">
        <v>0</v>
      </c>
      <c r="CF870">
        <v>1</v>
      </c>
      <c r="CG870">
        <v>1</v>
      </c>
      <c r="CH870">
        <v>0</v>
      </c>
      <c r="CI870">
        <v>0</v>
      </c>
      <c r="CJ870">
        <v>1</v>
      </c>
      <c r="CK870">
        <v>0</v>
      </c>
      <c r="CL870">
        <v>0</v>
      </c>
      <c r="CM870">
        <v>1</v>
      </c>
      <c r="CN870" s="18">
        <v>0</v>
      </c>
      <c r="CO870">
        <v>0</v>
      </c>
      <c r="CP870">
        <v>2</v>
      </c>
      <c r="CQ870">
        <v>0</v>
      </c>
      <c r="CR870">
        <v>1</v>
      </c>
      <c r="CS870">
        <v>27</v>
      </c>
      <c r="CY870" s="34"/>
    </row>
    <row r="871" spans="1:103" x14ac:dyDescent="0.25">
      <c r="A871">
        <v>870</v>
      </c>
      <c r="B871">
        <v>60</v>
      </c>
      <c r="C871" s="25" t="s">
        <v>3936</v>
      </c>
      <c r="D871" s="12">
        <v>7.22</v>
      </c>
      <c r="E871" s="14">
        <v>0.08</v>
      </c>
      <c r="F871" s="7">
        <f t="shared" si="217"/>
        <v>90.25</v>
      </c>
      <c r="G871" s="7">
        <f t="shared" si="208"/>
        <v>7.14</v>
      </c>
      <c r="H871" s="16">
        <f t="shared" si="209"/>
        <v>7.3</v>
      </c>
      <c r="I871" s="11">
        <f t="shared" si="214"/>
        <v>0.25320966566246955</v>
      </c>
      <c r="J871" s="33">
        <f t="shared" si="215"/>
        <v>2.8056472649581115E-3</v>
      </c>
      <c r="K871" s="33">
        <f t="shared" si="216"/>
        <v>356.42399259870257</v>
      </c>
      <c r="L871" s="8">
        <v>0</v>
      </c>
      <c r="M871" s="9">
        <v>1</v>
      </c>
      <c r="N871" s="8">
        <v>0</v>
      </c>
      <c r="O871" s="9">
        <v>0</v>
      </c>
      <c r="P871" s="9">
        <v>1</v>
      </c>
      <c r="Q871" s="9">
        <v>0</v>
      </c>
      <c r="R871" s="9">
        <v>0</v>
      </c>
      <c r="S871" s="8">
        <v>118899</v>
      </c>
      <c r="T871" s="9">
        <v>5</v>
      </c>
      <c r="U871" s="9">
        <f t="shared" si="210"/>
        <v>118893</v>
      </c>
      <c r="V871" s="9">
        <f t="shared" si="211"/>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v>0</v>
      </c>
      <c r="BF871" s="18">
        <v>0</v>
      </c>
      <c r="BG871">
        <v>1</v>
      </c>
      <c r="BH871">
        <v>0</v>
      </c>
      <c r="BI871" s="18">
        <v>0</v>
      </c>
      <c r="BJ871">
        <v>29551</v>
      </c>
      <c r="BK871">
        <v>23018</v>
      </c>
      <c r="BL871" s="25">
        <v>38.9</v>
      </c>
      <c r="BM871">
        <v>1</v>
      </c>
      <c r="BN871">
        <v>0</v>
      </c>
      <c r="BO871">
        <v>0</v>
      </c>
      <c r="BP871">
        <v>0</v>
      </c>
      <c r="BQ871">
        <v>0</v>
      </c>
      <c r="BR871">
        <v>0</v>
      </c>
      <c r="BS871">
        <v>0</v>
      </c>
      <c r="BT871" s="18">
        <v>0</v>
      </c>
      <c r="BU871">
        <v>0</v>
      </c>
      <c r="BV871">
        <v>0</v>
      </c>
      <c r="BW871">
        <v>1</v>
      </c>
      <c r="BX871" s="18">
        <v>0</v>
      </c>
      <c r="BY871">
        <v>0</v>
      </c>
      <c r="BZ871">
        <v>0</v>
      </c>
      <c r="CA871">
        <v>0</v>
      </c>
      <c r="CB871">
        <v>0</v>
      </c>
      <c r="CC871" s="18">
        <v>0</v>
      </c>
      <c r="CD871">
        <v>0</v>
      </c>
      <c r="CE871">
        <v>0</v>
      </c>
      <c r="CF871">
        <v>1</v>
      </c>
      <c r="CG871">
        <v>1</v>
      </c>
      <c r="CH871">
        <v>0</v>
      </c>
      <c r="CI871">
        <v>1</v>
      </c>
      <c r="CJ871">
        <v>1</v>
      </c>
      <c r="CK871">
        <v>0</v>
      </c>
      <c r="CL871">
        <v>0</v>
      </c>
      <c r="CM871">
        <v>0</v>
      </c>
      <c r="CN871" s="18">
        <v>0</v>
      </c>
      <c r="CO871">
        <v>4.2000000000000003E-2</v>
      </c>
      <c r="CP871">
        <v>6</v>
      </c>
      <c r="CQ871">
        <v>1</v>
      </c>
      <c r="CR871">
        <v>0</v>
      </c>
      <c r="CS871">
        <v>24</v>
      </c>
      <c r="CY871" s="34"/>
    </row>
    <row r="872" spans="1:103" x14ac:dyDescent="0.25">
      <c r="A872">
        <v>871</v>
      </c>
      <c r="B872">
        <v>60</v>
      </c>
      <c r="C872" s="25" t="s">
        <v>3936</v>
      </c>
      <c r="D872" s="12">
        <v>7.43</v>
      </c>
      <c r="E872" s="14">
        <v>0.06</v>
      </c>
      <c r="F872" s="7">
        <f t="shared" si="217"/>
        <v>123.83333333333333</v>
      </c>
      <c r="G872" s="7">
        <f t="shared" si="208"/>
        <v>7.37</v>
      </c>
      <c r="H872" s="16">
        <f t="shared" si="209"/>
        <v>7.4899999999999993</v>
      </c>
      <c r="I872" s="11">
        <f t="shared" si="214"/>
        <v>0.28926572343898205</v>
      </c>
      <c r="J872" s="33">
        <f t="shared" si="215"/>
        <v>2.3359277801263691E-3</v>
      </c>
      <c r="K872" s="33">
        <f t="shared" si="216"/>
        <v>428.09542679692862</v>
      </c>
      <c r="L872" s="8">
        <v>0</v>
      </c>
      <c r="M872" s="9">
        <v>1</v>
      </c>
      <c r="N872" s="8">
        <v>0</v>
      </c>
      <c r="O872" s="9">
        <v>0</v>
      </c>
      <c r="P872" s="9">
        <v>1</v>
      </c>
      <c r="Q872" s="9">
        <v>0</v>
      </c>
      <c r="R872" s="9">
        <v>0</v>
      </c>
      <c r="S872" s="8">
        <v>167937</v>
      </c>
      <c r="T872" s="9">
        <v>5</v>
      </c>
      <c r="U872" s="9">
        <f t="shared" si="210"/>
        <v>167931</v>
      </c>
      <c r="V872" s="9">
        <f t="shared" si="211"/>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v>0</v>
      </c>
      <c r="BF872" s="18">
        <v>0</v>
      </c>
      <c r="BG872">
        <v>1</v>
      </c>
      <c r="BH872">
        <v>0</v>
      </c>
      <c r="BI872" s="18">
        <v>0</v>
      </c>
      <c r="BJ872">
        <v>29551</v>
      </c>
      <c r="BK872">
        <v>23018</v>
      </c>
      <c r="BL872" s="25">
        <v>38.9</v>
      </c>
      <c r="BM872">
        <v>0</v>
      </c>
      <c r="BN872">
        <v>0</v>
      </c>
      <c r="BO872">
        <v>0</v>
      </c>
      <c r="BP872">
        <v>0</v>
      </c>
      <c r="BQ872">
        <v>0</v>
      </c>
      <c r="BR872">
        <v>1</v>
      </c>
      <c r="BS872">
        <v>0</v>
      </c>
      <c r="BT872" s="18">
        <v>0</v>
      </c>
      <c r="BU872">
        <v>0</v>
      </c>
      <c r="BV872">
        <v>0</v>
      </c>
      <c r="BW872">
        <v>1</v>
      </c>
      <c r="BX872" s="18">
        <v>0</v>
      </c>
      <c r="BY872">
        <v>0</v>
      </c>
      <c r="BZ872">
        <v>0</v>
      </c>
      <c r="CA872">
        <v>0</v>
      </c>
      <c r="CB872">
        <v>0</v>
      </c>
      <c r="CC872" s="18">
        <v>0</v>
      </c>
      <c r="CD872">
        <v>0</v>
      </c>
      <c r="CE872">
        <v>0</v>
      </c>
      <c r="CF872">
        <v>1</v>
      </c>
      <c r="CG872">
        <v>1</v>
      </c>
      <c r="CH872">
        <v>0</v>
      </c>
      <c r="CI872">
        <v>1</v>
      </c>
      <c r="CJ872">
        <v>1</v>
      </c>
      <c r="CK872">
        <v>0</v>
      </c>
      <c r="CL872">
        <v>0</v>
      </c>
      <c r="CM872">
        <v>0</v>
      </c>
      <c r="CN872" s="18">
        <v>0</v>
      </c>
      <c r="CO872">
        <v>4.2000000000000003E-2</v>
      </c>
      <c r="CP872">
        <v>6</v>
      </c>
      <c r="CQ872">
        <v>1</v>
      </c>
      <c r="CR872">
        <v>0</v>
      </c>
      <c r="CS872">
        <v>24</v>
      </c>
      <c r="CY872" s="34"/>
    </row>
    <row r="873" spans="1:103" x14ac:dyDescent="0.25">
      <c r="A873">
        <v>872</v>
      </c>
      <c r="B873">
        <v>60</v>
      </c>
      <c r="C873" s="25" t="s">
        <v>3936</v>
      </c>
      <c r="D873" s="12">
        <v>7.99</v>
      </c>
      <c r="E873" s="14">
        <v>0.2</v>
      </c>
      <c r="F873" s="7">
        <f t="shared" si="217"/>
        <v>39.949999999999996</v>
      </c>
      <c r="G873" s="7">
        <f t="shared" si="208"/>
        <v>7.79</v>
      </c>
      <c r="H873" s="16">
        <f t="shared" si="209"/>
        <v>8.19</v>
      </c>
      <c r="I873" s="11">
        <f t="shared" si="214"/>
        <v>0.17914437518349499</v>
      </c>
      <c r="J873" s="33">
        <f t="shared" si="215"/>
        <v>4.4842146478972474E-3</v>
      </c>
      <c r="K873" s="33">
        <f t="shared" si="216"/>
        <v>223.00448986511458</v>
      </c>
      <c r="L873" s="8">
        <v>0</v>
      </c>
      <c r="M873" s="9">
        <v>1</v>
      </c>
      <c r="N873" s="8">
        <v>0</v>
      </c>
      <c r="O873" s="9">
        <v>0</v>
      </c>
      <c r="P873" s="9">
        <v>1</v>
      </c>
      <c r="Q873" s="9">
        <v>0</v>
      </c>
      <c r="R873" s="9">
        <v>0</v>
      </c>
      <c r="S873" s="8">
        <v>48141</v>
      </c>
      <c r="T873" s="9">
        <v>5</v>
      </c>
      <c r="U873" s="9">
        <f t="shared" si="210"/>
        <v>48135</v>
      </c>
      <c r="V873" s="9">
        <f t="shared" si="211"/>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v>0</v>
      </c>
      <c r="BF873" s="18">
        <v>0</v>
      </c>
      <c r="BG873">
        <v>1</v>
      </c>
      <c r="BH873">
        <v>0</v>
      </c>
      <c r="BI873" s="18">
        <v>0</v>
      </c>
      <c r="BJ873">
        <v>29551</v>
      </c>
      <c r="BK873">
        <v>23018</v>
      </c>
      <c r="BL873" s="25">
        <v>38.9</v>
      </c>
      <c r="BM873">
        <v>1</v>
      </c>
      <c r="BN873">
        <v>0</v>
      </c>
      <c r="BO873">
        <v>0</v>
      </c>
      <c r="BP873">
        <v>0</v>
      </c>
      <c r="BQ873">
        <v>0</v>
      </c>
      <c r="BR873">
        <v>0</v>
      </c>
      <c r="BS873">
        <v>0</v>
      </c>
      <c r="BT873" s="18">
        <v>0</v>
      </c>
      <c r="BU873">
        <v>0</v>
      </c>
      <c r="BV873">
        <v>0</v>
      </c>
      <c r="BW873">
        <v>1</v>
      </c>
      <c r="BX873" s="18">
        <v>0</v>
      </c>
      <c r="BY873">
        <v>0</v>
      </c>
      <c r="BZ873">
        <v>0</v>
      </c>
      <c r="CA873">
        <v>0</v>
      </c>
      <c r="CB873">
        <v>0</v>
      </c>
      <c r="CC873" s="18">
        <v>0</v>
      </c>
      <c r="CD873">
        <v>0</v>
      </c>
      <c r="CE873">
        <v>0</v>
      </c>
      <c r="CF873">
        <v>1</v>
      </c>
      <c r="CG873">
        <v>1</v>
      </c>
      <c r="CH873">
        <v>0</v>
      </c>
      <c r="CI873">
        <v>1</v>
      </c>
      <c r="CJ873">
        <v>1</v>
      </c>
      <c r="CK873">
        <v>0</v>
      </c>
      <c r="CL873">
        <v>0</v>
      </c>
      <c r="CM873">
        <v>0</v>
      </c>
      <c r="CN873" s="18">
        <v>0</v>
      </c>
      <c r="CO873">
        <v>4.2000000000000003E-2</v>
      </c>
      <c r="CP873">
        <v>6</v>
      </c>
      <c r="CQ873">
        <v>1</v>
      </c>
      <c r="CR873">
        <v>0</v>
      </c>
      <c r="CS873">
        <v>24</v>
      </c>
      <c r="CY873" s="34"/>
    </row>
    <row r="874" spans="1:103" x14ac:dyDescent="0.25">
      <c r="A874">
        <v>873</v>
      </c>
      <c r="B874">
        <v>60</v>
      </c>
      <c r="C874" s="25" t="s">
        <v>3936</v>
      </c>
      <c r="D874" s="12">
        <v>4.32</v>
      </c>
      <c r="E874" s="14">
        <v>0.19</v>
      </c>
      <c r="F874" s="7">
        <f t="shared" si="217"/>
        <v>22.736842105263158</v>
      </c>
      <c r="G874" s="7">
        <f t="shared" si="208"/>
        <v>4.13</v>
      </c>
      <c r="H874" s="16">
        <f t="shared" si="209"/>
        <v>4.5100000000000007</v>
      </c>
      <c r="I874" s="11">
        <f t="shared" si="214"/>
        <v>8.5168681316683814E-2</v>
      </c>
      <c r="J874" s="33">
        <f t="shared" si="215"/>
        <v>3.7458447801319269E-3</v>
      </c>
      <c r="K874" s="33">
        <f t="shared" si="216"/>
        <v>266.96247674330499</v>
      </c>
      <c r="L874" s="8">
        <v>0</v>
      </c>
      <c r="M874" s="9">
        <v>1</v>
      </c>
      <c r="N874" s="8">
        <v>0</v>
      </c>
      <c r="O874" s="9">
        <v>0</v>
      </c>
      <c r="P874" s="9">
        <v>1</v>
      </c>
      <c r="Q874" s="9">
        <v>0</v>
      </c>
      <c r="R874" s="9">
        <v>0</v>
      </c>
      <c r="S874" s="8">
        <v>70758</v>
      </c>
      <c r="T874" s="9">
        <v>5</v>
      </c>
      <c r="U874" s="9">
        <f t="shared" si="210"/>
        <v>70752</v>
      </c>
      <c r="V874" s="9">
        <f t="shared" si="211"/>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v>0</v>
      </c>
      <c r="BF874" s="18">
        <v>0</v>
      </c>
      <c r="BG874">
        <v>1</v>
      </c>
      <c r="BH874">
        <v>0</v>
      </c>
      <c r="BI874" s="18">
        <v>0</v>
      </c>
      <c r="BJ874">
        <v>29551</v>
      </c>
      <c r="BK874">
        <v>23018</v>
      </c>
      <c r="BL874" s="25">
        <v>38.9</v>
      </c>
      <c r="BM874">
        <v>1</v>
      </c>
      <c r="BN874">
        <v>0</v>
      </c>
      <c r="BO874">
        <v>0</v>
      </c>
      <c r="BP874">
        <v>0</v>
      </c>
      <c r="BQ874">
        <v>0</v>
      </c>
      <c r="BR874">
        <v>0</v>
      </c>
      <c r="BS874">
        <v>0</v>
      </c>
      <c r="BT874" s="18">
        <v>0</v>
      </c>
      <c r="BU874">
        <v>0</v>
      </c>
      <c r="BV874">
        <v>0</v>
      </c>
      <c r="BW874">
        <v>1</v>
      </c>
      <c r="BX874" s="18">
        <v>0</v>
      </c>
      <c r="BY874">
        <v>0</v>
      </c>
      <c r="BZ874">
        <v>0</v>
      </c>
      <c r="CA874">
        <v>0</v>
      </c>
      <c r="CB874">
        <v>0</v>
      </c>
      <c r="CC874" s="18">
        <v>0</v>
      </c>
      <c r="CD874">
        <v>0</v>
      </c>
      <c r="CE874">
        <v>0</v>
      </c>
      <c r="CF874">
        <v>1</v>
      </c>
      <c r="CG874">
        <v>1</v>
      </c>
      <c r="CH874">
        <v>0</v>
      </c>
      <c r="CI874">
        <v>1</v>
      </c>
      <c r="CJ874">
        <v>1</v>
      </c>
      <c r="CK874">
        <v>0</v>
      </c>
      <c r="CL874">
        <v>0</v>
      </c>
      <c r="CM874">
        <v>0</v>
      </c>
      <c r="CN874" s="18">
        <v>0</v>
      </c>
      <c r="CO874">
        <v>4.2000000000000003E-2</v>
      </c>
      <c r="CP874">
        <v>6</v>
      </c>
      <c r="CQ874">
        <v>1</v>
      </c>
      <c r="CR874">
        <v>0</v>
      </c>
      <c r="CS874">
        <v>24</v>
      </c>
      <c r="CY874" s="34"/>
    </row>
    <row r="875" spans="1:103" x14ac:dyDescent="0.25">
      <c r="A875">
        <v>874</v>
      </c>
      <c r="B875">
        <v>60</v>
      </c>
      <c r="C875" s="25" t="s">
        <v>3936</v>
      </c>
      <c r="D875" s="12">
        <v>6.36</v>
      </c>
      <c r="E875" s="14">
        <v>0.14000000000000001</v>
      </c>
      <c r="F875" s="7">
        <f t="shared" si="217"/>
        <v>45.428571428571423</v>
      </c>
      <c r="G875" s="7">
        <f t="shared" si="208"/>
        <v>6.2200000000000006</v>
      </c>
      <c r="H875" s="16">
        <f t="shared" si="209"/>
        <v>6.5</v>
      </c>
      <c r="I875" s="11">
        <f t="shared" si="214"/>
        <v>0.21046241267144386</v>
      </c>
      <c r="J875" s="33">
        <f t="shared" si="215"/>
        <v>4.632820404717318E-3</v>
      </c>
      <c r="K875" s="33">
        <f t="shared" si="216"/>
        <v>215.85123372832695</v>
      </c>
      <c r="L875" s="8">
        <v>0</v>
      </c>
      <c r="M875" s="9">
        <v>1</v>
      </c>
      <c r="N875" s="8">
        <v>0</v>
      </c>
      <c r="O875" s="9">
        <v>0</v>
      </c>
      <c r="P875" s="9">
        <v>1</v>
      </c>
      <c r="Q875" s="9">
        <v>0</v>
      </c>
      <c r="R875" s="9">
        <v>0</v>
      </c>
      <c r="S875" s="8">
        <v>44534</v>
      </c>
      <c r="T875" s="9">
        <v>5</v>
      </c>
      <c r="U875" s="9">
        <f t="shared" si="210"/>
        <v>44528</v>
      </c>
      <c r="V875" s="9">
        <f t="shared" si="211"/>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v>0</v>
      </c>
      <c r="BF875" s="18">
        <v>0</v>
      </c>
      <c r="BG875">
        <v>1</v>
      </c>
      <c r="BH875">
        <v>0</v>
      </c>
      <c r="BI875" s="18">
        <v>0</v>
      </c>
      <c r="BJ875">
        <v>29551</v>
      </c>
      <c r="BK875">
        <v>23018</v>
      </c>
      <c r="BL875" s="25">
        <v>38.9</v>
      </c>
      <c r="BM875">
        <v>1</v>
      </c>
      <c r="BN875">
        <v>0</v>
      </c>
      <c r="BO875">
        <v>0</v>
      </c>
      <c r="BP875">
        <v>0</v>
      </c>
      <c r="BQ875">
        <v>0</v>
      </c>
      <c r="BR875">
        <v>0</v>
      </c>
      <c r="BS875">
        <v>0</v>
      </c>
      <c r="BT875" s="18">
        <v>0</v>
      </c>
      <c r="BU875">
        <v>0</v>
      </c>
      <c r="BV875">
        <v>0</v>
      </c>
      <c r="BW875">
        <v>1</v>
      </c>
      <c r="BX875" s="18">
        <v>0</v>
      </c>
      <c r="BY875">
        <v>0</v>
      </c>
      <c r="BZ875">
        <v>0</v>
      </c>
      <c r="CA875">
        <v>0</v>
      </c>
      <c r="CB875">
        <v>0</v>
      </c>
      <c r="CC875" s="18">
        <v>0</v>
      </c>
      <c r="CD875">
        <v>0</v>
      </c>
      <c r="CE875">
        <v>0</v>
      </c>
      <c r="CF875">
        <v>1</v>
      </c>
      <c r="CG875">
        <v>1</v>
      </c>
      <c r="CH875">
        <v>0</v>
      </c>
      <c r="CI875">
        <v>1</v>
      </c>
      <c r="CJ875">
        <v>1</v>
      </c>
      <c r="CK875">
        <v>0</v>
      </c>
      <c r="CL875">
        <v>0</v>
      </c>
      <c r="CM875">
        <v>0</v>
      </c>
      <c r="CN875" s="18">
        <v>0</v>
      </c>
      <c r="CO875">
        <v>4.2000000000000003E-2</v>
      </c>
      <c r="CP875">
        <v>6</v>
      </c>
      <c r="CQ875">
        <v>1</v>
      </c>
      <c r="CR875">
        <v>0</v>
      </c>
      <c r="CS875">
        <v>24</v>
      </c>
      <c r="CY875" s="34"/>
    </row>
    <row r="876" spans="1:103" x14ac:dyDescent="0.25">
      <c r="A876">
        <v>875</v>
      </c>
      <c r="B876">
        <v>60</v>
      </c>
      <c r="C876" s="25" t="s">
        <v>3936</v>
      </c>
      <c r="D876" s="12">
        <v>4.1100000000000003</v>
      </c>
      <c r="E876" s="14">
        <v>0.12</v>
      </c>
      <c r="F876" s="7">
        <f t="shared" si="217"/>
        <v>34.250000000000007</v>
      </c>
      <c r="G876" s="7">
        <f t="shared" si="208"/>
        <v>3.99</v>
      </c>
      <c r="H876" s="16">
        <f t="shared" si="209"/>
        <v>4.2300000000000004</v>
      </c>
      <c r="I876" s="11">
        <f t="shared" si="214"/>
        <v>0.12462205370365272</v>
      </c>
      <c r="J876" s="33">
        <f t="shared" si="215"/>
        <v>3.638600108135845E-3</v>
      </c>
      <c r="K876" s="33">
        <f t="shared" si="216"/>
        <v>274.83097078022337</v>
      </c>
      <c r="L876" s="8">
        <v>0</v>
      </c>
      <c r="M876" s="9">
        <v>1</v>
      </c>
      <c r="N876" s="8">
        <v>0</v>
      </c>
      <c r="O876" s="9">
        <v>0</v>
      </c>
      <c r="P876" s="9">
        <v>1</v>
      </c>
      <c r="Q876" s="9">
        <v>0</v>
      </c>
      <c r="R876" s="9">
        <v>0</v>
      </c>
      <c r="S876" s="8">
        <v>74365</v>
      </c>
      <c r="T876" s="9">
        <v>5</v>
      </c>
      <c r="U876" s="9">
        <f t="shared" si="210"/>
        <v>74359</v>
      </c>
      <c r="V876" s="9">
        <f t="shared" si="211"/>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v>0</v>
      </c>
      <c r="BF876" s="18">
        <v>0</v>
      </c>
      <c r="BG876">
        <v>1</v>
      </c>
      <c r="BH876">
        <v>0</v>
      </c>
      <c r="BI876" s="18">
        <v>0</v>
      </c>
      <c r="BJ876">
        <v>29551</v>
      </c>
      <c r="BK876">
        <v>23018</v>
      </c>
      <c r="BL876" s="25">
        <v>38.9</v>
      </c>
      <c r="BM876">
        <v>1</v>
      </c>
      <c r="BN876">
        <v>0</v>
      </c>
      <c r="BO876">
        <v>0</v>
      </c>
      <c r="BP876">
        <v>0</v>
      </c>
      <c r="BQ876">
        <v>0</v>
      </c>
      <c r="BR876">
        <v>0</v>
      </c>
      <c r="BS876">
        <v>0</v>
      </c>
      <c r="BT876" s="18">
        <v>0</v>
      </c>
      <c r="BU876">
        <v>0</v>
      </c>
      <c r="BV876">
        <v>0</v>
      </c>
      <c r="BW876">
        <v>1</v>
      </c>
      <c r="BX876" s="18">
        <v>0</v>
      </c>
      <c r="BY876">
        <v>0</v>
      </c>
      <c r="BZ876">
        <v>0</v>
      </c>
      <c r="CA876">
        <v>0</v>
      </c>
      <c r="CB876">
        <v>0</v>
      </c>
      <c r="CC876" s="18">
        <v>0</v>
      </c>
      <c r="CD876">
        <v>0</v>
      </c>
      <c r="CE876">
        <v>0</v>
      </c>
      <c r="CF876">
        <v>1</v>
      </c>
      <c r="CG876">
        <v>1</v>
      </c>
      <c r="CH876">
        <v>0</v>
      </c>
      <c r="CI876">
        <v>1</v>
      </c>
      <c r="CJ876">
        <v>1</v>
      </c>
      <c r="CK876">
        <v>0</v>
      </c>
      <c r="CL876">
        <v>0</v>
      </c>
      <c r="CM876">
        <v>0</v>
      </c>
      <c r="CN876" s="18">
        <v>0</v>
      </c>
      <c r="CO876">
        <v>4.2000000000000003E-2</v>
      </c>
      <c r="CP876">
        <v>6</v>
      </c>
      <c r="CQ876">
        <v>1</v>
      </c>
      <c r="CR876">
        <v>0</v>
      </c>
      <c r="CS876">
        <v>24</v>
      </c>
      <c r="CY876" s="34"/>
    </row>
    <row r="877" spans="1:103" x14ac:dyDescent="0.25">
      <c r="A877">
        <v>876</v>
      </c>
      <c r="B877">
        <v>60</v>
      </c>
      <c r="C877" s="25" t="s">
        <v>3936</v>
      </c>
      <c r="D877" s="12">
        <v>8.17</v>
      </c>
      <c r="E877" s="14">
        <v>0.17</v>
      </c>
      <c r="F877" s="7">
        <f t="shared" si="217"/>
        <v>48.058823529411761</v>
      </c>
      <c r="G877" s="7">
        <f t="shared" si="208"/>
        <v>8</v>
      </c>
      <c r="H877" s="16">
        <f t="shared" si="209"/>
        <v>8.34</v>
      </c>
      <c r="I877" s="11">
        <f t="shared" si="214"/>
        <v>0.19129694933617142</v>
      </c>
      <c r="J877" s="33">
        <f t="shared" si="215"/>
        <v>3.9804750779864314E-3</v>
      </c>
      <c r="K877" s="33">
        <f t="shared" si="216"/>
        <v>251.22629344682679</v>
      </c>
      <c r="L877" s="8">
        <v>0</v>
      </c>
      <c r="M877" s="9">
        <v>1</v>
      </c>
      <c r="N877" s="8">
        <v>0</v>
      </c>
      <c r="O877" s="9">
        <v>0</v>
      </c>
      <c r="P877" s="9">
        <v>1</v>
      </c>
      <c r="Q877" s="9">
        <v>0</v>
      </c>
      <c r="R877" s="9">
        <v>0</v>
      </c>
      <c r="S877" s="8">
        <v>60811</v>
      </c>
      <c r="T877" s="9">
        <v>5</v>
      </c>
      <c r="U877" s="9">
        <f t="shared" si="210"/>
        <v>60805</v>
      </c>
      <c r="V877" s="9">
        <f t="shared" si="211"/>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v>0</v>
      </c>
      <c r="BF877" s="18">
        <v>0</v>
      </c>
      <c r="BG877">
        <v>1</v>
      </c>
      <c r="BH877">
        <v>0</v>
      </c>
      <c r="BI877" s="18">
        <v>0</v>
      </c>
      <c r="BJ877">
        <v>29551</v>
      </c>
      <c r="BK877">
        <v>23018</v>
      </c>
      <c r="BL877" s="25">
        <v>38.9</v>
      </c>
      <c r="BM877">
        <v>0</v>
      </c>
      <c r="BN877">
        <v>0</v>
      </c>
      <c r="BO877">
        <v>0</v>
      </c>
      <c r="BP877">
        <v>0</v>
      </c>
      <c r="BQ877">
        <v>0</v>
      </c>
      <c r="BR877">
        <v>1</v>
      </c>
      <c r="BS877">
        <v>0</v>
      </c>
      <c r="BT877" s="18">
        <v>0</v>
      </c>
      <c r="BU877">
        <v>0</v>
      </c>
      <c r="BV877">
        <v>0</v>
      </c>
      <c r="BW877">
        <v>1</v>
      </c>
      <c r="BX877" s="18">
        <v>0</v>
      </c>
      <c r="BY877">
        <v>0</v>
      </c>
      <c r="BZ877">
        <v>0</v>
      </c>
      <c r="CA877">
        <v>0</v>
      </c>
      <c r="CB877">
        <v>0</v>
      </c>
      <c r="CC877" s="18">
        <v>0</v>
      </c>
      <c r="CD877">
        <v>0</v>
      </c>
      <c r="CE877">
        <v>0</v>
      </c>
      <c r="CF877">
        <v>1</v>
      </c>
      <c r="CG877">
        <v>1</v>
      </c>
      <c r="CH877">
        <v>0</v>
      </c>
      <c r="CI877">
        <v>1</v>
      </c>
      <c r="CJ877">
        <v>1</v>
      </c>
      <c r="CK877">
        <v>0</v>
      </c>
      <c r="CL877">
        <v>0</v>
      </c>
      <c r="CM877">
        <v>0</v>
      </c>
      <c r="CN877" s="18">
        <v>0</v>
      </c>
      <c r="CO877">
        <v>4.2000000000000003E-2</v>
      </c>
      <c r="CP877">
        <v>6</v>
      </c>
      <c r="CQ877">
        <v>1</v>
      </c>
      <c r="CR877">
        <v>0</v>
      </c>
      <c r="CS877">
        <v>24</v>
      </c>
      <c r="CY877" s="34"/>
    </row>
    <row r="878" spans="1:103" x14ac:dyDescent="0.25">
      <c r="A878">
        <v>877</v>
      </c>
      <c r="B878">
        <v>60</v>
      </c>
      <c r="C878" s="25" t="s">
        <v>3936</v>
      </c>
      <c r="D878" s="12">
        <v>4.05</v>
      </c>
      <c r="E878" s="14">
        <v>0.14000000000000001</v>
      </c>
      <c r="F878" s="7">
        <f t="shared" si="217"/>
        <v>28.928571428571423</v>
      </c>
      <c r="G878" s="7">
        <f t="shared" si="208"/>
        <v>3.9099999999999997</v>
      </c>
      <c r="H878" s="16">
        <f t="shared" si="209"/>
        <v>4.1899999999999995</v>
      </c>
      <c r="I878" s="11">
        <f t="shared" si="214"/>
        <v>8.8044424868352289E-2</v>
      </c>
      <c r="J878" s="33">
        <f t="shared" si="215"/>
        <v>3.0435109831035367E-3</v>
      </c>
      <c r="K878" s="33">
        <f t="shared" si="216"/>
        <v>328.56789594374243</v>
      </c>
      <c r="L878" s="8">
        <v>0</v>
      </c>
      <c r="M878" s="9">
        <v>1</v>
      </c>
      <c r="N878" s="8">
        <v>0</v>
      </c>
      <c r="O878" s="9">
        <v>0</v>
      </c>
      <c r="P878" s="9">
        <v>1</v>
      </c>
      <c r="Q878" s="9">
        <v>0</v>
      </c>
      <c r="R878" s="9">
        <v>0</v>
      </c>
      <c r="S878" s="8">
        <v>107126</v>
      </c>
      <c r="T878" s="9">
        <v>5</v>
      </c>
      <c r="U878" s="9">
        <f t="shared" si="210"/>
        <v>107120</v>
      </c>
      <c r="V878" s="9">
        <f t="shared" si="211"/>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v>0</v>
      </c>
      <c r="BF878" s="18">
        <v>0</v>
      </c>
      <c r="BG878">
        <v>1</v>
      </c>
      <c r="BH878">
        <v>0</v>
      </c>
      <c r="BI878" s="18">
        <v>0</v>
      </c>
      <c r="BJ878">
        <v>29551</v>
      </c>
      <c r="BK878">
        <v>23018</v>
      </c>
      <c r="BL878" s="25">
        <v>38.9</v>
      </c>
      <c r="BM878">
        <v>0</v>
      </c>
      <c r="BN878">
        <v>0</v>
      </c>
      <c r="BO878">
        <v>0</v>
      </c>
      <c r="BP878">
        <v>0</v>
      </c>
      <c r="BQ878">
        <v>0</v>
      </c>
      <c r="BR878">
        <v>1</v>
      </c>
      <c r="BS878">
        <v>0</v>
      </c>
      <c r="BT878" s="18">
        <v>0</v>
      </c>
      <c r="BU878">
        <v>0</v>
      </c>
      <c r="BV878">
        <v>0</v>
      </c>
      <c r="BW878">
        <v>1</v>
      </c>
      <c r="BX878" s="18">
        <v>0</v>
      </c>
      <c r="BY878">
        <v>0</v>
      </c>
      <c r="BZ878">
        <v>0</v>
      </c>
      <c r="CA878">
        <v>0</v>
      </c>
      <c r="CB878">
        <v>0</v>
      </c>
      <c r="CC878" s="18">
        <v>0</v>
      </c>
      <c r="CD878">
        <v>0</v>
      </c>
      <c r="CE878">
        <v>0</v>
      </c>
      <c r="CF878">
        <v>1</v>
      </c>
      <c r="CG878">
        <v>1</v>
      </c>
      <c r="CH878">
        <v>0</v>
      </c>
      <c r="CI878">
        <v>1</v>
      </c>
      <c r="CJ878">
        <v>1</v>
      </c>
      <c r="CK878">
        <v>0</v>
      </c>
      <c r="CL878">
        <v>0</v>
      </c>
      <c r="CM878">
        <v>0</v>
      </c>
      <c r="CN878" s="18">
        <v>0</v>
      </c>
      <c r="CO878">
        <v>4.2000000000000003E-2</v>
      </c>
      <c r="CP878">
        <v>6</v>
      </c>
      <c r="CQ878">
        <v>1</v>
      </c>
      <c r="CR878">
        <v>0</v>
      </c>
      <c r="CS878">
        <v>24</v>
      </c>
      <c r="CY878" s="34"/>
    </row>
    <row r="879" spans="1:103" x14ac:dyDescent="0.25">
      <c r="A879">
        <v>878</v>
      </c>
      <c r="B879">
        <v>60</v>
      </c>
      <c r="C879" s="25" t="s">
        <v>3936</v>
      </c>
      <c r="D879" s="12">
        <v>6.74</v>
      </c>
      <c r="E879" s="14">
        <v>0.11</v>
      </c>
      <c r="F879" s="7">
        <f t="shared" si="217"/>
        <v>61.272727272727273</v>
      </c>
      <c r="G879" s="7">
        <f t="shared" si="208"/>
        <v>6.63</v>
      </c>
      <c r="H879" s="16">
        <f t="shared" si="209"/>
        <v>6.8500000000000005</v>
      </c>
      <c r="I879" s="11">
        <f t="shared" si="214"/>
        <v>0.26258316884075517</v>
      </c>
      <c r="J879" s="33">
        <f t="shared" si="215"/>
        <v>4.2854819840479333E-3</v>
      </c>
      <c r="K879" s="33">
        <f t="shared" si="216"/>
        <v>233.34598155408204</v>
      </c>
      <c r="L879" s="8">
        <v>0</v>
      </c>
      <c r="M879" s="9">
        <v>1</v>
      </c>
      <c r="N879" s="8">
        <v>0</v>
      </c>
      <c r="O879" s="9">
        <v>0</v>
      </c>
      <c r="P879" s="9">
        <v>1</v>
      </c>
      <c r="Q879" s="9">
        <v>0</v>
      </c>
      <c r="R879" s="9">
        <v>0</v>
      </c>
      <c r="S879" s="8">
        <v>50702</v>
      </c>
      <c r="T879" s="9">
        <v>5</v>
      </c>
      <c r="U879" s="9">
        <f t="shared" si="210"/>
        <v>50696</v>
      </c>
      <c r="V879" s="9">
        <f t="shared" si="211"/>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v>0</v>
      </c>
      <c r="BF879" s="18">
        <v>0</v>
      </c>
      <c r="BG879">
        <v>1</v>
      </c>
      <c r="BH879">
        <v>0</v>
      </c>
      <c r="BI879" s="18">
        <v>0</v>
      </c>
      <c r="BJ879">
        <v>29551</v>
      </c>
      <c r="BK879">
        <v>23018</v>
      </c>
      <c r="BL879" s="25">
        <v>38.9</v>
      </c>
      <c r="BM879">
        <v>0</v>
      </c>
      <c r="BN879">
        <v>0</v>
      </c>
      <c r="BO879">
        <v>0</v>
      </c>
      <c r="BP879">
        <v>0</v>
      </c>
      <c r="BQ879">
        <v>0</v>
      </c>
      <c r="BR879">
        <v>1</v>
      </c>
      <c r="BS879">
        <v>0</v>
      </c>
      <c r="BT879" s="18">
        <v>0</v>
      </c>
      <c r="BU879">
        <v>0</v>
      </c>
      <c r="BV879">
        <v>0</v>
      </c>
      <c r="BW879">
        <v>1</v>
      </c>
      <c r="BX879" s="18">
        <v>0</v>
      </c>
      <c r="BY879">
        <v>0</v>
      </c>
      <c r="BZ879">
        <v>0</v>
      </c>
      <c r="CA879">
        <v>0</v>
      </c>
      <c r="CB879">
        <v>0</v>
      </c>
      <c r="CC879" s="18">
        <v>0</v>
      </c>
      <c r="CD879">
        <v>0</v>
      </c>
      <c r="CE879">
        <v>0</v>
      </c>
      <c r="CF879">
        <v>1</v>
      </c>
      <c r="CG879">
        <v>1</v>
      </c>
      <c r="CH879">
        <v>0</v>
      </c>
      <c r="CI879">
        <v>1</v>
      </c>
      <c r="CJ879">
        <v>1</v>
      </c>
      <c r="CK879">
        <v>0</v>
      </c>
      <c r="CL879">
        <v>0</v>
      </c>
      <c r="CM879">
        <v>0</v>
      </c>
      <c r="CN879" s="18">
        <v>0</v>
      </c>
      <c r="CO879">
        <v>4.2000000000000003E-2</v>
      </c>
      <c r="CP879">
        <v>6</v>
      </c>
      <c r="CQ879">
        <v>1</v>
      </c>
      <c r="CR879">
        <v>0</v>
      </c>
      <c r="CS879">
        <v>24</v>
      </c>
      <c r="CY879" s="34"/>
    </row>
    <row r="880" spans="1:103" x14ac:dyDescent="0.25">
      <c r="A880">
        <v>879</v>
      </c>
      <c r="B880">
        <v>60</v>
      </c>
      <c r="C880" s="25" t="s">
        <v>3936</v>
      </c>
      <c r="D880" s="12">
        <v>4.0999999999999996</v>
      </c>
      <c r="E880" s="14">
        <v>0.08</v>
      </c>
      <c r="F880" s="7">
        <f t="shared" si="217"/>
        <v>51.249999999999993</v>
      </c>
      <c r="G880" s="7">
        <f t="shared" si="208"/>
        <v>4.0199999999999996</v>
      </c>
      <c r="H880" s="16">
        <f t="shared" si="209"/>
        <v>4.18</v>
      </c>
      <c r="I880" s="11">
        <f t="shared" si="214"/>
        <v>0.14803512423470547</v>
      </c>
      <c r="J880" s="33">
        <f t="shared" si="215"/>
        <v>2.8884902289698635E-3</v>
      </c>
      <c r="K880" s="33">
        <f t="shared" si="216"/>
        <v>346.20162116893675</v>
      </c>
      <c r="L880" s="8">
        <v>0</v>
      </c>
      <c r="M880" s="9">
        <v>1</v>
      </c>
      <c r="N880" s="8">
        <v>0</v>
      </c>
      <c r="O880" s="9">
        <v>0</v>
      </c>
      <c r="P880" s="9">
        <v>1</v>
      </c>
      <c r="Q880" s="9">
        <v>0</v>
      </c>
      <c r="R880" s="9">
        <v>0</v>
      </c>
      <c r="S880" s="8">
        <v>117235</v>
      </c>
      <c r="T880" s="9">
        <v>5</v>
      </c>
      <c r="U880" s="9">
        <f t="shared" si="210"/>
        <v>117229</v>
      </c>
      <c r="V880" s="9">
        <f t="shared" si="211"/>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v>0</v>
      </c>
      <c r="BF880" s="18">
        <v>0</v>
      </c>
      <c r="BG880">
        <v>1</v>
      </c>
      <c r="BH880">
        <v>0</v>
      </c>
      <c r="BI880" s="18">
        <v>0</v>
      </c>
      <c r="BJ880">
        <v>29551</v>
      </c>
      <c r="BK880">
        <v>23018</v>
      </c>
      <c r="BL880" s="25">
        <v>38.9</v>
      </c>
      <c r="BM880">
        <v>0</v>
      </c>
      <c r="BN880">
        <v>0</v>
      </c>
      <c r="BO880">
        <v>0</v>
      </c>
      <c r="BP880">
        <v>0</v>
      </c>
      <c r="BQ880">
        <v>0</v>
      </c>
      <c r="BR880">
        <v>1</v>
      </c>
      <c r="BS880">
        <v>0</v>
      </c>
      <c r="BT880" s="18">
        <v>0</v>
      </c>
      <c r="BU880">
        <v>0</v>
      </c>
      <c r="BV880">
        <v>0</v>
      </c>
      <c r="BW880">
        <v>1</v>
      </c>
      <c r="BX880" s="18">
        <v>0</v>
      </c>
      <c r="BY880">
        <v>0</v>
      </c>
      <c r="BZ880">
        <v>0</v>
      </c>
      <c r="CA880">
        <v>0</v>
      </c>
      <c r="CB880">
        <v>0</v>
      </c>
      <c r="CC880" s="18">
        <v>0</v>
      </c>
      <c r="CD880">
        <v>0</v>
      </c>
      <c r="CE880">
        <v>0</v>
      </c>
      <c r="CF880">
        <v>1</v>
      </c>
      <c r="CG880">
        <v>1</v>
      </c>
      <c r="CH880">
        <v>0</v>
      </c>
      <c r="CI880">
        <v>1</v>
      </c>
      <c r="CJ880">
        <v>1</v>
      </c>
      <c r="CK880">
        <v>0</v>
      </c>
      <c r="CL880">
        <v>0</v>
      </c>
      <c r="CM880">
        <v>0</v>
      </c>
      <c r="CN880" s="18">
        <v>0</v>
      </c>
      <c r="CO880">
        <v>4.2000000000000003E-2</v>
      </c>
      <c r="CP880">
        <v>6</v>
      </c>
      <c r="CQ880">
        <v>1</v>
      </c>
      <c r="CR880">
        <v>0</v>
      </c>
      <c r="CS880">
        <v>24</v>
      </c>
      <c r="CY880" s="34"/>
    </row>
    <row r="881" spans="1:103" x14ac:dyDescent="0.25">
      <c r="A881">
        <v>880</v>
      </c>
      <c r="B881">
        <v>60</v>
      </c>
      <c r="C881" s="25" t="s">
        <v>3936</v>
      </c>
      <c r="D881" s="12">
        <v>10.49</v>
      </c>
      <c r="E881" s="14">
        <v>0.22</v>
      </c>
      <c r="F881" s="7">
        <f t="shared" si="217"/>
        <v>47.68181818181818</v>
      </c>
      <c r="G881" s="7">
        <f t="shared" si="208"/>
        <v>10.27</v>
      </c>
      <c r="H881" s="16">
        <f t="shared" si="209"/>
        <v>10.71</v>
      </c>
      <c r="I881" s="11">
        <f t="shared" si="214"/>
        <v>0.20000763401791363</v>
      </c>
      <c r="J881" s="33">
        <f t="shared" si="215"/>
        <v>4.194631028021068E-3</v>
      </c>
      <c r="K881" s="33">
        <f t="shared" si="216"/>
        <v>238.39999116007525</v>
      </c>
      <c r="L881" s="8">
        <v>0</v>
      </c>
      <c r="M881" s="9">
        <v>1</v>
      </c>
      <c r="N881" s="8">
        <v>0</v>
      </c>
      <c r="O881" s="9">
        <v>0</v>
      </c>
      <c r="P881" s="9">
        <v>1</v>
      </c>
      <c r="Q881" s="9">
        <v>0</v>
      </c>
      <c r="R881" s="9">
        <v>0</v>
      </c>
      <c r="S881" s="8">
        <v>54567</v>
      </c>
      <c r="T881" s="9">
        <v>5</v>
      </c>
      <c r="U881" s="9">
        <f t="shared" si="210"/>
        <v>54561</v>
      </c>
      <c r="V881" s="9">
        <f t="shared" si="211"/>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v>0</v>
      </c>
      <c r="BF881" s="18">
        <v>0</v>
      </c>
      <c r="BG881">
        <v>1</v>
      </c>
      <c r="BH881">
        <v>0</v>
      </c>
      <c r="BI881" s="18">
        <v>0</v>
      </c>
      <c r="BJ881">
        <v>29551</v>
      </c>
      <c r="BK881">
        <v>23018</v>
      </c>
      <c r="BL881" s="25">
        <v>38.9</v>
      </c>
      <c r="BM881">
        <v>0</v>
      </c>
      <c r="BN881">
        <v>0</v>
      </c>
      <c r="BO881">
        <v>0</v>
      </c>
      <c r="BP881">
        <v>0</v>
      </c>
      <c r="BQ881">
        <v>0</v>
      </c>
      <c r="BR881">
        <v>0</v>
      </c>
      <c r="BS881">
        <v>0</v>
      </c>
      <c r="BT881" s="18">
        <v>1</v>
      </c>
      <c r="BU881">
        <v>0</v>
      </c>
      <c r="BV881">
        <v>1</v>
      </c>
      <c r="BW881">
        <v>0</v>
      </c>
      <c r="BX881" s="18">
        <v>0</v>
      </c>
      <c r="BY881">
        <v>0</v>
      </c>
      <c r="BZ881">
        <v>0</v>
      </c>
      <c r="CA881">
        <v>0</v>
      </c>
      <c r="CB881">
        <v>0</v>
      </c>
      <c r="CC881" s="18">
        <v>0</v>
      </c>
      <c r="CD881">
        <v>0</v>
      </c>
      <c r="CE881">
        <v>0</v>
      </c>
      <c r="CF881">
        <v>1</v>
      </c>
      <c r="CG881">
        <v>1</v>
      </c>
      <c r="CH881">
        <v>0</v>
      </c>
      <c r="CI881">
        <v>1</v>
      </c>
      <c r="CJ881">
        <v>1</v>
      </c>
      <c r="CK881">
        <v>0</v>
      </c>
      <c r="CL881">
        <v>0</v>
      </c>
      <c r="CM881">
        <v>0</v>
      </c>
      <c r="CN881" s="18">
        <v>0</v>
      </c>
      <c r="CO881">
        <v>4.2000000000000003E-2</v>
      </c>
      <c r="CP881">
        <v>6</v>
      </c>
      <c r="CQ881">
        <v>1</v>
      </c>
      <c r="CR881">
        <v>0</v>
      </c>
      <c r="CS881">
        <v>24</v>
      </c>
      <c r="CY881" s="34"/>
    </row>
    <row r="882" spans="1:103" x14ac:dyDescent="0.25">
      <c r="A882">
        <v>881</v>
      </c>
      <c r="B882">
        <v>60</v>
      </c>
      <c r="C882" s="25" t="s">
        <v>3936</v>
      </c>
      <c r="D882" s="12">
        <v>9.18</v>
      </c>
      <c r="E882" s="14">
        <v>0.45</v>
      </c>
      <c r="F882" s="7">
        <f t="shared" si="217"/>
        <v>20.399999999999999</v>
      </c>
      <c r="G882" s="7">
        <f t="shared" si="208"/>
        <v>8.73</v>
      </c>
      <c r="H882" s="16">
        <f t="shared" si="209"/>
        <v>9.629999999999999</v>
      </c>
      <c r="I882" s="11">
        <f t="shared" si="214"/>
        <v>6.9862538467178478E-2</v>
      </c>
      <c r="J882" s="33">
        <f t="shared" si="215"/>
        <v>3.4246342385871801E-3</v>
      </c>
      <c r="K882" s="33">
        <f t="shared" si="216"/>
        <v>292.00198629461408</v>
      </c>
      <c r="L882" s="8">
        <v>0</v>
      </c>
      <c r="M882" s="9">
        <v>1</v>
      </c>
      <c r="N882" s="8">
        <v>0</v>
      </c>
      <c r="O882" s="9">
        <v>0</v>
      </c>
      <c r="P882" s="9">
        <v>1</v>
      </c>
      <c r="Q882" s="9">
        <v>0</v>
      </c>
      <c r="R882" s="9">
        <v>0</v>
      </c>
      <c r="S882" s="8">
        <v>84855</v>
      </c>
      <c r="T882" s="9">
        <v>5</v>
      </c>
      <c r="U882" s="9">
        <f t="shared" si="210"/>
        <v>84849</v>
      </c>
      <c r="V882" s="9">
        <f t="shared" si="211"/>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v>0</v>
      </c>
      <c r="BF882" s="18">
        <v>0</v>
      </c>
      <c r="BG882">
        <v>1</v>
      </c>
      <c r="BH882">
        <v>0</v>
      </c>
      <c r="BI882" s="18">
        <v>0</v>
      </c>
      <c r="BJ882">
        <v>29551</v>
      </c>
      <c r="BK882">
        <v>23018</v>
      </c>
      <c r="BL882" s="25">
        <v>38.9</v>
      </c>
      <c r="BM882">
        <v>0</v>
      </c>
      <c r="BN882">
        <v>0</v>
      </c>
      <c r="BO882">
        <v>0</v>
      </c>
      <c r="BP882">
        <v>0</v>
      </c>
      <c r="BQ882">
        <v>0</v>
      </c>
      <c r="BR882">
        <v>0</v>
      </c>
      <c r="BS882">
        <v>0</v>
      </c>
      <c r="BT882" s="18">
        <v>1</v>
      </c>
      <c r="BU882">
        <v>0</v>
      </c>
      <c r="BV882">
        <v>1</v>
      </c>
      <c r="BW882">
        <v>0</v>
      </c>
      <c r="BX882" s="18">
        <v>0</v>
      </c>
      <c r="BY882">
        <v>0</v>
      </c>
      <c r="BZ882">
        <v>0</v>
      </c>
      <c r="CA882">
        <v>0</v>
      </c>
      <c r="CB882">
        <v>0</v>
      </c>
      <c r="CC882" s="18">
        <v>0</v>
      </c>
      <c r="CD882">
        <v>0</v>
      </c>
      <c r="CE882">
        <v>0</v>
      </c>
      <c r="CF882">
        <v>1</v>
      </c>
      <c r="CG882">
        <v>1</v>
      </c>
      <c r="CH882">
        <v>0</v>
      </c>
      <c r="CI882">
        <v>1</v>
      </c>
      <c r="CJ882">
        <v>1</v>
      </c>
      <c r="CK882">
        <v>0</v>
      </c>
      <c r="CL882">
        <v>0</v>
      </c>
      <c r="CM882">
        <v>0</v>
      </c>
      <c r="CN882" s="18">
        <v>0</v>
      </c>
      <c r="CO882">
        <v>4.2000000000000003E-2</v>
      </c>
      <c r="CP882">
        <v>6</v>
      </c>
      <c r="CQ882">
        <v>1</v>
      </c>
      <c r="CR882">
        <v>0</v>
      </c>
      <c r="CS882">
        <v>24</v>
      </c>
      <c r="CY882" s="34"/>
    </row>
    <row r="883" spans="1:103" x14ac:dyDescent="0.25">
      <c r="A883">
        <v>882</v>
      </c>
      <c r="B883">
        <v>60</v>
      </c>
      <c r="C883" s="25" t="s">
        <v>3936</v>
      </c>
      <c r="D883" s="12">
        <v>10.63</v>
      </c>
      <c r="E883" s="14">
        <v>0.65</v>
      </c>
      <c r="F883" s="7">
        <f t="shared" si="217"/>
        <v>16.353846153846156</v>
      </c>
      <c r="G883" s="7">
        <f t="shared" si="208"/>
        <v>9.98</v>
      </c>
      <c r="H883" s="16">
        <f t="shared" si="209"/>
        <v>11.280000000000001</v>
      </c>
      <c r="I883" s="11">
        <f t="shared" si="214"/>
        <v>5.536192568228316E-2</v>
      </c>
      <c r="J883" s="33">
        <f t="shared" si="215"/>
        <v>3.3852541574302965E-3</v>
      </c>
      <c r="K883" s="33">
        <f t="shared" si="216"/>
        <v>295.39879533272244</v>
      </c>
      <c r="L883" s="8">
        <v>0</v>
      </c>
      <c r="M883" s="9">
        <v>1</v>
      </c>
      <c r="N883" s="8">
        <v>0</v>
      </c>
      <c r="O883" s="9">
        <v>0</v>
      </c>
      <c r="P883" s="9">
        <v>1</v>
      </c>
      <c r="Q883" s="9">
        <v>0</v>
      </c>
      <c r="R883" s="9">
        <v>0</v>
      </c>
      <c r="S883" s="8">
        <v>86999</v>
      </c>
      <c r="T883" s="9">
        <v>5</v>
      </c>
      <c r="U883" s="9">
        <f t="shared" si="210"/>
        <v>86993</v>
      </c>
      <c r="V883" s="9">
        <f t="shared" si="211"/>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v>0</v>
      </c>
      <c r="BF883" s="18">
        <v>0</v>
      </c>
      <c r="BG883">
        <v>1</v>
      </c>
      <c r="BH883">
        <v>0</v>
      </c>
      <c r="BI883" s="18">
        <v>0</v>
      </c>
      <c r="BJ883">
        <v>29551</v>
      </c>
      <c r="BK883">
        <v>23018</v>
      </c>
      <c r="BL883" s="25">
        <v>38.9</v>
      </c>
      <c r="BM883">
        <v>0</v>
      </c>
      <c r="BN883">
        <v>0</v>
      </c>
      <c r="BO883">
        <v>0</v>
      </c>
      <c r="BP883">
        <v>0</v>
      </c>
      <c r="BQ883">
        <v>0</v>
      </c>
      <c r="BR883">
        <v>0</v>
      </c>
      <c r="BS883">
        <v>0</v>
      </c>
      <c r="BT883" s="18">
        <v>1</v>
      </c>
      <c r="BU883">
        <v>0</v>
      </c>
      <c r="BV883">
        <v>1</v>
      </c>
      <c r="BW883">
        <v>0</v>
      </c>
      <c r="BX883" s="18">
        <v>0</v>
      </c>
      <c r="BY883">
        <v>0</v>
      </c>
      <c r="BZ883">
        <v>0</v>
      </c>
      <c r="CA883">
        <v>0</v>
      </c>
      <c r="CB883">
        <v>0</v>
      </c>
      <c r="CC883" s="18">
        <v>0</v>
      </c>
      <c r="CD883">
        <v>0</v>
      </c>
      <c r="CE883">
        <v>0</v>
      </c>
      <c r="CF883">
        <v>1</v>
      </c>
      <c r="CG883">
        <v>1</v>
      </c>
      <c r="CH883">
        <v>0</v>
      </c>
      <c r="CI883">
        <v>1</v>
      </c>
      <c r="CJ883">
        <v>1</v>
      </c>
      <c r="CK883">
        <v>0</v>
      </c>
      <c r="CL883">
        <v>0</v>
      </c>
      <c r="CM883">
        <v>0</v>
      </c>
      <c r="CN883" s="18">
        <v>0</v>
      </c>
      <c r="CO883">
        <v>4.2000000000000003E-2</v>
      </c>
      <c r="CP883">
        <v>6</v>
      </c>
      <c r="CQ883">
        <v>1</v>
      </c>
      <c r="CR883">
        <v>0</v>
      </c>
      <c r="CS883">
        <v>24</v>
      </c>
      <c r="CY883" s="34"/>
    </row>
    <row r="884" spans="1:103" x14ac:dyDescent="0.25">
      <c r="A884">
        <v>883</v>
      </c>
      <c r="B884">
        <v>60</v>
      </c>
      <c r="C884" s="25" t="s">
        <v>3936</v>
      </c>
      <c r="D884" s="12">
        <v>8.39</v>
      </c>
      <c r="E884" s="14">
        <v>0.51</v>
      </c>
      <c r="F884" s="7">
        <f t="shared" si="217"/>
        <v>16.450980392156865</v>
      </c>
      <c r="G884" s="7">
        <f t="shared" si="208"/>
        <v>7.8800000000000008</v>
      </c>
      <c r="H884" s="16">
        <f t="shared" si="209"/>
        <v>8.9</v>
      </c>
      <c r="I884" s="11">
        <f t="shared" si="214"/>
        <v>5.5173068869910705E-2</v>
      </c>
      <c r="J884" s="33">
        <f t="shared" si="215"/>
        <v>3.3537860695654893E-3</v>
      </c>
      <c r="K884" s="33">
        <f t="shared" si="216"/>
        <v>298.17047935009111</v>
      </c>
      <c r="L884" s="8">
        <v>0</v>
      </c>
      <c r="M884" s="9">
        <v>1</v>
      </c>
      <c r="N884" s="8">
        <v>0</v>
      </c>
      <c r="O884" s="9">
        <v>0</v>
      </c>
      <c r="P884" s="9">
        <v>1</v>
      </c>
      <c r="Q884" s="9">
        <v>0</v>
      </c>
      <c r="R884" s="9">
        <v>0</v>
      </c>
      <c r="S884" s="8">
        <v>88641</v>
      </c>
      <c r="T884" s="9">
        <v>5</v>
      </c>
      <c r="U884" s="9">
        <f t="shared" si="210"/>
        <v>88635</v>
      </c>
      <c r="V884" s="9">
        <f t="shared" si="211"/>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v>0</v>
      </c>
      <c r="BF884" s="18">
        <v>0</v>
      </c>
      <c r="BG884">
        <v>1</v>
      </c>
      <c r="BH884">
        <v>0</v>
      </c>
      <c r="BI884" s="18">
        <v>0</v>
      </c>
      <c r="BJ884">
        <v>29551</v>
      </c>
      <c r="BK884">
        <v>23018</v>
      </c>
      <c r="BL884" s="25">
        <v>38.9</v>
      </c>
      <c r="BM884">
        <v>0</v>
      </c>
      <c r="BN884">
        <v>0</v>
      </c>
      <c r="BO884">
        <v>0</v>
      </c>
      <c r="BP884">
        <v>0</v>
      </c>
      <c r="BQ884">
        <v>0</v>
      </c>
      <c r="BR884">
        <v>0</v>
      </c>
      <c r="BS884">
        <v>0</v>
      </c>
      <c r="BT884" s="18">
        <v>1</v>
      </c>
      <c r="BU884">
        <v>0</v>
      </c>
      <c r="BV884">
        <v>1</v>
      </c>
      <c r="BW884">
        <v>0</v>
      </c>
      <c r="BX884" s="18">
        <v>0</v>
      </c>
      <c r="BY884">
        <v>0</v>
      </c>
      <c r="BZ884">
        <v>0</v>
      </c>
      <c r="CA884">
        <v>0</v>
      </c>
      <c r="CB884">
        <v>0</v>
      </c>
      <c r="CC884" s="18">
        <v>0</v>
      </c>
      <c r="CD884">
        <v>0</v>
      </c>
      <c r="CE884">
        <v>0</v>
      </c>
      <c r="CF884">
        <v>1</v>
      </c>
      <c r="CG884">
        <v>1</v>
      </c>
      <c r="CH884">
        <v>0</v>
      </c>
      <c r="CI884">
        <v>1</v>
      </c>
      <c r="CJ884">
        <v>1</v>
      </c>
      <c r="CK884">
        <v>0</v>
      </c>
      <c r="CL884">
        <v>0</v>
      </c>
      <c r="CM884">
        <v>0</v>
      </c>
      <c r="CN884" s="18">
        <v>0</v>
      </c>
      <c r="CO884">
        <v>4.2000000000000003E-2</v>
      </c>
      <c r="CP884">
        <v>6</v>
      </c>
      <c r="CQ884">
        <v>1</v>
      </c>
      <c r="CR884">
        <v>0</v>
      </c>
      <c r="CS884">
        <v>24</v>
      </c>
      <c r="CY884" s="34"/>
    </row>
    <row r="885" spans="1:103" x14ac:dyDescent="0.25">
      <c r="A885">
        <v>884</v>
      </c>
      <c r="B885">
        <v>60</v>
      </c>
      <c r="C885" s="25" t="s">
        <v>3936</v>
      </c>
      <c r="D885" s="12">
        <v>10.35</v>
      </c>
      <c r="E885" s="14">
        <v>0.2</v>
      </c>
      <c r="F885" s="7">
        <f t="shared" si="217"/>
        <v>51.749999999999993</v>
      </c>
      <c r="G885" s="7">
        <f t="shared" si="208"/>
        <v>10.15</v>
      </c>
      <c r="H885" s="16">
        <f t="shared" si="209"/>
        <v>10.549999999999999</v>
      </c>
      <c r="I885" s="11">
        <f t="shared" si="214"/>
        <v>0.18457784471900096</v>
      </c>
      <c r="J885" s="33">
        <f t="shared" si="215"/>
        <v>3.5667216370821445E-3</v>
      </c>
      <c r="K885" s="33">
        <f t="shared" si="216"/>
        <v>280.36951064621843</v>
      </c>
      <c r="L885" s="8">
        <v>0</v>
      </c>
      <c r="M885" s="9">
        <v>1</v>
      </c>
      <c r="N885" s="8">
        <v>0</v>
      </c>
      <c r="O885" s="9">
        <v>0</v>
      </c>
      <c r="P885" s="9">
        <v>1</v>
      </c>
      <c r="Q885" s="9">
        <v>0</v>
      </c>
      <c r="R885" s="9">
        <v>0</v>
      </c>
      <c r="S885" s="8">
        <v>75935</v>
      </c>
      <c r="T885" s="9">
        <v>5</v>
      </c>
      <c r="U885" s="9">
        <f t="shared" si="210"/>
        <v>75929</v>
      </c>
      <c r="V885" s="9">
        <f t="shared" si="211"/>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v>0</v>
      </c>
      <c r="BF885" s="18">
        <v>0</v>
      </c>
      <c r="BG885">
        <v>1</v>
      </c>
      <c r="BH885">
        <v>0</v>
      </c>
      <c r="BI885" s="18">
        <v>0</v>
      </c>
      <c r="BJ885">
        <v>29551</v>
      </c>
      <c r="BK885">
        <v>23018</v>
      </c>
      <c r="BL885" s="25">
        <v>38.9</v>
      </c>
      <c r="BM885">
        <v>0</v>
      </c>
      <c r="BN885">
        <v>0</v>
      </c>
      <c r="BO885">
        <v>0</v>
      </c>
      <c r="BP885">
        <v>0</v>
      </c>
      <c r="BQ885">
        <v>0</v>
      </c>
      <c r="BR885">
        <v>0</v>
      </c>
      <c r="BS885">
        <v>0</v>
      </c>
      <c r="BT885" s="18">
        <v>1</v>
      </c>
      <c r="BU885">
        <v>0</v>
      </c>
      <c r="BV885">
        <v>1</v>
      </c>
      <c r="BW885">
        <v>0</v>
      </c>
      <c r="BX885" s="18">
        <v>0</v>
      </c>
      <c r="BY885">
        <v>0</v>
      </c>
      <c r="BZ885">
        <v>0</v>
      </c>
      <c r="CA885">
        <v>0</v>
      </c>
      <c r="CB885">
        <v>0</v>
      </c>
      <c r="CC885" s="18">
        <v>0</v>
      </c>
      <c r="CD885">
        <v>0</v>
      </c>
      <c r="CE885">
        <v>0</v>
      </c>
      <c r="CF885">
        <v>1</v>
      </c>
      <c r="CG885">
        <v>1</v>
      </c>
      <c r="CH885">
        <v>0</v>
      </c>
      <c r="CI885">
        <v>1</v>
      </c>
      <c r="CJ885">
        <v>1</v>
      </c>
      <c r="CK885">
        <v>0</v>
      </c>
      <c r="CL885">
        <v>0</v>
      </c>
      <c r="CM885">
        <v>0</v>
      </c>
      <c r="CN885" s="18">
        <v>0</v>
      </c>
      <c r="CO885">
        <v>4.2000000000000003E-2</v>
      </c>
      <c r="CP885">
        <v>6</v>
      </c>
      <c r="CQ885">
        <v>1</v>
      </c>
      <c r="CR885">
        <v>0</v>
      </c>
      <c r="CS885">
        <v>24</v>
      </c>
      <c r="CY885" s="34"/>
    </row>
    <row r="886" spans="1:103" x14ac:dyDescent="0.25">
      <c r="A886">
        <v>885</v>
      </c>
      <c r="B886">
        <v>61</v>
      </c>
      <c r="C886" s="25" t="s">
        <v>3944</v>
      </c>
      <c r="D886" s="12">
        <v>6.24</v>
      </c>
      <c r="E886" s="14">
        <v>0.21</v>
      </c>
      <c r="F886" s="7">
        <f t="shared" si="217"/>
        <v>29.714285714285715</v>
      </c>
      <c r="G886" s="7">
        <f t="shared" si="208"/>
        <v>6.03</v>
      </c>
      <c r="H886" s="16">
        <f t="shared" si="209"/>
        <v>6.45</v>
      </c>
      <c r="I886" s="11">
        <f t="shared" si="214"/>
        <v>0.2789989064094901</v>
      </c>
      <c r="J886" s="33">
        <f t="shared" si="215"/>
        <v>9.3893862733963017E-3</v>
      </c>
      <c r="K886" s="33">
        <f t="shared" si="216"/>
        <v>106.50323363875016</v>
      </c>
      <c r="L886" s="8">
        <v>1</v>
      </c>
      <c r="M886" s="9">
        <v>0</v>
      </c>
      <c r="N886" s="8">
        <v>0</v>
      </c>
      <c r="O886" s="9">
        <v>1</v>
      </c>
      <c r="P886" s="9">
        <v>0</v>
      </c>
      <c r="Q886" s="9">
        <v>0</v>
      </c>
      <c r="R886" s="9">
        <v>0</v>
      </c>
      <c r="S886" s="8">
        <v>10466</v>
      </c>
      <c r="T886" s="9">
        <v>5</v>
      </c>
      <c r="U886" s="9">
        <f t="shared" si="210"/>
        <v>10460</v>
      </c>
      <c r="V886" s="9">
        <f t="shared" si="211"/>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218">1-AQ886</f>
        <v>0.47260000000000002</v>
      </c>
      <c r="AS886" t="s">
        <v>98</v>
      </c>
      <c r="AT886" s="40" t="s">
        <v>98</v>
      </c>
      <c r="AU886">
        <v>0</v>
      </c>
      <c r="AV886" s="18">
        <v>1</v>
      </c>
      <c r="AW886">
        <v>0</v>
      </c>
      <c r="AX886" s="18">
        <v>1</v>
      </c>
      <c r="AY886" s="18" t="s">
        <v>5</v>
      </c>
      <c r="AZ886">
        <v>0</v>
      </c>
      <c r="BA886">
        <v>1</v>
      </c>
      <c r="BB886">
        <v>0</v>
      </c>
      <c r="BC886">
        <v>0</v>
      </c>
      <c r="BD886">
        <v>0</v>
      </c>
      <c r="BE886">
        <v>0</v>
      </c>
      <c r="BF886" s="18">
        <v>0</v>
      </c>
      <c r="BG886">
        <v>0</v>
      </c>
      <c r="BH886">
        <v>1</v>
      </c>
      <c r="BI886" s="18">
        <v>0</v>
      </c>
      <c r="BJ886">
        <v>557</v>
      </c>
      <c r="BK886">
        <v>41</v>
      </c>
      <c r="BL886" s="25">
        <f>AVERAGE(BL887:BL888)</f>
        <v>38.355000000000004</v>
      </c>
      <c r="BM886">
        <v>1</v>
      </c>
      <c r="BN886">
        <v>0</v>
      </c>
      <c r="BO886">
        <v>0</v>
      </c>
      <c r="BP886">
        <v>0</v>
      </c>
      <c r="BQ886">
        <v>0</v>
      </c>
      <c r="BR886">
        <v>0</v>
      </c>
      <c r="BS886">
        <v>0</v>
      </c>
      <c r="BT886" s="18">
        <v>0</v>
      </c>
      <c r="BU886">
        <v>0</v>
      </c>
      <c r="BV886">
        <v>0</v>
      </c>
      <c r="BW886">
        <v>1</v>
      </c>
      <c r="BX886" s="18">
        <v>0</v>
      </c>
      <c r="BY886">
        <v>0</v>
      </c>
      <c r="BZ886">
        <v>0</v>
      </c>
      <c r="CA886">
        <v>0</v>
      </c>
      <c r="CB886">
        <v>0</v>
      </c>
      <c r="CC886" s="18">
        <v>0</v>
      </c>
      <c r="CD886">
        <v>0</v>
      </c>
      <c r="CE886">
        <v>0</v>
      </c>
      <c r="CF886">
        <v>1</v>
      </c>
      <c r="CG886">
        <v>0</v>
      </c>
      <c r="CH886">
        <v>1</v>
      </c>
      <c r="CI886">
        <v>0</v>
      </c>
      <c r="CJ886">
        <v>1</v>
      </c>
      <c r="CK886">
        <v>0</v>
      </c>
      <c r="CL886">
        <v>0</v>
      </c>
      <c r="CM886">
        <v>1</v>
      </c>
      <c r="CN886" s="18">
        <v>0</v>
      </c>
      <c r="CO886">
        <v>0</v>
      </c>
      <c r="CP886">
        <v>0</v>
      </c>
      <c r="CQ886">
        <v>0</v>
      </c>
      <c r="CR886">
        <v>1</v>
      </c>
      <c r="CS886">
        <v>16</v>
      </c>
      <c r="CY886" s="34"/>
    </row>
    <row r="887" spans="1:103" x14ac:dyDescent="0.25">
      <c r="A887">
        <v>886</v>
      </c>
      <c r="B887">
        <v>61</v>
      </c>
      <c r="C887" s="25" t="s">
        <v>3944</v>
      </c>
      <c r="D887" s="12">
        <v>5.41</v>
      </c>
      <c r="E887" s="14">
        <v>0.28000000000000003</v>
      </c>
      <c r="F887" s="7">
        <f t="shared" si="217"/>
        <v>19.321428571428569</v>
      </c>
      <c r="G887" s="7">
        <f t="shared" si="208"/>
        <v>5.13</v>
      </c>
      <c r="H887" s="16">
        <f t="shared" si="209"/>
        <v>5.69</v>
      </c>
      <c r="I887" s="11">
        <f t="shared" si="214"/>
        <v>0.25181436494337711</v>
      </c>
      <c r="J887" s="33">
        <f t="shared" si="215"/>
        <v>1.3032906133853158E-2</v>
      </c>
      <c r="K887" s="33">
        <f t="shared" si="216"/>
        <v>76.728857687579435</v>
      </c>
      <c r="L887" s="8">
        <v>1</v>
      </c>
      <c r="M887" s="9">
        <v>0</v>
      </c>
      <c r="N887" s="8">
        <v>0</v>
      </c>
      <c r="O887" s="9">
        <v>1</v>
      </c>
      <c r="P887" s="9">
        <v>0</v>
      </c>
      <c r="Q887" s="9">
        <v>0</v>
      </c>
      <c r="R887" s="9">
        <v>0</v>
      </c>
      <c r="S887" s="8">
        <v>5520</v>
      </c>
      <c r="T887" s="9">
        <v>5</v>
      </c>
      <c r="U887" s="9">
        <f t="shared" si="210"/>
        <v>5514</v>
      </c>
      <c r="V887" s="9">
        <f t="shared" si="211"/>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218"/>
        <v>0.47260000000000002</v>
      </c>
      <c r="AS887" t="s">
        <v>98</v>
      </c>
      <c r="AT887" s="40" t="s">
        <v>98</v>
      </c>
      <c r="AU887">
        <v>0</v>
      </c>
      <c r="AV887" s="18">
        <v>1</v>
      </c>
      <c r="AW887">
        <v>0</v>
      </c>
      <c r="AX887" s="18">
        <v>1</v>
      </c>
      <c r="AY887" s="18" t="s">
        <v>5</v>
      </c>
      <c r="AZ887">
        <v>0</v>
      </c>
      <c r="BA887">
        <v>1</v>
      </c>
      <c r="BB887">
        <v>0</v>
      </c>
      <c r="BC887">
        <v>0</v>
      </c>
      <c r="BD887">
        <v>0</v>
      </c>
      <c r="BE887">
        <v>0</v>
      </c>
      <c r="BF887" s="18">
        <v>0</v>
      </c>
      <c r="BG887">
        <v>0</v>
      </c>
      <c r="BH887">
        <v>1</v>
      </c>
      <c r="BI887" s="18">
        <v>0</v>
      </c>
      <c r="BJ887">
        <v>557</v>
      </c>
      <c r="BK887">
        <v>41</v>
      </c>
      <c r="BL887" s="25">
        <v>39.630000000000003</v>
      </c>
      <c r="BM887">
        <v>1</v>
      </c>
      <c r="BN887">
        <v>0</v>
      </c>
      <c r="BO887">
        <v>0</v>
      </c>
      <c r="BP887">
        <v>0</v>
      </c>
      <c r="BQ887">
        <v>0</v>
      </c>
      <c r="BR887">
        <v>0</v>
      </c>
      <c r="BS887">
        <v>0</v>
      </c>
      <c r="BT887" s="18">
        <v>0</v>
      </c>
      <c r="BU887">
        <v>0</v>
      </c>
      <c r="BV887">
        <v>0</v>
      </c>
      <c r="BW887">
        <v>1</v>
      </c>
      <c r="BX887" s="18">
        <v>0</v>
      </c>
      <c r="BY887">
        <v>0</v>
      </c>
      <c r="BZ887">
        <v>0</v>
      </c>
      <c r="CA887">
        <v>0</v>
      </c>
      <c r="CB887">
        <v>0</v>
      </c>
      <c r="CC887" s="18">
        <v>0</v>
      </c>
      <c r="CD887">
        <v>0</v>
      </c>
      <c r="CE887">
        <v>0</v>
      </c>
      <c r="CF887">
        <v>1</v>
      </c>
      <c r="CG887">
        <v>0</v>
      </c>
      <c r="CH887">
        <v>1</v>
      </c>
      <c r="CI887">
        <v>0</v>
      </c>
      <c r="CJ887">
        <v>1</v>
      </c>
      <c r="CK887">
        <v>0</v>
      </c>
      <c r="CL887">
        <v>0</v>
      </c>
      <c r="CM887">
        <v>1</v>
      </c>
      <c r="CN887" s="18">
        <v>0</v>
      </c>
      <c r="CO887">
        <v>0</v>
      </c>
      <c r="CP887">
        <v>0</v>
      </c>
      <c r="CQ887">
        <v>0</v>
      </c>
      <c r="CR887">
        <v>1</v>
      </c>
      <c r="CS887">
        <v>16</v>
      </c>
      <c r="CY887" s="34"/>
    </row>
    <row r="888" spans="1:103" x14ac:dyDescent="0.25">
      <c r="A888">
        <v>887</v>
      </c>
      <c r="B888">
        <v>61</v>
      </c>
      <c r="C888" s="25" t="s">
        <v>3944</v>
      </c>
      <c r="D888" s="12">
        <v>7.24</v>
      </c>
      <c r="E888" s="14">
        <v>0.33</v>
      </c>
      <c r="F888" s="7">
        <f t="shared" si="217"/>
        <v>21.939393939393938</v>
      </c>
      <c r="G888" s="7">
        <f t="shared" si="208"/>
        <v>6.91</v>
      </c>
      <c r="H888" s="16">
        <f t="shared" si="209"/>
        <v>7.57</v>
      </c>
      <c r="I888" s="11">
        <f t="shared" si="214"/>
        <v>0.29796923347960869</v>
      </c>
      <c r="J888" s="33">
        <f t="shared" si="215"/>
        <v>1.3581470586777744E-2</v>
      </c>
      <c r="K888" s="33">
        <f t="shared" si="216"/>
        <v>73.62972909381044</v>
      </c>
      <c r="L888" s="8">
        <v>1</v>
      </c>
      <c r="M888" s="9">
        <v>0</v>
      </c>
      <c r="N888" s="8">
        <v>0</v>
      </c>
      <c r="O888" s="9">
        <v>1</v>
      </c>
      <c r="P888" s="9">
        <v>0</v>
      </c>
      <c r="Q888" s="9">
        <v>0</v>
      </c>
      <c r="R888" s="9">
        <v>0</v>
      </c>
      <c r="S888" s="8">
        <v>4946</v>
      </c>
      <c r="T888" s="9">
        <v>5</v>
      </c>
      <c r="U888" s="9">
        <f t="shared" si="210"/>
        <v>4940</v>
      </c>
      <c r="V888" s="9">
        <f t="shared" si="211"/>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218"/>
        <v>0.47260000000000002</v>
      </c>
      <c r="AS888" t="s">
        <v>98</v>
      </c>
      <c r="AT888" s="40" t="s">
        <v>98</v>
      </c>
      <c r="AU888">
        <v>0</v>
      </c>
      <c r="AV888" s="18">
        <v>1</v>
      </c>
      <c r="AW888">
        <v>0</v>
      </c>
      <c r="AX888" s="18">
        <v>1</v>
      </c>
      <c r="AY888" s="18" t="s">
        <v>5</v>
      </c>
      <c r="AZ888">
        <v>0</v>
      </c>
      <c r="BA888">
        <v>1</v>
      </c>
      <c r="BB888">
        <v>0</v>
      </c>
      <c r="BC888">
        <v>0</v>
      </c>
      <c r="BD888">
        <v>0</v>
      </c>
      <c r="BE888">
        <v>0</v>
      </c>
      <c r="BF888" s="18">
        <v>0</v>
      </c>
      <c r="BG888">
        <v>0</v>
      </c>
      <c r="BH888">
        <v>1</v>
      </c>
      <c r="BI888" s="18">
        <v>0</v>
      </c>
      <c r="BJ888">
        <v>557</v>
      </c>
      <c r="BK888">
        <v>41</v>
      </c>
      <c r="BL888" s="25">
        <v>37.08</v>
      </c>
      <c r="BM888">
        <v>1</v>
      </c>
      <c r="BN888">
        <v>0</v>
      </c>
      <c r="BO888">
        <v>0</v>
      </c>
      <c r="BP888">
        <v>0</v>
      </c>
      <c r="BQ888">
        <v>0</v>
      </c>
      <c r="BR888">
        <v>0</v>
      </c>
      <c r="BS888">
        <v>0</v>
      </c>
      <c r="BT888" s="18">
        <v>0</v>
      </c>
      <c r="BU888">
        <v>0</v>
      </c>
      <c r="BV888">
        <v>0</v>
      </c>
      <c r="BW888">
        <v>1</v>
      </c>
      <c r="BX888" s="18">
        <v>0</v>
      </c>
      <c r="BY888">
        <v>0</v>
      </c>
      <c r="BZ888">
        <v>0</v>
      </c>
      <c r="CA888">
        <v>0</v>
      </c>
      <c r="CB888">
        <v>0</v>
      </c>
      <c r="CC888" s="18">
        <v>0</v>
      </c>
      <c r="CD888">
        <v>0</v>
      </c>
      <c r="CE888">
        <v>0</v>
      </c>
      <c r="CF888">
        <v>1</v>
      </c>
      <c r="CG888">
        <v>0</v>
      </c>
      <c r="CH888">
        <v>1</v>
      </c>
      <c r="CI888">
        <v>0</v>
      </c>
      <c r="CJ888">
        <v>1</v>
      </c>
      <c r="CK888">
        <v>0</v>
      </c>
      <c r="CL888">
        <v>0</v>
      </c>
      <c r="CM888">
        <v>1</v>
      </c>
      <c r="CN888" s="18">
        <v>0</v>
      </c>
      <c r="CO888">
        <v>0</v>
      </c>
      <c r="CP888">
        <v>0</v>
      </c>
      <c r="CQ888">
        <v>0</v>
      </c>
      <c r="CR888">
        <v>1</v>
      </c>
      <c r="CS888">
        <v>16</v>
      </c>
      <c r="CY888" s="34"/>
    </row>
    <row r="889" spans="1:103" x14ac:dyDescent="0.25">
      <c r="A889">
        <v>888</v>
      </c>
      <c r="B889">
        <v>61</v>
      </c>
      <c r="C889" s="25" t="s">
        <v>3944</v>
      </c>
      <c r="D889" s="12">
        <v>8.99</v>
      </c>
      <c r="E889" s="14">
        <v>0.27</v>
      </c>
      <c r="F889" s="7">
        <f t="shared" si="217"/>
        <v>33.296296296296298</v>
      </c>
      <c r="G889" s="7">
        <f t="shared" si="208"/>
        <v>8.7200000000000006</v>
      </c>
      <c r="H889" s="16">
        <f t="shared" si="209"/>
        <v>9.26</v>
      </c>
      <c r="I889" s="11">
        <f t="shared" si="214"/>
        <v>0.32348396438344396</v>
      </c>
      <c r="J889" s="33">
        <f t="shared" si="215"/>
        <v>9.7153137245305759E-3</v>
      </c>
      <c r="K889" s="33">
        <f t="shared" si="216"/>
        <v>102.93028391610873</v>
      </c>
      <c r="L889" s="8">
        <v>1</v>
      </c>
      <c r="M889" s="9">
        <v>0</v>
      </c>
      <c r="N889" s="8">
        <v>0</v>
      </c>
      <c r="O889" s="9">
        <v>1</v>
      </c>
      <c r="P889" s="9">
        <v>0</v>
      </c>
      <c r="Q889" s="9">
        <v>0</v>
      </c>
      <c r="R889" s="9">
        <v>0</v>
      </c>
      <c r="S889" s="8">
        <v>9492</v>
      </c>
      <c r="T889" s="9">
        <v>5</v>
      </c>
      <c r="U889" s="9">
        <f t="shared" si="210"/>
        <v>9486</v>
      </c>
      <c r="V889" s="9">
        <f t="shared" si="211"/>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218"/>
        <v>0.47260000000000002</v>
      </c>
      <c r="AS889" t="s">
        <v>98</v>
      </c>
      <c r="AT889" s="40" t="s">
        <v>98</v>
      </c>
      <c r="AU889">
        <v>0</v>
      </c>
      <c r="AV889" s="18">
        <v>1</v>
      </c>
      <c r="AW889">
        <v>0</v>
      </c>
      <c r="AX889" s="18">
        <v>1</v>
      </c>
      <c r="AY889" s="18" t="s">
        <v>5</v>
      </c>
      <c r="AZ889">
        <v>0</v>
      </c>
      <c r="BA889">
        <v>1</v>
      </c>
      <c r="BB889">
        <v>0</v>
      </c>
      <c r="BC889">
        <v>0</v>
      </c>
      <c r="BD889">
        <v>0</v>
      </c>
      <c r="BE889">
        <v>0</v>
      </c>
      <c r="BF889" s="18">
        <v>0</v>
      </c>
      <c r="BG889">
        <v>0</v>
      </c>
      <c r="BH889">
        <v>1</v>
      </c>
      <c r="BI889" s="18">
        <v>0</v>
      </c>
      <c r="BJ889">
        <v>942</v>
      </c>
      <c r="BK889">
        <v>131</v>
      </c>
      <c r="BL889" s="25">
        <f>AVERAGE(BL890:BL891)</f>
        <v>40.25</v>
      </c>
      <c r="BM889">
        <v>1</v>
      </c>
      <c r="BN889">
        <v>0</v>
      </c>
      <c r="BO889">
        <v>0</v>
      </c>
      <c r="BP889">
        <v>0</v>
      </c>
      <c r="BQ889">
        <v>0</v>
      </c>
      <c r="BR889">
        <v>0</v>
      </c>
      <c r="BS889">
        <v>0</v>
      </c>
      <c r="BT889" s="18">
        <v>0</v>
      </c>
      <c r="BU889">
        <v>0</v>
      </c>
      <c r="BV889">
        <v>0</v>
      </c>
      <c r="BW889">
        <v>1</v>
      </c>
      <c r="BX889" s="18">
        <v>0</v>
      </c>
      <c r="BY889">
        <v>0</v>
      </c>
      <c r="BZ889">
        <v>0</v>
      </c>
      <c r="CA889">
        <v>0</v>
      </c>
      <c r="CB889">
        <v>0</v>
      </c>
      <c r="CC889" s="18">
        <v>0</v>
      </c>
      <c r="CD889">
        <v>0</v>
      </c>
      <c r="CE889">
        <v>0</v>
      </c>
      <c r="CF889">
        <v>1</v>
      </c>
      <c r="CG889">
        <v>0</v>
      </c>
      <c r="CH889">
        <v>1</v>
      </c>
      <c r="CI889">
        <v>0</v>
      </c>
      <c r="CJ889">
        <v>1</v>
      </c>
      <c r="CK889">
        <v>0</v>
      </c>
      <c r="CL889">
        <v>0</v>
      </c>
      <c r="CM889">
        <v>1</v>
      </c>
      <c r="CN889" s="18">
        <v>0</v>
      </c>
      <c r="CO889">
        <v>0</v>
      </c>
      <c r="CP889">
        <v>0</v>
      </c>
      <c r="CQ889">
        <v>0</v>
      </c>
      <c r="CR889">
        <v>1</v>
      </c>
      <c r="CS889">
        <v>16</v>
      </c>
      <c r="CY889" s="34"/>
    </row>
    <row r="890" spans="1:103" x14ac:dyDescent="0.25">
      <c r="A890">
        <v>889</v>
      </c>
      <c r="B890">
        <v>61</v>
      </c>
      <c r="C890" s="25" t="s">
        <v>3944</v>
      </c>
      <c r="D890" s="12">
        <v>8</v>
      </c>
      <c r="E890" s="14">
        <v>0.34</v>
      </c>
      <c r="F890" s="7">
        <f t="shared" si="217"/>
        <v>23.52941176470588</v>
      </c>
      <c r="G890" s="7">
        <f t="shared" si="208"/>
        <v>7.66</v>
      </c>
      <c r="H890" s="16">
        <f t="shared" si="209"/>
        <v>8.34</v>
      </c>
      <c r="I890" s="11">
        <f t="shared" si="214"/>
        <v>0.30872663043685711</v>
      </c>
      <c r="J890" s="33">
        <f t="shared" si="215"/>
        <v>1.3120881793566429E-2</v>
      </c>
      <c r="K890" s="33">
        <f t="shared" si="216"/>
        <v>76.21438983547057</v>
      </c>
      <c r="L890" s="8">
        <v>1</v>
      </c>
      <c r="M890" s="9">
        <v>0</v>
      </c>
      <c r="N890" s="8">
        <v>0</v>
      </c>
      <c r="O890" s="9">
        <v>1</v>
      </c>
      <c r="P890" s="9">
        <v>0</v>
      </c>
      <c r="Q890" s="9">
        <v>0</v>
      </c>
      <c r="R890" s="9">
        <v>0</v>
      </c>
      <c r="S890" s="8">
        <v>5261</v>
      </c>
      <c r="T890" s="9">
        <v>5</v>
      </c>
      <c r="U890" s="9">
        <f t="shared" si="210"/>
        <v>5255</v>
      </c>
      <c r="V890" s="9">
        <f t="shared" si="211"/>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218"/>
        <v>0.47260000000000002</v>
      </c>
      <c r="AS890" t="s">
        <v>98</v>
      </c>
      <c r="AT890" s="40" t="s">
        <v>98</v>
      </c>
      <c r="AU890">
        <v>0</v>
      </c>
      <c r="AV890" s="18">
        <v>1</v>
      </c>
      <c r="AW890">
        <v>0</v>
      </c>
      <c r="AX890" s="18">
        <v>1</v>
      </c>
      <c r="AY890" s="18" t="s">
        <v>5</v>
      </c>
      <c r="AZ890">
        <v>0</v>
      </c>
      <c r="BA890">
        <v>1</v>
      </c>
      <c r="BB890">
        <v>0</v>
      </c>
      <c r="BC890">
        <v>0</v>
      </c>
      <c r="BD890">
        <v>0</v>
      </c>
      <c r="BE890">
        <v>0</v>
      </c>
      <c r="BF890" s="18">
        <v>0</v>
      </c>
      <c r="BG890">
        <v>0</v>
      </c>
      <c r="BH890">
        <v>1</v>
      </c>
      <c r="BI890" s="18">
        <v>0</v>
      </c>
      <c r="BJ890">
        <v>942</v>
      </c>
      <c r="BK890">
        <v>131</v>
      </c>
      <c r="BL890" s="25">
        <v>41.72</v>
      </c>
      <c r="BM890">
        <v>1</v>
      </c>
      <c r="BN890">
        <v>0</v>
      </c>
      <c r="BO890">
        <v>0</v>
      </c>
      <c r="BP890">
        <v>0</v>
      </c>
      <c r="BQ890">
        <v>0</v>
      </c>
      <c r="BR890">
        <v>0</v>
      </c>
      <c r="BS890">
        <v>0</v>
      </c>
      <c r="BT890" s="18">
        <v>0</v>
      </c>
      <c r="BU890">
        <v>0</v>
      </c>
      <c r="BV890">
        <v>0</v>
      </c>
      <c r="BW890">
        <v>1</v>
      </c>
      <c r="BX890" s="18">
        <v>0</v>
      </c>
      <c r="BY890">
        <v>0</v>
      </c>
      <c r="BZ890">
        <v>0</v>
      </c>
      <c r="CA890">
        <v>0</v>
      </c>
      <c r="CB890">
        <v>0</v>
      </c>
      <c r="CC890" s="18">
        <v>0</v>
      </c>
      <c r="CD890">
        <v>0</v>
      </c>
      <c r="CE890">
        <v>0</v>
      </c>
      <c r="CF890">
        <v>1</v>
      </c>
      <c r="CG890">
        <v>0</v>
      </c>
      <c r="CH890">
        <v>1</v>
      </c>
      <c r="CI890">
        <v>0</v>
      </c>
      <c r="CJ890">
        <v>1</v>
      </c>
      <c r="CK890">
        <v>0</v>
      </c>
      <c r="CL890">
        <v>0</v>
      </c>
      <c r="CM890">
        <v>1</v>
      </c>
      <c r="CN890" s="18">
        <v>0</v>
      </c>
      <c r="CO890">
        <v>0</v>
      </c>
      <c r="CP890">
        <v>0</v>
      </c>
      <c r="CQ890">
        <v>0</v>
      </c>
      <c r="CR890">
        <v>1</v>
      </c>
      <c r="CS890">
        <v>16</v>
      </c>
      <c r="CY890" s="34"/>
    </row>
    <row r="891" spans="1:103" x14ac:dyDescent="0.25">
      <c r="A891">
        <v>890</v>
      </c>
      <c r="B891">
        <v>61</v>
      </c>
      <c r="C891" s="25" t="s">
        <v>3944</v>
      </c>
      <c r="D891" s="12">
        <v>10.36</v>
      </c>
      <c r="E891" s="14">
        <v>0.44</v>
      </c>
      <c r="F891" s="7">
        <f t="shared" si="217"/>
        <v>23.545454545454543</v>
      </c>
      <c r="G891" s="7">
        <f t="shared" si="208"/>
        <v>9.92</v>
      </c>
      <c r="H891" s="16">
        <f t="shared" si="209"/>
        <v>10.799999999999999</v>
      </c>
      <c r="I891" s="11">
        <f t="shared" si="214"/>
        <v>0.3405813910739538</v>
      </c>
      <c r="J891" s="33">
        <f t="shared" si="215"/>
        <v>1.4464846725148618E-2</v>
      </c>
      <c r="K891" s="33">
        <f t="shared" si="216"/>
        <v>69.133121076312378</v>
      </c>
      <c r="L891" s="8">
        <v>1</v>
      </c>
      <c r="M891" s="9">
        <v>0</v>
      </c>
      <c r="N891" s="8">
        <v>0</v>
      </c>
      <c r="O891" s="9">
        <v>1</v>
      </c>
      <c r="P891" s="9">
        <v>0</v>
      </c>
      <c r="Q891" s="9">
        <v>0</v>
      </c>
      <c r="R891" s="9">
        <v>0</v>
      </c>
      <c r="S891" s="8">
        <v>4231</v>
      </c>
      <c r="T891" s="9">
        <v>5</v>
      </c>
      <c r="U891" s="9">
        <f t="shared" si="210"/>
        <v>4225</v>
      </c>
      <c r="V891" s="9">
        <f t="shared" si="211"/>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218"/>
        <v>0.47260000000000002</v>
      </c>
      <c r="AS891" t="s">
        <v>98</v>
      </c>
      <c r="AT891" s="40" t="s">
        <v>98</v>
      </c>
      <c r="AU891">
        <v>0</v>
      </c>
      <c r="AV891" s="18">
        <v>1</v>
      </c>
      <c r="AW891">
        <v>0</v>
      </c>
      <c r="AX891" s="18">
        <v>1</v>
      </c>
      <c r="AY891" s="18" t="s">
        <v>5</v>
      </c>
      <c r="AZ891">
        <v>0</v>
      </c>
      <c r="BA891">
        <v>1</v>
      </c>
      <c r="BB891">
        <v>0</v>
      </c>
      <c r="BC891">
        <v>0</v>
      </c>
      <c r="BD891">
        <v>0</v>
      </c>
      <c r="BE891">
        <v>0</v>
      </c>
      <c r="BF891" s="18">
        <v>0</v>
      </c>
      <c r="BG891">
        <v>0</v>
      </c>
      <c r="BH891">
        <v>1</v>
      </c>
      <c r="BI891" s="18">
        <v>0</v>
      </c>
      <c r="BJ891">
        <v>942</v>
      </c>
      <c r="BK891">
        <v>131</v>
      </c>
      <c r="BL891" s="25">
        <v>38.78</v>
      </c>
      <c r="BM891">
        <v>1</v>
      </c>
      <c r="BN891">
        <v>0</v>
      </c>
      <c r="BO891">
        <v>0</v>
      </c>
      <c r="BP891">
        <v>0</v>
      </c>
      <c r="BQ891">
        <v>0</v>
      </c>
      <c r="BR891">
        <v>0</v>
      </c>
      <c r="BS891">
        <v>0</v>
      </c>
      <c r="BT891" s="18">
        <v>0</v>
      </c>
      <c r="BU891">
        <v>0</v>
      </c>
      <c r="BV891">
        <v>0</v>
      </c>
      <c r="BW891">
        <v>1</v>
      </c>
      <c r="BX891" s="18">
        <v>0</v>
      </c>
      <c r="BY891">
        <v>0</v>
      </c>
      <c r="BZ891">
        <v>0</v>
      </c>
      <c r="CA891">
        <v>0</v>
      </c>
      <c r="CB891">
        <v>0</v>
      </c>
      <c r="CC891" s="18">
        <v>0</v>
      </c>
      <c r="CD891">
        <v>0</v>
      </c>
      <c r="CE891">
        <v>0</v>
      </c>
      <c r="CF891">
        <v>1</v>
      </c>
      <c r="CG891">
        <v>0</v>
      </c>
      <c r="CH891">
        <v>1</v>
      </c>
      <c r="CI891">
        <v>0</v>
      </c>
      <c r="CJ891">
        <v>1</v>
      </c>
      <c r="CK891">
        <v>0</v>
      </c>
      <c r="CL891">
        <v>0</v>
      </c>
      <c r="CM891">
        <v>1</v>
      </c>
      <c r="CN891" s="18">
        <v>0</v>
      </c>
      <c r="CO891">
        <v>0</v>
      </c>
      <c r="CP891">
        <v>0</v>
      </c>
      <c r="CQ891">
        <v>0</v>
      </c>
      <c r="CR891">
        <v>1</v>
      </c>
      <c r="CS891">
        <v>16</v>
      </c>
      <c r="CY891" s="34"/>
    </row>
    <row r="892" spans="1:103" x14ac:dyDescent="0.25">
      <c r="A892">
        <v>891</v>
      </c>
      <c r="B892">
        <v>61</v>
      </c>
      <c r="C892" s="25" t="s">
        <v>3944</v>
      </c>
      <c r="D892" s="12">
        <v>6.99</v>
      </c>
      <c r="E892" s="14">
        <v>0.2</v>
      </c>
      <c r="F892" s="7">
        <f t="shared" si="217"/>
        <v>34.949999999999996</v>
      </c>
      <c r="G892" s="7">
        <f t="shared" si="208"/>
        <v>6.79</v>
      </c>
      <c r="H892" s="16">
        <f t="shared" si="209"/>
        <v>7.19</v>
      </c>
      <c r="I892" s="11">
        <f t="shared" si="214"/>
        <v>0.32336858551691083</v>
      </c>
      <c r="J892" s="33">
        <f t="shared" si="215"/>
        <v>9.2523200434023144E-3</v>
      </c>
      <c r="K892" s="33">
        <f t="shared" si="216"/>
        <v>108.08099971780423</v>
      </c>
      <c r="L892" s="8">
        <v>1</v>
      </c>
      <c r="M892" s="9">
        <v>0</v>
      </c>
      <c r="N892" s="8">
        <v>0</v>
      </c>
      <c r="O892" s="9">
        <v>1</v>
      </c>
      <c r="P892" s="9">
        <v>0</v>
      </c>
      <c r="Q892" s="9">
        <v>0</v>
      </c>
      <c r="R892" s="9">
        <v>0</v>
      </c>
      <c r="S892" s="8">
        <v>10466</v>
      </c>
      <c r="T892" s="9">
        <v>5</v>
      </c>
      <c r="U892" s="9">
        <f t="shared" si="210"/>
        <v>10460</v>
      </c>
      <c r="V892" s="9">
        <f t="shared" si="211"/>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218"/>
        <v>0.44579999999999997</v>
      </c>
      <c r="AS892" t="s">
        <v>98</v>
      </c>
      <c r="AT892" s="40" t="s">
        <v>98</v>
      </c>
      <c r="AU892">
        <v>0</v>
      </c>
      <c r="AV892" s="18">
        <v>1</v>
      </c>
      <c r="AW892">
        <v>0</v>
      </c>
      <c r="AX892" s="18">
        <v>1</v>
      </c>
      <c r="AY892" s="18" t="s">
        <v>5</v>
      </c>
      <c r="AZ892">
        <v>0</v>
      </c>
      <c r="BA892">
        <v>1</v>
      </c>
      <c r="BB892">
        <v>0</v>
      </c>
      <c r="BC892">
        <v>0</v>
      </c>
      <c r="BD892">
        <v>0</v>
      </c>
      <c r="BE892">
        <v>0</v>
      </c>
      <c r="BF892" s="18">
        <v>0</v>
      </c>
      <c r="BG892">
        <v>0</v>
      </c>
      <c r="BH892">
        <v>1</v>
      </c>
      <c r="BI892" s="18">
        <v>0</v>
      </c>
      <c r="BJ892">
        <v>557</v>
      </c>
      <c r="BK892">
        <v>41</v>
      </c>
      <c r="BL892" s="25">
        <f>AVERAGE(BL893:BL894)</f>
        <v>38.355000000000004</v>
      </c>
      <c r="BM892">
        <v>1</v>
      </c>
      <c r="BN892">
        <v>0</v>
      </c>
      <c r="BO892">
        <v>0</v>
      </c>
      <c r="BP892">
        <v>0</v>
      </c>
      <c r="BQ892">
        <v>0</v>
      </c>
      <c r="BR892">
        <v>0</v>
      </c>
      <c r="BS892">
        <v>0</v>
      </c>
      <c r="BT892" s="18">
        <v>0</v>
      </c>
      <c r="BU892">
        <v>0</v>
      </c>
      <c r="BV892">
        <v>0</v>
      </c>
      <c r="BW892">
        <v>1</v>
      </c>
      <c r="BX892" s="18">
        <v>0</v>
      </c>
      <c r="BY892">
        <v>0</v>
      </c>
      <c r="BZ892">
        <v>0</v>
      </c>
      <c r="CA892">
        <v>0</v>
      </c>
      <c r="CB892">
        <v>0</v>
      </c>
      <c r="CC892" s="18">
        <v>0</v>
      </c>
      <c r="CD892">
        <v>0</v>
      </c>
      <c r="CE892">
        <v>0</v>
      </c>
      <c r="CF892">
        <v>1</v>
      </c>
      <c r="CG892">
        <v>0</v>
      </c>
      <c r="CH892">
        <v>1</v>
      </c>
      <c r="CI892">
        <v>0</v>
      </c>
      <c r="CJ892">
        <v>1</v>
      </c>
      <c r="CK892">
        <v>0</v>
      </c>
      <c r="CL892">
        <v>0</v>
      </c>
      <c r="CM892">
        <v>1</v>
      </c>
      <c r="CN892" s="18">
        <v>0</v>
      </c>
      <c r="CO892">
        <v>0</v>
      </c>
      <c r="CP892">
        <v>0</v>
      </c>
      <c r="CQ892">
        <v>0</v>
      </c>
      <c r="CR892">
        <v>1</v>
      </c>
      <c r="CS892">
        <v>16</v>
      </c>
      <c r="CY892" s="34"/>
    </row>
    <row r="893" spans="1:103" x14ac:dyDescent="0.25">
      <c r="A893">
        <v>892</v>
      </c>
      <c r="B893">
        <v>61</v>
      </c>
      <c r="C893" s="25" t="s">
        <v>3944</v>
      </c>
      <c r="D893" s="12">
        <v>6.24</v>
      </c>
      <c r="E893" s="14">
        <v>0.24</v>
      </c>
      <c r="F893" s="7">
        <f t="shared" si="217"/>
        <v>26.000000000000004</v>
      </c>
      <c r="G893" s="7">
        <f t="shared" si="208"/>
        <v>6</v>
      </c>
      <c r="H893" s="16">
        <f t="shared" si="209"/>
        <v>6.48</v>
      </c>
      <c r="I893" s="11">
        <f t="shared" si="214"/>
        <v>0.33046694334865567</v>
      </c>
      <c r="J893" s="33">
        <f t="shared" si="215"/>
        <v>1.2710267051871369E-2</v>
      </c>
      <c r="K893" s="33">
        <f t="shared" si="216"/>
        <v>78.676553051083786</v>
      </c>
      <c r="L893" s="8">
        <v>1</v>
      </c>
      <c r="M893" s="9">
        <v>0</v>
      </c>
      <c r="N893" s="8">
        <v>0</v>
      </c>
      <c r="O893" s="9">
        <v>1</v>
      </c>
      <c r="P893" s="9">
        <v>0</v>
      </c>
      <c r="Q893" s="9">
        <v>0</v>
      </c>
      <c r="R893" s="9">
        <v>0</v>
      </c>
      <c r="S893" s="8">
        <v>5520</v>
      </c>
      <c r="T893" s="9">
        <v>5</v>
      </c>
      <c r="U893" s="9">
        <f t="shared" si="210"/>
        <v>5514</v>
      </c>
      <c r="V893" s="9">
        <f t="shared" si="211"/>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218"/>
        <v>0.44579999999999997</v>
      </c>
      <c r="AS893" t="s">
        <v>98</v>
      </c>
      <c r="AT893" s="40" t="s">
        <v>98</v>
      </c>
      <c r="AU893">
        <v>0</v>
      </c>
      <c r="AV893" s="18">
        <v>1</v>
      </c>
      <c r="AW893">
        <v>0</v>
      </c>
      <c r="AX893" s="18">
        <v>1</v>
      </c>
      <c r="AY893" s="18" t="s">
        <v>5</v>
      </c>
      <c r="AZ893">
        <v>0</v>
      </c>
      <c r="BA893">
        <v>1</v>
      </c>
      <c r="BB893">
        <v>0</v>
      </c>
      <c r="BC893">
        <v>0</v>
      </c>
      <c r="BD893">
        <v>0</v>
      </c>
      <c r="BE893">
        <v>0</v>
      </c>
      <c r="BF893" s="18">
        <v>0</v>
      </c>
      <c r="BG893">
        <v>0</v>
      </c>
      <c r="BH893">
        <v>1</v>
      </c>
      <c r="BI893" s="18">
        <v>0</v>
      </c>
      <c r="BJ893">
        <v>557</v>
      </c>
      <c r="BK893">
        <v>41</v>
      </c>
      <c r="BL893" s="25">
        <v>39.630000000000003</v>
      </c>
      <c r="BM893">
        <v>1</v>
      </c>
      <c r="BN893">
        <v>0</v>
      </c>
      <c r="BO893">
        <v>0</v>
      </c>
      <c r="BP893">
        <v>0</v>
      </c>
      <c r="BQ893">
        <v>0</v>
      </c>
      <c r="BR893">
        <v>0</v>
      </c>
      <c r="BS893">
        <v>0</v>
      </c>
      <c r="BT893" s="18">
        <v>0</v>
      </c>
      <c r="BU893">
        <v>0</v>
      </c>
      <c r="BV893">
        <v>0</v>
      </c>
      <c r="BW893">
        <v>1</v>
      </c>
      <c r="BX893" s="18">
        <v>0</v>
      </c>
      <c r="BY893">
        <v>0</v>
      </c>
      <c r="BZ893">
        <v>0</v>
      </c>
      <c r="CA893">
        <v>0</v>
      </c>
      <c r="CB893">
        <v>0</v>
      </c>
      <c r="CC893" s="18">
        <v>0</v>
      </c>
      <c r="CD893">
        <v>0</v>
      </c>
      <c r="CE893">
        <v>0</v>
      </c>
      <c r="CF893">
        <v>1</v>
      </c>
      <c r="CG893">
        <v>0</v>
      </c>
      <c r="CH893">
        <v>1</v>
      </c>
      <c r="CI893">
        <v>0</v>
      </c>
      <c r="CJ893">
        <v>1</v>
      </c>
      <c r="CK893">
        <v>0</v>
      </c>
      <c r="CL893">
        <v>0</v>
      </c>
      <c r="CM893">
        <v>1</v>
      </c>
      <c r="CN893" s="18">
        <v>0</v>
      </c>
      <c r="CO893">
        <v>0</v>
      </c>
      <c r="CP893">
        <v>0</v>
      </c>
      <c r="CQ893">
        <v>0</v>
      </c>
      <c r="CR893">
        <v>1</v>
      </c>
      <c r="CS893">
        <v>16</v>
      </c>
      <c r="CY893" s="34"/>
    </row>
    <row r="894" spans="1:103" x14ac:dyDescent="0.25">
      <c r="A894">
        <v>893</v>
      </c>
      <c r="B894">
        <v>61</v>
      </c>
      <c r="C894" s="25" t="s">
        <v>3944</v>
      </c>
      <c r="D894" s="12">
        <v>7.82</v>
      </c>
      <c r="E894" s="14">
        <v>0.27</v>
      </c>
      <c r="F894" s="7">
        <f t="shared" si="217"/>
        <v>28.962962962962962</v>
      </c>
      <c r="G894" s="7">
        <f t="shared" si="208"/>
        <v>7.5500000000000007</v>
      </c>
      <c r="H894" s="16">
        <f t="shared" si="209"/>
        <v>8.09</v>
      </c>
      <c r="I894" s="11">
        <f t="shared" si="214"/>
        <v>0.38099752713393192</v>
      </c>
      <c r="J894" s="33">
        <f t="shared" si="215"/>
        <v>1.3154646077514275E-2</v>
      </c>
      <c r="K894" s="33">
        <f t="shared" si="216"/>
        <v>76.018768890281066</v>
      </c>
      <c r="L894" s="8">
        <v>1</v>
      </c>
      <c r="M894" s="9">
        <v>0</v>
      </c>
      <c r="N894" s="8">
        <v>0</v>
      </c>
      <c r="O894" s="9">
        <v>1</v>
      </c>
      <c r="P894" s="9">
        <v>0</v>
      </c>
      <c r="Q894" s="9">
        <v>0</v>
      </c>
      <c r="R894" s="9">
        <v>0</v>
      </c>
      <c r="S894" s="8">
        <v>4946</v>
      </c>
      <c r="T894" s="9">
        <v>5</v>
      </c>
      <c r="U894" s="9">
        <f t="shared" si="210"/>
        <v>4940</v>
      </c>
      <c r="V894" s="9">
        <f t="shared" si="211"/>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218"/>
        <v>0.44579999999999997</v>
      </c>
      <c r="AS894" t="s">
        <v>98</v>
      </c>
      <c r="AT894" s="40" t="s">
        <v>98</v>
      </c>
      <c r="AU894">
        <v>0</v>
      </c>
      <c r="AV894" s="18">
        <v>1</v>
      </c>
      <c r="AW894">
        <v>0</v>
      </c>
      <c r="AX894" s="18">
        <v>1</v>
      </c>
      <c r="AY894" s="18" t="s">
        <v>5</v>
      </c>
      <c r="AZ894">
        <v>0</v>
      </c>
      <c r="BA894">
        <v>1</v>
      </c>
      <c r="BB894">
        <v>0</v>
      </c>
      <c r="BC894">
        <v>0</v>
      </c>
      <c r="BD894">
        <v>0</v>
      </c>
      <c r="BE894">
        <v>0</v>
      </c>
      <c r="BF894" s="18">
        <v>0</v>
      </c>
      <c r="BG894">
        <v>0</v>
      </c>
      <c r="BH894">
        <v>1</v>
      </c>
      <c r="BI894" s="18">
        <v>0</v>
      </c>
      <c r="BJ894">
        <v>557</v>
      </c>
      <c r="BK894">
        <v>41</v>
      </c>
      <c r="BL894" s="25">
        <v>37.08</v>
      </c>
      <c r="BM894">
        <v>1</v>
      </c>
      <c r="BN894">
        <v>0</v>
      </c>
      <c r="BO894">
        <v>0</v>
      </c>
      <c r="BP894">
        <v>0</v>
      </c>
      <c r="BQ894">
        <v>0</v>
      </c>
      <c r="BR894">
        <v>0</v>
      </c>
      <c r="BS894">
        <v>0</v>
      </c>
      <c r="BT894" s="18">
        <v>0</v>
      </c>
      <c r="BU894">
        <v>0</v>
      </c>
      <c r="BV894">
        <v>0</v>
      </c>
      <c r="BW894">
        <v>1</v>
      </c>
      <c r="BX894" s="18">
        <v>0</v>
      </c>
      <c r="BY894">
        <v>0</v>
      </c>
      <c r="BZ894">
        <v>0</v>
      </c>
      <c r="CA894">
        <v>0</v>
      </c>
      <c r="CB894">
        <v>0</v>
      </c>
      <c r="CC894" s="18">
        <v>0</v>
      </c>
      <c r="CD894">
        <v>0</v>
      </c>
      <c r="CE894">
        <v>0</v>
      </c>
      <c r="CF894">
        <v>1</v>
      </c>
      <c r="CG894">
        <v>0</v>
      </c>
      <c r="CH894">
        <v>1</v>
      </c>
      <c r="CI894">
        <v>0</v>
      </c>
      <c r="CJ894">
        <v>1</v>
      </c>
      <c r="CK894">
        <v>0</v>
      </c>
      <c r="CL894">
        <v>0</v>
      </c>
      <c r="CM894">
        <v>1</v>
      </c>
      <c r="CN894" s="18">
        <v>0</v>
      </c>
      <c r="CO894">
        <v>0</v>
      </c>
      <c r="CP894">
        <v>0</v>
      </c>
      <c r="CQ894">
        <v>0</v>
      </c>
      <c r="CR894">
        <v>1</v>
      </c>
      <c r="CS894">
        <v>16</v>
      </c>
      <c r="CY894" s="34"/>
    </row>
    <row r="895" spans="1:103" x14ac:dyDescent="0.25">
      <c r="A895">
        <v>894</v>
      </c>
      <c r="B895">
        <v>61</v>
      </c>
      <c r="C895" s="25" t="s">
        <v>3944</v>
      </c>
      <c r="D895" s="12">
        <v>10.14</v>
      </c>
      <c r="E895" s="14">
        <v>0.27</v>
      </c>
      <c r="F895" s="7">
        <f t="shared" si="217"/>
        <v>37.555555555555557</v>
      </c>
      <c r="G895" s="7">
        <f t="shared" si="208"/>
        <v>9.870000000000001</v>
      </c>
      <c r="H895" s="16">
        <f t="shared" si="209"/>
        <v>10.41</v>
      </c>
      <c r="I895" s="11">
        <f t="shared" si="214"/>
        <v>0.35977607409251577</v>
      </c>
      <c r="J895" s="33">
        <f t="shared" si="215"/>
        <v>9.579836292404267E-3</v>
      </c>
      <c r="K895" s="33">
        <f t="shared" si="216"/>
        <v>104.38591740788802</v>
      </c>
      <c r="L895" s="8">
        <v>1</v>
      </c>
      <c r="M895" s="9">
        <v>0</v>
      </c>
      <c r="N895" s="8">
        <v>0</v>
      </c>
      <c r="O895" s="9">
        <v>1</v>
      </c>
      <c r="P895" s="9">
        <v>0</v>
      </c>
      <c r="Q895" s="9">
        <v>0</v>
      </c>
      <c r="R895" s="9">
        <v>0</v>
      </c>
      <c r="S895" s="8">
        <v>9492</v>
      </c>
      <c r="T895" s="9">
        <v>5</v>
      </c>
      <c r="U895" s="9">
        <f t="shared" si="210"/>
        <v>9486</v>
      </c>
      <c r="V895" s="9">
        <f t="shared" si="211"/>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218"/>
        <v>0.44579999999999997</v>
      </c>
      <c r="AS895" t="s">
        <v>98</v>
      </c>
      <c r="AT895" s="40" t="s">
        <v>98</v>
      </c>
      <c r="AU895">
        <v>0</v>
      </c>
      <c r="AV895" s="18">
        <v>1</v>
      </c>
      <c r="AW895">
        <v>0</v>
      </c>
      <c r="AX895" s="18">
        <v>1</v>
      </c>
      <c r="AY895" s="18" t="s">
        <v>5</v>
      </c>
      <c r="AZ895">
        <v>0</v>
      </c>
      <c r="BA895">
        <v>1</v>
      </c>
      <c r="BB895">
        <v>0</v>
      </c>
      <c r="BC895">
        <v>0</v>
      </c>
      <c r="BD895">
        <v>0</v>
      </c>
      <c r="BE895">
        <v>0</v>
      </c>
      <c r="BF895" s="18">
        <v>0</v>
      </c>
      <c r="BG895">
        <v>0</v>
      </c>
      <c r="BH895">
        <v>1</v>
      </c>
      <c r="BI895" s="18">
        <v>0</v>
      </c>
      <c r="BJ895">
        <v>942</v>
      </c>
      <c r="BK895">
        <v>131</v>
      </c>
      <c r="BL895" s="25">
        <f>AVERAGE(BL896:BL897)</f>
        <v>40.25</v>
      </c>
      <c r="BM895">
        <v>1</v>
      </c>
      <c r="BN895">
        <v>0</v>
      </c>
      <c r="BO895">
        <v>0</v>
      </c>
      <c r="BP895">
        <v>0</v>
      </c>
      <c r="BQ895">
        <v>0</v>
      </c>
      <c r="BR895">
        <v>0</v>
      </c>
      <c r="BS895">
        <v>0</v>
      </c>
      <c r="BT895" s="18">
        <v>0</v>
      </c>
      <c r="BU895">
        <v>0</v>
      </c>
      <c r="BV895">
        <v>0</v>
      </c>
      <c r="BW895">
        <v>1</v>
      </c>
      <c r="BX895" s="18">
        <v>0</v>
      </c>
      <c r="BY895">
        <v>0</v>
      </c>
      <c r="BZ895">
        <v>0</v>
      </c>
      <c r="CA895">
        <v>0</v>
      </c>
      <c r="CB895">
        <v>0</v>
      </c>
      <c r="CC895" s="18">
        <v>0</v>
      </c>
      <c r="CD895">
        <v>0</v>
      </c>
      <c r="CE895">
        <v>0</v>
      </c>
      <c r="CF895">
        <v>1</v>
      </c>
      <c r="CG895">
        <v>0</v>
      </c>
      <c r="CH895">
        <v>1</v>
      </c>
      <c r="CI895">
        <v>0</v>
      </c>
      <c r="CJ895">
        <v>1</v>
      </c>
      <c r="CK895">
        <v>0</v>
      </c>
      <c r="CL895">
        <v>0</v>
      </c>
      <c r="CM895">
        <v>1</v>
      </c>
      <c r="CN895" s="18">
        <v>0</v>
      </c>
      <c r="CO895">
        <v>0</v>
      </c>
      <c r="CP895">
        <v>0</v>
      </c>
      <c r="CQ895">
        <v>0</v>
      </c>
      <c r="CR895">
        <v>1</v>
      </c>
      <c r="CS895">
        <v>16</v>
      </c>
      <c r="CY895" s="34"/>
    </row>
    <row r="896" spans="1:103" x14ac:dyDescent="0.25">
      <c r="A896">
        <v>895</v>
      </c>
      <c r="B896">
        <v>61</v>
      </c>
      <c r="C896" s="25" t="s">
        <v>3944</v>
      </c>
      <c r="D896" s="12">
        <v>9.32</v>
      </c>
      <c r="E896" s="14">
        <v>0.32</v>
      </c>
      <c r="F896" s="7">
        <f t="shared" si="217"/>
        <v>29.125</v>
      </c>
      <c r="G896" s="7">
        <f t="shared" si="208"/>
        <v>9</v>
      </c>
      <c r="H896" s="16">
        <f t="shared" si="209"/>
        <v>9.64</v>
      </c>
      <c r="I896" s="11">
        <f t="shared" si="214"/>
        <v>0.37280763517855348</v>
      </c>
      <c r="J896" s="33">
        <f t="shared" si="215"/>
        <v>1.2800262152053338E-2</v>
      </c>
      <c r="K896" s="33">
        <f t="shared" si="216"/>
        <v>78.12339998361567</v>
      </c>
      <c r="L896" s="8">
        <v>1</v>
      </c>
      <c r="M896" s="9">
        <v>0</v>
      </c>
      <c r="N896" s="8">
        <v>0</v>
      </c>
      <c r="O896" s="9">
        <v>1</v>
      </c>
      <c r="P896" s="9">
        <v>0</v>
      </c>
      <c r="Q896" s="9">
        <v>0</v>
      </c>
      <c r="R896" s="9">
        <v>0</v>
      </c>
      <c r="S896" s="8">
        <v>5261</v>
      </c>
      <c r="T896" s="9">
        <v>5</v>
      </c>
      <c r="U896" s="9">
        <f t="shared" si="210"/>
        <v>5255</v>
      </c>
      <c r="V896" s="9">
        <f t="shared" si="211"/>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218"/>
        <v>0.44579999999999997</v>
      </c>
      <c r="AS896" t="s">
        <v>98</v>
      </c>
      <c r="AT896" s="40" t="s">
        <v>98</v>
      </c>
      <c r="AU896">
        <v>0</v>
      </c>
      <c r="AV896" s="18">
        <v>1</v>
      </c>
      <c r="AW896">
        <v>0</v>
      </c>
      <c r="AX896" s="18">
        <v>1</v>
      </c>
      <c r="AY896" s="18" t="s">
        <v>5</v>
      </c>
      <c r="AZ896">
        <v>0</v>
      </c>
      <c r="BA896">
        <v>1</v>
      </c>
      <c r="BB896">
        <v>0</v>
      </c>
      <c r="BC896">
        <v>0</v>
      </c>
      <c r="BD896">
        <v>0</v>
      </c>
      <c r="BE896">
        <v>0</v>
      </c>
      <c r="BF896" s="18">
        <v>0</v>
      </c>
      <c r="BG896">
        <v>0</v>
      </c>
      <c r="BH896">
        <v>1</v>
      </c>
      <c r="BI896" s="18">
        <v>0</v>
      </c>
      <c r="BJ896">
        <v>942</v>
      </c>
      <c r="BK896">
        <v>131</v>
      </c>
      <c r="BL896" s="25">
        <v>41.72</v>
      </c>
      <c r="BM896">
        <v>1</v>
      </c>
      <c r="BN896">
        <v>0</v>
      </c>
      <c r="BO896">
        <v>0</v>
      </c>
      <c r="BP896">
        <v>0</v>
      </c>
      <c r="BQ896">
        <v>0</v>
      </c>
      <c r="BR896">
        <v>0</v>
      </c>
      <c r="BS896">
        <v>0</v>
      </c>
      <c r="BT896" s="18">
        <v>0</v>
      </c>
      <c r="BU896">
        <v>0</v>
      </c>
      <c r="BV896">
        <v>0</v>
      </c>
      <c r="BW896">
        <v>1</v>
      </c>
      <c r="BX896" s="18">
        <v>0</v>
      </c>
      <c r="BY896">
        <v>0</v>
      </c>
      <c r="BZ896">
        <v>0</v>
      </c>
      <c r="CA896">
        <v>0</v>
      </c>
      <c r="CB896">
        <v>0</v>
      </c>
      <c r="CC896" s="18">
        <v>0</v>
      </c>
      <c r="CD896">
        <v>0</v>
      </c>
      <c r="CE896">
        <v>0</v>
      </c>
      <c r="CF896">
        <v>1</v>
      </c>
      <c r="CG896">
        <v>0</v>
      </c>
      <c r="CH896">
        <v>1</v>
      </c>
      <c r="CI896">
        <v>0</v>
      </c>
      <c r="CJ896">
        <v>1</v>
      </c>
      <c r="CK896">
        <v>0</v>
      </c>
      <c r="CL896">
        <v>0</v>
      </c>
      <c r="CM896">
        <v>1</v>
      </c>
      <c r="CN896" s="18">
        <v>0</v>
      </c>
      <c r="CO896">
        <v>0</v>
      </c>
      <c r="CP896">
        <v>0</v>
      </c>
      <c r="CQ896">
        <v>0</v>
      </c>
      <c r="CR896">
        <v>1</v>
      </c>
      <c r="CS896">
        <v>16</v>
      </c>
      <c r="CY896" s="34"/>
    </row>
    <row r="897" spans="1:103" x14ac:dyDescent="0.25">
      <c r="A897">
        <v>896</v>
      </c>
      <c r="B897">
        <v>61</v>
      </c>
      <c r="C897" s="25" t="s">
        <v>3944</v>
      </c>
      <c r="D897" s="12">
        <v>11.15</v>
      </c>
      <c r="E897" s="14">
        <v>0.35</v>
      </c>
      <c r="F897" s="7">
        <f t="shared" si="217"/>
        <v>31.857142857142861</v>
      </c>
      <c r="G897" s="7">
        <f t="shared" si="208"/>
        <v>10.8</v>
      </c>
      <c r="H897" s="16">
        <f t="shared" si="209"/>
        <v>11.5</v>
      </c>
      <c r="I897" s="11">
        <f t="shared" si="214"/>
        <v>0.44009481702202752</v>
      </c>
      <c r="J897" s="33">
        <f t="shared" si="215"/>
        <v>1.3814635511902209E-2</v>
      </c>
      <c r="K897" s="33">
        <f t="shared" si="216"/>
        <v>72.386998494345718</v>
      </c>
      <c r="L897" s="8">
        <v>1</v>
      </c>
      <c r="M897" s="9">
        <v>0</v>
      </c>
      <c r="N897" s="8">
        <v>0</v>
      </c>
      <c r="O897" s="9">
        <v>1</v>
      </c>
      <c r="P897" s="9">
        <v>0</v>
      </c>
      <c r="Q897" s="9">
        <v>0</v>
      </c>
      <c r="R897" s="9">
        <v>0</v>
      </c>
      <c r="S897" s="8">
        <v>4231</v>
      </c>
      <c r="T897" s="9">
        <v>5</v>
      </c>
      <c r="U897" s="9">
        <f t="shared" si="210"/>
        <v>4225</v>
      </c>
      <c r="V897" s="9">
        <f t="shared" si="211"/>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218"/>
        <v>0.44579999999999997</v>
      </c>
      <c r="AS897" t="s">
        <v>98</v>
      </c>
      <c r="AT897" s="40" t="s">
        <v>98</v>
      </c>
      <c r="AU897">
        <v>0</v>
      </c>
      <c r="AV897" s="18">
        <v>1</v>
      </c>
      <c r="AW897">
        <v>0</v>
      </c>
      <c r="AX897" s="18">
        <v>1</v>
      </c>
      <c r="AY897" s="18" t="s">
        <v>5</v>
      </c>
      <c r="AZ897">
        <v>0</v>
      </c>
      <c r="BA897">
        <v>1</v>
      </c>
      <c r="BB897">
        <v>0</v>
      </c>
      <c r="BC897">
        <v>0</v>
      </c>
      <c r="BD897">
        <v>0</v>
      </c>
      <c r="BE897">
        <v>0</v>
      </c>
      <c r="BF897" s="18">
        <v>0</v>
      </c>
      <c r="BG897">
        <v>0</v>
      </c>
      <c r="BH897">
        <v>1</v>
      </c>
      <c r="BI897" s="18">
        <v>0</v>
      </c>
      <c r="BJ897">
        <v>942</v>
      </c>
      <c r="BK897">
        <v>131</v>
      </c>
      <c r="BL897" s="25">
        <v>38.78</v>
      </c>
      <c r="BM897">
        <v>1</v>
      </c>
      <c r="BN897">
        <v>0</v>
      </c>
      <c r="BO897">
        <v>0</v>
      </c>
      <c r="BP897">
        <v>0</v>
      </c>
      <c r="BQ897">
        <v>0</v>
      </c>
      <c r="BR897">
        <v>0</v>
      </c>
      <c r="BS897">
        <v>0</v>
      </c>
      <c r="BT897" s="18">
        <v>0</v>
      </c>
      <c r="BU897">
        <v>0</v>
      </c>
      <c r="BV897">
        <v>0</v>
      </c>
      <c r="BW897">
        <v>1</v>
      </c>
      <c r="BX897" s="18">
        <v>0</v>
      </c>
      <c r="BY897">
        <v>0</v>
      </c>
      <c r="BZ897">
        <v>0</v>
      </c>
      <c r="CA897">
        <v>0</v>
      </c>
      <c r="CB897">
        <v>0</v>
      </c>
      <c r="CC897" s="18">
        <v>0</v>
      </c>
      <c r="CD897">
        <v>0</v>
      </c>
      <c r="CE897">
        <v>0</v>
      </c>
      <c r="CF897">
        <v>1</v>
      </c>
      <c r="CG897">
        <v>0</v>
      </c>
      <c r="CH897">
        <v>1</v>
      </c>
      <c r="CI897">
        <v>0</v>
      </c>
      <c r="CJ897">
        <v>1</v>
      </c>
      <c r="CK897">
        <v>0</v>
      </c>
      <c r="CL897">
        <v>0</v>
      </c>
      <c r="CM897">
        <v>1</v>
      </c>
      <c r="CN897" s="18">
        <v>0</v>
      </c>
      <c r="CO897">
        <v>0</v>
      </c>
      <c r="CP897">
        <v>0</v>
      </c>
      <c r="CQ897">
        <v>0</v>
      </c>
      <c r="CR897">
        <v>1</v>
      </c>
      <c r="CS897">
        <v>16</v>
      </c>
      <c r="CY897" s="34"/>
    </row>
    <row r="898" spans="1:103" x14ac:dyDescent="0.25">
      <c r="A898">
        <v>897</v>
      </c>
      <c r="B898">
        <v>62</v>
      </c>
      <c r="C898" s="25" t="s">
        <v>3951</v>
      </c>
      <c r="D898" s="12">
        <v>4.2679999999999998</v>
      </c>
      <c r="E898" s="14">
        <v>0.50080000000000002</v>
      </c>
      <c r="F898" s="7">
        <f t="shared" si="217"/>
        <v>8.5223642172523952</v>
      </c>
      <c r="G898" s="7">
        <f t="shared" ref="G898:G961" si="219">D898-E898</f>
        <v>3.7671999999999999</v>
      </c>
      <c r="H898" s="16">
        <f t="shared" ref="H898:H961" si="220">D898+E898</f>
        <v>4.7687999999999997</v>
      </c>
      <c r="I898" s="11">
        <f t="shared" si="214"/>
        <v>0.27743360268328471</v>
      </c>
      <c r="J898" s="33">
        <f t="shared" si="215"/>
        <v>3.2553596116164242E-2</v>
      </c>
      <c r="K898" s="33">
        <f t="shared" si="216"/>
        <v>30.718572425350498</v>
      </c>
      <c r="L898" s="8">
        <v>0</v>
      </c>
      <c r="M898" s="9">
        <v>1</v>
      </c>
      <c r="N898" s="8">
        <v>0</v>
      </c>
      <c r="O898" s="9">
        <v>0</v>
      </c>
      <c r="P898" s="9">
        <v>0</v>
      </c>
      <c r="Q898" s="9">
        <v>1</v>
      </c>
      <c r="R898" s="9">
        <v>0</v>
      </c>
      <c r="S898" s="8">
        <v>874</v>
      </c>
      <c r="T898" s="9">
        <v>2</v>
      </c>
      <c r="U898" s="9">
        <f t="shared" ref="U898:U961" si="221">S898-T898-1</f>
        <v>871</v>
      </c>
      <c r="V898" s="9">
        <f t="shared" ref="V898:V961" si="222">COUNTIF(B:B,B898)</f>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218"/>
        <v>0.5</v>
      </c>
      <c r="AS898">
        <v>0.72</v>
      </c>
      <c r="AT898" s="40">
        <v>0.28000000000000003</v>
      </c>
      <c r="AU898">
        <v>1</v>
      </c>
      <c r="AV898" s="18">
        <v>0</v>
      </c>
      <c r="AW898" t="s">
        <v>98</v>
      </c>
      <c r="AX898" s="18" t="s">
        <v>98</v>
      </c>
      <c r="AY898" s="18" t="s">
        <v>515</v>
      </c>
      <c r="AZ898">
        <v>1</v>
      </c>
      <c r="BA898">
        <v>0</v>
      </c>
      <c r="BB898">
        <v>0</v>
      </c>
      <c r="BC898">
        <v>0</v>
      </c>
      <c r="BD898">
        <v>0</v>
      </c>
      <c r="BE898">
        <v>0</v>
      </c>
      <c r="BF898" s="18">
        <v>0</v>
      </c>
      <c r="BG898">
        <v>1</v>
      </c>
      <c r="BH898">
        <v>0</v>
      </c>
      <c r="BI898" s="18">
        <v>0</v>
      </c>
      <c r="BJ898">
        <v>16471</v>
      </c>
      <c r="BK898">
        <v>1190</v>
      </c>
      <c r="BL898" s="25">
        <v>43.52</v>
      </c>
      <c r="BM898">
        <v>1</v>
      </c>
      <c r="BN898">
        <v>0</v>
      </c>
      <c r="BO898">
        <v>0</v>
      </c>
      <c r="BP898">
        <v>0</v>
      </c>
      <c r="BQ898">
        <v>0</v>
      </c>
      <c r="BR898">
        <v>0</v>
      </c>
      <c r="BS898">
        <v>0</v>
      </c>
      <c r="BT898" s="18">
        <v>0</v>
      </c>
      <c r="BU898">
        <v>0</v>
      </c>
      <c r="BV898">
        <v>0</v>
      </c>
      <c r="BW898">
        <v>1</v>
      </c>
      <c r="BX898" s="18">
        <v>0</v>
      </c>
      <c r="BY898">
        <v>0</v>
      </c>
      <c r="BZ898">
        <v>0</v>
      </c>
      <c r="CA898">
        <v>0</v>
      </c>
      <c r="CB898">
        <v>0</v>
      </c>
      <c r="CC898" s="18">
        <v>0</v>
      </c>
      <c r="CD898">
        <v>0</v>
      </c>
      <c r="CE898">
        <v>0</v>
      </c>
      <c r="CF898">
        <v>1</v>
      </c>
      <c r="CG898">
        <v>1</v>
      </c>
      <c r="CH898">
        <v>0</v>
      </c>
      <c r="CI898">
        <v>0</v>
      </c>
      <c r="CJ898">
        <v>0</v>
      </c>
      <c r="CK898">
        <v>0</v>
      </c>
      <c r="CL898">
        <v>0</v>
      </c>
      <c r="CM898">
        <v>0</v>
      </c>
      <c r="CN898" s="18">
        <v>0</v>
      </c>
      <c r="CO898">
        <v>0</v>
      </c>
      <c r="CP898">
        <v>0</v>
      </c>
      <c r="CQ898">
        <v>0</v>
      </c>
      <c r="CR898">
        <v>1</v>
      </c>
      <c r="CS898">
        <v>22</v>
      </c>
      <c r="CY898" s="34"/>
    </row>
    <row r="899" spans="1:103" x14ac:dyDescent="0.25">
      <c r="A899">
        <v>898</v>
      </c>
      <c r="B899">
        <v>62</v>
      </c>
      <c r="C899" s="25" t="s">
        <v>3951</v>
      </c>
      <c r="D899" s="12">
        <v>4.077</v>
      </c>
      <c r="E899" s="14">
        <v>0.4496</v>
      </c>
      <c r="F899" s="7">
        <f t="shared" si="217"/>
        <v>9.0680604982206408</v>
      </c>
      <c r="G899" s="7">
        <f t="shared" si="219"/>
        <v>3.6273999999999997</v>
      </c>
      <c r="H899" s="16">
        <f t="shared" si="220"/>
        <v>4.5266000000000002</v>
      </c>
      <c r="I899" s="11">
        <f t="shared" si="214"/>
        <v>0.28306887228097272</v>
      </c>
      <c r="J899" s="33">
        <f t="shared" si="215"/>
        <v>3.1216032616513446E-2</v>
      </c>
      <c r="K899" s="33">
        <f t="shared" si="216"/>
        <v>32.034820448995646</v>
      </c>
      <c r="L899" s="8">
        <v>0</v>
      </c>
      <c r="M899" s="9">
        <v>1</v>
      </c>
      <c r="N899" s="8">
        <v>0</v>
      </c>
      <c r="O899" s="9">
        <v>0</v>
      </c>
      <c r="P899" s="9">
        <v>0</v>
      </c>
      <c r="Q899" s="9">
        <v>1</v>
      </c>
      <c r="R899" s="9">
        <v>0</v>
      </c>
      <c r="S899" s="8">
        <v>947</v>
      </c>
      <c r="T899" s="9">
        <v>2</v>
      </c>
      <c r="U899" s="9">
        <f t="shared" si="221"/>
        <v>944</v>
      </c>
      <c r="V899" s="9">
        <f t="shared" si="222"/>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218"/>
        <v>0.51</v>
      </c>
      <c r="AS899">
        <v>0.72</v>
      </c>
      <c r="AT899" s="40">
        <v>0.28000000000000003</v>
      </c>
      <c r="AU899">
        <v>1</v>
      </c>
      <c r="AV899" s="18">
        <v>0</v>
      </c>
      <c r="AW899" t="s">
        <v>98</v>
      </c>
      <c r="AX899" s="18" t="s">
        <v>98</v>
      </c>
      <c r="AY899" s="18" t="s">
        <v>515</v>
      </c>
      <c r="AZ899">
        <v>1</v>
      </c>
      <c r="BA899">
        <v>0</v>
      </c>
      <c r="BB899">
        <v>0</v>
      </c>
      <c r="BC899">
        <v>0</v>
      </c>
      <c r="BD899">
        <v>0</v>
      </c>
      <c r="BE899">
        <v>0</v>
      </c>
      <c r="BF899" s="18">
        <v>0</v>
      </c>
      <c r="BG899">
        <v>1</v>
      </c>
      <c r="BH899">
        <v>0</v>
      </c>
      <c r="BI899" s="18">
        <v>0</v>
      </c>
      <c r="BJ899">
        <v>20349</v>
      </c>
      <c r="BK899">
        <v>1351</v>
      </c>
      <c r="BL899" s="25">
        <v>44.02</v>
      </c>
      <c r="BM899">
        <v>1</v>
      </c>
      <c r="BN899">
        <v>0</v>
      </c>
      <c r="BO899">
        <v>0</v>
      </c>
      <c r="BP899">
        <v>0</v>
      </c>
      <c r="BQ899">
        <v>0</v>
      </c>
      <c r="BR899">
        <v>0</v>
      </c>
      <c r="BS899">
        <v>0</v>
      </c>
      <c r="BT899" s="18">
        <v>0</v>
      </c>
      <c r="BU899">
        <v>0</v>
      </c>
      <c r="BV899">
        <v>0</v>
      </c>
      <c r="BW899">
        <v>1</v>
      </c>
      <c r="BX899" s="18">
        <v>0</v>
      </c>
      <c r="BY899">
        <v>0</v>
      </c>
      <c r="BZ899">
        <v>0</v>
      </c>
      <c r="CA899">
        <v>0</v>
      </c>
      <c r="CB899">
        <v>0</v>
      </c>
      <c r="CC899" s="18">
        <v>0</v>
      </c>
      <c r="CD899">
        <v>0</v>
      </c>
      <c r="CE899">
        <v>0</v>
      </c>
      <c r="CF899">
        <v>1</v>
      </c>
      <c r="CG899">
        <v>1</v>
      </c>
      <c r="CH899">
        <v>0</v>
      </c>
      <c r="CI899">
        <v>0</v>
      </c>
      <c r="CJ899">
        <v>0</v>
      </c>
      <c r="CK899">
        <v>0</v>
      </c>
      <c r="CL899">
        <v>0</v>
      </c>
      <c r="CM899">
        <v>0</v>
      </c>
      <c r="CN899" s="18">
        <v>0</v>
      </c>
      <c r="CO899">
        <v>0</v>
      </c>
      <c r="CP899">
        <v>0</v>
      </c>
      <c r="CQ899">
        <v>0</v>
      </c>
      <c r="CR899">
        <v>1</v>
      </c>
      <c r="CS899">
        <v>22</v>
      </c>
      <c r="CY899" s="34"/>
    </row>
    <row r="900" spans="1:103" x14ac:dyDescent="0.25">
      <c r="A900">
        <v>899</v>
      </c>
      <c r="B900">
        <v>62</v>
      </c>
      <c r="C900" s="25" t="s">
        <v>3951</v>
      </c>
      <c r="D900" s="12">
        <v>3.968</v>
      </c>
      <c r="E900" s="14">
        <v>0.59989999999999999</v>
      </c>
      <c r="F900" s="7">
        <f t="shared" si="217"/>
        <v>6.614435739289882</v>
      </c>
      <c r="G900" s="7">
        <f t="shared" si="219"/>
        <v>3.3681000000000001</v>
      </c>
      <c r="H900" s="16">
        <f t="shared" si="220"/>
        <v>4.5678999999999998</v>
      </c>
      <c r="I900" s="11">
        <f t="shared" si="214"/>
        <v>0.24569621253382809</v>
      </c>
      <c r="J900" s="33">
        <f t="shared" si="215"/>
        <v>3.7145453099557323E-2</v>
      </c>
      <c r="K900" s="33">
        <f t="shared" si="216"/>
        <v>26.92119536999045</v>
      </c>
      <c r="L900" s="8">
        <v>0</v>
      </c>
      <c r="M900" s="9">
        <v>1</v>
      </c>
      <c r="N900" s="8">
        <v>0</v>
      </c>
      <c r="O900" s="9">
        <v>0</v>
      </c>
      <c r="P900" s="9">
        <v>0</v>
      </c>
      <c r="Q900" s="9">
        <v>1</v>
      </c>
      <c r="R900" s="9">
        <v>0</v>
      </c>
      <c r="S900" s="8">
        <v>684</v>
      </c>
      <c r="T900" s="9">
        <v>2</v>
      </c>
      <c r="U900" s="9">
        <f t="shared" si="221"/>
        <v>681</v>
      </c>
      <c r="V900" s="9">
        <f t="shared" si="222"/>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218"/>
        <v>0.47</v>
      </c>
      <c r="AS900">
        <v>0.72</v>
      </c>
      <c r="AT900" s="40">
        <v>0.28000000000000003</v>
      </c>
      <c r="AU900">
        <v>1</v>
      </c>
      <c r="AV900" s="18">
        <v>0</v>
      </c>
      <c r="AW900" t="s">
        <v>98</v>
      </c>
      <c r="AX900" s="18" t="s">
        <v>98</v>
      </c>
      <c r="AY900" s="18" t="s">
        <v>515</v>
      </c>
      <c r="AZ900">
        <v>1</v>
      </c>
      <c r="BA900">
        <v>0</v>
      </c>
      <c r="BB900">
        <v>0</v>
      </c>
      <c r="BC900">
        <v>0</v>
      </c>
      <c r="BD900">
        <v>0</v>
      </c>
      <c r="BE900">
        <v>0</v>
      </c>
      <c r="BF900" s="18">
        <v>0</v>
      </c>
      <c r="BG900">
        <v>1</v>
      </c>
      <c r="BH900">
        <v>0</v>
      </c>
      <c r="BI900" s="18">
        <v>0</v>
      </c>
      <c r="BJ900">
        <v>23733</v>
      </c>
      <c r="BK900">
        <v>1419</v>
      </c>
      <c r="BL900" s="25">
        <v>46.7</v>
      </c>
      <c r="BM900">
        <v>1</v>
      </c>
      <c r="BN900">
        <v>0</v>
      </c>
      <c r="BO900">
        <v>0</v>
      </c>
      <c r="BP900">
        <v>0</v>
      </c>
      <c r="BQ900">
        <v>0</v>
      </c>
      <c r="BR900">
        <v>0</v>
      </c>
      <c r="BS900">
        <v>0</v>
      </c>
      <c r="BT900" s="18">
        <v>0</v>
      </c>
      <c r="BU900">
        <v>0</v>
      </c>
      <c r="BV900">
        <v>0</v>
      </c>
      <c r="BW900">
        <v>1</v>
      </c>
      <c r="BX900" s="18">
        <v>0</v>
      </c>
      <c r="BY900">
        <v>0</v>
      </c>
      <c r="BZ900">
        <v>0</v>
      </c>
      <c r="CA900">
        <v>0</v>
      </c>
      <c r="CB900">
        <v>0</v>
      </c>
      <c r="CC900" s="18">
        <v>0</v>
      </c>
      <c r="CD900">
        <v>0</v>
      </c>
      <c r="CE900">
        <v>0</v>
      </c>
      <c r="CF900">
        <v>1</v>
      </c>
      <c r="CG900">
        <v>1</v>
      </c>
      <c r="CH900">
        <v>0</v>
      </c>
      <c r="CI900">
        <v>0</v>
      </c>
      <c r="CJ900">
        <v>0</v>
      </c>
      <c r="CK900">
        <v>0</v>
      </c>
      <c r="CL900">
        <v>0</v>
      </c>
      <c r="CM900">
        <v>0</v>
      </c>
      <c r="CN900" s="18">
        <v>0</v>
      </c>
      <c r="CO900">
        <v>0</v>
      </c>
      <c r="CP900">
        <v>0</v>
      </c>
      <c r="CQ900">
        <v>0</v>
      </c>
      <c r="CR900">
        <v>1</v>
      </c>
      <c r="CS900">
        <v>22</v>
      </c>
      <c r="CY900" s="34"/>
    </row>
    <row r="901" spans="1:103" x14ac:dyDescent="0.25">
      <c r="A901">
        <v>900</v>
      </c>
      <c r="B901">
        <v>62</v>
      </c>
      <c r="C901" s="25" t="s">
        <v>3951</v>
      </c>
      <c r="D901" s="12">
        <v>4.8079999999999998</v>
      </c>
      <c r="E901" s="14">
        <v>0.22720000000000001</v>
      </c>
      <c r="F901" s="7">
        <f t="shared" si="217"/>
        <v>21.161971830985912</v>
      </c>
      <c r="G901" s="7">
        <f t="shared" si="219"/>
        <v>4.5808</v>
      </c>
      <c r="H901" s="16">
        <f t="shared" si="220"/>
        <v>5.0351999999999997</v>
      </c>
      <c r="I901" s="11">
        <f t="shared" si="214"/>
        <v>0.38877903256646729</v>
      </c>
      <c r="J901" s="33">
        <f t="shared" si="215"/>
        <v>1.8371588227766512E-2</v>
      </c>
      <c r="K901" s="33">
        <f t="shared" si="216"/>
        <v>54.431875328482306</v>
      </c>
      <c r="L901" s="8">
        <v>0</v>
      </c>
      <c r="M901" s="9">
        <v>1</v>
      </c>
      <c r="N901" s="8">
        <v>0</v>
      </c>
      <c r="O901" s="9">
        <v>0</v>
      </c>
      <c r="P901" s="9">
        <v>0</v>
      </c>
      <c r="Q901" s="9">
        <v>1</v>
      </c>
      <c r="R901" s="9">
        <v>0</v>
      </c>
      <c r="S901" s="8">
        <v>2518</v>
      </c>
      <c r="T901" s="9">
        <v>2</v>
      </c>
      <c r="U901" s="9">
        <f t="shared" si="221"/>
        <v>2515</v>
      </c>
      <c r="V901" s="9">
        <f t="shared" si="222"/>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218"/>
        <v>0.5</v>
      </c>
      <c r="AS901">
        <v>0.72</v>
      </c>
      <c r="AT901" s="40">
        <v>0.28000000000000003</v>
      </c>
      <c r="AU901">
        <v>1</v>
      </c>
      <c r="AV901" s="18">
        <v>0</v>
      </c>
      <c r="AW901" t="s">
        <v>98</v>
      </c>
      <c r="AX901" s="18" t="s">
        <v>98</v>
      </c>
      <c r="AY901" s="18" t="s">
        <v>515</v>
      </c>
      <c r="AZ901">
        <v>1</v>
      </c>
      <c r="BA901">
        <v>0</v>
      </c>
      <c r="BB901">
        <v>0</v>
      </c>
      <c r="BC901">
        <v>0</v>
      </c>
      <c r="BD901">
        <v>0</v>
      </c>
      <c r="BE901">
        <v>0</v>
      </c>
      <c r="BF901" s="18">
        <v>0</v>
      </c>
      <c r="BG901">
        <v>1</v>
      </c>
      <c r="BH901">
        <v>0</v>
      </c>
      <c r="BI901" s="18">
        <v>0</v>
      </c>
      <c r="BJ901">
        <v>20841</v>
      </c>
      <c r="BK901">
        <v>1400</v>
      </c>
      <c r="BL901" s="25">
        <v>44.55</v>
      </c>
      <c r="BM901">
        <v>1</v>
      </c>
      <c r="BN901">
        <v>0</v>
      </c>
      <c r="BO901">
        <v>0</v>
      </c>
      <c r="BP901">
        <v>0</v>
      </c>
      <c r="BQ901">
        <v>0</v>
      </c>
      <c r="BR901">
        <v>0</v>
      </c>
      <c r="BS901">
        <v>0</v>
      </c>
      <c r="BT901" s="18">
        <v>0</v>
      </c>
      <c r="BU901">
        <v>0</v>
      </c>
      <c r="BV901">
        <v>0</v>
      </c>
      <c r="BW901">
        <v>1</v>
      </c>
      <c r="BX901" s="18">
        <v>0</v>
      </c>
      <c r="BY901">
        <v>0</v>
      </c>
      <c r="BZ901">
        <v>0</v>
      </c>
      <c r="CA901">
        <v>0</v>
      </c>
      <c r="CB901">
        <v>0</v>
      </c>
      <c r="CC901" s="18">
        <v>0</v>
      </c>
      <c r="CD901">
        <v>0</v>
      </c>
      <c r="CE901">
        <v>0</v>
      </c>
      <c r="CF901">
        <v>1</v>
      </c>
      <c r="CG901">
        <v>1</v>
      </c>
      <c r="CH901">
        <v>0</v>
      </c>
      <c r="CI901">
        <v>0</v>
      </c>
      <c r="CJ901">
        <v>0</v>
      </c>
      <c r="CK901">
        <v>0</v>
      </c>
      <c r="CL901">
        <v>0</v>
      </c>
      <c r="CM901">
        <v>0</v>
      </c>
      <c r="CN901" s="18">
        <v>0</v>
      </c>
      <c r="CO901">
        <v>0</v>
      </c>
      <c r="CP901">
        <v>0</v>
      </c>
      <c r="CQ901">
        <v>0</v>
      </c>
      <c r="CR901">
        <v>1</v>
      </c>
      <c r="CS901">
        <v>22</v>
      </c>
      <c r="CY901" s="34"/>
    </row>
    <row r="902" spans="1:103" x14ac:dyDescent="0.25">
      <c r="A902">
        <v>901</v>
      </c>
      <c r="B902">
        <v>62</v>
      </c>
      <c r="C902" s="25" t="s">
        <v>3951</v>
      </c>
      <c r="D902" s="12">
        <v>2.9990000000000001</v>
      </c>
      <c r="E902" s="14">
        <v>0.65780000000000005</v>
      </c>
      <c r="F902" s="7">
        <f t="shared" si="217"/>
        <v>4.5591365156582544</v>
      </c>
      <c r="G902" s="7">
        <f t="shared" si="219"/>
        <v>2.3412000000000002</v>
      </c>
      <c r="H902" s="16">
        <f t="shared" si="220"/>
        <v>3.6568000000000001</v>
      </c>
      <c r="I902" s="11">
        <f t="shared" si="214"/>
        <v>0.15405779067021458</v>
      </c>
      <c r="J902" s="33">
        <f t="shared" si="215"/>
        <v>3.3791001901589582E-2</v>
      </c>
      <c r="K902" s="33">
        <f t="shared" si="216"/>
        <v>29.593677124825305</v>
      </c>
      <c r="L902" s="8">
        <v>0</v>
      </c>
      <c r="M902" s="9">
        <v>1</v>
      </c>
      <c r="N902" s="8">
        <v>0</v>
      </c>
      <c r="O902" s="9">
        <v>0</v>
      </c>
      <c r="P902" s="9">
        <v>0</v>
      </c>
      <c r="Q902" s="9">
        <v>1</v>
      </c>
      <c r="R902" s="9">
        <v>0</v>
      </c>
      <c r="S902" s="8">
        <v>859</v>
      </c>
      <c r="T902" s="9">
        <v>3</v>
      </c>
      <c r="U902" s="9">
        <f t="shared" si="221"/>
        <v>855</v>
      </c>
      <c r="V902" s="9">
        <f t="shared" si="222"/>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218"/>
        <v>0.5</v>
      </c>
      <c r="AS902">
        <v>0.72</v>
      </c>
      <c r="AT902" s="40">
        <v>0.28000000000000003</v>
      </c>
      <c r="AU902">
        <v>1</v>
      </c>
      <c r="AV902" s="18">
        <v>0</v>
      </c>
      <c r="AW902" t="s">
        <v>98</v>
      </c>
      <c r="AX902" s="18" t="s">
        <v>98</v>
      </c>
      <c r="AY902" s="18" t="s">
        <v>515</v>
      </c>
      <c r="AZ902">
        <v>1</v>
      </c>
      <c r="BA902">
        <v>0</v>
      </c>
      <c r="BB902">
        <v>0</v>
      </c>
      <c r="BC902">
        <v>0</v>
      </c>
      <c r="BD902">
        <v>0</v>
      </c>
      <c r="BE902">
        <v>0</v>
      </c>
      <c r="BF902" s="18">
        <v>0</v>
      </c>
      <c r="BG902">
        <v>1</v>
      </c>
      <c r="BH902">
        <v>0</v>
      </c>
      <c r="BI902" s="18">
        <v>0</v>
      </c>
      <c r="BJ902">
        <v>16471</v>
      </c>
      <c r="BK902">
        <v>1190</v>
      </c>
      <c r="BL902" s="25">
        <v>43.52</v>
      </c>
      <c r="BM902">
        <v>1</v>
      </c>
      <c r="BN902">
        <v>0</v>
      </c>
      <c r="BO902">
        <v>0</v>
      </c>
      <c r="BP902">
        <v>0</v>
      </c>
      <c r="BQ902">
        <v>0</v>
      </c>
      <c r="BR902">
        <v>0</v>
      </c>
      <c r="BS902">
        <v>0</v>
      </c>
      <c r="BT902" s="18">
        <v>0</v>
      </c>
      <c r="BU902">
        <v>0</v>
      </c>
      <c r="BV902">
        <v>0</v>
      </c>
      <c r="BW902">
        <v>1</v>
      </c>
      <c r="BX902" s="18">
        <v>0</v>
      </c>
      <c r="BY902">
        <v>0</v>
      </c>
      <c r="BZ902">
        <v>0</v>
      </c>
      <c r="CA902">
        <v>0</v>
      </c>
      <c r="CB902">
        <v>0</v>
      </c>
      <c r="CC902" s="18">
        <v>0</v>
      </c>
      <c r="CD902">
        <v>0</v>
      </c>
      <c r="CE902">
        <v>0</v>
      </c>
      <c r="CF902">
        <v>1</v>
      </c>
      <c r="CG902">
        <v>1</v>
      </c>
      <c r="CH902">
        <v>0</v>
      </c>
      <c r="CI902">
        <v>0</v>
      </c>
      <c r="CJ902">
        <v>0</v>
      </c>
      <c r="CK902">
        <v>0</v>
      </c>
      <c r="CL902">
        <v>0</v>
      </c>
      <c r="CM902">
        <v>0</v>
      </c>
      <c r="CN902" s="18">
        <v>0</v>
      </c>
      <c r="CO902">
        <v>0</v>
      </c>
      <c r="CP902">
        <v>0</v>
      </c>
      <c r="CQ902">
        <v>0</v>
      </c>
      <c r="CR902">
        <v>1</v>
      </c>
      <c r="CS902">
        <v>22</v>
      </c>
      <c r="CY902" s="34"/>
    </row>
    <row r="903" spans="1:103" x14ac:dyDescent="0.25">
      <c r="A903">
        <v>902</v>
      </c>
      <c r="B903">
        <v>62</v>
      </c>
      <c r="C903" s="25" t="s">
        <v>3951</v>
      </c>
      <c r="D903" s="12">
        <v>2.415</v>
      </c>
      <c r="E903" s="14">
        <v>0.58289999999999997</v>
      </c>
      <c r="F903" s="7">
        <f t="shared" si="217"/>
        <v>4.1430777148739066</v>
      </c>
      <c r="G903" s="7">
        <f t="shared" si="219"/>
        <v>1.8321000000000001</v>
      </c>
      <c r="H903" s="16">
        <f t="shared" si="220"/>
        <v>2.9979</v>
      </c>
      <c r="I903" s="11">
        <f t="shared" si="214"/>
        <v>0.13405525975132729</v>
      </c>
      <c r="J903" s="33">
        <f t="shared" si="215"/>
        <v>3.2356443440599861E-2</v>
      </c>
      <c r="K903" s="33">
        <f t="shared" si="216"/>
        <v>30.905745306520032</v>
      </c>
      <c r="L903" s="8">
        <v>0</v>
      </c>
      <c r="M903" s="9">
        <v>1</v>
      </c>
      <c r="N903" s="8">
        <v>0</v>
      </c>
      <c r="O903" s="9">
        <v>0</v>
      </c>
      <c r="P903" s="9">
        <v>0</v>
      </c>
      <c r="Q903" s="9">
        <v>1</v>
      </c>
      <c r="R903" s="9">
        <v>0</v>
      </c>
      <c r="S903" s="8">
        <v>942</v>
      </c>
      <c r="T903" s="9">
        <v>3</v>
      </c>
      <c r="U903" s="9">
        <f t="shared" si="221"/>
        <v>938</v>
      </c>
      <c r="V903" s="9">
        <f t="shared" si="222"/>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218"/>
        <v>0.51</v>
      </c>
      <c r="AS903">
        <v>0.72</v>
      </c>
      <c r="AT903" s="40">
        <v>0.28000000000000003</v>
      </c>
      <c r="AU903">
        <v>1</v>
      </c>
      <c r="AV903" s="18">
        <v>0</v>
      </c>
      <c r="AW903" t="s">
        <v>98</v>
      </c>
      <c r="AX903" s="18" t="s">
        <v>98</v>
      </c>
      <c r="AY903" s="18" t="s">
        <v>515</v>
      </c>
      <c r="AZ903">
        <v>1</v>
      </c>
      <c r="BA903">
        <v>0</v>
      </c>
      <c r="BB903">
        <v>0</v>
      </c>
      <c r="BC903">
        <v>0</v>
      </c>
      <c r="BD903">
        <v>0</v>
      </c>
      <c r="BE903">
        <v>0</v>
      </c>
      <c r="BF903" s="18">
        <v>0</v>
      </c>
      <c r="BG903">
        <v>1</v>
      </c>
      <c r="BH903">
        <v>0</v>
      </c>
      <c r="BI903" s="18">
        <v>0</v>
      </c>
      <c r="BJ903">
        <v>20349</v>
      </c>
      <c r="BK903">
        <v>1351</v>
      </c>
      <c r="BL903" s="25">
        <v>44.02</v>
      </c>
      <c r="BM903">
        <v>1</v>
      </c>
      <c r="BN903">
        <v>0</v>
      </c>
      <c r="BO903">
        <v>0</v>
      </c>
      <c r="BP903">
        <v>0</v>
      </c>
      <c r="BQ903">
        <v>0</v>
      </c>
      <c r="BR903">
        <v>0</v>
      </c>
      <c r="BS903">
        <v>0</v>
      </c>
      <c r="BT903" s="18">
        <v>0</v>
      </c>
      <c r="BU903">
        <v>0</v>
      </c>
      <c r="BV903">
        <v>0</v>
      </c>
      <c r="BW903">
        <v>1</v>
      </c>
      <c r="BX903" s="18">
        <v>0</v>
      </c>
      <c r="BY903">
        <v>0</v>
      </c>
      <c r="BZ903">
        <v>0</v>
      </c>
      <c r="CA903">
        <v>0</v>
      </c>
      <c r="CB903">
        <v>0</v>
      </c>
      <c r="CC903" s="18">
        <v>0</v>
      </c>
      <c r="CD903">
        <v>0</v>
      </c>
      <c r="CE903">
        <v>0</v>
      </c>
      <c r="CF903">
        <v>1</v>
      </c>
      <c r="CG903">
        <v>1</v>
      </c>
      <c r="CH903">
        <v>0</v>
      </c>
      <c r="CI903">
        <v>0</v>
      </c>
      <c r="CJ903">
        <v>0</v>
      </c>
      <c r="CK903">
        <v>0</v>
      </c>
      <c r="CL903">
        <v>0</v>
      </c>
      <c r="CM903">
        <v>0</v>
      </c>
      <c r="CN903" s="18">
        <v>0</v>
      </c>
      <c r="CO903">
        <v>0</v>
      </c>
      <c r="CP903">
        <v>0</v>
      </c>
      <c r="CQ903">
        <v>0</v>
      </c>
      <c r="CR903">
        <v>1</v>
      </c>
      <c r="CS903">
        <v>22</v>
      </c>
      <c r="CY903" s="34"/>
    </row>
    <row r="904" spans="1:103" x14ac:dyDescent="0.25">
      <c r="A904">
        <v>903</v>
      </c>
      <c r="B904">
        <v>62</v>
      </c>
      <c r="C904" s="25" t="s">
        <v>3951</v>
      </c>
      <c r="D904" s="12">
        <v>1.556</v>
      </c>
      <c r="E904" s="14">
        <v>0.74</v>
      </c>
      <c r="F904" s="7">
        <f t="shared" si="217"/>
        <v>2.102702702702703</v>
      </c>
      <c r="G904" s="7">
        <f t="shared" si="219"/>
        <v>0.81600000000000006</v>
      </c>
      <c r="H904" s="16">
        <f t="shared" si="220"/>
        <v>2.2960000000000003</v>
      </c>
      <c r="I904" s="11">
        <f t="shared" ref="I904:I967" si="223">IFERROR(F904/SQRT(F904^2+U904), "X")</f>
        <v>8.0432876248302226E-2</v>
      </c>
      <c r="J904" s="33">
        <f t="shared" ref="J904:J967" si="224">IFERROR(SQRT((1-I904^2)/U904), "X")</f>
        <v>3.8252139089809532E-2</v>
      </c>
      <c r="K904" s="33">
        <f t="shared" ref="K904:K967" si="225">IFERROR(1/J904, "X")</f>
        <v>26.142328868254129</v>
      </c>
      <c r="L904" s="8">
        <v>0</v>
      </c>
      <c r="M904" s="9">
        <v>1</v>
      </c>
      <c r="N904" s="8">
        <v>0</v>
      </c>
      <c r="O904" s="9">
        <v>0</v>
      </c>
      <c r="P904" s="9">
        <v>0</v>
      </c>
      <c r="Q904" s="9">
        <v>1</v>
      </c>
      <c r="R904" s="9">
        <v>0</v>
      </c>
      <c r="S904" s="8">
        <v>683</v>
      </c>
      <c r="T904" s="9">
        <v>3</v>
      </c>
      <c r="U904" s="9">
        <f t="shared" si="221"/>
        <v>679</v>
      </c>
      <c r="V904" s="9">
        <f t="shared" si="222"/>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218"/>
        <v>0.47</v>
      </c>
      <c r="AS904">
        <v>0.72</v>
      </c>
      <c r="AT904" s="40">
        <v>0.28000000000000003</v>
      </c>
      <c r="AU904">
        <v>1</v>
      </c>
      <c r="AV904" s="18">
        <v>0</v>
      </c>
      <c r="AW904" t="s">
        <v>98</v>
      </c>
      <c r="AX904" s="18" t="s">
        <v>98</v>
      </c>
      <c r="AY904" s="18" t="s">
        <v>515</v>
      </c>
      <c r="AZ904">
        <v>1</v>
      </c>
      <c r="BA904">
        <v>0</v>
      </c>
      <c r="BB904">
        <v>0</v>
      </c>
      <c r="BC904">
        <v>0</v>
      </c>
      <c r="BD904">
        <v>0</v>
      </c>
      <c r="BE904">
        <v>0</v>
      </c>
      <c r="BF904" s="18">
        <v>0</v>
      </c>
      <c r="BG904">
        <v>1</v>
      </c>
      <c r="BH904">
        <v>0</v>
      </c>
      <c r="BI904" s="18">
        <v>0</v>
      </c>
      <c r="BJ904">
        <v>23733</v>
      </c>
      <c r="BK904">
        <v>1419</v>
      </c>
      <c r="BL904" s="25">
        <v>46.7</v>
      </c>
      <c r="BM904">
        <v>1</v>
      </c>
      <c r="BN904">
        <v>0</v>
      </c>
      <c r="BO904">
        <v>0</v>
      </c>
      <c r="BP904">
        <v>0</v>
      </c>
      <c r="BQ904">
        <v>0</v>
      </c>
      <c r="BR904">
        <v>0</v>
      </c>
      <c r="BS904">
        <v>0</v>
      </c>
      <c r="BT904" s="18">
        <v>0</v>
      </c>
      <c r="BU904">
        <v>0</v>
      </c>
      <c r="BV904">
        <v>0</v>
      </c>
      <c r="BW904">
        <v>1</v>
      </c>
      <c r="BX904" s="18">
        <v>0</v>
      </c>
      <c r="BY904">
        <v>0</v>
      </c>
      <c r="BZ904">
        <v>0</v>
      </c>
      <c r="CA904">
        <v>0</v>
      </c>
      <c r="CB904">
        <v>0</v>
      </c>
      <c r="CC904" s="18">
        <v>0</v>
      </c>
      <c r="CD904">
        <v>0</v>
      </c>
      <c r="CE904">
        <v>0</v>
      </c>
      <c r="CF904">
        <v>1</v>
      </c>
      <c r="CG904">
        <v>1</v>
      </c>
      <c r="CH904">
        <v>0</v>
      </c>
      <c r="CI904">
        <v>0</v>
      </c>
      <c r="CJ904">
        <v>0</v>
      </c>
      <c r="CK904">
        <v>0</v>
      </c>
      <c r="CL904">
        <v>0</v>
      </c>
      <c r="CM904">
        <v>0</v>
      </c>
      <c r="CN904" s="18">
        <v>0</v>
      </c>
      <c r="CO904">
        <v>0</v>
      </c>
      <c r="CP904">
        <v>0</v>
      </c>
      <c r="CQ904">
        <v>0</v>
      </c>
      <c r="CR904">
        <v>1</v>
      </c>
      <c r="CS904">
        <v>22</v>
      </c>
      <c r="CY904" s="34"/>
    </row>
    <row r="905" spans="1:103" x14ac:dyDescent="0.25">
      <c r="A905">
        <v>904</v>
      </c>
      <c r="B905">
        <v>62</v>
      </c>
      <c r="C905" s="25" t="s">
        <v>3951</v>
      </c>
      <c r="D905" s="12">
        <v>3.3570000000000002</v>
      </c>
      <c r="E905" s="14">
        <v>0.25380000000000003</v>
      </c>
      <c r="F905" s="7">
        <f t="shared" si="217"/>
        <v>13.226950354609929</v>
      </c>
      <c r="G905" s="7">
        <f t="shared" si="219"/>
        <v>3.1032000000000002</v>
      </c>
      <c r="H905" s="16">
        <f t="shared" si="220"/>
        <v>3.6108000000000002</v>
      </c>
      <c r="I905" s="11">
        <f t="shared" si="223"/>
        <v>0.25507516789330476</v>
      </c>
      <c r="J905" s="33">
        <f t="shared" si="224"/>
        <v>1.9284503309895965E-2</v>
      </c>
      <c r="K905" s="33">
        <f t="shared" si="225"/>
        <v>51.855107903496986</v>
      </c>
      <c r="L905" s="8">
        <v>0</v>
      </c>
      <c r="M905" s="9">
        <v>1</v>
      </c>
      <c r="N905" s="8">
        <v>0</v>
      </c>
      <c r="O905" s="9">
        <v>0</v>
      </c>
      <c r="P905" s="9">
        <v>0</v>
      </c>
      <c r="Q905" s="9">
        <v>1</v>
      </c>
      <c r="R905" s="9">
        <v>0</v>
      </c>
      <c r="S905" s="8">
        <v>2518</v>
      </c>
      <c r="T905" s="9">
        <v>3</v>
      </c>
      <c r="U905" s="9">
        <f t="shared" si="221"/>
        <v>2514</v>
      </c>
      <c r="V905" s="9">
        <f t="shared" si="222"/>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218"/>
        <v>0.5</v>
      </c>
      <c r="AS905">
        <v>0.72</v>
      </c>
      <c r="AT905" s="40">
        <v>0.28000000000000003</v>
      </c>
      <c r="AU905">
        <v>1</v>
      </c>
      <c r="AV905" s="18">
        <v>0</v>
      </c>
      <c r="AW905" t="s">
        <v>98</v>
      </c>
      <c r="AX905" s="18" t="s">
        <v>98</v>
      </c>
      <c r="AY905" s="18" t="s">
        <v>515</v>
      </c>
      <c r="AZ905">
        <v>1</v>
      </c>
      <c r="BA905">
        <v>0</v>
      </c>
      <c r="BB905">
        <v>0</v>
      </c>
      <c r="BC905">
        <v>0</v>
      </c>
      <c r="BD905">
        <v>0</v>
      </c>
      <c r="BE905">
        <v>0</v>
      </c>
      <c r="BF905" s="18">
        <v>0</v>
      </c>
      <c r="BG905">
        <v>1</v>
      </c>
      <c r="BH905">
        <v>0</v>
      </c>
      <c r="BI905" s="18">
        <v>0</v>
      </c>
      <c r="BJ905">
        <v>20841</v>
      </c>
      <c r="BK905">
        <v>1400</v>
      </c>
      <c r="BL905" s="25">
        <v>44.55</v>
      </c>
      <c r="BM905">
        <v>1</v>
      </c>
      <c r="BN905">
        <v>0</v>
      </c>
      <c r="BO905">
        <v>0</v>
      </c>
      <c r="BP905">
        <v>0</v>
      </c>
      <c r="BQ905">
        <v>0</v>
      </c>
      <c r="BR905">
        <v>0</v>
      </c>
      <c r="BS905">
        <v>0</v>
      </c>
      <c r="BT905" s="18">
        <v>0</v>
      </c>
      <c r="BU905">
        <v>0</v>
      </c>
      <c r="BV905">
        <v>0</v>
      </c>
      <c r="BW905">
        <v>1</v>
      </c>
      <c r="BX905" s="18">
        <v>0</v>
      </c>
      <c r="BY905">
        <v>0</v>
      </c>
      <c r="BZ905">
        <v>0</v>
      </c>
      <c r="CA905">
        <v>0</v>
      </c>
      <c r="CB905">
        <v>0</v>
      </c>
      <c r="CC905" s="18">
        <v>0</v>
      </c>
      <c r="CD905">
        <v>0</v>
      </c>
      <c r="CE905">
        <v>0</v>
      </c>
      <c r="CF905">
        <v>1</v>
      </c>
      <c r="CG905">
        <v>1</v>
      </c>
      <c r="CH905">
        <v>0</v>
      </c>
      <c r="CI905">
        <v>0</v>
      </c>
      <c r="CJ905">
        <v>0</v>
      </c>
      <c r="CK905">
        <v>0</v>
      </c>
      <c r="CL905">
        <v>0</v>
      </c>
      <c r="CM905">
        <v>0</v>
      </c>
      <c r="CN905" s="18">
        <v>0</v>
      </c>
      <c r="CO905">
        <v>0</v>
      </c>
      <c r="CP905">
        <v>0</v>
      </c>
      <c r="CQ905">
        <v>0</v>
      </c>
      <c r="CR905">
        <v>1</v>
      </c>
      <c r="CS905">
        <v>22</v>
      </c>
      <c r="CY905" s="34"/>
    </row>
    <row r="906" spans="1:103" x14ac:dyDescent="0.25">
      <c r="A906">
        <v>905</v>
      </c>
      <c r="B906">
        <v>62</v>
      </c>
      <c r="C906" s="25" t="s">
        <v>3951</v>
      </c>
      <c r="D906" s="12">
        <v>4.4290000000000003</v>
      </c>
      <c r="E906" s="14">
        <v>0.49509999999999998</v>
      </c>
      <c r="F906" s="7">
        <f t="shared" si="217"/>
        <v>8.9456675419107263</v>
      </c>
      <c r="G906" s="7">
        <f t="shared" si="219"/>
        <v>3.9339000000000004</v>
      </c>
      <c r="H906" s="16">
        <f t="shared" si="220"/>
        <v>4.9241000000000001</v>
      </c>
      <c r="I906" s="11">
        <f t="shared" si="223"/>
        <v>0.29007933725999008</v>
      </c>
      <c r="J906" s="33">
        <f t="shared" si="224"/>
        <v>3.2426796088828418E-2</v>
      </c>
      <c r="K906" s="33">
        <f t="shared" si="225"/>
        <v>30.838692705275221</v>
      </c>
      <c r="L906" s="8">
        <v>0</v>
      </c>
      <c r="M906" s="9">
        <v>1</v>
      </c>
      <c r="N906" s="8">
        <v>0</v>
      </c>
      <c r="O906" s="9">
        <v>0</v>
      </c>
      <c r="P906" s="9">
        <v>0</v>
      </c>
      <c r="Q906" s="9">
        <v>1</v>
      </c>
      <c r="R906" s="9">
        <v>0</v>
      </c>
      <c r="S906" s="8">
        <v>874</v>
      </c>
      <c r="T906" s="9">
        <v>2</v>
      </c>
      <c r="U906" s="9">
        <f t="shared" si="221"/>
        <v>871</v>
      </c>
      <c r="V906" s="9">
        <f t="shared" si="222"/>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218"/>
        <v>0.5</v>
      </c>
      <c r="AS906">
        <v>0.72</v>
      </c>
      <c r="AT906" s="40">
        <v>0.28000000000000003</v>
      </c>
      <c r="AU906">
        <v>1</v>
      </c>
      <c r="AV906" s="18">
        <v>0</v>
      </c>
      <c r="AW906" t="s">
        <v>98</v>
      </c>
      <c r="AX906" s="18" t="s">
        <v>98</v>
      </c>
      <c r="AY906" s="18" t="s">
        <v>515</v>
      </c>
      <c r="AZ906">
        <v>1</v>
      </c>
      <c r="BA906">
        <v>0</v>
      </c>
      <c r="BB906">
        <v>0</v>
      </c>
      <c r="BC906">
        <v>0</v>
      </c>
      <c r="BD906">
        <v>0</v>
      </c>
      <c r="BE906">
        <v>0</v>
      </c>
      <c r="BF906" s="18">
        <v>0</v>
      </c>
      <c r="BG906">
        <v>1</v>
      </c>
      <c r="BH906">
        <v>0</v>
      </c>
      <c r="BI906" s="18">
        <v>0</v>
      </c>
      <c r="BJ906">
        <v>16471</v>
      </c>
      <c r="BK906">
        <v>1190</v>
      </c>
      <c r="BL906" s="25">
        <v>43.52</v>
      </c>
      <c r="BM906">
        <v>1</v>
      </c>
      <c r="BN906">
        <v>0</v>
      </c>
      <c r="BO906">
        <v>0</v>
      </c>
      <c r="BP906">
        <v>0</v>
      </c>
      <c r="BQ906">
        <v>0</v>
      </c>
      <c r="BR906">
        <v>0</v>
      </c>
      <c r="BS906">
        <v>0</v>
      </c>
      <c r="BT906" s="18">
        <v>0</v>
      </c>
      <c r="BU906">
        <v>0</v>
      </c>
      <c r="BV906">
        <v>0</v>
      </c>
      <c r="BW906">
        <v>1</v>
      </c>
      <c r="BX906" s="18">
        <v>0</v>
      </c>
      <c r="BY906">
        <v>0</v>
      </c>
      <c r="BZ906">
        <v>0</v>
      </c>
      <c r="CA906">
        <v>0</v>
      </c>
      <c r="CB906">
        <v>0</v>
      </c>
      <c r="CC906" s="18">
        <v>0</v>
      </c>
      <c r="CD906">
        <v>0</v>
      </c>
      <c r="CE906">
        <v>0</v>
      </c>
      <c r="CF906">
        <v>1</v>
      </c>
      <c r="CG906">
        <v>1</v>
      </c>
      <c r="CH906">
        <v>0</v>
      </c>
      <c r="CI906">
        <v>0</v>
      </c>
      <c r="CJ906">
        <v>1</v>
      </c>
      <c r="CK906">
        <v>0</v>
      </c>
      <c r="CL906">
        <v>0</v>
      </c>
      <c r="CM906">
        <v>0</v>
      </c>
      <c r="CN906" s="18">
        <v>0</v>
      </c>
      <c r="CO906">
        <v>0</v>
      </c>
      <c r="CP906">
        <v>0</v>
      </c>
      <c r="CQ906">
        <v>0</v>
      </c>
      <c r="CR906">
        <v>1</v>
      </c>
      <c r="CS906">
        <v>22</v>
      </c>
      <c r="CY906" s="34"/>
    </row>
    <row r="907" spans="1:103" x14ac:dyDescent="0.25">
      <c r="A907">
        <v>906</v>
      </c>
      <c r="B907">
        <v>62</v>
      </c>
      <c r="C907" s="25" t="s">
        <v>3951</v>
      </c>
      <c r="D907" s="12">
        <v>4.1890000000000001</v>
      </c>
      <c r="E907" s="14">
        <v>0.44290000000000002</v>
      </c>
      <c r="F907" s="7">
        <f t="shared" si="217"/>
        <v>9.4581169564235719</v>
      </c>
      <c r="G907" s="7">
        <f t="shared" si="219"/>
        <v>3.7461000000000002</v>
      </c>
      <c r="H907" s="16">
        <f t="shared" si="220"/>
        <v>4.6318999999999999</v>
      </c>
      <c r="I907" s="11">
        <f t="shared" si="223"/>
        <v>0.29421085325313495</v>
      </c>
      <c r="J907" s="33">
        <f t="shared" si="224"/>
        <v>3.1106704919029234E-2</v>
      </c>
      <c r="K907" s="33">
        <f t="shared" si="225"/>
        <v>32.147410103480922</v>
      </c>
      <c r="L907" s="8">
        <v>0</v>
      </c>
      <c r="M907" s="9">
        <v>1</v>
      </c>
      <c r="N907" s="8">
        <v>0</v>
      </c>
      <c r="O907" s="9">
        <v>0</v>
      </c>
      <c r="P907" s="9">
        <v>0</v>
      </c>
      <c r="Q907" s="9">
        <v>1</v>
      </c>
      <c r="R907" s="9">
        <v>0</v>
      </c>
      <c r="S907" s="8">
        <v>947</v>
      </c>
      <c r="T907" s="9">
        <v>2</v>
      </c>
      <c r="U907" s="9">
        <f t="shared" si="221"/>
        <v>944</v>
      </c>
      <c r="V907" s="9">
        <f t="shared" si="222"/>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218"/>
        <v>0.51</v>
      </c>
      <c r="AS907">
        <v>0.72</v>
      </c>
      <c r="AT907" s="40">
        <v>0.28000000000000003</v>
      </c>
      <c r="AU907">
        <v>1</v>
      </c>
      <c r="AV907" s="18">
        <v>0</v>
      </c>
      <c r="AW907" t="s">
        <v>98</v>
      </c>
      <c r="AX907" s="18" t="s">
        <v>98</v>
      </c>
      <c r="AY907" s="18" t="s">
        <v>515</v>
      </c>
      <c r="AZ907">
        <v>1</v>
      </c>
      <c r="BA907">
        <v>0</v>
      </c>
      <c r="BB907">
        <v>0</v>
      </c>
      <c r="BC907">
        <v>0</v>
      </c>
      <c r="BD907">
        <v>0</v>
      </c>
      <c r="BE907">
        <v>0</v>
      </c>
      <c r="BF907" s="18">
        <v>0</v>
      </c>
      <c r="BG907">
        <v>1</v>
      </c>
      <c r="BH907">
        <v>0</v>
      </c>
      <c r="BI907" s="18">
        <v>0</v>
      </c>
      <c r="BJ907">
        <v>20349</v>
      </c>
      <c r="BK907">
        <v>1351</v>
      </c>
      <c r="BL907" s="25">
        <v>44.02</v>
      </c>
      <c r="BM907">
        <v>1</v>
      </c>
      <c r="BN907">
        <v>0</v>
      </c>
      <c r="BO907">
        <v>0</v>
      </c>
      <c r="BP907">
        <v>0</v>
      </c>
      <c r="BQ907">
        <v>0</v>
      </c>
      <c r="BR907">
        <v>0</v>
      </c>
      <c r="BS907">
        <v>0</v>
      </c>
      <c r="BT907" s="18">
        <v>0</v>
      </c>
      <c r="BU907">
        <v>0</v>
      </c>
      <c r="BV907">
        <v>0</v>
      </c>
      <c r="BW907">
        <v>1</v>
      </c>
      <c r="BX907" s="18">
        <v>0</v>
      </c>
      <c r="BY907">
        <v>0</v>
      </c>
      <c r="BZ907">
        <v>0</v>
      </c>
      <c r="CA907">
        <v>0</v>
      </c>
      <c r="CB907">
        <v>0</v>
      </c>
      <c r="CC907" s="18">
        <v>0</v>
      </c>
      <c r="CD907">
        <v>0</v>
      </c>
      <c r="CE907">
        <v>0</v>
      </c>
      <c r="CF907">
        <v>1</v>
      </c>
      <c r="CG907">
        <v>1</v>
      </c>
      <c r="CH907">
        <v>0</v>
      </c>
      <c r="CI907">
        <v>0</v>
      </c>
      <c r="CJ907">
        <v>1</v>
      </c>
      <c r="CK907">
        <v>0</v>
      </c>
      <c r="CL907">
        <v>0</v>
      </c>
      <c r="CM907">
        <v>0</v>
      </c>
      <c r="CN907" s="18">
        <v>0</v>
      </c>
      <c r="CO907">
        <v>0</v>
      </c>
      <c r="CP907">
        <v>0</v>
      </c>
      <c r="CQ907">
        <v>0</v>
      </c>
      <c r="CR907">
        <v>1</v>
      </c>
      <c r="CS907">
        <v>22</v>
      </c>
      <c r="CY907" s="34"/>
    </row>
    <row r="908" spans="1:103" x14ac:dyDescent="0.25">
      <c r="A908">
        <v>907</v>
      </c>
      <c r="B908">
        <v>62</v>
      </c>
      <c r="C908" s="25" t="s">
        <v>3951</v>
      </c>
      <c r="D908" s="12">
        <v>4.0449999999999999</v>
      </c>
      <c r="E908" s="14">
        <v>0.59989999999999999</v>
      </c>
      <c r="F908" s="7">
        <f t="shared" si="217"/>
        <v>6.7427904650775128</v>
      </c>
      <c r="G908" s="7">
        <f t="shared" si="219"/>
        <v>3.4451000000000001</v>
      </c>
      <c r="H908" s="16">
        <f t="shared" si="220"/>
        <v>4.6448999999999998</v>
      </c>
      <c r="I908" s="11">
        <f t="shared" si="223"/>
        <v>0.25660715362909847</v>
      </c>
      <c r="J908" s="33">
        <f t="shared" si="224"/>
        <v>3.8056521993101652E-2</v>
      </c>
      <c r="K908" s="33">
        <f t="shared" si="225"/>
        <v>26.276704954311533</v>
      </c>
      <c r="L908" s="8">
        <v>0</v>
      </c>
      <c r="M908" s="9">
        <v>1</v>
      </c>
      <c r="N908" s="8">
        <v>0</v>
      </c>
      <c r="O908" s="9">
        <v>0</v>
      </c>
      <c r="P908" s="9">
        <v>0</v>
      </c>
      <c r="Q908" s="9">
        <v>1</v>
      </c>
      <c r="R908" s="9">
        <v>0</v>
      </c>
      <c r="S908" s="8">
        <v>648</v>
      </c>
      <c r="T908" s="9">
        <v>2</v>
      </c>
      <c r="U908" s="9">
        <f t="shared" si="221"/>
        <v>645</v>
      </c>
      <c r="V908" s="9">
        <f t="shared" si="222"/>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218"/>
        <v>0.47</v>
      </c>
      <c r="AS908">
        <v>0.72</v>
      </c>
      <c r="AT908" s="40">
        <v>0.28000000000000003</v>
      </c>
      <c r="AU908">
        <v>1</v>
      </c>
      <c r="AV908" s="18">
        <v>0</v>
      </c>
      <c r="AW908" t="s">
        <v>98</v>
      </c>
      <c r="AX908" s="18" t="s">
        <v>98</v>
      </c>
      <c r="AY908" s="18" t="s">
        <v>515</v>
      </c>
      <c r="AZ908">
        <v>1</v>
      </c>
      <c r="BA908">
        <v>0</v>
      </c>
      <c r="BB908">
        <v>0</v>
      </c>
      <c r="BC908">
        <v>0</v>
      </c>
      <c r="BD908">
        <v>0</v>
      </c>
      <c r="BE908">
        <v>0</v>
      </c>
      <c r="BF908" s="18">
        <v>0</v>
      </c>
      <c r="BG908">
        <v>1</v>
      </c>
      <c r="BH908">
        <v>0</v>
      </c>
      <c r="BI908" s="18">
        <v>0</v>
      </c>
      <c r="BJ908">
        <v>23733</v>
      </c>
      <c r="BK908">
        <v>1419</v>
      </c>
      <c r="BL908" s="25">
        <v>46.7</v>
      </c>
      <c r="BM908">
        <v>1</v>
      </c>
      <c r="BN908">
        <v>0</v>
      </c>
      <c r="BO908">
        <v>0</v>
      </c>
      <c r="BP908">
        <v>0</v>
      </c>
      <c r="BQ908">
        <v>0</v>
      </c>
      <c r="BR908">
        <v>0</v>
      </c>
      <c r="BS908">
        <v>0</v>
      </c>
      <c r="BT908" s="18">
        <v>0</v>
      </c>
      <c r="BU908">
        <v>0</v>
      </c>
      <c r="BV908">
        <v>0</v>
      </c>
      <c r="BW908">
        <v>1</v>
      </c>
      <c r="BX908" s="18">
        <v>0</v>
      </c>
      <c r="BY908">
        <v>0</v>
      </c>
      <c r="BZ908">
        <v>0</v>
      </c>
      <c r="CA908">
        <v>0</v>
      </c>
      <c r="CB908">
        <v>0</v>
      </c>
      <c r="CC908" s="18">
        <v>0</v>
      </c>
      <c r="CD908">
        <v>0</v>
      </c>
      <c r="CE908">
        <v>0</v>
      </c>
      <c r="CF908">
        <v>1</v>
      </c>
      <c r="CG908">
        <v>1</v>
      </c>
      <c r="CH908">
        <v>0</v>
      </c>
      <c r="CI908">
        <v>0</v>
      </c>
      <c r="CJ908">
        <v>1</v>
      </c>
      <c r="CK908">
        <v>0</v>
      </c>
      <c r="CL908">
        <v>0</v>
      </c>
      <c r="CM908">
        <v>0</v>
      </c>
      <c r="CN908" s="18">
        <v>0</v>
      </c>
      <c r="CO908">
        <v>0</v>
      </c>
      <c r="CP908">
        <v>0</v>
      </c>
      <c r="CQ908">
        <v>0</v>
      </c>
      <c r="CR908">
        <v>1</v>
      </c>
      <c r="CS908">
        <v>22</v>
      </c>
      <c r="CY908" s="34"/>
    </row>
    <row r="909" spans="1:103" x14ac:dyDescent="0.25">
      <c r="A909">
        <v>908</v>
      </c>
      <c r="B909">
        <v>62</v>
      </c>
      <c r="C909" s="25" t="s">
        <v>3951</v>
      </c>
      <c r="D909" s="12">
        <v>4.8689999999999998</v>
      </c>
      <c r="E909" s="14">
        <v>0.22600000000000001</v>
      </c>
      <c r="F909" s="7">
        <f t="shared" ref="F909:F917" si="226">D909/E909</f>
        <v>21.544247787610619</v>
      </c>
      <c r="G909" s="7">
        <f t="shared" si="219"/>
        <v>4.6429999999999998</v>
      </c>
      <c r="H909" s="16">
        <f t="shared" si="220"/>
        <v>5.0949999999999998</v>
      </c>
      <c r="I909" s="11">
        <f t="shared" si="223"/>
        <v>0.39471607531309572</v>
      </c>
      <c r="J909" s="33">
        <f t="shared" si="224"/>
        <v>1.8321181561051475E-2</v>
      </c>
      <c r="K909" s="33">
        <f t="shared" si="225"/>
        <v>54.581632558342967</v>
      </c>
      <c r="L909" s="8">
        <v>0</v>
      </c>
      <c r="M909" s="9">
        <v>1</v>
      </c>
      <c r="N909" s="8">
        <v>0</v>
      </c>
      <c r="O909" s="9">
        <v>0</v>
      </c>
      <c r="P909" s="9">
        <v>0</v>
      </c>
      <c r="Q909" s="9">
        <v>1</v>
      </c>
      <c r="R909" s="9">
        <v>0</v>
      </c>
      <c r="S909" s="8">
        <v>2518</v>
      </c>
      <c r="T909" s="9">
        <v>2</v>
      </c>
      <c r="U909" s="9">
        <f t="shared" si="221"/>
        <v>2515</v>
      </c>
      <c r="V909" s="9">
        <f t="shared" si="222"/>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218"/>
        <v>0.5</v>
      </c>
      <c r="AS909">
        <v>0.72</v>
      </c>
      <c r="AT909" s="40">
        <v>0.28000000000000003</v>
      </c>
      <c r="AU909">
        <v>1</v>
      </c>
      <c r="AV909" s="18">
        <v>0</v>
      </c>
      <c r="AW909" t="s">
        <v>98</v>
      </c>
      <c r="AX909" s="18" t="s">
        <v>98</v>
      </c>
      <c r="AY909" s="18" t="s">
        <v>515</v>
      </c>
      <c r="AZ909">
        <v>1</v>
      </c>
      <c r="BA909">
        <v>0</v>
      </c>
      <c r="BB909">
        <v>0</v>
      </c>
      <c r="BC909">
        <v>0</v>
      </c>
      <c r="BD909">
        <v>0</v>
      </c>
      <c r="BE909">
        <v>0</v>
      </c>
      <c r="BF909" s="18">
        <v>0</v>
      </c>
      <c r="BG909">
        <v>1</v>
      </c>
      <c r="BH909">
        <v>0</v>
      </c>
      <c r="BI909" s="18">
        <v>0</v>
      </c>
      <c r="BJ909">
        <v>20841</v>
      </c>
      <c r="BK909">
        <v>1400</v>
      </c>
      <c r="BL909" s="25">
        <v>44.55</v>
      </c>
      <c r="BM909">
        <v>1</v>
      </c>
      <c r="BN909">
        <v>0</v>
      </c>
      <c r="BO909">
        <v>0</v>
      </c>
      <c r="BP909">
        <v>0</v>
      </c>
      <c r="BQ909">
        <v>0</v>
      </c>
      <c r="BR909">
        <v>0</v>
      </c>
      <c r="BS909">
        <v>0</v>
      </c>
      <c r="BT909" s="18">
        <v>0</v>
      </c>
      <c r="BU909">
        <v>0</v>
      </c>
      <c r="BV909">
        <v>0</v>
      </c>
      <c r="BW909">
        <v>1</v>
      </c>
      <c r="BX909" s="18">
        <v>0</v>
      </c>
      <c r="BY909">
        <v>0</v>
      </c>
      <c r="BZ909">
        <v>0</v>
      </c>
      <c r="CA909">
        <v>0</v>
      </c>
      <c r="CB909">
        <v>0</v>
      </c>
      <c r="CC909" s="18">
        <v>0</v>
      </c>
      <c r="CD909">
        <v>0</v>
      </c>
      <c r="CE909">
        <v>0</v>
      </c>
      <c r="CF909">
        <v>1</v>
      </c>
      <c r="CG909">
        <v>1</v>
      </c>
      <c r="CH909">
        <v>0</v>
      </c>
      <c r="CI909">
        <v>0</v>
      </c>
      <c r="CJ909">
        <v>1</v>
      </c>
      <c r="CK909">
        <v>0</v>
      </c>
      <c r="CL909">
        <v>0</v>
      </c>
      <c r="CM909">
        <v>0</v>
      </c>
      <c r="CN909" s="18">
        <v>0</v>
      </c>
      <c r="CO909">
        <v>0</v>
      </c>
      <c r="CP909">
        <v>0</v>
      </c>
      <c r="CQ909">
        <v>0</v>
      </c>
      <c r="CR909">
        <v>1</v>
      </c>
      <c r="CS909">
        <v>22</v>
      </c>
      <c r="CY909" s="34"/>
    </row>
    <row r="910" spans="1:103" x14ac:dyDescent="0.25">
      <c r="A910">
        <v>909</v>
      </c>
      <c r="B910">
        <v>62</v>
      </c>
      <c r="C910" s="25" t="s">
        <v>3951</v>
      </c>
      <c r="D910" s="12">
        <v>2.4340000000000002</v>
      </c>
      <c r="E910" s="14">
        <v>0.91990000000000005</v>
      </c>
      <c r="F910" s="7">
        <f t="shared" si="226"/>
        <v>2.6459397760626153</v>
      </c>
      <c r="G910" s="7">
        <f t="shared" si="219"/>
        <v>1.5141</v>
      </c>
      <c r="H910" s="16">
        <f t="shared" si="220"/>
        <v>3.3539000000000003</v>
      </c>
      <c r="I910" s="11">
        <f t="shared" si="223"/>
        <v>0.12745028691767002</v>
      </c>
      <c r="J910" s="33">
        <f t="shared" si="224"/>
        <v>4.8168249357257456E-2</v>
      </c>
      <c r="K910" s="33">
        <f t="shared" si="225"/>
        <v>20.760563511103214</v>
      </c>
      <c r="L910" s="8">
        <v>0</v>
      </c>
      <c r="M910" s="9">
        <v>1</v>
      </c>
      <c r="N910" s="8">
        <v>0</v>
      </c>
      <c r="O910" s="9">
        <v>0</v>
      </c>
      <c r="P910" s="9">
        <v>0</v>
      </c>
      <c r="Q910" s="9">
        <v>1</v>
      </c>
      <c r="R910" s="9">
        <v>0</v>
      </c>
      <c r="S910" s="8">
        <v>426</v>
      </c>
      <c r="T910" s="9">
        <v>1</v>
      </c>
      <c r="U910" s="9">
        <f t="shared" si="221"/>
        <v>424</v>
      </c>
      <c r="V910" s="9">
        <f t="shared" si="222"/>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218"/>
        <v>1</v>
      </c>
      <c r="AS910">
        <v>0.72</v>
      </c>
      <c r="AT910" s="40">
        <v>0.28000000000000003</v>
      </c>
      <c r="AU910">
        <v>1</v>
      </c>
      <c r="AV910" s="18">
        <v>0</v>
      </c>
      <c r="AW910" t="s">
        <v>98</v>
      </c>
      <c r="AX910" s="18" t="s">
        <v>98</v>
      </c>
      <c r="AY910" s="18" t="s">
        <v>515</v>
      </c>
      <c r="AZ910">
        <v>1</v>
      </c>
      <c r="BA910">
        <v>0</v>
      </c>
      <c r="BB910">
        <v>0</v>
      </c>
      <c r="BC910">
        <v>0</v>
      </c>
      <c r="BD910">
        <v>0</v>
      </c>
      <c r="BE910">
        <v>0</v>
      </c>
      <c r="BF910" s="18">
        <v>0</v>
      </c>
      <c r="BG910">
        <v>1</v>
      </c>
      <c r="BH910">
        <v>0</v>
      </c>
      <c r="BI910" s="18">
        <v>0</v>
      </c>
      <c r="BJ910">
        <v>16471</v>
      </c>
      <c r="BK910">
        <v>1190</v>
      </c>
      <c r="BL910" s="25">
        <v>43.52</v>
      </c>
      <c r="BM910">
        <v>1</v>
      </c>
      <c r="BN910">
        <v>0</v>
      </c>
      <c r="BO910">
        <v>0</v>
      </c>
      <c r="BP910">
        <v>0</v>
      </c>
      <c r="BQ910">
        <v>0</v>
      </c>
      <c r="BR910">
        <v>0</v>
      </c>
      <c r="BS910">
        <v>0</v>
      </c>
      <c r="BT910" s="18">
        <v>0</v>
      </c>
      <c r="BU910">
        <v>0</v>
      </c>
      <c r="BV910">
        <v>0</v>
      </c>
      <c r="BW910">
        <v>1</v>
      </c>
      <c r="BX910" s="18">
        <v>0</v>
      </c>
      <c r="BY910">
        <v>0</v>
      </c>
      <c r="BZ910">
        <v>0</v>
      </c>
      <c r="CA910">
        <v>0</v>
      </c>
      <c r="CB910">
        <v>0</v>
      </c>
      <c r="CC910" s="18">
        <v>0</v>
      </c>
      <c r="CD910">
        <v>0</v>
      </c>
      <c r="CE910">
        <v>0</v>
      </c>
      <c r="CF910">
        <v>1</v>
      </c>
      <c r="CG910">
        <v>1</v>
      </c>
      <c r="CH910">
        <v>0</v>
      </c>
      <c r="CI910">
        <v>0</v>
      </c>
      <c r="CJ910">
        <v>0</v>
      </c>
      <c r="CK910">
        <v>0</v>
      </c>
      <c r="CL910">
        <v>0</v>
      </c>
      <c r="CM910">
        <v>0</v>
      </c>
      <c r="CN910" s="18">
        <v>0</v>
      </c>
      <c r="CO910">
        <v>0</v>
      </c>
      <c r="CP910">
        <v>0</v>
      </c>
      <c r="CQ910">
        <v>0</v>
      </c>
      <c r="CR910">
        <v>1</v>
      </c>
      <c r="CS910">
        <v>22</v>
      </c>
      <c r="CY910" s="34"/>
    </row>
    <row r="911" spans="1:103" x14ac:dyDescent="0.25">
      <c r="A911">
        <v>910</v>
      </c>
      <c r="B911">
        <v>62</v>
      </c>
      <c r="C911" s="25" t="s">
        <v>3951</v>
      </c>
      <c r="D911" s="12">
        <v>1.5780000000000001</v>
      </c>
      <c r="E911" s="14">
        <v>0.74250000000000005</v>
      </c>
      <c r="F911" s="7">
        <f t="shared" si="226"/>
        <v>2.1252525252525252</v>
      </c>
      <c r="G911" s="7">
        <f t="shared" si="219"/>
        <v>0.83550000000000002</v>
      </c>
      <c r="H911" s="16">
        <f t="shared" si="220"/>
        <v>2.3205</v>
      </c>
      <c r="I911" s="11">
        <f t="shared" si="223"/>
        <v>9.8395886809123978E-2</v>
      </c>
      <c r="J911" s="33">
        <f t="shared" si="224"/>
        <v>4.6298444838893886E-2</v>
      </c>
      <c r="K911" s="33">
        <f t="shared" si="225"/>
        <v>21.598997622484525</v>
      </c>
      <c r="L911" s="8">
        <v>0</v>
      </c>
      <c r="M911" s="9">
        <v>1</v>
      </c>
      <c r="N911" s="8">
        <v>0</v>
      </c>
      <c r="O911" s="9">
        <v>0</v>
      </c>
      <c r="P911" s="9">
        <v>0</v>
      </c>
      <c r="Q911" s="9">
        <v>1</v>
      </c>
      <c r="R911" s="9">
        <v>0</v>
      </c>
      <c r="S911" s="8">
        <v>464</v>
      </c>
      <c r="T911" s="9">
        <v>1</v>
      </c>
      <c r="U911" s="9">
        <f t="shared" si="221"/>
        <v>462</v>
      </c>
      <c r="V911" s="9">
        <f t="shared" si="222"/>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218"/>
        <v>1</v>
      </c>
      <c r="AS911">
        <v>0.72</v>
      </c>
      <c r="AT911" s="40">
        <v>0.28000000000000003</v>
      </c>
      <c r="AU911">
        <v>1</v>
      </c>
      <c r="AV911" s="18">
        <v>0</v>
      </c>
      <c r="AW911" t="s">
        <v>98</v>
      </c>
      <c r="AX911" s="18" t="s">
        <v>98</v>
      </c>
      <c r="AY911" s="18" t="s">
        <v>515</v>
      </c>
      <c r="AZ911">
        <v>1</v>
      </c>
      <c r="BA911">
        <v>0</v>
      </c>
      <c r="BB911">
        <v>0</v>
      </c>
      <c r="BC911">
        <v>0</v>
      </c>
      <c r="BD911">
        <v>0</v>
      </c>
      <c r="BE911">
        <v>0</v>
      </c>
      <c r="BF911" s="18">
        <v>0</v>
      </c>
      <c r="BG911">
        <v>1</v>
      </c>
      <c r="BH911">
        <v>0</v>
      </c>
      <c r="BI911" s="18">
        <v>0</v>
      </c>
      <c r="BJ911">
        <v>20349</v>
      </c>
      <c r="BK911">
        <v>1351</v>
      </c>
      <c r="BL911" s="25">
        <v>44.02</v>
      </c>
      <c r="BM911">
        <v>1</v>
      </c>
      <c r="BN911">
        <v>0</v>
      </c>
      <c r="BO911">
        <v>0</v>
      </c>
      <c r="BP911">
        <v>0</v>
      </c>
      <c r="BQ911">
        <v>0</v>
      </c>
      <c r="BR911">
        <v>0</v>
      </c>
      <c r="BS911">
        <v>0</v>
      </c>
      <c r="BT911" s="18">
        <v>0</v>
      </c>
      <c r="BU911">
        <v>0</v>
      </c>
      <c r="BV911">
        <v>0</v>
      </c>
      <c r="BW911">
        <v>1</v>
      </c>
      <c r="BX911" s="18">
        <v>0</v>
      </c>
      <c r="BY911">
        <v>0</v>
      </c>
      <c r="BZ911">
        <v>0</v>
      </c>
      <c r="CA911">
        <v>0</v>
      </c>
      <c r="CB911">
        <v>0</v>
      </c>
      <c r="CC911" s="18">
        <v>0</v>
      </c>
      <c r="CD911">
        <v>0</v>
      </c>
      <c r="CE911">
        <v>0</v>
      </c>
      <c r="CF911">
        <v>1</v>
      </c>
      <c r="CG911">
        <v>1</v>
      </c>
      <c r="CH911">
        <v>0</v>
      </c>
      <c r="CI911">
        <v>0</v>
      </c>
      <c r="CJ911">
        <v>0</v>
      </c>
      <c r="CK911">
        <v>0</v>
      </c>
      <c r="CL911">
        <v>0</v>
      </c>
      <c r="CM911">
        <v>0</v>
      </c>
      <c r="CN911" s="18">
        <v>0</v>
      </c>
      <c r="CO911">
        <v>0</v>
      </c>
      <c r="CP911">
        <v>0</v>
      </c>
      <c r="CQ911">
        <v>0</v>
      </c>
      <c r="CR911">
        <v>1</v>
      </c>
      <c r="CS911">
        <v>22</v>
      </c>
      <c r="CY911" s="34"/>
    </row>
    <row r="912" spans="1:103" x14ac:dyDescent="0.25">
      <c r="A912">
        <v>911</v>
      </c>
      <c r="B912">
        <v>62</v>
      </c>
      <c r="C912" s="25" t="s">
        <v>3951</v>
      </c>
      <c r="D912" s="12">
        <v>1.8879999999999999</v>
      </c>
      <c r="E912" s="14">
        <v>1.0250999999999999</v>
      </c>
      <c r="F912" s="7">
        <f t="shared" si="226"/>
        <v>1.8417715344844405</v>
      </c>
      <c r="G912" s="7">
        <f t="shared" si="219"/>
        <v>0.8629</v>
      </c>
      <c r="H912" s="16">
        <f t="shared" si="220"/>
        <v>2.9131</v>
      </c>
      <c r="I912" s="11">
        <f t="shared" si="223"/>
        <v>9.6748977134979888E-2</v>
      </c>
      <c r="J912" s="33">
        <f t="shared" si="224"/>
        <v>5.2530390074718158E-2</v>
      </c>
      <c r="K912" s="33">
        <f t="shared" si="225"/>
        <v>19.03659954890151</v>
      </c>
      <c r="L912" s="8">
        <v>0</v>
      </c>
      <c r="M912" s="9">
        <v>1</v>
      </c>
      <c r="N912" s="8">
        <v>0</v>
      </c>
      <c r="O912" s="9">
        <v>0</v>
      </c>
      <c r="P912" s="9">
        <v>0</v>
      </c>
      <c r="Q912" s="9">
        <v>1</v>
      </c>
      <c r="R912" s="9">
        <v>0</v>
      </c>
      <c r="S912" s="8">
        <v>361</v>
      </c>
      <c r="T912" s="9">
        <v>1</v>
      </c>
      <c r="U912" s="9">
        <f t="shared" si="221"/>
        <v>359</v>
      </c>
      <c r="V912" s="9">
        <f t="shared" si="222"/>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218"/>
        <v>1</v>
      </c>
      <c r="AS912">
        <v>0.72</v>
      </c>
      <c r="AT912" s="40">
        <v>0.28000000000000003</v>
      </c>
      <c r="AU912">
        <v>1</v>
      </c>
      <c r="AV912" s="18">
        <v>0</v>
      </c>
      <c r="AW912" t="s">
        <v>98</v>
      </c>
      <c r="AX912" s="18" t="s">
        <v>98</v>
      </c>
      <c r="AY912" s="18" t="s">
        <v>515</v>
      </c>
      <c r="AZ912">
        <v>1</v>
      </c>
      <c r="BA912">
        <v>0</v>
      </c>
      <c r="BB912">
        <v>0</v>
      </c>
      <c r="BC912">
        <v>0</v>
      </c>
      <c r="BD912">
        <v>0</v>
      </c>
      <c r="BE912">
        <v>0</v>
      </c>
      <c r="BF912" s="18">
        <v>0</v>
      </c>
      <c r="BG912">
        <v>1</v>
      </c>
      <c r="BH912">
        <v>0</v>
      </c>
      <c r="BI912" s="18">
        <v>0</v>
      </c>
      <c r="BJ912">
        <v>23733</v>
      </c>
      <c r="BK912">
        <v>1419</v>
      </c>
      <c r="BL912" s="25">
        <v>46.7</v>
      </c>
      <c r="BM912">
        <v>1</v>
      </c>
      <c r="BN912">
        <v>0</v>
      </c>
      <c r="BO912">
        <v>0</v>
      </c>
      <c r="BP912">
        <v>0</v>
      </c>
      <c r="BQ912">
        <v>0</v>
      </c>
      <c r="BR912">
        <v>0</v>
      </c>
      <c r="BS912">
        <v>0</v>
      </c>
      <c r="BT912" s="18">
        <v>0</v>
      </c>
      <c r="BU912">
        <v>0</v>
      </c>
      <c r="BV912">
        <v>0</v>
      </c>
      <c r="BW912">
        <v>1</v>
      </c>
      <c r="BX912" s="18">
        <v>0</v>
      </c>
      <c r="BY912">
        <v>0</v>
      </c>
      <c r="BZ912">
        <v>0</v>
      </c>
      <c r="CA912">
        <v>0</v>
      </c>
      <c r="CB912">
        <v>0</v>
      </c>
      <c r="CC912" s="18">
        <v>0</v>
      </c>
      <c r="CD912">
        <v>0</v>
      </c>
      <c r="CE912">
        <v>0</v>
      </c>
      <c r="CF912">
        <v>1</v>
      </c>
      <c r="CG912">
        <v>1</v>
      </c>
      <c r="CH912">
        <v>0</v>
      </c>
      <c r="CI912">
        <v>0</v>
      </c>
      <c r="CJ912">
        <v>0</v>
      </c>
      <c r="CK912">
        <v>0</v>
      </c>
      <c r="CL912">
        <v>0</v>
      </c>
      <c r="CM912">
        <v>0</v>
      </c>
      <c r="CN912" s="18">
        <v>0</v>
      </c>
      <c r="CO912">
        <v>0</v>
      </c>
      <c r="CP912">
        <v>0</v>
      </c>
      <c r="CQ912">
        <v>0</v>
      </c>
      <c r="CR912">
        <v>1</v>
      </c>
      <c r="CS912">
        <v>22</v>
      </c>
      <c r="CY912" s="34"/>
    </row>
    <row r="913" spans="1:103" x14ac:dyDescent="0.25">
      <c r="A913">
        <v>912</v>
      </c>
      <c r="B913">
        <v>62</v>
      </c>
      <c r="C913" s="25" t="s">
        <v>3951</v>
      </c>
      <c r="D913" s="12">
        <v>3.4140000000000001</v>
      </c>
      <c r="E913" s="14">
        <v>0.57210000000000005</v>
      </c>
      <c r="F913" s="7">
        <f t="shared" si="226"/>
        <v>5.9674882013633974</v>
      </c>
      <c r="G913" s="7">
        <f t="shared" si="219"/>
        <v>2.8418999999999999</v>
      </c>
      <c r="H913" s="16">
        <f t="shared" si="220"/>
        <v>3.9861000000000004</v>
      </c>
      <c r="I913" s="11">
        <f t="shared" si="223"/>
        <v>0.16649675172905307</v>
      </c>
      <c r="J913" s="33">
        <f t="shared" si="224"/>
        <v>2.7900641963734995E-2</v>
      </c>
      <c r="K913" s="33">
        <f t="shared" si="225"/>
        <v>35.841469214213461</v>
      </c>
      <c r="L913" s="8">
        <v>0</v>
      </c>
      <c r="M913" s="9">
        <v>1</v>
      </c>
      <c r="N913" s="8">
        <v>0</v>
      </c>
      <c r="O913" s="9">
        <v>0</v>
      </c>
      <c r="P913" s="9">
        <v>0</v>
      </c>
      <c r="Q913" s="9">
        <v>1</v>
      </c>
      <c r="R913" s="9">
        <v>0</v>
      </c>
      <c r="S913" s="8">
        <v>1251</v>
      </c>
      <c r="T913" s="9">
        <v>1</v>
      </c>
      <c r="U913" s="9">
        <f t="shared" si="221"/>
        <v>1249</v>
      </c>
      <c r="V913" s="9">
        <f t="shared" si="222"/>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218"/>
        <v>1</v>
      </c>
      <c r="AS913">
        <v>0.72</v>
      </c>
      <c r="AT913" s="40">
        <v>0.28000000000000003</v>
      </c>
      <c r="AU913">
        <v>1</v>
      </c>
      <c r="AV913" s="18">
        <v>0</v>
      </c>
      <c r="AW913" t="s">
        <v>98</v>
      </c>
      <c r="AX913" s="18" t="s">
        <v>98</v>
      </c>
      <c r="AY913" s="18" t="s">
        <v>515</v>
      </c>
      <c r="AZ913">
        <v>1</v>
      </c>
      <c r="BA913">
        <v>0</v>
      </c>
      <c r="BB913">
        <v>0</v>
      </c>
      <c r="BC913">
        <v>0</v>
      </c>
      <c r="BD913">
        <v>0</v>
      </c>
      <c r="BE913">
        <v>0</v>
      </c>
      <c r="BF913" s="18">
        <v>0</v>
      </c>
      <c r="BG913">
        <v>1</v>
      </c>
      <c r="BH913">
        <v>0</v>
      </c>
      <c r="BI913" s="18">
        <v>0</v>
      </c>
      <c r="BJ913">
        <v>20841</v>
      </c>
      <c r="BK913">
        <v>1400</v>
      </c>
      <c r="BL913" s="25">
        <v>44.55</v>
      </c>
      <c r="BM913">
        <v>1</v>
      </c>
      <c r="BN913">
        <v>0</v>
      </c>
      <c r="BO913">
        <v>0</v>
      </c>
      <c r="BP913">
        <v>0</v>
      </c>
      <c r="BQ913">
        <v>0</v>
      </c>
      <c r="BR913">
        <v>0</v>
      </c>
      <c r="BS913">
        <v>0</v>
      </c>
      <c r="BT913" s="18">
        <v>0</v>
      </c>
      <c r="BU913">
        <v>0</v>
      </c>
      <c r="BV913">
        <v>0</v>
      </c>
      <c r="BW913">
        <v>1</v>
      </c>
      <c r="BX913" s="18">
        <v>0</v>
      </c>
      <c r="BY913">
        <v>0</v>
      </c>
      <c r="BZ913">
        <v>0</v>
      </c>
      <c r="CA913">
        <v>0</v>
      </c>
      <c r="CB913">
        <v>0</v>
      </c>
      <c r="CC913" s="18">
        <v>0</v>
      </c>
      <c r="CD913">
        <v>0</v>
      </c>
      <c r="CE913">
        <v>0</v>
      </c>
      <c r="CF913">
        <v>1</v>
      </c>
      <c r="CG913">
        <v>1</v>
      </c>
      <c r="CH913">
        <v>0</v>
      </c>
      <c r="CI913">
        <v>0</v>
      </c>
      <c r="CJ913">
        <v>0</v>
      </c>
      <c r="CK913">
        <v>0</v>
      </c>
      <c r="CL913">
        <v>0</v>
      </c>
      <c r="CM913">
        <v>0</v>
      </c>
      <c r="CN913" s="18">
        <v>0</v>
      </c>
      <c r="CO913">
        <v>0</v>
      </c>
      <c r="CP913">
        <v>0</v>
      </c>
      <c r="CQ913">
        <v>0</v>
      </c>
      <c r="CR913">
        <v>1</v>
      </c>
      <c r="CS913">
        <v>22</v>
      </c>
      <c r="CY913" s="34"/>
    </row>
    <row r="914" spans="1:103" x14ac:dyDescent="0.25">
      <c r="A914">
        <v>913</v>
      </c>
      <c r="B914">
        <v>62</v>
      </c>
      <c r="C914" s="25" t="s">
        <v>3951</v>
      </c>
      <c r="D914" s="12">
        <v>3.411</v>
      </c>
      <c r="E914" s="14">
        <v>0.93610000000000004</v>
      </c>
      <c r="F914" s="7">
        <f t="shared" si="226"/>
        <v>3.6438414699284265</v>
      </c>
      <c r="G914" s="7">
        <f t="shared" si="219"/>
        <v>2.4748999999999999</v>
      </c>
      <c r="H914" s="16">
        <f t="shared" si="220"/>
        <v>4.3471000000000002</v>
      </c>
      <c r="I914" s="11">
        <f t="shared" si="223"/>
        <v>0.17287503261517501</v>
      </c>
      <c r="J914" s="33">
        <f t="shared" si="224"/>
        <v>4.7443071835551257E-2</v>
      </c>
      <c r="K914" s="33">
        <f t="shared" si="225"/>
        <v>21.077893174080991</v>
      </c>
      <c r="L914" s="8">
        <v>0</v>
      </c>
      <c r="M914" s="9">
        <v>1</v>
      </c>
      <c r="N914" s="8">
        <v>0</v>
      </c>
      <c r="O914" s="9">
        <v>0</v>
      </c>
      <c r="P914" s="9">
        <v>0</v>
      </c>
      <c r="Q914" s="9">
        <v>1</v>
      </c>
      <c r="R914" s="9">
        <v>0</v>
      </c>
      <c r="S914" s="8">
        <v>433</v>
      </c>
      <c r="T914" s="9">
        <v>1</v>
      </c>
      <c r="U914" s="9">
        <f t="shared" si="221"/>
        <v>431</v>
      </c>
      <c r="V914" s="9">
        <f t="shared" si="222"/>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218"/>
        <v>0</v>
      </c>
      <c r="AS914">
        <v>0.72</v>
      </c>
      <c r="AT914" s="40">
        <v>0.28000000000000003</v>
      </c>
      <c r="AU914">
        <v>1</v>
      </c>
      <c r="AV914" s="18">
        <v>0</v>
      </c>
      <c r="AW914" t="s">
        <v>98</v>
      </c>
      <c r="AX914" s="18" t="s">
        <v>98</v>
      </c>
      <c r="AY914" s="18" t="s">
        <v>515</v>
      </c>
      <c r="AZ914">
        <v>1</v>
      </c>
      <c r="BA914">
        <v>0</v>
      </c>
      <c r="BB914">
        <v>0</v>
      </c>
      <c r="BC914">
        <v>0</v>
      </c>
      <c r="BD914">
        <v>0</v>
      </c>
      <c r="BE914">
        <v>0</v>
      </c>
      <c r="BF914" s="18">
        <v>0</v>
      </c>
      <c r="BG914">
        <v>1</v>
      </c>
      <c r="BH914">
        <v>0</v>
      </c>
      <c r="BI914" s="18">
        <v>0</v>
      </c>
      <c r="BJ914">
        <v>16471</v>
      </c>
      <c r="BK914">
        <v>1190</v>
      </c>
      <c r="BL914" s="25">
        <v>43.52</v>
      </c>
      <c r="BM914">
        <v>1</v>
      </c>
      <c r="BN914">
        <v>0</v>
      </c>
      <c r="BO914">
        <v>0</v>
      </c>
      <c r="BP914">
        <v>0</v>
      </c>
      <c r="BQ914">
        <v>0</v>
      </c>
      <c r="BR914">
        <v>0</v>
      </c>
      <c r="BS914">
        <v>0</v>
      </c>
      <c r="BT914" s="18">
        <v>0</v>
      </c>
      <c r="BU914">
        <v>0</v>
      </c>
      <c r="BV914">
        <v>0</v>
      </c>
      <c r="BW914">
        <v>1</v>
      </c>
      <c r="BX914" s="18">
        <v>0</v>
      </c>
      <c r="BY914">
        <v>0</v>
      </c>
      <c r="BZ914">
        <v>0</v>
      </c>
      <c r="CA914">
        <v>0</v>
      </c>
      <c r="CB914">
        <v>0</v>
      </c>
      <c r="CC914" s="18">
        <v>0</v>
      </c>
      <c r="CD914">
        <v>0</v>
      </c>
      <c r="CE914">
        <v>0</v>
      </c>
      <c r="CF914">
        <v>1</v>
      </c>
      <c r="CG914">
        <v>1</v>
      </c>
      <c r="CH914">
        <v>0</v>
      </c>
      <c r="CI914">
        <v>0</v>
      </c>
      <c r="CJ914">
        <v>0</v>
      </c>
      <c r="CK914">
        <v>0</v>
      </c>
      <c r="CL914">
        <v>0</v>
      </c>
      <c r="CM914">
        <v>0</v>
      </c>
      <c r="CN914" s="18">
        <v>0</v>
      </c>
      <c r="CO914">
        <v>0</v>
      </c>
      <c r="CP914">
        <v>0</v>
      </c>
      <c r="CQ914">
        <v>0</v>
      </c>
      <c r="CR914">
        <v>1</v>
      </c>
      <c r="CS914">
        <v>22</v>
      </c>
      <c r="CY914" s="34"/>
    </row>
    <row r="915" spans="1:103" x14ac:dyDescent="0.25">
      <c r="A915">
        <v>914</v>
      </c>
      <c r="B915">
        <v>62</v>
      </c>
      <c r="C915" s="25" t="s">
        <v>3951</v>
      </c>
      <c r="D915" s="12">
        <v>2.8820000000000001</v>
      </c>
      <c r="E915" s="14">
        <v>0.874</v>
      </c>
      <c r="F915" s="7">
        <f t="shared" si="226"/>
        <v>3.2974828375286043</v>
      </c>
      <c r="G915" s="7">
        <f t="shared" si="219"/>
        <v>2.008</v>
      </c>
      <c r="H915" s="16">
        <f t="shared" si="220"/>
        <v>3.7560000000000002</v>
      </c>
      <c r="I915" s="11">
        <f t="shared" si="223"/>
        <v>0.14944263724342779</v>
      </c>
      <c r="J915" s="33">
        <f t="shared" si="224"/>
        <v>4.5320216846202598E-2</v>
      </c>
      <c r="K915" s="33">
        <f t="shared" si="225"/>
        <v>22.065207750297656</v>
      </c>
      <c r="L915" s="8">
        <v>0</v>
      </c>
      <c r="M915" s="9">
        <v>1</v>
      </c>
      <c r="N915" s="8">
        <v>0</v>
      </c>
      <c r="O915" s="9">
        <v>0</v>
      </c>
      <c r="P915" s="9">
        <v>0</v>
      </c>
      <c r="Q915" s="9">
        <v>1</v>
      </c>
      <c r="R915" s="9">
        <v>0</v>
      </c>
      <c r="S915" s="8">
        <v>478</v>
      </c>
      <c r="T915" s="9">
        <v>1</v>
      </c>
      <c r="U915" s="9">
        <f t="shared" si="221"/>
        <v>476</v>
      </c>
      <c r="V915" s="9">
        <f t="shared" si="222"/>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218"/>
        <v>0</v>
      </c>
      <c r="AS915">
        <v>0.72</v>
      </c>
      <c r="AT915" s="40">
        <v>0.28000000000000003</v>
      </c>
      <c r="AU915">
        <v>1</v>
      </c>
      <c r="AV915" s="18">
        <v>0</v>
      </c>
      <c r="AW915" t="s">
        <v>98</v>
      </c>
      <c r="AX915" s="18" t="s">
        <v>98</v>
      </c>
      <c r="AY915" s="18" t="s">
        <v>515</v>
      </c>
      <c r="AZ915">
        <v>1</v>
      </c>
      <c r="BA915">
        <v>0</v>
      </c>
      <c r="BB915">
        <v>0</v>
      </c>
      <c r="BC915">
        <v>0</v>
      </c>
      <c r="BD915">
        <v>0</v>
      </c>
      <c r="BE915">
        <v>0</v>
      </c>
      <c r="BF915" s="18">
        <v>0</v>
      </c>
      <c r="BG915">
        <v>1</v>
      </c>
      <c r="BH915">
        <v>0</v>
      </c>
      <c r="BI915" s="18">
        <v>0</v>
      </c>
      <c r="BJ915">
        <v>20349</v>
      </c>
      <c r="BK915">
        <v>1351</v>
      </c>
      <c r="BL915" s="25">
        <v>44.02</v>
      </c>
      <c r="BM915">
        <v>1</v>
      </c>
      <c r="BN915">
        <v>0</v>
      </c>
      <c r="BO915">
        <v>0</v>
      </c>
      <c r="BP915">
        <v>0</v>
      </c>
      <c r="BQ915">
        <v>0</v>
      </c>
      <c r="BR915">
        <v>0</v>
      </c>
      <c r="BS915">
        <v>0</v>
      </c>
      <c r="BT915" s="18">
        <v>0</v>
      </c>
      <c r="BU915">
        <v>0</v>
      </c>
      <c r="BV915">
        <v>0</v>
      </c>
      <c r="BW915">
        <v>1</v>
      </c>
      <c r="BX915" s="18">
        <v>0</v>
      </c>
      <c r="BY915">
        <v>0</v>
      </c>
      <c r="BZ915">
        <v>0</v>
      </c>
      <c r="CA915">
        <v>0</v>
      </c>
      <c r="CB915">
        <v>0</v>
      </c>
      <c r="CC915" s="18">
        <v>0</v>
      </c>
      <c r="CD915">
        <v>0</v>
      </c>
      <c r="CE915">
        <v>0</v>
      </c>
      <c r="CF915">
        <v>1</v>
      </c>
      <c r="CG915">
        <v>1</v>
      </c>
      <c r="CH915">
        <v>0</v>
      </c>
      <c r="CI915">
        <v>0</v>
      </c>
      <c r="CJ915">
        <v>0</v>
      </c>
      <c r="CK915">
        <v>0</v>
      </c>
      <c r="CL915">
        <v>0</v>
      </c>
      <c r="CM915">
        <v>0</v>
      </c>
      <c r="CN915" s="18">
        <v>0</v>
      </c>
      <c r="CO915">
        <v>0</v>
      </c>
      <c r="CP915">
        <v>0</v>
      </c>
      <c r="CQ915">
        <v>0</v>
      </c>
      <c r="CR915">
        <v>1</v>
      </c>
      <c r="CS915">
        <v>22</v>
      </c>
      <c r="CY915" s="34"/>
    </row>
    <row r="916" spans="1:103" x14ac:dyDescent="0.25">
      <c r="A916">
        <v>915</v>
      </c>
      <c r="B916">
        <v>62</v>
      </c>
      <c r="C916" s="25" t="s">
        <v>3951</v>
      </c>
      <c r="D916" s="12">
        <v>1.294</v>
      </c>
      <c r="E916" s="14">
        <v>1.0887</v>
      </c>
      <c r="F916" s="7">
        <f t="shared" si="226"/>
        <v>1.1885735280609901</v>
      </c>
      <c r="G916" s="7">
        <f t="shared" si="219"/>
        <v>0.20530000000000004</v>
      </c>
      <c r="H916" s="16">
        <f t="shared" si="220"/>
        <v>2.3826999999999998</v>
      </c>
      <c r="I916" s="11">
        <f t="shared" si="223"/>
        <v>6.6297100065110984E-2</v>
      </c>
      <c r="J916" s="33">
        <f t="shared" si="224"/>
        <v>5.5778711623559747E-2</v>
      </c>
      <c r="K916" s="33">
        <f t="shared" si="225"/>
        <v>17.927986697663723</v>
      </c>
      <c r="L916" s="8">
        <v>0</v>
      </c>
      <c r="M916" s="9">
        <v>1</v>
      </c>
      <c r="N916" s="8">
        <v>0</v>
      </c>
      <c r="O916" s="9">
        <v>0</v>
      </c>
      <c r="P916" s="9">
        <v>0</v>
      </c>
      <c r="Q916" s="9">
        <v>1</v>
      </c>
      <c r="R916" s="9">
        <v>0</v>
      </c>
      <c r="S916" s="8">
        <v>322</v>
      </c>
      <c r="T916" s="9">
        <v>1</v>
      </c>
      <c r="U916" s="9">
        <f t="shared" si="221"/>
        <v>320</v>
      </c>
      <c r="V916" s="9">
        <f t="shared" si="222"/>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218"/>
        <v>0</v>
      </c>
      <c r="AS916">
        <v>0.72</v>
      </c>
      <c r="AT916" s="40">
        <v>0.28000000000000003</v>
      </c>
      <c r="AU916">
        <v>1</v>
      </c>
      <c r="AV916" s="18">
        <v>0</v>
      </c>
      <c r="AW916" t="s">
        <v>98</v>
      </c>
      <c r="AX916" s="18" t="s">
        <v>98</v>
      </c>
      <c r="AY916" s="18" t="s">
        <v>515</v>
      </c>
      <c r="AZ916">
        <v>1</v>
      </c>
      <c r="BA916">
        <v>0</v>
      </c>
      <c r="BB916">
        <v>0</v>
      </c>
      <c r="BC916">
        <v>0</v>
      </c>
      <c r="BD916">
        <v>0</v>
      </c>
      <c r="BE916">
        <v>0</v>
      </c>
      <c r="BF916" s="18">
        <v>0</v>
      </c>
      <c r="BG916">
        <v>1</v>
      </c>
      <c r="BH916">
        <v>0</v>
      </c>
      <c r="BI916" s="18">
        <v>0</v>
      </c>
      <c r="BJ916">
        <v>23733</v>
      </c>
      <c r="BK916">
        <v>1419</v>
      </c>
      <c r="BL916" s="25">
        <v>46.7</v>
      </c>
      <c r="BM916">
        <v>1</v>
      </c>
      <c r="BN916">
        <v>0</v>
      </c>
      <c r="BO916">
        <v>0</v>
      </c>
      <c r="BP916">
        <v>0</v>
      </c>
      <c r="BQ916">
        <v>0</v>
      </c>
      <c r="BR916">
        <v>0</v>
      </c>
      <c r="BS916">
        <v>0</v>
      </c>
      <c r="BT916" s="18">
        <v>0</v>
      </c>
      <c r="BU916">
        <v>0</v>
      </c>
      <c r="BV916">
        <v>0</v>
      </c>
      <c r="BW916">
        <v>1</v>
      </c>
      <c r="BX916" s="18">
        <v>0</v>
      </c>
      <c r="BY916">
        <v>0</v>
      </c>
      <c r="BZ916">
        <v>0</v>
      </c>
      <c r="CA916">
        <v>0</v>
      </c>
      <c r="CB916">
        <v>0</v>
      </c>
      <c r="CC916" s="18">
        <v>0</v>
      </c>
      <c r="CD916">
        <v>0</v>
      </c>
      <c r="CE916">
        <v>0</v>
      </c>
      <c r="CF916">
        <v>1</v>
      </c>
      <c r="CG916">
        <v>1</v>
      </c>
      <c r="CH916">
        <v>0</v>
      </c>
      <c r="CI916">
        <v>0</v>
      </c>
      <c r="CJ916">
        <v>0</v>
      </c>
      <c r="CK916">
        <v>0</v>
      </c>
      <c r="CL916">
        <v>0</v>
      </c>
      <c r="CM916">
        <v>0</v>
      </c>
      <c r="CN916" s="18">
        <v>0</v>
      </c>
      <c r="CO916">
        <v>0</v>
      </c>
      <c r="CP916">
        <v>0</v>
      </c>
      <c r="CQ916">
        <v>0</v>
      </c>
      <c r="CR916">
        <v>1</v>
      </c>
      <c r="CS916">
        <v>22</v>
      </c>
      <c r="CY916" s="34"/>
    </row>
    <row r="917" spans="1:103" x14ac:dyDescent="0.25">
      <c r="A917">
        <v>916</v>
      </c>
      <c r="B917">
        <v>62</v>
      </c>
      <c r="C917" s="25" t="s">
        <v>3951</v>
      </c>
      <c r="D917" s="12">
        <v>3.5739999999999998</v>
      </c>
      <c r="E917" s="14">
        <v>0.59570000000000001</v>
      </c>
      <c r="F917" s="7">
        <f t="shared" si="226"/>
        <v>5.9996642605338257</v>
      </c>
      <c r="G917" s="7">
        <f t="shared" si="219"/>
        <v>2.9782999999999999</v>
      </c>
      <c r="H917" s="16">
        <f t="shared" si="220"/>
        <v>4.1696999999999997</v>
      </c>
      <c r="I917" s="11">
        <f t="shared" si="223"/>
        <v>0.16855410392402168</v>
      </c>
      <c r="J917" s="33">
        <f t="shared" si="224"/>
        <v>2.8093922693771603E-2</v>
      </c>
      <c r="K917" s="33">
        <f t="shared" si="225"/>
        <v>35.594886869312099</v>
      </c>
      <c r="L917" s="8">
        <v>0</v>
      </c>
      <c r="M917" s="9">
        <v>1</v>
      </c>
      <c r="N917" s="8">
        <v>0</v>
      </c>
      <c r="O917" s="9">
        <v>0</v>
      </c>
      <c r="P917" s="9">
        <v>0</v>
      </c>
      <c r="Q917" s="9">
        <v>1</v>
      </c>
      <c r="R917" s="9">
        <v>0</v>
      </c>
      <c r="S917" s="8">
        <v>1233</v>
      </c>
      <c r="T917" s="9">
        <v>1</v>
      </c>
      <c r="U917" s="9">
        <f t="shared" si="221"/>
        <v>1231</v>
      </c>
      <c r="V917" s="9">
        <f t="shared" si="222"/>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218"/>
        <v>0</v>
      </c>
      <c r="AS917">
        <v>0.72</v>
      </c>
      <c r="AT917" s="40">
        <v>0.28000000000000003</v>
      </c>
      <c r="AU917">
        <v>1</v>
      </c>
      <c r="AV917" s="18">
        <v>0</v>
      </c>
      <c r="AW917" t="s">
        <v>98</v>
      </c>
      <c r="AX917" s="18" t="s">
        <v>98</v>
      </c>
      <c r="AY917" s="18" t="s">
        <v>515</v>
      </c>
      <c r="AZ917">
        <v>1</v>
      </c>
      <c r="BA917">
        <v>0</v>
      </c>
      <c r="BB917">
        <v>0</v>
      </c>
      <c r="BC917">
        <v>0</v>
      </c>
      <c r="BD917">
        <v>0</v>
      </c>
      <c r="BE917">
        <v>0</v>
      </c>
      <c r="BF917" s="18">
        <v>0</v>
      </c>
      <c r="BG917">
        <v>1</v>
      </c>
      <c r="BH917">
        <v>0</v>
      </c>
      <c r="BI917" s="18">
        <v>0</v>
      </c>
      <c r="BJ917">
        <v>20841</v>
      </c>
      <c r="BK917">
        <v>1400</v>
      </c>
      <c r="BL917" s="25">
        <v>44.55</v>
      </c>
      <c r="BM917">
        <v>1</v>
      </c>
      <c r="BN917">
        <v>0</v>
      </c>
      <c r="BO917">
        <v>0</v>
      </c>
      <c r="BP917">
        <v>0</v>
      </c>
      <c r="BQ917">
        <v>0</v>
      </c>
      <c r="BR917">
        <v>0</v>
      </c>
      <c r="BS917">
        <v>0</v>
      </c>
      <c r="BT917" s="18">
        <v>0</v>
      </c>
      <c r="BU917">
        <v>0</v>
      </c>
      <c r="BV917">
        <v>0</v>
      </c>
      <c r="BW917">
        <v>1</v>
      </c>
      <c r="BX917" s="18">
        <v>0</v>
      </c>
      <c r="BY917">
        <v>0</v>
      </c>
      <c r="BZ917">
        <v>0</v>
      </c>
      <c r="CA917">
        <v>0</v>
      </c>
      <c r="CB917">
        <v>0</v>
      </c>
      <c r="CC917" s="18">
        <v>0</v>
      </c>
      <c r="CD917">
        <v>0</v>
      </c>
      <c r="CE917">
        <v>0</v>
      </c>
      <c r="CF917">
        <v>1</v>
      </c>
      <c r="CG917">
        <v>1</v>
      </c>
      <c r="CH917">
        <v>0</v>
      </c>
      <c r="CI917">
        <v>0</v>
      </c>
      <c r="CJ917">
        <v>0</v>
      </c>
      <c r="CK917">
        <v>0</v>
      </c>
      <c r="CL917">
        <v>0</v>
      </c>
      <c r="CM917">
        <v>0</v>
      </c>
      <c r="CN917" s="18">
        <v>0</v>
      </c>
      <c r="CO917">
        <v>0</v>
      </c>
      <c r="CP917">
        <v>0</v>
      </c>
      <c r="CQ917">
        <v>0</v>
      </c>
      <c r="CR917">
        <v>1</v>
      </c>
      <c r="CS917">
        <v>22</v>
      </c>
      <c r="CY917" s="34"/>
    </row>
    <row r="918" spans="1:103" x14ac:dyDescent="0.25">
      <c r="A918">
        <v>917</v>
      </c>
      <c r="B918">
        <v>63</v>
      </c>
      <c r="C918" s="25" t="s">
        <v>3961</v>
      </c>
      <c r="D918" s="12">
        <v>8.06</v>
      </c>
      <c r="E918" s="14">
        <f t="shared" ref="E918:E937" si="227">D918/F918</f>
        <v>0.51070840197693579</v>
      </c>
      <c r="F918" s="7">
        <v>15.782</v>
      </c>
      <c r="G918" s="7">
        <f t="shared" si="219"/>
        <v>7.549291598023065</v>
      </c>
      <c r="H918" s="16">
        <f t="shared" si="220"/>
        <v>8.5707084019769368</v>
      </c>
      <c r="I918" s="11">
        <f t="shared" si="223"/>
        <v>0.36291762619196694</v>
      </c>
      <c r="J918" s="33">
        <f t="shared" si="224"/>
        <v>2.29956676081591E-2</v>
      </c>
      <c r="K918" s="33">
        <f t="shared" si="225"/>
        <v>43.486452189158868</v>
      </c>
      <c r="L918" s="8">
        <v>1</v>
      </c>
      <c r="M918" s="9">
        <v>0</v>
      </c>
      <c r="N918" s="8">
        <v>0</v>
      </c>
      <c r="O918" s="9">
        <v>0</v>
      </c>
      <c r="P918" s="9">
        <v>1</v>
      </c>
      <c r="Q918" s="9">
        <v>0</v>
      </c>
      <c r="R918" s="9">
        <v>0</v>
      </c>
      <c r="S918" s="8">
        <v>1650</v>
      </c>
      <c r="T918" s="9">
        <v>7</v>
      </c>
      <c r="U918" s="9">
        <f t="shared" si="221"/>
        <v>1642</v>
      </c>
      <c r="V918" s="9">
        <f t="shared" si="222"/>
        <v>8</v>
      </c>
      <c r="W918" s="7">
        <v>11.5358</v>
      </c>
      <c r="X918" s="7">
        <f t="shared" ref="X918:X925" si="228">BL918-W918-6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29">(1-$AM918-$AN918)/2</f>
        <v>2.4850000000000011E-2</v>
      </c>
      <c r="AL918" s="33">
        <f t="shared" si="229"/>
        <v>2.4850000000000011E-2</v>
      </c>
      <c r="AM918" s="43">
        <v>0.68359999999999999</v>
      </c>
      <c r="AN918" s="43">
        <v>0.26669999999999999</v>
      </c>
      <c r="AO918" s="42">
        <v>1</v>
      </c>
      <c r="AP918" s="18">
        <v>0</v>
      </c>
      <c r="AQ918">
        <v>1</v>
      </c>
      <c r="AR918" s="40">
        <f t="shared" si="218"/>
        <v>0</v>
      </c>
      <c r="AS918" t="s">
        <v>98</v>
      </c>
      <c r="AT918" s="40" t="s">
        <v>98</v>
      </c>
      <c r="AU918">
        <v>0</v>
      </c>
      <c r="AV918" s="18">
        <v>1</v>
      </c>
      <c r="AW918">
        <v>0</v>
      </c>
      <c r="AX918" s="18">
        <v>1</v>
      </c>
      <c r="AY918" s="18" t="s">
        <v>5</v>
      </c>
      <c r="AZ918">
        <v>0</v>
      </c>
      <c r="BA918">
        <v>1</v>
      </c>
      <c r="BB918">
        <v>0</v>
      </c>
      <c r="BC918">
        <v>0</v>
      </c>
      <c r="BD918">
        <v>0</v>
      </c>
      <c r="BE918">
        <v>0</v>
      </c>
      <c r="BF918" s="18">
        <v>0</v>
      </c>
      <c r="BG918">
        <v>0</v>
      </c>
      <c r="BH918">
        <v>1</v>
      </c>
      <c r="BI918" s="18">
        <v>0</v>
      </c>
      <c r="BJ918">
        <v>1178</v>
      </c>
      <c r="BK918">
        <v>148</v>
      </c>
      <c r="BL918" s="25">
        <v>41.372700000000002</v>
      </c>
      <c r="BM918">
        <v>1</v>
      </c>
      <c r="BN918">
        <v>0</v>
      </c>
      <c r="BO918">
        <v>0</v>
      </c>
      <c r="BP918">
        <v>0</v>
      </c>
      <c r="BQ918">
        <v>0</v>
      </c>
      <c r="BR918">
        <v>0</v>
      </c>
      <c r="BS918">
        <v>0</v>
      </c>
      <c r="BT918" s="18">
        <v>0</v>
      </c>
      <c r="BU918">
        <v>0</v>
      </c>
      <c r="BV918">
        <v>0</v>
      </c>
      <c r="BW918">
        <v>1</v>
      </c>
      <c r="BX918" s="18">
        <v>0</v>
      </c>
      <c r="BY918">
        <v>0</v>
      </c>
      <c r="BZ918">
        <v>0</v>
      </c>
      <c r="CA918">
        <v>0</v>
      </c>
      <c r="CB918">
        <v>0</v>
      </c>
      <c r="CC918" s="18">
        <v>0</v>
      </c>
      <c r="CD918">
        <v>1</v>
      </c>
      <c r="CE918">
        <v>1</v>
      </c>
      <c r="CF918">
        <v>0</v>
      </c>
      <c r="CG918">
        <v>0</v>
      </c>
      <c r="CH918">
        <v>0</v>
      </c>
      <c r="CI918">
        <v>0</v>
      </c>
      <c r="CJ918">
        <v>0</v>
      </c>
      <c r="CK918">
        <v>0</v>
      </c>
      <c r="CL918">
        <v>0</v>
      </c>
      <c r="CM918">
        <v>0</v>
      </c>
      <c r="CN918" s="18">
        <v>1</v>
      </c>
      <c r="CO918">
        <v>0.17100000000000001</v>
      </c>
      <c r="CP918">
        <v>120</v>
      </c>
      <c r="CQ918">
        <v>1</v>
      </c>
      <c r="CR918">
        <v>0</v>
      </c>
      <c r="CS918">
        <v>13</v>
      </c>
      <c r="CY918" s="34"/>
    </row>
    <row r="919" spans="1:103" x14ac:dyDescent="0.25">
      <c r="A919">
        <v>918</v>
      </c>
      <c r="B919">
        <v>63</v>
      </c>
      <c r="C919" s="25" t="s">
        <v>3961</v>
      </c>
      <c r="D919" s="12">
        <v>7.67</v>
      </c>
      <c r="E919" s="14">
        <f t="shared" si="227"/>
        <v>0.68129935423125099</v>
      </c>
      <c r="F919" s="7">
        <v>11.257899999999999</v>
      </c>
      <c r="G919" s="7">
        <f t="shared" si="219"/>
        <v>6.9887006457687493</v>
      </c>
      <c r="H919" s="16">
        <f t="shared" si="220"/>
        <v>8.3512993542312515</v>
      </c>
      <c r="I919" s="11">
        <f t="shared" si="223"/>
        <v>0.31544012755508893</v>
      </c>
      <c r="J919" s="33">
        <f t="shared" si="224"/>
        <v>2.8019446571304504E-2</v>
      </c>
      <c r="K919" s="33">
        <f t="shared" si="225"/>
        <v>35.6894986292887</v>
      </c>
      <c r="L919" s="8">
        <v>1</v>
      </c>
      <c r="M919" s="9">
        <v>0</v>
      </c>
      <c r="N919" s="8">
        <v>0</v>
      </c>
      <c r="O919" s="9">
        <v>0</v>
      </c>
      <c r="P919" s="9">
        <v>1</v>
      </c>
      <c r="Q919" s="9">
        <v>0</v>
      </c>
      <c r="R919" s="9">
        <v>0</v>
      </c>
      <c r="S919" s="8">
        <v>1155</v>
      </c>
      <c r="T919" s="9">
        <v>7</v>
      </c>
      <c r="U919" s="9">
        <f t="shared" si="221"/>
        <v>1147</v>
      </c>
      <c r="V919" s="9">
        <f t="shared" si="222"/>
        <v>8</v>
      </c>
      <c r="W919" s="7">
        <v>12.167999999999999</v>
      </c>
      <c r="X919" s="7">
        <f t="shared" si="228"/>
        <v>19.716000000000001</v>
      </c>
      <c r="Y919" s="9">
        <v>1</v>
      </c>
      <c r="Z919" s="9">
        <v>0</v>
      </c>
      <c r="AA919" s="9">
        <v>1</v>
      </c>
      <c r="AB919" s="9">
        <v>0</v>
      </c>
      <c r="AC919" s="9">
        <v>0</v>
      </c>
      <c r="AD919" s="9">
        <v>0</v>
      </c>
      <c r="AE919" s="8">
        <v>1</v>
      </c>
      <c r="AF919" s="9">
        <v>0</v>
      </c>
      <c r="AG919" s="30">
        <v>0</v>
      </c>
      <c r="AH919" s="9">
        <v>1</v>
      </c>
      <c r="AI919" s="30">
        <v>0</v>
      </c>
      <c r="AJ919" s="21">
        <v>2005</v>
      </c>
      <c r="AK919" s="33">
        <f t="shared" si="229"/>
        <v>2.4600000000000011E-2</v>
      </c>
      <c r="AL919" s="33">
        <f t="shared" si="229"/>
        <v>2.4600000000000011E-2</v>
      </c>
      <c r="AM919" s="33">
        <v>0.60699999999999998</v>
      </c>
      <c r="AN919" s="43">
        <v>0.34379999999999999</v>
      </c>
      <c r="AO919" s="42">
        <v>1</v>
      </c>
      <c r="AP919" s="18">
        <v>0</v>
      </c>
      <c r="AQ919">
        <v>0</v>
      </c>
      <c r="AR919" s="40">
        <f t="shared" si="218"/>
        <v>1</v>
      </c>
      <c r="AS919" t="s">
        <v>98</v>
      </c>
      <c r="AT919" s="40" t="s">
        <v>98</v>
      </c>
      <c r="AU919">
        <v>0</v>
      </c>
      <c r="AV919" s="18">
        <v>1</v>
      </c>
      <c r="AW919">
        <v>0</v>
      </c>
      <c r="AX919" s="18">
        <v>1</v>
      </c>
      <c r="AY919" s="18" t="s">
        <v>5</v>
      </c>
      <c r="AZ919">
        <v>0</v>
      </c>
      <c r="BA919">
        <v>1</v>
      </c>
      <c r="BB919">
        <v>0</v>
      </c>
      <c r="BC919">
        <v>0</v>
      </c>
      <c r="BD919">
        <v>0</v>
      </c>
      <c r="BE919">
        <v>0</v>
      </c>
      <c r="BF919" s="18">
        <v>0</v>
      </c>
      <c r="BG919">
        <v>0</v>
      </c>
      <c r="BH919">
        <v>1</v>
      </c>
      <c r="BI919" s="18">
        <v>0</v>
      </c>
      <c r="BJ919">
        <v>1178</v>
      </c>
      <c r="BK919">
        <v>148</v>
      </c>
      <c r="BL919" s="25">
        <v>37.884</v>
      </c>
      <c r="BM919">
        <v>1</v>
      </c>
      <c r="BN919">
        <v>0</v>
      </c>
      <c r="BO919">
        <v>0</v>
      </c>
      <c r="BP919">
        <v>0</v>
      </c>
      <c r="BQ919">
        <v>0</v>
      </c>
      <c r="BR919">
        <v>0</v>
      </c>
      <c r="BS919">
        <v>0</v>
      </c>
      <c r="BT919" s="18">
        <v>0</v>
      </c>
      <c r="BU919">
        <v>0</v>
      </c>
      <c r="BV919">
        <v>0</v>
      </c>
      <c r="BW919">
        <v>1</v>
      </c>
      <c r="BX919" s="18">
        <v>0</v>
      </c>
      <c r="BY919">
        <v>0</v>
      </c>
      <c r="BZ919">
        <v>0</v>
      </c>
      <c r="CA919">
        <v>0</v>
      </c>
      <c r="CB919">
        <v>0</v>
      </c>
      <c r="CC919" s="18">
        <v>0</v>
      </c>
      <c r="CD919">
        <v>1</v>
      </c>
      <c r="CE919">
        <v>1</v>
      </c>
      <c r="CF919">
        <v>0</v>
      </c>
      <c r="CG919">
        <v>0</v>
      </c>
      <c r="CH919">
        <v>0</v>
      </c>
      <c r="CI919">
        <v>0</v>
      </c>
      <c r="CJ919">
        <v>0</v>
      </c>
      <c r="CK919">
        <v>0</v>
      </c>
      <c r="CL919">
        <v>0</v>
      </c>
      <c r="CM919">
        <v>0</v>
      </c>
      <c r="CN919" s="18">
        <v>1</v>
      </c>
      <c r="CO919">
        <v>0.17100000000000001</v>
      </c>
      <c r="CP919">
        <v>120</v>
      </c>
      <c r="CQ919">
        <v>1</v>
      </c>
      <c r="CR919">
        <v>0</v>
      </c>
      <c r="CS919">
        <v>13</v>
      </c>
      <c r="CY919" s="34"/>
    </row>
    <row r="920" spans="1:103" x14ac:dyDescent="0.25">
      <c r="A920">
        <v>919</v>
      </c>
      <c r="B920">
        <v>63</v>
      </c>
      <c r="C920" s="25" t="s">
        <v>3961</v>
      </c>
      <c r="D920" s="12">
        <v>8.02</v>
      </c>
      <c r="E920" s="14">
        <f t="shared" si="227"/>
        <v>0.53368823822991185</v>
      </c>
      <c r="F920" s="7">
        <v>15.0275</v>
      </c>
      <c r="G920" s="7">
        <f t="shared" si="219"/>
        <v>7.4863117617700876</v>
      </c>
      <c r="H920" s="16">
        <f t="shared" si="220"/>
        <v>8.5536882382299115</v>
      </c>
      <c r="I920" s="11">
        <f t="shared" si="223"/>
        <v>0.36796914057596747</v>
      </c>
      <c r="J920" s="33">
        <f t="shared" si="224"/>
        <v>2.4486384333785891E-2</v>
      </c>
      <c r="K920" s="33">
        <f t="shared" si="225"/>
        <v>40.839022469324604</v>
      </c>
      <c r="L920" s="8">
        <v>1</v>
      </c>
      <c r="M920" s="9">
        <v>0</v>
      </c>
      <c r="N920" s="8">
        <v>0</v>
      </c>
      <c r="O920" s="9">
        <v>0</v>
      </c>
      <c r="P920" s="9">
        <v>1</v>
      </c>
      <c r="Q920" s="9">
        <v>0</v>
      </c>
      <c r="R920" s="9">
        <v>0</v>
      </c>
      <c r="S920" s="8">
        <v>1450</v>
      </c>
      <c r="T920" s="9">
        <v>7</v>
      </c>
      <c r="U920" s="9">
        <f t="shared" si="221"/>
        <v>1442</v>
      </c>
      <c r="V920" s="9">
        <f t="shared" si="222"/>
        <v>8</v>
      </c>
      <c r="W920" s="7">
        <v>11.4421</v>
      </c>
      <c r="X920" s="7">
        <f t="shared" si="228"/>
        <v>26.0227</v>
      </c>
      <c r="Y920" s="9">
        <v>1</v>
      </c>
      <c r="Z920" s="9">
        <v>0</v>
      </c>
      <c r="AA920" s="9">
        <v>1</v>
      </c>
      <c r="AB920" s="9">
        <v>0</v>
      </c>
      <c r="AC920" s="9">
        <v>0</v>
      </c>
      <c r="AD920" s="9">
        <v>0</v>
      </c>
      <c r="AE920" s="8">
        <v>1</v>
      </c>
      <c r="AF920" s="9">
        <v>0</v>
      </c>
      <c r="AG920" s="30">
        <v>0</v>
      </c>
      <c r="AH920" s="9">
        <v>1</v>
      </c>
      <c r="AI920" s="30">
        <v>0</v>
      </c>
      <c r="AJ920" s="21">
        <v>2005</v>
      </c>
      <c r="AK920" s="33">
        <f t="shared" si="229"/>
        <v>2.4850000000000011E-2</v>
      </c>
      <c r="AL920" s="33">
        <f t="shared" si="229"/>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v>0</v>
      </c>
      <c r="BF920" s="18">
        <v>0</v>
      </c>
      <c r="BG920">
        <v>0</v>
      </c>
      <c r="BH920">
        <v>1</v>
      </c>
      <c r="BI920" s="18">
        <v>0</v>
      </c>
      <c r="BJ920">
        <v>1178</v>
      </c>
      <c r="BK920">
        <v>148</v>
      </c>
      <c r="BL920" s="25">
        <v>43.464799999999997</v>
      </c>
      <c r="BM920">
        <v>1</v>
      </c>
      <c r="BN920">
        <v>0</v>
      </c>
      <c r="BO920">
        <v>0</v>
      </c>
      <c r="BP920">
        <v>0</v>
      </c>
      <c r="BQ920">
        <v>0</v>
      </c>
      <c r="BR920">
        <v>0</v>
      </c>
      <c r="BS920">
        <v>0</v>
      </c>
      <c r="BT920" s="18">
        <v>0</v>
      </c>
      <c r="BU920">
        <v>0</v>
      </c>
      <c r="BV920">
        <v>0</v>
      </c>
      <c r="BW920">
        <v>1</v>
      </c>
      <c r="BX920" s="18">
        <v>0</v>
      </c>
      <c r="BY920">
        <v>0</v>
      </c>
      <c r="BZ920">
        <v>0</v>
      </c>
      <c r="CA920">
        <v>0</v>
      </c>
      <c r="CB920">
        <v>0</v>
      </c>
      <c r="CC920" s="18">
        <v>0</v>
      </c>
      <c r="CD920">
        <v>1</v>
      </c>
      <c r="CE920">
        <v>1</v>
      </c>
      <c r="CF920">
        <v>0</v>
      </c>
      <c r="CG920">
        <v>0</v>
      </c>
      <c r="CH920">
        <v>0</v>
      </c>
      <c r="CI920">
        <v>0</v>
      </c>
      <c r="CJ920">
        <v>0</v>
      </c>
      <c r="CK920">
        <v>0</v>
      </c>
      <c r="CL920">
        <v>0</v>
      </c>
      <c r="CM920">
        <v>0</v>
      </c>
      <c r="CN920" s="18">
        <v>1</v>
      </c>
      <c r="CO920">
        <v>0.17100000000000001</v>
      </c>
      <c r="CP920">
        <v>120</v>
      </c>
      <c r="CQ920">
        <v>1</v>
      </c>
      <c r="CR920">
        <v>0</v>
      </c>
      <c r="CS920">
        <v>13</v>
      </c>
      <c r="CY920" s="34"/>
    </row>
    <row r="921" spans="1:103" x14ac:dyDescent="0.25">
      <c r="A921">
        <v>920</v>
      </c>
      <c r="B921">
        <v>63</v>
      </c>
      <c r="C921" s="25" t="s">
        <v>3961</v>
      </c>
      <c r="D921" s="12">
        <v>12.61</v>
      </c>
      <c r="E921" s="14">
        <f t="shared" si="227"/>
        <v>1.0845912355395002</v>
      </c>
      <c r="F921" s="7">
        <v>11.6265</v>
      </c>
      <c r="G921" s="7">
        <f t="shared" si="219"/>
        <v>11.525408764460499</v>
      </c>
      <c r="H921" s="16">
        <f t="shared" si="220"/>
        <v>13.6945912355395</v>
      </c>
      <c r="I921" s="11">
        <f t="shared" si="223"/>
        <v>0.2927581435944297</v>
      </c>
      <c r="J921" s="33">
        <f t="shared" si="224"/>
        <v>2.5180247159027197E-2</v>
      </c>
      <c r="K921" s="33">
        <f t="shared" si="225"/>
        <v>39.713668959817852</v>
      </c>
      <c r="L921" s="8">
        <v>1</v>
      </c>
      <c r="M921" s="9">
        <v>0</v>
      </c>
      <c r="N921" s="8">
        <v>0</v>
      </c>
      <c r="O921" s="9">
        <v>0</v>
      </c>
      <c r="P921" s="9">
        <v>1</v>
      </c>
      <c r="Q921" s="9">
        <v>0</v>
      </c>
      <c r="R921" s="9">
        <v>0</v>
      </c>
      <c r="S921" s="8">
        <v>1450</v>
      </c>
      <c r="T921" s="9">
        <v>7</v>
      </c>
      <c r="U921" s="9">
        <f t="shared" si="221"/>
        <v>1442</v>
      </c>
      <c r="V921" s="9">
        <f t="shared" si="222"/>
        <v>8</v>
      </c>
      <c r="W921" s="7">
        <v>11.4421</v>
      </c>
      <c r="X921" s="7">
        <f t="shared" si="228"/>
        <v>26.0227</v>
      </c>
      <c r="Y921" s="9">
        <v>1</v>
      </c>
      <c r="Z921" s="9">
        <v>0</v>
      </c>
      <c r="AA921" s="9">
        <v>1</v>
      </c>
      <c r="AB921" s="9">
        <v>0</v>
      </c>
      <c r="AC921" s="9">
        <v>0</v>
      </c>
      <c r="AD921" s="9">
        <v>0</v>
      </c>
      <c r="AE921" s="8">
        <v>1</v>
      </c>
      <c r="AF921" s="9">
        <v>0</v>
      </c>
      <c r="AG921" s="30">
        <v>0</v>
      </c>
      <c r="AH921" s="9">
        <v>1</v>
      </c>
      <c r="AI921" s="30">
        <v>0</v>
      </c>
      <c r="AJ921" s="21">
        <v>2005</v>
      </c>
      <c r="AK921" s="33">
        <f t="shared" si="229"/>
        <v>2.4850000000000011E-2</v>
      </c>
      <c r="AL921" s="33">
        <f t="shared" si="229"/>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v>0</v>
      </c>
      <c r="BF921" s="18">
        <v>0</v>
      </c>
      <c r="BG921">
        <v>0</v>
      </c>
      <c r="BH921">
        <v>1</v>
      </c>
      <c r="BI921" s="18">
        <v>0</v>
      </c>
      <c r="BJ921">
        <v>1178</v>
      </c>
      <c r="BK921">
        <v>148</v>
      </c>
      <c r="BL921" s="25">
        <v>43.464799999999997</v>
      </c>
      <c r="BM921">
        <v>0</v>
      </c>
      <c r="BN921">
        <v>0</v>
      </c>
      <c r="BO921">
        <v>0</v>
      </c>
      <c r="BP921">
        <v>0</v>
      </c>
      <c r="BQ921">
        <v>0</v>
      </c>
      <c r="BR921">
        <v>0</v>
      </c>
      <c r="BS921">
        <v>0</v>
      </c>
      <c r="BT921" s="18">
        <v>1</v>
      </c>
      <c r="BU921">
        <v>0</v>
      </c>
      <c r="BV921">
        <v>1</v>
      </c>
      <c r="BW921">
        <v>0</v>
      </c>
      <c r="BX921" s="18">
        <v>0</v>
      </c>
      <c r="BY921">
        <v>0</v>
      </c>
      <c r="BZ921">
        <v>0</v>
      </c>
      <c r="CA921">
        <v>0</v>
      </c>
      <c r="CB921">
        <v>0</v>
      </c>
      <c r="CC921" s="18">
        <v>0</v>
      </c>
      <c r="CD921">
        <v>1</v>
      </c>
      <c r="CE921">
        <v>1</v>
      </c>
      <c r="CF921">
        <v>0</v>
      </c>
      <c r="CG921">
        <v>0</v>
      </c>
      <c r="CH921">
        <v>0</v>
      </c>
      <c r="CI921">
        <v>0</v>
      </c>
      <c r="CJ921">
        <v>0</v>
      </c>
      <c r="CK921">
        <v>0</v>
      </c>
      <c r="CL921">
        <v>0</v>
      </c>
      <c r="CM921">
        <v>0</v>
      </c>
      <c r="CN921" s="18">
        <v>1</v>
      </c>
      <c r="CO921">
        <v>0.17100000000000001</v>
      </c>
      <c r="CP921">
        <v>120</v>
      </c>
      <c r="CQ921">
        <v>1</v>
      </c>
      <c r="CR921">
        <v>0</v>
      </c>
      <c r="CS921">
        <v>13</v>
      </c>
      <c r="CY921" s="34"/>
    </row>
    <row r="922" spans="1:103" x14ac:dyDescent="0.25">
      <c r="A922">
        <v>921</v>
      </c>
      <c r="B922">
        <v>63</v>
      </c>
      <c r="C922" s="25" t="s">
        <v>3961</v>
      </c>
      <c r="D922" s="12">
        <v>7.89</v>
      </c>
      <c r="E922" s="14">
        <f t="shared" si="227"/>
        <v>0.7504708277055947</v>
      </c>
      <c r="F922" s="7">
        <v>10.513400000000001</v>
      </c>
      <c r="G922" s="7">
        <f t="shared" si="219"/>
        <v>7.139529172294405</v>
      </c>
      <c r="H922" s="16">
        <f t="shared" si="220"/>
        <v>8.6404708277055953</v>
      </c>
      <c r="I922" s="11">
        <f t="shared" si="223"/>
        <v>0.31449466745904769</v>
      </c>
      <c r="J922" s="33">
        <f t="shared" si="224"/>
        <v>2.9913697515461E-2</v>
      </c>
      <c r="K922" s="33">
        <f t="shared" si="225"/>
        <v>33.429501634933175</v>
      </c>
      <c r="L922" s="8">
        <v>1</v>
      </c>
      <c r="M922" s="9">
        <v>0</v>
      </c>
      <c r="N922" s="8">
        <v>0</v>
      </c>
      <c r="O922" s="9">
        <v>0</v>
      </c>
      <c r="P922" s="9">
        <v>1</v>
      </c>
      <c r="Q922" s="9">
        <v>0</v>
      </c>
      <c r="R922" s="9">
        <v>0</v>
      </c>
      <c r="S922" s="8">
        <v>1015</v>
      </c>
      <c r="T922" s="9">
        <v>7</v>
      </c>
      <c r="U922" s="9">
        <f t="shared" si="221"/>
        <v>1007</v>
      </c>
      <c r="V922" s="9">
        <f t="shared" si="222"/>
        <v>8</v>
      </c>
      <c r="W922" s="7">
        <v>12.0837</v>
      </c>
      <c r="X922" s="7">
        <f t="shared" si="228"/>
        <v>21.452300000000001</v>
      </c>
      <c r="Y922" s="9">
        <v>1</v>
      </c>
      <c r="Z922" s="9">
        <v>0</v>
      </c>
      <c r="AA922" s="9">
        <v>1</v>
      </c>
      <c r="AB922" s="9">
        <v>0</v>
      </c>
      <c r="AC922" s="9">
        <v>0</v>
      </c>
      <c r="AD922" s="9">
        <v>0</v>
      </c>
      <c r="AE922" s="8">
        <v>1</v>
      </c>
      <c r="AF922" s="9">
        <v>0</v>
      </c>
      <c r="AG922" s="30">
        <v>0</v>
      </c>
      <c r="AH922" s="9">
        <v>1</v>
      </c>
      <c r="AI922" s="30">
        <v>0</v>
      </c>
      <c r="AJ922" s="21">
        <v>2005</v>
      </c>
      <c r="AK922" s="33">
        <f t="shared" si="229"/>
        <v>2.4600000000000011E-2</v>
      </c>
      <c r="AL922" s="33">
        <f t="shared" si="229"/>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v>0</v>
      </c>
      <c r="BF922" s="18">
        <v>0</v>
      </c>
      <c r="BG922">
        <v>0</v>
      </c>
      <c r="BH922">
        <v>1</v>
      </c>
      <c r="BI922" s="18">
        <v>0</v>
      </c>
      <c r="BJ922">
        <v>1178</v>
      </c>
      <c r="BK922">
        <v>148</v>
      </c>
      <c r="BL922" s="25">
        <v>39.536000000000001</v>
      </c>
      <c r="BM922">
        <v>1</v>
      </c>
      <c r="BN922">
        <v>0</v>
      </c>
      <c r="BO922">
        <v>0</v>
      </c>
      <c r="BP922">
        <v>0</v>
      </c>
      <c r="BQ922">
        <v>0</v>
      </c>
      <c r="BR922">
        <v>0</v>
      </c>
      <c r="BS922">
        <v>0</v>
      </c>
      <c r="BT922" s="18">
        <v>0</v>
      </c>
      <c r="BU922">
        <v>0</v>
      </c>
      <c r="BV922">
        <v>0</v>
      </c>
      <c r="BW922">
        <v>1</v>
      </c>
      <c r="BX922" s="18">
        <v>0</v>
      </c>
      <c r="BY922">
        <v>0</v>
      </c>
      <c r="BZ922">
        <v>0</v>
      </c>
      <c r="CA922">
        <v>0</v>
      </c>
      <c r="CB922">
        <v>0</v>
      </c>
      <c r="CC922" s="18">
        <v>0</v>
      </c>
      <c r="CD922">
        <v>1</v>
      </c>
      <c r="CE922">
        <v>1</v>
      </c>
      <c r="CF922">
        <v>0</v>
      </c>
      <c r="CG922">
        <v>0</v>
      </c>
      <c r="CH922">
        <v>0</v>
      </c>
      <c r="CI922">
        <v>0</v>
      </c>
      <c r="CJ922">
        <v>0</v>
      </c>
      <c r="CK922">
        <v>0</v>
      </c>
      <c r="CL922">
        <v>0</v>
      </c>
      <c r="CM922">
        <v>0</v>
      </c>
      <c r="CN922" s="18">
        <v>1</v>
      </c>
      <c r="CO922">
        <v>0.17100000000000001</v>
      </c>
      <c r="CP922">
        <v>120</v>
      </c>
      <c r="CQ922">
        <v>1</v>
      </c>
      <c r="CR922">
        <v>0</v>
      </c>
      <c r="CS922">
        <v>13</v>
      </c>
      <c r="CY922" s="34"/>
    </row>
    <row r="923" spans="1:103" x14ac:dyDescent="0.25">
      <c r="A923">
        <v>922</v>
      </c>
      <c r="B923">
        <v>63</v>
      </c>
      <c r="C923" s="25" t="s">
        <v>3961</v>
      </c>
      <c r="D923" s="12">
        <v>14.47</v>
      </c>
      <c r="E923" s="14">
        <f t="shared" si="227"/>
        <v>1.7882742597261359</v>
      </c>
      <c r="F923" s="7">
        <v>8.0915999999999997</v>
      </c>
      <c r="G923" s="7">
        <f t="shared" si="219"/>
        <v>12.681725740273865</v>
      </c>
      <c r="H923" s="16">
        <f t="shared" si="220"/>
        <v>16.258274259726136</v>
      </c>
      <c r="I923" s="11">
        <f t="shared" si="223"/>
        <v>0.24708195071908545</v>
      </c>
      <c r="J923" s="33">
        <f t="shared" si="224"/>
        <v>3.0535611092872294E-2</v>
      </c>
      <c r="K923" s="33">
        <f t="shared" si="225"/>
        <v>32.748648682960948</v>
      </c>
      <c r="L923" s="8">
        <v>1</v>
      </c>
      <c r="M923" s="9">
        <v>0</v>
      </c>
      <c r="N923" s="8">
        <v>0</v>
      </c>
      <c r="O923" s="9">
        <v>0</v>
      </c>
      <c r="P923" s="9">
        <v>1</v>
      </c>
      <c r="Q923" s="9">
        <v>0</v>
      </c>
      <c r="R923" s="9">
        <v>0</v>
      </c>
      <c r="S923" s="8">
        <v>1015</v>
      </c>
      <c r="T923" s="9">
        <v>7</v>
      </c>
      <c r="U923" s="9">
        <f t="shared" si="221"/>
        <v>1007</v>
      </c>
      <c r="V923" s="9">
        <f t="shared" si="222"/>
        <v>8</v>
      </c>
      <c r="W923" s="7">
        <v>12.0837</v>
      </c>
      <c r="X923" s="7">
        <f t="shared" si="228"/>
        <v>21.452300000000001</v>
      </c>
      <c r="Y923" s="9">
        <v>1</v>
      </c>
      <c r="Z923" s="9">
        <v>0</v>
      </c>
      <c r="AA923" s="9">
        <v>1</v>
      </c>
      <c r="AB923" s="9">
        <v>0</v>
      </c>
      <c r="AC923" s="9">
        <v>0</v>
      </c>
      <c r="AD923" s="9">
        <v>0</v>
      </c>
      <c r="AE923" s="8">
        <v>1</v>
      </c>
      <c r="AF923" s="9">
        <v>0</v>
      </c>
      <c r="AG923" s="30">
        <v>0</v>
      </c>
      <c r="AH923" s="9">
        <v>1</v>
      </c>
      <c r="AI923" s="30">
        <v>0</v>
      </c>
      <c r="AJ923" s="21">
        <v>2005</v>
      </c>
      <c r="AK923" s="33">
        <f t="shared" si="229"/>
        <v>2.4600000000000011E-2</v>
      </c>
      <c r="AL923" s="33">
        <f t="shared" si="229"/>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v>0</v>
      </c>
      <c r="BF923" s="18">
        <v>0</v>
      </c>
      <c r="BG923">
        <v>0</v>
      </c>
      <c r="BH923">
        <v>1</v>
      </c>
      <c r="BI923" s="18">
        <v>0</v>
      </c>
      <c r="BJ923">
        <v>1178</v>
      </c>
      <c r="BK923">
        <v>148</v>
      </c>
      <c r="BL923" s="25">
        <v>39.536000000000001</v>
      </c>
      <c r="BM923">
        <v>0</v>
      </c>
      <c r="BN923">
        <v>0</v>
      </c>
      <c r="BO923">
        <v>0</v>
      </c>
      <c r="BP923">
        <v>0</v>
      </c>
      <c r="BQ923">
        <v>0</v>
      </c>
      <c r="BR923">
        <v>0</v>
      </c>
      <c r="BS923">
        <v>0</v>
      </c>
      <c r="BT923" s="18">
        <v>1</v>
      </c>
      <c r="BU923">
        <v>0</v>
      </c>
      <c r="BV923">
        <v>1</v>
      </c>
      <c r="BW923">
        <v>0</v>
      </c>
      <c r="BX923" s="18">
        <v>0</v>
      </c>
      <c r="BY923">
        <v>0</v>
      </c>
      <c r="BZ923">
        <v>0</v>
      </c>
      <c r="CA923">
        <v>0</v>
      </c>
      <c r="CB923">
        <v>0</v>
      </c>
      <c r="CC923" s="18">
        <v>0</v>
      </c>
      <c r="CD923">
        <v>1</v>
      </c>
      <c r="CE923">
        <v>1</v>
      </c>
      <c r="CF923">
        <v>0</v>
      </c>
      <c r="CG923">
        <v>0</v>
      </c>
      <c r="CH923">
        <v>0</v>
      </c>
      <c r="CI923">
        <v>0</v>
      </c>
      <c r="CJ923">
        <v>0</v>
      </c>
      <c r="CK923">
        <v>0</v>
      </c>
      <c r="CL923">
        <v>0</v>
      </c>
      <c r="CM923">
        <v>0</v>
      </c>
      <c r="CN923" s="18">
        <v>1</v>
      </c>
      <c r="CO923">
        <v>0.17100000000000001</v>
      </c>
      <c r="CP923">
        <v>120</v>
      </c>
      <c r="CQ923">
        <v>1</v>
      </c>
      <c r="CR923">
        <v>0</v>
      </c>
      <c r="CS923">
        <v>13</v>
      </c>
      <c r="CY923" s="34"/>
    </row>
    <row r="924" spans="1:103" x14ac:dyDescent="0.25">
      <c r="A924">
        <v>923</v>
      </c>
      <c r="B924">
        <v>63</v>
      </c>
      <c r="C924" s="25" t="s">
        <v>3961</v>
      </c>
      <c r="D924" s="12">
        <v>7.89</v>
      </c>
      <c r="E924" s="14">
        <f t="shared" si="227"/>
        <v>0.7504708277055947</v>
      </c>
      <c r="F924" s="7">
        <v>10.513400000000001</v>
      </c>
      <c r="G924" s="7">
        <f t="shared" si="219"/>
        <v>7.139529172294405</v>
      </c>
      <c r="H924" s="16">
        <f t="shared" si="220"/>
        <v>8.6404708277055953</v>
      </c>
      <c r="I924" s="11">
        <f t="shared" si="223"/>
        <v>0.31449466745904769</v>
      </c>
      <c r="J924" s="33">
        <f t="shared" si="224"/>
        <v>2.9913697515461E-2</v>
      </c>
      <c r="K924" s="33">
        <f t="shared" si="225"/>
        <v>33.429501634933175</v>
      </c>
      <c r="L924" s="8">
        <v>1</v>
      </c>
      <c r="M924" s="9">
        <v>0</v>
      </c>
      <c r="N924" s="8">
        <v>0</v>
      </c>
      <c r="O924" s="9">
        <v>0</v>
      </c>
      <c r="P924" s="9">
        <v>1</v>
      </c>
      <c r="Q924" s="9">
        <v>0</v>
      </c>
      <c r="R924" s="9">
        <v>0</v>
      </c>
      <c r="S924" s="8">
        <v>1015</v>
      </c>
      <c r="T924" s="9">
        <v>7</v>
      </c>
      <c r="U924" s="9">
        <f t="shared" si="221"/>
        <v>1007</v>
      </c>
      <c r="V924" s="9">
        <f t="shared" si="222"/>
        <v>8</v>
      </c>
      <c r="W924" s="7">
        <v>12.0837</v>
      </c>
      <c r="X924" s="7">
        <f t="shared" si="228"/>
        <v>21.452300000000001</v>
      </c>
      <c r="Y924" s="9">
        <v>1</v>
      </c>
      <c r="Z924" s="9">
        <v>0</v>
      </c>
      <c r="AA924" s="9">
        <v>1</v>
      </c>
      <c r="AB924" s="9">
        <v>0</v>
      </c>
      <c r="AC924" s="9">
        <v>0</v>
      </c>
      <c r="AD924" s="9">
        <v>0</v>
      </c>
      <c r="AE924" s="8">
        <v>1</v>
      </c>
      <c r="AF924" s="9">
        <v>0</v>
      </c>
      <c r="AG924" s="30">
        <v>0</v>
      </c>
      <c r="AH924" s="9">
        <v>1</v>
      </c>
      <c r="AI924" s="30">
        <v>0</v>
      </c>
      <c r="AJ924" s="21">
        <v>2005</v>
      </c>
      <c r="AK924" s="33">
        <f t="shared" si="229"/>
        <v>2.4600000000000011E-2</v>
      </c>
      <c r="AL924" s="33">
        <f t="shared" si="229"/>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v>0</v>
      </c>
      <c r="BF924" s="18">
        <v>0</v>
      </c>
      <c r="BG924">
        <v>0</v>
      </c>
      <c r="BH924">
        <v>1</v>
      </c>
      <c r="BI924" s="18">
        <v>0</v>
      </c>
      <c r="BJ924">
        <v>1178</v>
      </c>
      <c r="BK924">
        <v>148</v>
      </c>
      <c r="BL924" s="25">
        <v>39.536000000000001</v>
      </c>
      <c r="BM924">
        <v>1</v>
      </c>
      <c r="BN924">
        <v>0</v>
      </c>
      <c r="BO924">
        <v>0</v>
      </c>
      <c r="BP924">
        <v>0</v>
      </c>
      <c r="BQ924">
        <v>0</v>
      </c>
      <c r="BR924">
        <v>0</v>
      </c>
      <c r="BS924">
        <v>0</v>
      </c>
      <c r="BT924" s="18">
        <v>0</v>
      </c>
      <c r="BU924">
        <v>0</v>
      </c>
      <c r="BV924">
        <v>0</v>
      </c>
      <c r="BW924">
        <v>1</v>
      </c>
      <c r="BX924" s="18">
        <v>0</v>
      </c>
      <c r="BY924">
        <v>0</v>
      </c>
      <c r="BZ924">
        <v>0</v>
      </c>
      <c r="CA924">
        <v>0</v>
      </c>
      <c r="CB924">
        <v>0</v>
      </c>
      <c r="CC924" s="18">
        <v>0</v>
      </c>
      <c r="CD924">
        <v>1</v>
      </c>
      <c r="CE924">
        <v>1</v>
      </c>
      <c r="CF924">
        <v>0</v>
      </c>
      <c r="CG924">
        <v>0</v>
      </c>
      <c r="CH924">
        <v>0</v>
      </c>
      <c r="CI924">
        <v>0</v>
      </c>
      <c r="CJ924">
        <v>0</v>
      </c>
      <c r="CK924">
        <v>0</v>
      </c>
      <c r="CL924">
        <v>0</v>
      </c>
      <c r="CM924">
        <v>0</v>
      </c>
      <c r="CN924" s="18">
        <v>1</v>
      </c>
      <c r="CO924">
        <v>0.17100000000000001</v>
      </c>
      <c r="CP924">
        <v>120</v>
      </c>
      <c r="CQ924">
        <v>1</v>
      </c>
      <c r="CR924">
        <v>0</v>
      </c>
      <c r="CS924">
        <v>13</v>
      </c>
      <c r="CY924" s="34"/>
    </row>
    <row r="925" spans="1:103" x14ac:dyDescent="0.25">
      <c r="A925">
        <v>924</v>
      </c>
      <c r="B925">
        <v>63</v>
      </c>
      <c r="C925" s="25" t="s">
        <v>3961</v>
      </c>
      <c r="D925" s="12">
        <v>21.5</v>
      </c>
      <c r="E925" s="14">
        <f t="shared" si="227"/>
        <v>4.4340867843590166</v>
      </c>
      <c r="F925" s="7">
        <v>4.8487999999999998</v>
      </c>
      <c r="G925" s="7">
        <f t="shared" si="219"/>
        <v>17.065913215640983</v>
      </c>
      <c r="H925" s="16">
        <f t="shared" si="220"/>
        <v>25.934086784359017</v>
      </c>
      <c r="I925" s="11">
        <f t="shared" si="223"/>
        <v>0.15104556715258183</v>
      </c>
      <c r="J925" s="33">
        <f t="shared" si="224"/>
        <v>3.1151123402198864E-2</v>
      </c>
      <c r="K925" s="33">
        <f t="shared" si="225"/>
        <v>32.101571012023697</v>
      </c>
      <c r="L925" s="8">
        <v>1</v>
      </c>
      <c r="M925" s="9">
        <v>0</v>
      </c>
      <c r="N925" s="8">
        <v>0</v>
      </c>
      <c r="O925" s="9">
        <v>0</v>
      </c>
      <c r="P925" s="9">
        <v>1</v>
      </c>
      <c r="Q925" s="9">
        <v>0</v>
      </c>
      <c r="R925" s="9">
        <v>0</v>
      </c>
      <c r="S925" s="8">
        <v>1015</v>
      </c>
      <c r="T925" s="9">
        <v>7</v>
      </c>
      <c r="U925" s="9">
        <f t="shared" si="221"/>
        <v>1007</v>
      </c>
      <c r="V925" s="9">
        <f t="shared" si="222"/>
        <v>8</v>
      </c>
      <c r="W925" s="7">
        <v>12.0837</v>
      </c>
      <c r="X925" s="7">
        <f t="shared" si="228"/>
        <v>21.452300000000001</v>
      </c>
      <c r="Y925" s="9">
        <v>1</v>
      </c>
      <c r="Z925" s="9">
        <v>0</v>
      </c>
      <c r="AA925" s="9">
        <v>1</v>
      </c>
      <c r="AB925" s="9">
        <v>0</v>
      </c>
      <c r="AC925" s="9">
        <v>0</v>
      </c>
      <c r="AD925" s="9">
        <v>0</v>
      </c>
      <c r="AE925" s="8">
        <v>1</v>
      </c>
      <c r="AF925" s="9">
        <v>0</v>
      </c>
      <c r="AG925" s="30">
        <v>0</v>
      </c>
      <c r="AH925" s="9">
        <v>1</v>
      </c>
      <c r="AI925" s="30">
        <v>0</v>
      </c>
      <c r="AJ925" s="21">
        <v>2005</v>
      </c>
      <c r="AK925" s="33">
        <f t="shared" si="229"/>
        <v>2.4600000000000011E-2</v>
      </c>
      <c r="AL925" s="33">
        <f t="shared" si="229"/>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v>0</v>
      </c>
      <c r="BF925" s="18">
        <v>0</v>
      </c>
      <c r="BG925">
        <v>0</v>
      </c>
      <c r="BH925">
        <v>1</v>
      </c>
      <c r="BI925" s="18">
        <v>0</v>
      </c>
      <c r="BJ925">
        <v>1178</v>
      </c>
      <c r="BK925">
        <v>148</v>
      </c>
      <c r="BL925" s="25">
        <v>39.536000000000001</v>
      </c>
      <c r="BM925">
        <v>0</v>
      </c>
      <c r="BN925">
        <v>0</v>
      </c>
      <c r="BO925">
        <v>0</v>
      </c>
      <c r="BP925">
        <v>0</v>
      </c>
      <c r="BQ925">
        <v>1</v>
      </c>
      <c r="BR925">
        <v>0</v>
      </c>
      <c r="BS925">
        <v>0</v>
      </c>
      <c r="BT925" s="18">
        <v>0</v>
      </c>
      <c r="BU925">
        <v>0</v>
      </c>
      <c r="BV925">
        <v>0</v>
      </c>
      <c r="BW925">
        <v>1</v>
      </c>
      <c r="BX925" s="18">
        <v>0</v>
      </c>
      <c r="BY925">
        <v>0</v>
      </c>
      <c r="BZ925">
        <v>0</v>
      </c>
      <c r="CA925">
        <v>0</v>
      </c>
      <c r="CB925">
        <v>0</v>
      </c>
      <c r="CC925" s="18">
        <v>0</v>
      </c>
      <c r="CD925">
        <v>1</v>
      </c>
      <c r="CE925">
        <v>1</v>
      </c>
      <c r="CF925">
        <v>0</v>
      </c>
      <c r="CG925">
        <v>0</v>
      </c>
      <c r="CH925">
        <v>0</v>
      </c>
      <c r="CI925">
        <v>0</v>
      </c>
      <c r="CJ925">
        <v>0</v>
      </c>
      <c r="CK925">
        <v>0</v>
      </c>
      <c r="CL925">
        <v>0</v>
      </c>
      <c r="CM925">
        <v>0</v>
      </c>
      <c r="CN925" s="18">
        <v>1</v>
      </c>
      <c r="CO925">
        <v>0.17100000000000001</v>
      </c>
      <c r="CP925">
        <v>120</v>
      </c>
      <c r="CQ925">
        <v>1</v>
      </c>
      <c r="CR925">
        <v>0</v>
      </c>
      <c r="CS925">
        <v>13</v>
      </c>
      <c r="CY925" s="34"/>
    </row>
    <row r="926" spans="1:103" x14ac:dyDescent="0.25">
      <c r="A926">
        <v>925</v>
      </c>
      <c r="B926">
        <v>64</v>
      </c>
      <c r="C926" s="25" t="s">
        <v>3962</v>
      </c>
      <c r="D926" s="12">
        <v>7.3</v>
      </c>
      <c r="E926" s="14">
        <f t="shared" si="227"/>
        <v>0.74940971152859048</v>
      </c>
      <c r="F926" s="7">
        <v>9.7409999999999997</v>
      </c>
      <c r="G926" s="7">
        <f t="shared" si="219"/>
        <v>6.5505902884714091</v>
      </c>
      <c r="H926" s="16">
        <f t="shared" si="220"/>
        <v>8.0494097115285896</v>
      </c>
      <c r="I926" s="11">
        <f t="shared" si="223"/>
        <v>0.35152390398162275</v>
      </c>
      <c r="J926" s="33">
        <f t="shared" si="224"/>
        <v>3.6087044860037241E-2</v>
      </c>
      <c r="K926" s="33">
        <f t="shared" si="225"/>
        <v>27.710775539490047</v>
      </c>
      <c r="L926" s="8">
        <v>1</v>
      </c>
      <c r="M926" s="9">
        <v>0</v>
      </c>
      <c r="N926" s="8">
        <v>1</v>
      </c>
      <c r="O926" s="9">
        <v>0</v>
      </c>
      <c r="P926" s="9">
        <v>0</v>
      </c>
      <c r="Q926" s="9">
        <v>0</v>
      </c>
      <c r="R926" s="9">
        <v>0</v>
      </c>
      <c r="S926" s="8">
        <v>684</v>
      </c>
      <c r="T926" s="9">
        <v>10</v>
      </c>
      <c r="U926" s="9">
        <f t="shared" si="221"/>
        <v>673</v>
      </c>
      <c r="V926" s="9">
        <f t="shared" si="222"/>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30">1-AK926-AL926-AN926</f>
        <v>0.64500000000000002</v>
      </c>
      <c r="AN926" s="43">
        <v>0.33300000000000002</v>
      </c>
      <c r="AO926" s="42">
        <v>1</v>
      </c>
      <c r="AP926" s="18">
        <v>0</v>
      </c>
      <c r="AQ926">
        <v>1</v>
      </c>
      <c r="AR926" s="40">
        <f t="shared" ref="AR926:AR969" si="231">1-AQ926</f>
        <v>0</v>
      </c>
      <c r="AS926" s="39">
        <f t="shared" ref="AS926:AS937" si="232">1-AT926</f>
        <v>0.59799999999999998</v>
      </c>
      <c r="AT926" s="40">
        <v>0.40200000000000002</v>
      </c>
      <c r="AU926">
        <v>0</v>
      </c>
      <c r="AV926" s="18">
        <v>1</v>
      </c>
      <c r="AW926">
        <v>0</v>
      </c>
      <c r="AX926" s="18">
        <v>1</v>
      </c>
      <c r="AY926" s="18" t="s">
        <v>5</v>
      </c>
      <c r="AZ926">
        <v>0</v>
      </c>
      <c r="BA926">
        <v>1</v>
      </c>
      <c r="BB926">
        <v>0</v>
      </c>
      <c r="BC926">
        <v>0</v>
      </c>
      <c r="BD926">
        <v>0</v>
      </c>
      <c r="BE926">
        <v>0</v>
      </c>
      <c r="BF926" s="18">
        <v>0</v>
      </c>
      <c r="BG926">
        <v>0</v>
      </c>
      <c r="BH926">
        <v>1</v>
      </c>
      <c r="BI926" s="18">
        <v>0</v>
      </c>
      <c r="BJ926">
        <v>1462</v>
      </c>
      <c r="BK926">
        <v>176</v>
      </c>
      <c r="BL926" s="93">
        <f t="shared" ref="BL926:BL937" si="233">W926+X926+6</f>
        <v>33.839999999999996</v>
      </c>
      <c r="BM926">
        <v>1</v>
      </c>
      <c r="BN926">
        <v>0</v>
      </c>
      <c r="BO926">
        <v>0</v>
      </c>
      <c r="BP926">
        <v>0</v>
      </c>
      <c r="BQ926">
        <v>0</v>
      </c>
      <c r="BR926">
        <v>0</v>
      </c>
      <c r="BS926">
        <v>0</v>
      </c>
      <c r="BT926" s="18">
        <v>0</v>
      </c>
      <c r="BU926">
        <v>0</v>
      </c>
      <c r="BV926">
        <v>0</v>
      </c>
      <c r="BW926">
        <v>1</v>
      </c>
      <c r="BX926" s="18">
        <v>0</v>
      </c>
      <c r="BY926">
        <v>0</v>
      </c>
      <c r="BZ926">
        <v>0</v>
      </c>
      <c r="CA926">
        <v>0</v>
      </c>
      <c r="CB926">
        <v>0</v>
      </c>
      <c r="CC926" s="18">
        <v>0</v>
      </c>
      <c r="CD926">
        <v>0</v>
      </c>
      <c r="CE926">
        <v>0</v>
      </c>
      <c r="CF926">
        <v>1</v>
      </c>
      <c r="CG926">
        <v>1</v>
      </c>
      <c r="CH926">
        <v>0</v>
      </c>
      <c r="CI926">
        <v>1</v>
      </c>
      <c r="CJ926">
        <v>1</v>
      </c>
      <c r="CK926">
        <v>1</v>
      </c>
      <c r="CL926">
        <v>0</v>
      </c>
      <c r="CM926">
        <v>0</v>
      </c>
      <c r="CN926" s="18">
        <v>1</v>
      </c>
      <c r="CO926">
        <v>0.14599999999999999</v>
      </c>
      <c r="CP926">
        <v>4</v>
      </c>
      <c r="CQ926">
        <v>1</v>
      </c>
      <c r="CR926">
        <v>0</v>
      </c>
      <c r="CS926">
        <v>18</v>
      </c>
      <c r="CY926" s="34"/>
    </row>
    <row r="927" spans="1:103" x14ac:dyDescent="0.25">
      <c r="A927">
        <v>926</v>
      </c>
      <c r="B927">
        <v>64</v>
      </c>
      <c r="C927" s="25" t="s">
        <v>3962</v>
      </c>
      <c r="D927" s="12">
        <v>7.4</v>
      </c>
      <c r="E927" s="14">
        <f t="shared" si="227"/>
        <v>0.78748536767053312</v>
      </c>
      <c r="F927" s="7">
        <v>9.3970000000000002</v>
      </c>
      <c r="G927" s="7">
        <f t="shared" si="219"/>
        <v>6.612514632329467</v>
      </c>
      <c r="H927" s="16">
        <f t="shared" si="220"/>
        <v>8.1874853676705328</v>
      </c>
      <c r="I927" s="11">
        <f t="shared" si="223"/>
        <v>0.35509621620136783</v>
      </c>
      <c r="J927" s="33">
        <f t="shared" si="224"/>
        <v>3.7788253293749907E-2</v>
      </c>
      <c r="K927" s="33">
        <f t="shared" si="225"/>
        <v>26.463250159419189</v>
      </c>
      <c r="L927" s="8">
        <v>1</v>
      </c>
      <c r="M927" s="9">
        <v>0</v>
      </c>
      <c r="N927" s="8">
        <v>1</v>
      </c>
      <c r="O927" s="9">
        <v>0</v>
      </c>
      <c r="P927" s="9">
        <v>0</v>
      </c>
      <c r="Q927" s="9">
        <v>0</v>
      </c>
      <c r="R927" s="9">
        <v>0</v>
      </c>
      <c r="S927" s="8">
        <v>628</v>
      </c>
      <c r="T927" s="9">
        <v>15</v>
      </c>
      <c r="U927" s="9">
        <f t="shared" si="221"/>
        <v>612</v>
      </c>
      <c r="V927" s="9">
        <f t="shared" si="222"/>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30"/>
        <v>0.64500000000000002</v>
      </c>
      <c r="AN927" s="43">
        <v>0.33300000000000002</v>
      </c>
      <c r="AO927" s="42">
        <v>1</v>
      </c>
      <c r="AP927" s="18">
        <v>0</v>
      </c>
      <c r="AQ927">
        <v>0</v>
      </c>
      <c r="AR927" s="40">
        <f t="shared" si="231"/>
        <v>1</v>
      </c>
      <c r="AS927" s="39">
        <f t="shared" si="232"/>
        <v>0.59799999999999998</v>
      </c>
      <c r="AT927" s="40">
        <v>0.40200000000000002</v>
      </c>
      <c r="AU927">
        <v>0</v>
      </c>
      <c r="AV927" s="18">
        <v>1</v>
      </c>
      <c r="AW927">
        <v>0</v>
      </c>
      <c r="AX927" s="18">
        <v>1</v>
      </c>
      <c r="AY927" s="18" t="s">
        <v>5</v>
      </c>
      <c r="AZ927">
        <v>0</v>
      </c>
      <c r="BA927">
        <v>1</v>
      </c>
      <c r="BB927">
        <v>0</v>
      </c>
      <c r="BC927">
        <v>0</v>
      </c>
      <c r="BD927">
        <v>0</v>
      </c>
      <c r="BE927">
        <v>0</v>
      </c>
      <c r="BF927" s="18">
        <v>0</v>
      </c>
      <c r="BG927">
        <v>0</v>
      </c>
      <c r="BH927">
        <v>1</v>
      </c>
      <c r="BI927" s="18">
        <v>0</v>
      </c>
      <c r="BJ927">
        <v>1462</v>
      </c>
      <c r="BK927">
        <v>176</v>
      </c>
      <c r="BL927" s="93">
        <f t="shared" si="233"/>
        <v>33.839999999999996</v>
      </c>
      <c r="BM927">
        <v>1</v>
      </c>
      <c r="BN927">
        <v>0</v>
      </c>
      <c r="BO927">
        <v>0</v>
      </c>
      <c r="BP927">
        <v>0</v>
      </c>
      <c r="BQ927">
        <v>0</v>
      </c>
      <c r="BR927">
        <v>0</v>
      </c>
      <c r="BS927">
        <v>0</v>
      </c>
      <c r="BT927" s="18">
        <v>0</v>
      </c>
      <c r="BU927">
        <v>0</v>
      </c>
      <c r="BV927">
        <v>0</v>
      </c>
      <c r="BW927">
        <v>1</v>
      </c>
      <c r="BX927" s="18">
        <v>0</v>
      </c>
      <c r="BY927">
        <v>0</v>
      </c>
      <c r="BZ927">
        <v>0</v>
      </c>
      <c r="CA927">
        <v>0</v>
      </c>
      <c r="CB927">
        <v>0</v>
      </c>
      <c r="CC927" s="18">
        <v>0</v>
      </c>
      <c r="CD927">
        <v>0</v>
      </c>
      <c r="CE927">
        <v>0</v>
      </c>
      <c r="CF927">
        <v>1</v>
      </c>
      <c r="CG927">
        <v>1</v>
      </c>
      <c r="CH927">
        <v>0</v>
      </c>
      <c r="CI927">
        <v>1</v>
      </c>
      <c r="CJ927">
        <v>1</v>
      </c>
      <c r="CK927">
        <v>1</v>
      </c>
      <c r="CL927">
        <v>1</v>
      </c>
      <c r="CM927">
        <v>0</v>
      </c>
      <c r="CN927" s="18">
        <v>1</v>
      </c>
      <c r="CO927">
        <v>0.14599999999999999</v>
      </c>
      <c r="CP927">
        <v>4</v>
      </c>
      <c r="CQ927">
        <v>1</v>
      </c>
      <c r="CR927">
        <v>0</v>
      </c>
      <c r="CS927">
        <v>18</v>
      </c>
      <c r="CY927" s="34"/>
    </row>
    <row r="928" spans="1:103" x14ac:dyDescent="0.25">
      <c r="A928">
        <v>927</v>
      </c>
      <c r="B928">
        <v>64</v>
      </c>
      <c r="C928" s="25" t="s">
        <v>3962</v>
      </c>
      <c r="D928" s="12">
        <v>7.4</v>
      </c>
      <c r="E928" s="14">
        <f t="shared" si="227"/>
        <v>0.79715609178067448</v>
      </c>
      <c r="F928" s="7">
        <v>9.2829999999999995</v>
      </c>
      <c r="G928" s="7">
        <f t="shared" si="219"/>
        <v>6.6028439082193255</v>
      </c>
      <c r="H928" s="16">
        <f t="shared" si="220"/>
        <v>8.1971560917806752</v>
      </c>
      <c r="I928" s="11">
        <f t="shared" si="223"/>
        <v>0.35208016755956645</v>
      </c>
      <c r="J928" s="33">
        <f t="shared" si="224"/>
        <v>3.7927412211522828E-2</v>
      </c>
      <c r="K928" s="33">
        <f t="shared" si="225"/>
        <v>26.366154232272862</v>
      </c>
      <c r="L928" s="8">
        <v>1</v>
      </c>
      <c r="M928" s="9">
        <v>0</v>
      </c>
      <c r="N928" s="8">
        <v>1</v>
      </c>
      <c r="O928" s="9">
        <v>0</v>
      </c>
      <c r="P928" s="9">
        <v>0</v>
      </c>
      <c r="Q928" s="9">
        <v>0</v>
      </c>
      <c r="R928" s="9">
        <v>0</v>
      </c>
      <c r="S928" s="8">
        <v>628</v>
      </c>
      <c r="T928" s="9">
        <v>18</v>
      </c>
      <c r="U928" s="9">
        <f t="shared" si="221"/>
        <v>609</v>
      </c>
      <c r="V928" s="9">
        <f t="shared" si="222"/>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30"/>
        <v>0.64500000000000002</v>
      </c>
      <c r="AN928" s="43">
        <v>0.33300000000000002</v>
      </c>
      <c r="AO928" s="42">
        <v>1</v>
      </c>
      <c r="AP928" s="18">
        <v>0</v>
      </c>
      <c r="AQ928">
        <v>1</v>
      </c>
      <c r="AR928" s="40">
        <f t="shared" si="231"/>
        <v>0</v>
      </c>
      <c r="AS928" s="39">
        <f t="shared" si="232"/>
        <v>0.59799999999999998</v>
      </c>
      <c r="AT928" s="40">
        <v>0.40200000000000002</v>
      </c>
      <c r="AU928">
        <v>0</v>
      </c>
      <c r="AV928" s="18">
        <v>1</v>
      </c>
      <c r="AW928">
        <v>0</v>
      </c>
      <c r="AX928" s="18">
        <v>1</v>
      </c>
      <c r="AY928" s="18" t="s">
        <v>5</v>
      </c>
      <c r="AZ928">
        <v>0</v>
      </c>
      <c r="BA928">
        <v>1</v>
      </c>
      <c r="BB928">
        <v>0</v>
      </c>
      <c r="BC928">
        <v>0</v>
      </c>
      <c r="BD928">
        <v>0</v>
      </c>
      <c r="BE928">
        <v>0</v>
      </c>
      <c r="BF928" s="18">
        <v>0</v>
      </c>
      <c r="BG928">
        <v>0</v>
      </c>
      <c r="BH928">
        <v>1</v>
      </c>
      <c r="BI928" s="18">
        <v>0</v>
      </c>
      <c r="BJ928">
        <v>1462</v>
      </c>
      <c r="BK928">
        <v>176</v>
      </c>
      <c r="BL928" s="93">
        <f t="shared" si="233"/>
        <v>33.839999999999996</v>
      </c>
      <c r="BM928">
        <v>1</v>
      </c>
      <c r="BN928">
        <v>0</v>
      </c>
      <c r="BO928">
        <v>0</v>
      </c>
      <c r="BP928">
        <v>0</v>
      </c>
      <c r="BQ928">
        <v>0</v>
      </c>
      <c r="BR928">
        <v>0</v>
      </c>
      <c r="BS928">
        <v>0</v>
      </c>
      <c r="BT928" s="18">
        <v>0</v>
      </c>
      <c r="BU928">
        <v>0</v>
      </c>
      <c r="BV928">
        <v>0</v>
      </c>
      <c r="BW928">
        <v>1</v>
      </c>
      <c r="BX928" s="18">
        <v>0</v>
      </c>
      <c r="BY928">
        <v>0</v>
      </c>
      <c r="BZ928">
        <v>0</v>
      </c>
      <c r="CA928">
        <v>0</v>
      </c>
      <c r="CB928">
        <v>0</v>
      </c>
      <c r="CC928" s="18">
        <v>0</v>
      </c>
      <c r="CD928">
        <v>0</v>
      </c>
      <c r="CE928">
        <v>0</v>
      </c>
      <c r="CF928">
        <v>1</v>
      </c>
      <c r="CG928">
        <v>1</v>
      </c>
      <c r="CH928">
        <v>0</v>
      </c>
      <c r="CI928">
        <v>1</v>
      </c>
      <c r="CJ928">
        <v>1</v>
      </c>
      <c r="CK928">
        <v>1</v>
      </c>
      <c r="CL928">
        <v>1</v>
      </c>
      <c r="CM928">
        <v>0</v>
      </c>
      <c r="CN928" s="18">
        <v>1</v>
      </c>
      <c r="CO928">
        <v>0.14599999999999999</v>
      </c>
      <c r="CP928">
        <v>4</v>
      </c>
      <c r="CQ928">
        <v>1</v>
      </c>
      <c r="CR928">
        <v>0</v>
      </c>
      <c r="CS928">
        <v>18</v>
      </c>
      <c r="CY928" s="34"/>
    </row>
    <row r="929" spans="1:103" x14ac:dyDescent="0.25">
      <c r="A929">
        <v>928</v>
      </c>
      <c r="B929">
        <v>64</v>
      </c>
      <c r="C929" s="25" t="s">
        <v>3962</v>
      </c>
      <c r="D929" s="12">
        <v>6.9</v>
      </c>
      <c r="E929" s="14">
        <f t="shared" si="227"/>
        <v>0.78695255474452552</v>
      </c>
      <c r="F929" s="7">
        <v>8.7680000000000007</v>
      </c>
      <c r="G929" s="7">
        <f t="shared" si="219"/>
        <v>6.1130474452554751</v>
      </c>
      <c r="H929" s="16">
        <f t="shared" si="220"/>
        <v>7.6869525547445257</v>
      </c>
      <c r="I929" s="11">
        <f t="shared" si="223"/>
        <v>0.33577414959800761</v>
      </c>
      <c r="J929" s="33">
        <f t="shared" si="224"/>
        <v>3.829540939758299E-2</v>
      </c>
      <c r="K929" s="33">
        <f t="shared" si="225"/>
        <v>26.112790429213035</v>
      </c>
      <c r="L929" s="8">
        <v>1</v>
      </c>
      <c r="M929" s="9">
        <v>0</v>
      </c>
      <c r="N929" s="8">
        <v>1</v>
      </c>
      <c r="O929" s="9">
        <v>0</v>
      </c>
      <c r="P929" s="9">
        <v>0</v>
      </c>
      <c r="Q929" s="9">
        <v>0</v>
      </c>
      <c r="R929" s="9">
        <v>0</v>
      </c>
      <c r="S929" s="8">
        <v>628</v>
      </c>
      <c r="T929" s="9">
        <v>22</v>
      </c>
      <c r="U929" s="9">
        <f t="shared" si="221"/>
        <v>605</v>
      </c>
      <c r="V929" s="9">
        <f t="shared" si="222"/>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30"/>
        <v>0.64500000000000002</v>
      </c>
      <c r="AN929" s="43">
        <v>0.33300000000000002</v>
      </c>
      <c r="AO929" s="42">
        <v>1</v>
      </c>
      <c r="AP929" s="18">
        <v>0</v>
      </c>
      <c r="AQ929">
        <v>0</v>
      </c>
      <c r="AR929" s="40">
        <f t="shared" si="231"/>
        <v>1</v>
      </c>
      <c r="AS929" s="39">
        <f t="shared" si="232"/>
        <v>0.59799999999999998</v>
      </c>
      <c r="AT929" s="40">
        <v>0.40200000000000002</v>
      </c>
      <c r="AU929">
        <v>0</v>
      </c>
      <c r="AV929" s="18">
        <v>1</v>
      </c>
      <c r="AW929">
        <v>0</v>
      </c>
      <c r="AX929" s="18">
        <v>1</v>
      </c>
      <c r="AY929" s="18" t="s">
        <v>5</v>
      </c>
      <c r="AZ929">
        <v>0</v>
      </c>
      <c r="BA929">
        <v>1</v>
      </c>
      <c r="BB929">
        <v>0</v>
      </c>
      <c r="BC929">
        <v>0</v>
      </c>
      <c r="BD929">
        <v>0</v>
      </c>
      <c r="BE929">
        <v>0</v>
      </c>
      <c r="BF929" s="18">
        <v>0</v>
      </c>
      <c r="BG929">
        <v>0</v>
      </c>
      <c r="BH929">
        <v>1</v>
      </c>
      <c r="BI929" s="18">
        <v>0</v>
      </c>
      <c r="BJ929">
        <v>1462</v>
      </c>
      <c r="BK929">
        <v>176</v>
      </c>
      <c r="BL929" s="93">
        <f t="shared" si="233"/>
        <v>33.839999999999996</v>
      </c>
      <c r="BM929">
        <v>1</v>
      </c>
      <c r="BN929">
        <v>0</v>
      </c>
      <c r="BO929">
        <v>0</v>
      </c>
      <c r="BP929">
        <v>0</v>
      </c>
      <c r="BQ929">
        <v>0</v>
      </c>
      <c r="BR929">
        <v>0</v>
      </c>
      <c r="BS929">
        <v>0</v>
      </c>
      <c r="BT929" s="18">
        <v>0</v>
      </c>
      <c r="BU929">
        <v>0</v>
      </c>
      <c r="BV929">
        <v>0</v>
      </c>
      <c r="BW929">
        <v>1</v>
      </c>
      <c r="BX929" s="18">
        <v>0</v>
      </c>
      <c r="BY929">
        <v>0</v>
      </c>
      <c r="BZ929">
        <v>0</v>
      </c>
      <c r="CA929">
        <v>0</v>
      </c>
      <c r="CB929">
        <v>0</v>
      </c>
      <c r="CC929" s="18">
        <v>0</v>
      </c>
      <c r="CD929">
        <v>0</v>
      </c>
      <c r="CE929">
        <v>0</v>
      </c>
      <c r="CF929">
        <v>1</v>
      </c>
      <c r="CG929">
        <v>1</v>
      </c>
      <c r="CH929">
        <v>0</v>
      </c>
      <c r="CI929">
        <v>1</v>
      </c>
      <c r="CJ929">
        <v>1</v>
      </c>
      <c r="CK929">
        <v>1</v>
      </c>
      <c r="CL929">
        <v>1</v>
      </c>
      <c r="CM929">
        <v>0</v>
      </c>
      <c r="CN929" s="18">
        <v>1</v>
      </c>
      <c r="CO929">
        <v>0.14599999999999999</v>
      </c>
      <c r="CP929">
        <v>4</v>
      </c>
      <c r="CQ929">
        <v>1</v>
      </c>
      <c r="CR929">
        <v>0</v>
      </c>
      <c r="CS929">
        <v>18</v>
      </c>
      <c r="CY929" s="34"/>
    </row>
    <row r="930" spans="1:103" x14ac:dyDescent="0.25">
      <c r="A930">
        <v>929</v>
      </c>
      <c r="B930">
        <v>64</v>
      </c>
      <c r="C930" s="25" t="s">
        <v>3962</v>
      </c>
      <c r="D930" s="12">
        <v>6.4</v>
      </c>
      <c r="E930" s="14">
        <f t="shared" si="227"/>
        <v>1.0718472617651984</v>
      </c>
      <c r="F930" s="7">
        <v>5.9710000000000001</v>
      </c>
      <c r="G930" s="7">
        <f t="shared" si="219"/>
        <v>5.3281527382348024</v>
      </c>
      <c r="H930" s="16">
        <f t="shared" si="220"/>
        <v>7.4718472617651983</v>
      </c>
      <c r="I930" s="11">
        <f t="shared" si="223"/>
        <v>0.28252834197816146</v>
      </c>
      <c r="J930" s="33">
        <f t="shared" si="224"/>
        <v>4.7316754643805303E-2</v>
      </c>
      <c r="K930" s="33">
        <f t="shared" si="225"/>
        <v>21.134162888555583</v>
      </c>
      <c r="L930" s="8">
        <v>1</v>
      </c>
      <c r="M930" s="9">
        <v>0</v>
      </c>
      <c r="N930" s="8">
        <v>1</v>
      </c>
      <c r="O930" s="9">
        <v>0</v>
      </c>
      <c r="P930" s="9">
        <v>0</v>
      </c>
      <c r="Q930" s="9">
        <v>0</v>
      </c>
      <c r="R930" s="9">
        <v>0</v>
      </c>
      <c r="S930" s="8">
        <v>422</v>
      </c>
      <c r="T930" s="9">
        <v>10</v>
      </c>
      <c r="U930" s="9">
        <f t="shared" si="221"/>
        <v>411</v>
      </c>
      <c r="V930" s="9">
        <f t="shared" si="222"/>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30"/>
        <v>0.64500000000000002</v>
      </c>
      <c r="AN930" s="43">
        <v>0.33300000000000002</v>
      </c>
      <c r="AO930" s="42">
        <v>1</v>
      </c>
      <c r="AP930" s="18">
        <v>0</v>
      </c>
      <c r="AQ930">
        <v>1</v>
      </c>
      <c r="AR930" s="40">
        <f t="shared" si="231"/>
        <v>0</v>
      </c>
      <c r="AS930" s="39">
        <f t="shared" si="232"/>
        <v>0.59799999999999998</v>
      </c>
      <c r="AT930" s="40">
        <v>0.40200000000000002</v>
      </c>
      <c r="AU930">
        <v>0</v>
      </c>
      <c r="AV930" s="18">
        <v>1</v>
      </c>
      <c r="AW930">
        <v>0</v>
      </c>
      <c r="AX930" s="18">
        <v>1</v>
      </c>
      <c r="AY930" s="18" t="s">
        <v>5</v>
      </c>
      <c r="AZ930">
        <v>0</v>
      </c>
      <c r="BA930">
        <v>1</v>
      </c>
      <c r="BB930">
        <v>0</v>
      </c>
      <c r="BC930">
        <v>0</v>
      </c>
      <c r="BD930">
        <v>0</v>
      </c>
      <c r="BE930">
        <v>0</v>
      </c>
      <c r="BF930" s="18">
        <v>0</v>
      </c>
      <c r="BG930">
        <v>0</v>
      </c>
      <c r="BH930">
        <v>1</v>
      </c>
      <c r="BI930" s="18">
        <v>0</v>
      </c>
      <c r="BJ930">
        <v>1462</v>
      </c>
      <c r="BK930">
        <v>176</v>
      </c>
      <c r="BL930" s="93">
        <f t="shared" si="233"/>
        <v>33.839999999999996</v>
      </c>
      <c r="BM930">
        <v>1</v>
      </c>
      <c r="BN930">
        <v>0</v>
      </c>
      <c r="BO930">
        <v>0</v>
      </c>
      <c r="BP930">
        <v>0</v>
      </c>
      <c r="BQ930">
        <v>0</v>
      </c>
      <c r="BR930">
        <v>0</v>
      </c>
      <c r="BS930">
        <v>0</v>
      </c>
      <c r="BT930" s="18">
        <v>0</v>
      </c>
      <c r="BU930">
        <v>0</v>
      </c>
      <c r="BV930">
        <v>0</v>
      </c>
      <c r="BW930">
        <v>1</v>
      </c>
      <c r="BX930" s="18">
        <v>0</v>
      </c>
      <c r="BY930">
        <v>0</v>
      </c>
      <c r="BZ930">
        <v>0</v>
      </c>
      <c r="CA930">
        <v>0</v>
      </c>
      <c r="CB930">
        <v>0</v>
      </c>
      <c r="CC930" s="18">
        <v>0</v>
      </c>
      <c r="CD930">
        <v>0</v>
      </c>
      <c r="CE930">
        <v>0</v>
      </c>
      <c r="CF930">
        <v>1</v>
      </c>
      <c r="CG930">
        <v>1</v>
      </c>
      <c r="CH930">
        <v>0</v>
      </c>
      <c r="CI930">
        <v>1</v>
      </c>
      <c r="CJ930">
        <v>1</v>
      </c>
      <c r="CK930">
        <v>1</v>
      </c>
      <c r="CL930">
        <v>0</v>
      </c>
      <c r="CM930">
        <v>0</v>
      </c>
      <c r="CN930" s="18">
        <v>1</v>
      </c>
      <c r="CO930">
        <v>0.14599999999999999</v>
      </c>
      <c r="CP930">
        <v>4</v>
      </c>
      <c r="CQ930">
        <v>1</v>
      </c>
      <c r="CR930">
        <v>0</v>
      </c>
      <c r="CS930">
        <v>18</v>
      </c>
      <c r="CY930" s="34"/>
    </row>
    <row r="931" spans="1:103" x14ac:dyDescent="0.25">
      <c r="A931">
        <v>930</v>
      </c>
      <c r="B931">
        <v>64</v>
      </c>
      <c r="C931" s="25" t="s">
        <v>3962</v>
      </c>
      <c r="D931" s="12">
        <v>8.52</v>
      </c>
      <c r="E931" s="14">
        <f t="shared" si="227"/>
        <v>1.0560237977193851</v>
      </c>
      <c r="F931" s="7">
        <v>8.0679999999999996</v>
      </c>
      <c r="G931" s="7">
        <f t="shared" si="219"/>
        <v>7.4639762022806142</v>
      </c>
      <c r="H931" s="16">
        <f t="shared" si="220"/>
        <v>9.5760237977193849</v>
      </c>
      <c r="I931" s="11">
        <f t="shared" si="223"/>
        <v>0.39552221475325594</v>
      </c>
      <c r="J931" s="33">
        <f t="shared" si="224"/>
        <v>4.9023576444379768E-2</v>
      </c>
      <c r="K931" s="33">
        <f t="shared" si="225"/>
        <v>20.398348560606564</v>
      </c>
      <c r="L931" s="8">
        <v>1</v>
      </c>
      <c r="M931" s="9">
        <v>0</v>
      </c>
      <c r="N931" s="8">
        <v>1</v>
      </c>
      <c r="O931" s="9">
        <v>0</v>
      </c>
      <c r="P931" s="9">
        <v>0</v>
      </c>
      <c r="Q931" s="9">
        <v>0</v>
      </c>
      <c r="R931" s="9">
        <v>0</v>
      </c>
      <c r="S931" s="8">
        <v>362</v>
      </c>
      <c r="T931" s="9">
        <v>10</v>
      </c>
      <c r="U931" s="9">
        <f t="shared" si="221"/>
        <v>351</v>
      </c>
      <c r="V931" s="9">
        <f t="shared" si="222"/>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30"/>
        <v>0.64500000000000002</v>
      </c>
      <c r="AN931" s="43">
        <v>0.33300000000000002</v>
      </c>
      <c r="AO931" s="42">
        <v>1</v>
      </c>
      <c r="AP931" s="18">
        <v>0</v>
      </c>
      <c r="AQ931">
        <v>0</v>
      </c>
      <c r="AR931" s="40">
        <f t="shared" si="231"/>
        <v>1</v>
      </c>
      <c r="AS931" s="39">
        <f t="shared" si="232"/>
        <v>0.59799999999999998</v>
      </c>
      <c r="AT931" s="40">
        <v>0.40200000000000002</v>
      </c>
      <c r="AU931">
        <v>0</v>
      </c>
      <c r="AV931" s="18">
        <v>1</v>
      </c>
      <c r="AW931">
        <v>0</v>
      </c>
      <c r="AX931" s="18">
        <v>1</v>
      </c>
      <c r="AY931" s="18" t="s">
        <v>5</v>
      </c>
      <c r="AZ931">
        <v>0</v>
      </c>
      <c r="BA931">
        <v>1</v>
      </c>
      <c r="BB931">
        <v>0</v>
      </c>
      <c r="BC931">
        <v>0</v>
      </c>
      <c r="BD931">
        <v>0</v>
      </c>
      <c r="BE931">
        <v>0</v>
      </c>
      <c r="BF931" s="18">
        <v>0</v>
      </c>
      <c r="BG931">
        <v>0</v>
      </c>
      <c r="BH931">
        <v>1</v>
      </c>
      <c r="BI931" s="18">
        <v>0</v>
      </c>
      <c r="BJ931">
        <v>1462</v>
      </c>
      <c r="BK931">
        <v>176</v>
      </c>
      <c r="BL931" s="93">
        <f t="shared" si="233"/>
        <v>33.839999999999996</v>
      </c>
      <c r="BM931">
        <v>1</v>
      </c>
      <c r="BN931">
        <v>0</v>
      </c>
      <c r="BO931">
        <v>0</v>
      </c>
      <c r="BP931">
        <v>0</v>
      </c>
      <c r="BQ931">
        <v>0</v>
      </c>
      <c r="BR931">
        <v>0</v>
      </c>
      <c r="BS931">
        <v>0</v>
      </c>
      <c r="BT931" s="18">
        <v>0</v>
      </c>
      <c r="BU931">
        <v>0</v>
      </c>
      <c r="BV931">
        <v>0</v>
      </c>
      <c r="BW931">
        <v>1</v>
      </c>
      <c r="BX931" s="18">
        <v>0</v>
      </c>
      <c r="BY931">
        <v>0</v>
      </c>
      <c r="BZ931">
        <v>0</v>
      </c>
      <c r="CA931">
        <v>0</v>
      </c>
      <c r="CB931">
        <v>0</v>
      </c>
      <c r="CC931" s="18">
        <v>0</v>
      </c>
      <c r="CD931">
        <v>0</v>
      </c>
      <c r="CE931">
        <v>0</v>
      </c>
      <c r="CF931">
        <v>1</v>
      </c>
      <c r="CG931">
        <v>1</v>
      </c>
      <c r="CH931">
        <v>0</v>
      </c>
      <c r="CI931">
        <v>1</v>
      </c>
      <c r="CJ931">
        <v>1</v>
      </c>
      <c r="CK931">
        <v>1</v>
      </c>
      <c r="CL931">
        <v>0</v>
      </c>
      <c r="CM931">
        <v>0</v>
      </c>
      <c r="CN931" s="18">
        <v>1</v>
      </c>
      <c r="CO931">
        <v>0.14599999999999999</v>
      </c>
      <c r="CP931">
        <v>4</v>
      </c>
      <c r="CQ931">
        <v>1</v>
      </c>
      <c r="CR931">
        <v>0</v>
      </c>
      <c r="CS931">
        <v>18</v>
      </c>
      <c r="CY931" s="34"/>
    </row>
    <row r="932" spans="1:103" x14ac:dyDescent="0.25">
      <c r="A932">
        <v>931</v>
      </c>
      <c r="B932">
        <v>64</v>
      </c>
      <c r="C932" s="25" t="s">
        <v>3962</v>
      </c>
      <c r="D932" s="12">
        <v>6.66</v>
      </c>
      <c r="E932" s="14">
        <f t="shared" si="227"/>
        <v>1.1388508891928866</v>
      </c>
      <c r="F932" s="7">
        <v>5.8479999999999999</v>
      </c>
      <c r="G932" s="7">
        <f t="shared" si="219"/>
        <v>5.521149110807114</v>
      </c>
      <c r="H932" s="16">
        <f t="shared" si="220"/>
        <v>7.7988508891928863</v>
      </c>
      <c r="I932" s="11">
        <f t="shared" si="223"/>
        <v>0.27872940443332772</v>
      </c>
      <c r="J932" s="33">
        <f t="shared" si="224"/>
        <v>4.7662346859324162E-2</v>
      </c>
      <c r="K932" s="33">
        <f t="shared" si="225"/>
        <v>20.980922382011713</v>
      </c>
      <c r="L932" s="8">
        <v>1</v>
      </c>
      <c r="M932" s="9">
        <v>0</v>
      </c>
      <c r="N932" s="8">
        <v>1</v>
      </c>
      <c r="O932" s="9">
        <v>0</v>
      </c>
      <c r="P932" s="9">
        <v>0</v>
      </c>
      <c r="Q932" s="9">
        <v>0</v>
      </c>
      <c r="R932" s="9">
        <v>0</v>
      </c>
      <c r="S932" s="8">
        <v>422</v>
      </c>
      <c r="T932" s="9">
        <v>15</v>
      </c>
      <c r="U932" s="9">
        <f t="shared" si="221"/>
        <v>406</v>
      </c>
      <c r="V932" s="9">
        <f t="shared" si="222"/>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30"/>
        <v>0.64500000000000002</v>
      </c>
      <c r="AN932" s="43">
        <v>0.33300000000000002</v>
      </c>
      <c r="AO932" s="42">
        <v>1</v>
      </c>
      <c r="AP932" s="18">
        <v>0</v>
      </c>
      <c r="AQ932">
        <v>1</v>
      </c>
      <c r="AR932" s="40">
        <f t="shared" si="231"/>
        <v>0</v>
      </c>
      <c r="AS932" s="39">
        <f t="shared" si="232"/>
        <v>0.59799999999999998</v>
      </c>
      <c r="AT932" s="40">
        <v>0.40200000000000002</v>
      </c>
      <c r="AU932">
        <v>0</v>
      </c>
      <c r="AV932" s="18">
        <v>1</v>
      </c>
      <c r="AW932">
        <v>0</v>
      </c>
      <c r="AX932" s="18">
        <v>1</v>
      </c>
      <c r="AY932" s="18" t="s">
        <v>5</v>
      </c>
      <c r="AZ932">
        <v>0</v>
      </c>
      <c r="BA932">
        <v>1</v>
      </c>
      <c r="BB932">
        <v>0</v>
      </c>
      <c r="BC932">
        <v>0</v>
      </c>
      <c r="BD932">
        <v>0</v>
      </c>
      <c r="BE932">
        <v>0</v>
      </c>
      <c r="BF932" s="18">
        <v>0</v>
      </c>
      <c r="BG932">
        <v>0</v>
      </c>
      <c r="BH932">
        <v>1</v>
      </c>
      <c r="BI932" s="18">
        <v>0</v>
      </c>
      <c r="BJ932">
        <v>1462</v>
      </c>
      <c r="BK932">
        <v>176</v>
      </c>
      <c r="BL932" s="93">
        <f t="shared" si="233"/>
        <v>33.839999999999996</v>
      </c>
      <c r="BM932">
        <v>1</v>
      </c>
      <c r="BN932">
        <v>0</v>
      </c>
      <c r="BO932">
        <v>0</v>
      </c>
      <c r="BP932">
        <v>0</v>
      </c>
      <c r="BQ932">
        <v>0</v>
      </c>
      <c r="BR932">
        <v>0</v>
      </c>
      <c r="BS932">
        <v>0</v>
      </c>
      <c r="BT932" s="18">
        <v>0</v>
      </c>
      <c r="BU932">
        <v>0</v>
      </c>
      <c r="BV932">
        <v>0</v>
      </c>
      <c r="BW932">
        <v>1</v>
      </c>
      <c r="BX932" s="18">
        <v>0</v>
      </c>
      <c r="BY932">
        <v>0</v>
      </c>
      <c r="BZ932">
        <v>0</v>
      </c>
      <c r="CA932">
        <v>0</v>
      </c>
      <c r="CB932">
        <v>0</v>
      </c>
      <c r="CC932" s="18">
        <v>0</v>
      </c>
      <c r="CD932">
        <v>0</v>
      </c>
      <c r="CE932">
        <v>0</v>
      </c>
      <c r="CF932">
        <v>1</v>
      </c>
      <c r="CG932">
        <v>1</v>
      </c>
      <c r="CH932">
        <v>0</v>
      </c>
      <c r="CI932">
        <v>1</v>
      </c>
      <c r="CJ932">
        <v>1</v>
      </c>
      <c r="CK932">
        <v>1</v>
      </c>
      <c r="CL932">
        <v>1</v>
      </c>
      <c r="CM932">
        <v>0</v>
      </c>
      <c r="CN932" s="18">
        <v>1</v>
      </c>
      <c r="CO932">
        <v>0.14599999999999999</v>
      </c>
      <c r="CP932">
        <v>4</v>
      </c>
      <c r="CQ932">
        <v>1</v>
      </c>
      <c r="CR932">
        <v>0</v>
      </c>
      <c r="CS932">
        <v>18</v>
      </c>
      <c r="CY932" s="34"/>
    </row>
    <row r="933" spans="1:103" x14ac:dyDescent="0.25">
      <c r="A933">
        <v>932</v>
      </c>
      <c r="B933">
        <v>64</v>
      </c>
      <c r="C933" s="25" t="s">
        <v>3962</v>
      </c>
      <c r="D933" s="12">
        <v>9.08</v>
      </c>
      <c r="E933" s="14">
        <f t="shared" si="227"/>
        <v>1.1167138113393187</v>
      </c>
      <c r="F933" s="7">
        <v>8.1310000000000002</v>
      </c>
      <c r="G933" s="7">
        <f t="shared" si="219"/>
        <v>7.9632861886606818</v>
      </c>
      <c r="H933" s="16">
        <f t="shared" si="220"/>
        <v>10.196713811339318</v>
      </c>
      <c r="I933" s="11">
        <f t="shared" si="223"/>
        <v>0.400530616419636</v>
      </c>
      <c r="J933" s="33">
        <f t="shared" si="224"/>
        <v>4.9259699473574711E-2</v>
      </c>
      <c r="K933" s="33">
        <f t="shared" si="225"/>
        <v>20.300570459964913</v>
      </c>
      <c r="L933" s="8">
        <v>1</v>
      </c>
      <c r="M933" s="9">
        <v>0</v>
      </c>
      <c r="N933" s="8">
        <v>1</v>
      </c>
      <c r="O933" s="9">
        <v>0</v>
      </c>
      <c r="P933" s="9">
        <v>0</v>
      </c>
      <c r="Q933" s="9">
        <v>0</v>
      </c>
      <c r="R933" s="9">
        <v>0</v>
      </c>
      <c r="S933" s="8">
        <v>362</v>
      </c>
      <c r="T933" s="9">
        <v>15</v>
      </c>
      <c r="U933" s="9">
        <f t="shared" si="221"/>
        <v>346</v>
      </c>
      <c r="V933" s="9">
        <f t="shared" si="222"/>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30"/>
        <v>0.64500000000000002</v>
      </c>
      <c r="AN933" s="43">
        <v>0.33300000000000002</v>
      </c>
      <c r="AO933" s="42">
        <v>1</v>
      </c>
      <c r="AP933" s="18">
        <v>0</v>
      </c>
      <c r="AQ933">
        <v>0</v>
      </c>
      <c r="AR933" s="40">
        <f t="shared" si="231"/>
        <v>1</v>
      </c>
      <c r="AS933" s="39">
        <f t="shared" si="232"/>
        <v>0.59799999999999998</v>
      </c>
      <c r="AT933" s="40">
        <v>0.40200000000000002</v>
      </c>
      <c r="AU933">
        <v>0</v>
      </c>
      <c r="AV933" s="18">
        <v>1</v>
      </c>
      <c r="AW933">
        <v>0</v>
      </c>
      <c r="AX933" s="18">
        <v>1</v>
      </c>
      <c r="AY933" s="18" t="s">
        <v>5</v>
      </c>
      <c r="AZ933">
        <v>0</v>
      </c>
      <c r="BA933">
        <v>1</v>
      </c>
      <c r="BB933">
        <v>0</v>
      </c>
      <c r="BC933">
        <v>0</v>
      </c>
      <c r="BD933">
        <v>0</v>
      </c>
      <c r="BE933">
        <v>0</v>
      </c>
      <c r="BF933" s="18">
        <v>0</v>
      </c>
      <c r="BG933">
        <v>0</v>
      </c>
      <c r="BH933">
        <v>1</v>
      </c>
      <c r="BI933" s="18">
        <v>0</v>
      </c>
      <c r="BJ933">
        <v>1462</v>
      </c>
      <c r="BK933">
        <v>176</v>
      </c>
      <c r="BL933" s="93">
        <f t="shared" si="233"/>
        <v>33.839999999999996</v>
      </c>
      <c r="BM933">
        <v>1</v>
      </c>
      <c r="BN933">
        <v>0</v>
      </c>
      <c r="BO933">
        <v>0</v>
      </c>
      <c r="BP933">
        <v>0</v>
      </c>
      <c r="BQ933">
        <v>0</v>
      </c>
      <c r="BR933">
        <v>0</v>
      </c>
      <c r="BS933">
        <v>0</v>
      </c>
      <c r="BT933" s="18">
        <v>0</v>
      </c>
      <c r="BU933">
        <v>0</v>
      </c>
      <c r="BV933">
        <v>0</v>
      </c>
      <c r="BW933">
        <v>1</v>
      </c>
      <c r="BX933" s="18">
        <v>0</v>
      </c>
      <c r="BY933">
        <v>0</v>
      </c>
      <c r="BZ933">
        <v>0</v>
      </c>
      <c r="CA933">
        <v>0</v>
      </c>
      <c r="CB933">
        <v>0</v>
      </c>
      <c r="CC933" s="18">
        <v>0</v>
      </c>
      <c r="CD933">
        <v>0</v>
      </c>
      <c r="CE933">
        <v>0</v>
      </c>
      <c r="CF933">
        <v>1</v>
      </c>
      <c r="CG933">
        <v>1</v>
      </c>
      <c r="CH933">
        <v>0</v>
      </c>
      <c r="CI933">
        <v>1</v>
      </c>
      <c r="CJ933">
        <v>1</v>
      </c>
      <c r="CK933">
        <v>1</v>
      </c>
      <c r="CL933">
        <v>1</v>
      </c>
      <c r="CM933">
        <v>0</v>
      </c>
      <c r="CN933" s="18">
        <v>1</v>
      </c>
      <c r="CO933">
        <v>0.14599999999999999</v>
      </c>
      <c r="CP933">
        <v>4</v>
      </c>
      <c r="CQ933">
        <v>1</v>
      </c>
      <c r="CR933">
        <v>0</v>
      </c>
      <c r="CS933">
        <v>18</v>
      </c>
      <c r="CY933" s="34"/>
    </row>
    <row r="934" spans="1:103" x14ac:dyDescent="0.25">
      <c r="A934">
        <v>933</v>
      </c>
      <c r="B934">
        <v>64</v>
      </c>
      <c r="C934" s="25" t="s">
        <v>3962</v>
      </c>
      <c r="D934" s="12">
        <v>6.67</v>
      </c>
      <c r="E934" s="14">
        <f t="shared" si="227"/>
        <v>1.1575841721624436</v>
      </c>
      <c r="F934" s="7">
        <v>5.7619999999999996</v>
      </c>
      <c r="G934" s="7">
        <f t="shared" si="219"/>
        <v>5.5124158278375566</v>
      </c>
      <c r="H934" s="16">
        <f t="shared" si="220"/>
        <v>7.8275841721624433</v>
      </c>
      <c r="I934" s="11">
        <f t="shared" si="223"/>
        <v>0.27588627965331808</v>
      </c>
      <c r="J934" s="33">
        <f t="shared" si="224"/>
        <v>4.7880298447295751E-2</v>
      </c>
      <c r="K934" s="33">
        <f t="shared" si="225"/>
        <v>20.885417017622608</v>
      </c>
      <c r="L934" s="8">
        <v>1</v>
      </c>
      <c r="M934" s="9">
        <v>0</v>
      </c>
      <c r="N934" s="8">
        <v>1</v>
      </c>
      <c r="O934" s="9">
        <v>0</v>
      </c>
      <c r="P934" s="9">
        <v>0</v>
      </c>
      <c r="Q934" s="9">
        <v>0</v>
      </c>
      <c r="R934" s="9">
        <v>0</v>
      </c>
      <c r="S934" s="8">
        <v>422</v>
      </c>
      <c r="T934" s="9">
        <v>18</v>
      </c>
      <c r="U934" s="9">
        <f t="shared" si="221"/>
        <v>403</v>
      </c>
      <c r="V934" s="9">
        <f t="shared" si="222"/>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30"/>
        <v>0.64500000000000002</v>
      </c>
      <c r="AN934" s="43">
        <v>0.33300000000000002</v>
      </c>
      <c r="AO934" s="42">
        <v>1</v>
      </c>
      <c r="AP934" s="18">
        <v>0</v>
      </c>
      <c r="AQ934">
        <v>1</v>
      </c>
      <c r="AR934" s="40">
        <f t="shared" si="231"/>
        <v>0</v>
      </c>
      <c r="AS934" s="39">
        <f t="shared" si="232"/>
        <v>0.59799999999999998</v>
      </c>
      <c r="AT934" s="40">
        <v>0.40200000000000002</v>
      </c>
      <c r="AU934">
        <v>0</v>
      </c>
      <c r="AV934" s="18">
        <v>1</v>
      </c>
      <c r="AW934">
        <v>0</v>
      </c>
      <c r="AX934" s="18">
        <v>1</v>
      </c>
      <c r="AY934" s="18" t="s">
        <v>5</v>
      </c>
      <c r="AZ934">
        <v>0</v>
      </c>
      <c r="BA934">
        <v>1</v>
      </c>
      <c r="BB934">
        <v>0</v>
      </c>
      <c r="BC934">
        <v>0</v>
      </c>
      <c r="BD934">
        <v>0</v>
      </c>
      <c r="BE934">
        <v>0</v>
      </c>
      <c r="BF934" s="18">
        <v>0</v>
      </c>
      <c r="BG934">
        <v>0</v>
      </c>
      <c r="BH934">
        <v>1</v>
      </c>
      <c r="BI934" s="18">
        <v>0</v>
      </c>
      <c r="BJ934">
        <v>1462</v>
      </c>
      <c r="BK934">
        <v>176</v>
      </c>
      <c r="BL934" s="93">
        <f t="shared" si="233"/>
        <v>33.839999999999996</v>
      </c>
      <c r="BM934">
        <v>1</v>
      </c>
      <c r="BN934">
        <v>0</v>
      </c>
      <c r="BO934">
        <v>0</v>
      </c>
      <c r="BP934">
        <v>0</v>
      </c>
      <c r="BQ934">
        <v>0</v>
      </c>
      <c r="BR934">
        <v>0</v>
      </c>
      <c r="BS934">
        <v>0</v>
      </c>
      <c r="BT934" s="18">
        <v>0</v>
      </c>
      <c r="BU934">
        <v>0</v>
      </c>
      <c r="BV934">
        <v>0</v>
      </c>
      <c r="BW934">
        <v>1</v>
      </c>
      <c r="BX934" s="18">
        <v>0</v>
      </c>
      <c r="BY934">
        <v>0</v>
      </c>
      <c r="BZ934">
        <v>0</v>
      </c>
      <c r="CA934">
        <v>0</v>
      </c>
      <c r="CB934">
        <v>0</v>
      </c>
      <c r="CC934" s="18">
        <v>0</v>
      </c>
      <c r="CD934">
        <v>0</v>
      </c>
      <c r="CE934">
        <v>0</v>
      </c>
      <c r="CF934">
        <v>1</v>
      </c>
      <c r="CG934">
        <v>1</v>
      </c>
      <c r="CH934">
        <v>0</v>
      </c>
      <c r="CI934">
        <v>1</v>
      </c>
      <c r="CJ934">
        <v>1</v>
      </c>
      <c r="CK934">
        <v>1</v>
      </c>
      <c r="CL934">
        <v>1</v>
      </c>
      <c r="CM934">
        <v>0</v>
      </c>
      <c r="CN934" s="18">
        <v>1</v>
      </c>
      <c r="CO934">
        <v>0.14599999999999999</v>
      </c>
      <c r="CP934">
        <v>4</v>
      </c>
      <c r="CQ934">
        <v>1</v>
      </c>
      <c r="CR934">
        <v>0</v>
      </c>
      <c r="CS934">
        <v>18</v>
      </c>
      <c r="CY934" s="34"/>
    </row>
    <row r="935" spans="1:103" x14ac:dyDescent="0.25">
      <c r="A935">
        <v>934</v>
      </c>
      <c r="B935">
        <v>64</v>
      </c>
      <c r="C935" s="25" t="s">
        <v>3962</v>
      </c>
      <c r="D935" s="12">
        <v>9.07</v>
      </c>
      <c r="E935" s="14">
        <f t="shared" si="227"/>
        <v>1.1211372064276885</v>
      </c>
      <c r="F935" s="7">
        <v>8.09</v>
      </c>
      <c r="G935" s="7">
        <f t="shared" si="219"/>
        <v>7.948862793572312</v>
      </c>
      <c r="H935" s="16">
        <f t="shared" si="220"/>
        <v>10.191137206427689</v>
      </c>
      <c r="I935" s="11">
        <f t="shared" si="223"/>
        <v>0.40029492263963368</v>
      </c>
      <c r="J935" s="33">
        <f t="shared" si="224"/>
        <v>4.9480212934441742E-2</v>
      </c>
      <c r="K935" s="33">
        <f t="shared" si="225"/>
        <v>20.210098960668155</v>
      </c>
      <c r="L935" s="8">
        <v>1</v>
      </c>
      <c r="M935" s="9">
        <v>0</v>
      </c>
      <c r="N935" s="8">
        <v>1</v>
      </c>
      <c r="O935" s="9">
        <v>0</v>
      </c>
      <c r="P935" s="9">
        <v>0</v>
      </c>
      <c r="Q935" s="9">
        <v>0</v>
      </c>
      <c r="R935" s="9">
        <v>0</v>
      </c>
      <c r="S935" s="8">
        <v>362</v>
      </c>
      <c r="T935" s="9">
        <v>18</v>
      </c>
      <c r="U935" s="9">
        <f t="shared" si="221"/>
        <v>343</v>
      </c>
      <c r="V935" s="9">
        <f t="shared" si="222"/>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30"/>
        <v>0.64500000000000002</v>
      </c>
      <c r="AN935" s="43">
        <v>0.33300000000000002</v>
      </c>
      <c r="AO935" s="42">
        <v>1</v>
      </c>
      <c r="AP935" s="18">
        <v>0</v>
      </c>
      <c r="AQ935">
        <v>0</v>
      </c>
      <c r="AR935" s="40">
        <f t="shared" si="231"/>
        <v>1</v>
      </c>
      <c r="AS935" s="39">
        <f t="shared" si="232"/>
        <v>0.59799999999999998</v>
      </c>
      <c r="AT935" s="40">
        <v>0.40200000000000002</v>
      </c>
      <c r="AU935">
        <v>0</v>
      </c>
      <c r="AV935" s="18">
        <v>1</v>
      </c>
      <c r="AW935">
        <v>0</v>
      </c>
      <c r="AX935" s="18">
        <v>1</v>
      </c>
      <c r="AY935" s="18" t="s">
        <v>5</v>
      </c>
      <c r="AZ935">
        <v>0</v>
      </c>
      <c r="BA935">
        <v>1</v>
      </c>
      <c r="BB935">
        <v>0</v>
      </c>
      <c r="BC935">
        <v>0</v>
      </c>
      <c r="BD935">
        <v>0</v>
      </c>
      <c r="BE935">
        <v>0</v>
      </c>
      <c r="BF935" s="18">
        <v>0</v>
      </c>
      <c r="BG935">
        <v>0</v>
      </c>
      <c r="BH935">
        <v>1</v>
      </c>
      <c r="BI935" s="18">
        <v>0</v>
      </c>
      <c r="BJ935">
        <v>1462</v>
      </c>
      <c r="BK935">
        <v>176</v>
      </c>
      <c r="BL935" s="93">
        <f t="shared" si="233"/>
        <v>33.839999999999996</v>
      </c>
      <c r="BM935">
        <v>1</v>
      </c>
      <c r="BN935">
        <v>0</v>
      </c>
      <c r="BO935">
        <v>0</v>
      </c>
      <c r="BP935">
        <v>0</v>
      </c>
      <c r="BQ935">
        <v>0</v>
      </c>
      <c r="BR935">
        <v>0</v>
      </c>
      <c r="BS935">
        <v>0</v>
      </c>
      <c r="BT935" s="18">
        <v>0</v>
      </c>
      <c r="BU935">
        <v>0</v>
      </c>
      <c r="BV935">
        <v>0</v>
      </c>
      <c r="BW935">
        <v>1</v>
      </c>
      <c r="BX935" s="18">
        <v>0</v>
      </c>
      <c r="BY935">
        <v>0</v>
      </c>
      <c r="BZ935">
        <v>0</v>
      </c>
      <c r="CA935">
        <v>0</v>
      </c>
      <c r="CB935">
        <v>0</v>
      </c>
      <c r="CC935" s="18">
        <v>0</v>
      </c>
      <c r="CD935">
        <v>0</v>
      </c>
      <c r="CE935">
        <v>0</v>
      </c>
      <c r="CF935">
        <v>1</v>
      </c>
      <c r="CG935">
        <v>1</v>
      </c>
      <c r="CH935">
        <v>0</v>
      </c>
      <c r="CI935">
        <v>1</v>
      </c>
      <c r="CJ935">
        <v>1</v>
      </c>
      <c r="CK935">
        <v>1</v>
      </c>
      <c r="CL935">
        <v>1</v>
      </c>
      <c r="CM935">
        <v>0</v>
      </c>
      <c r="CN935" s="18">
        <v>1</v>
      </c>
      <c r="CO935">
        <v>0.14599999999999999</v>
      </c>
      <c r="CP935">
        <v>4</v>
      </c>
      <c r="CQ935">
        <v>1</v>
      </c>
      <c r="CR935">
        <v>0</v>
      </c>
      <c r="CS935">
        <v>18</v>
      </c>
      <c r="CY935" s="34"/>
    </row>
    <row r="936" spans="1:103" x14ac:dyDescent="0.25">
      <c r="A936">
        <v>935</v>
      </c>
      <c r="B936">
        <v>64</v>
      </c>
      <c r="C936" s="25" t="s">
        <v>3962</v>
      </c>
      <c r="D936" s="12">
        <v>6.61</v>
      </c>
      <c r="E936" s="14">
        <f t="shared" si="227"/>
        <v>1.1598526057203018</v>
      </c>
      <c r="F936" s="7">
        <v>5.6989999999999998</v>
      </c>
      <c r="G936" s="7">
        <f t="shared" si="219"/>
        <v>5.4501473942796981</v>
      </c>
      <c r="H936" s="16">
        <f t="shared" si="220"/>
        <v>7.7698526057203026</v>
      </c>
      <c r="I936" s="11">
        <f t="shared" si="223"/>
        <v>0.27435888297770461</v>
      </c>
      <c r="J936" s="33">
        <f t="shared" si="224"/>
        <v>4.8141583256308941E-2</v>
      </c>
      <c r="K936" s="33">
        <f t="shared" si="225"/>
        <v>20.77206299335721</v>
      </c>
      <c r="L936" s="8">
        <v>1</v>
      </c>
      <c r="M936" s="9">
        <v>0</v>
      </c>
      <c r="N936" s="8">
        <v>1</v>
      </c>
      <c r="O936" s="9">
        <v>0</v>
      </c>
      <c r="P936" s="9">
        <v>0</v>
      </c>
      <c r="Q936" s="9">
        <v>0</v>
      </c>
      <c r="R936" s="9">
        <v>0</v>
      </c>
      <c r="S936" s="8">
        <v>422</v>
      </c>
      <c r="T936" s="9">
        <v>22</v>
      </c>
      <c r="U936" s="9">
        <f t="shared" si="221"/>
        <v>399</v>
      </c>
      <c r="V936" s="9">
        <f t="shared" si="222"/>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30"/>
        <v>0.64500000000000002</v>
      </c>
      <c r="AN936" s="43">
        <v>0.33300000000000002</v>
      </c>
      <c r="AO936" s="42">
        <v>1</v>
      </c>
      <c r="AP936" s="18">
        <v>0</v>
      </c>
      <c r="AQ936">
        <v>1</v>
      </c>
      <c r="AR936" s="40">
        <f t="shared" si="231"/>
        <v>0</v>
      </c>
      <c r="AS936" s="39">
        <f t="shared" si="232"/>
        <v>0.59799999999999998</v>
      </c>
      <c r="AT936" s="40">
        <v>0.40200000000000002</v>
      </c>
      <c r="AU936">
        <v>0</v>
      </c>
      <c r="AV936" s="18">
        <v>1</v>
      </c>
      <c r="AW936">
        <v>0</v>
      </c>
      <c r="AX936" s="18">
        <v>1</v>
      </c>
      <c r="AY936" s="18" t="s">
        <v>5</v>
      </c>
      <c r="AZ936">
        <v>0</v>
      </c>
      <c r="BA936">
        <v>1</v>
      </c>
      <c r="BB936">
        <v>0</v>
      </c>
      <c r="BC936">
        <v>0</v>
      </c>
      <c r="BD936">
        <v>0</v>
      </c>
      <c r="BE936">
        <v>0</v>
      </c>
      <c r="BF936" s="18">
        <v>0</v>
      </c>
      <c r="BG936">
        <v>0</v>
      </c>
      <c r="BH936">
        <v>1</v>
      </c>
      <c r="BI936" s="18">
        <v>0</v>
      </c>
      <c r="BJ936">
        <v>1462</v>
      </c>
      <c r="BK936">
        <v>176</v>
      </c>
      <c r="BL936" s="93">
        <f t="shared" si="233"/>
        <v>33.839999999999996</v>
      </c>
      <c r="BM936">
        <v>1</v>
      </c>
      <c r="BN936">
        <v>0</v>
      </c>
      <c r="BO936">
        <v>0</v>
      </c>
      <c r="BP936">
        <v>0</v>
      </c>
      <c r="BQ936">
        <v>0</v>
      </c>
      <c r="BR936">
        <v>0</v>
      </c>
      <c r="BS936">
        <v>0</v>
      </c>
      <c r="BT936" s="18">
        <v>0</v>
      </c>
      <c r="BU936">
        <v>0</v>
      </c>
      <c r="BV936">
        <v>0</v>
      </c>
      <c r="BW936">
        <v>1</v>
      </c>
      <c r="BX936" s="18">
        <v>0</v>
      </c>
      <c r="BY936">
        <v>0</v>
      </c>
      <c r="BZ936">
        <v>0</v>
      </c>
      <c r="CA936">
        <v>0</v>
      </c>
      <c r="CB936">
        <v>0</v>
      </c>
      <c r="CC936" s="18">
        <v>0</v>
      </c>
      <c r="CD936">
        <v>0</v>
      </c>
      <c r="CE936">
        <v>0</v>
      </c>
      <c r="CF936">
        <v>1</v>
      </c>
      <c r="CG936">
        <v>1</v>
      </c>
      <c r="CH936">
        <v>0</v>
      </c>
      <c r="CI936">
        <v>1</v>
      </c>
      <c r="CJ936">
        <v>1</v>
      </c>
      <c r="CK936">
        <v>1</v>
      </c>
      <c r="CL936">
        <v>1</v>
      </c>
      <c r="CM936">
        <v>0</v>
      </c>
      <c r="CN936" s="18">
        <v>1</v>
      </c>
      <c r="CO936">
        <v>0.14599999999999999</v>
      </c>
      <c r="CP936">
        <v>4</v>
      </c>
      <c r="CQ936">
        <v>1</v>
      </c>
      <c r="CR936">
        <v>0</v>
      </c>
      <c r="CS936">
        <v>18</v>
      </c>
      <c r="CY936" s="34"/>
    </row>
    <row r="937" spans="1:103" x14ac:dyDescent="0.25">
      <c r="A937">
        <v>936</v>
      </c>
      <c r="B937">
        <v>64</v>
      </c>
      <c r="C937" s="25" t="s">
        <v>3962</v>
      </c>
      <c r="D937" s="12">
        <v>8.76</v>
      </c>
      <c r="E937" s="14">
        <f t="shared" si="227"/>
        <v>1.1546065638592329</v>
      </c>
      <c r="F937" s="7">
        <v>7.5869999999999997</v>
      </c>
      <c r="G937" s="7">
        <f t="shared" si="219"/>
        <v>7.6053934361407673</v>
      </c>
      <c r="H937" s="16">
        <f t="shared" si="220"/>
        <v>9.9146065638592322</v>
      </c>
      <c r="I937" s="11">
        <f t="shared" si="223"/>
        <v>0.38099056817957472</v>
      </c>
      <c r="J937" s="33">
        <f t="shared" si="224"/>
        <v>5.0216234108287169E-2</v>
      </c>
      <c r="K937" s="33">
        <f t="shared" si="225"/>
        <v>19.91387880348778</v>
      </c>
      <c r="L937" s="8">
        <v>1</v>
      </c>
      <c r="M937" s="9">
        <v>0</v>
      </c>
      <c r="N937" s="8">
        <v>1</v>
      </c>
      <c r="O937" s="9">
        <v>0</v>
      </c>
      <c r="P937" s="9">
        <v>0</v>
      </c>
      <c r="Q937" s="9">
        <v>0</v>
      </c>
      <c r="R937" s="9">
        <v>0</v>
      </c>
      <c r="S937" s="8">
        <v>362</v>
      </c>
      <c r="T937" s="9">
        <v>22</v>
      </c>
      <c r="U937" s="9">
        <f t="shared" si="221"/>
        <v>339</v>
      </c>
      <c r="V937" s="9">
        <f t="shared" si="222"/>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30"/>
        <v>0.64500000000000002</v>
      </c>
      <c r="AN937" s="43">
        <v>0.33300000000000002</v>
      </c>
      <c r="AO937" s="42">
        <v>1</v>
      </c>
      <c r="AP937" s="18">
        <v>0</v>
      </c>
      <c r="AQ937">
        <v>0</v>
      </c>
      <c r="AR937" s="40">
        <f t="shared" si="231"/>
        <v>1</v>
      </c>
      <c r="AS937" s="39">
        <f t="shared" si="232"/>
        <v>0.59799999999999998</v>
      </c>
      <c r="AT937" s="40">
        <v>0.40200000000000002</v>
      </c>
      <c r="AU937">
        <v>0</v>
      </c>
      <c r="AV937" s="18">
        <v>1</v>
      </c>
      <c r="AW937">
        <v>0</v>
      </c>
      <c r="AX937" s="18">
        <v>1</v>
      </c>
      <c r="AY937" s="18" t="s">
        <v>5</v>
      </c>
      <c r="AZ937">
        <v>0</v>
      </c>
      <c r="BA937">
        <v>1</v>
      </c>
      <c r="BB937">
        <v>0</v>
      </c>
      <c r="BC937">
        <v>0</v>
      </c>
      <c r="BD937">
        <v>0</v>
      </c>
      <c r="BE937">
        <v>0</v>
      </c>
      <c r="BF937" s="18">
        <v>0</v>
      </c>
      <c r="BG937">
        <v>0</v>
      </c>
      <c r="BH937">
        <v>1</v>
      </c>
      <c r="BI937" s="18">
        <v>0</v>
      </c>
      <c r="BJ937">
        <v>1462</v>
      </c>
      <c r="BK937">
        <v>176</v>
      </c>
      <c r="BL937" s="93">
        <f t="shared" si="233"/>
        <v>33.839999999999996</v>
      </c>
      <c r="BM937">
        <v>1</v>
      </c>
      <c r="BN937">
        <v>0</v>
      </c>
      <c r="BO937">
        <v>0</v>
      </c>
      <c r="BP937">
        <v>0</v>
      </c>
      <c r="BQ937">
        <v>0</v>
      </c>
      <c r="BR937">
        <v>0</v>
      </c>
      <c r="BS937">
        <v>0</v>
      </c>
      <c r="BT937" s="18">
        <v>0</v>
      </c>
      <c r="BU937">
        <v>0</v>
      </c>
      <c r="BV937">
        <v>0</v>
      </c>
      <c r="BW937">
        <v>1</v>
      </c>
      <c r="BX937" s="18">
        <v>0</v>
      </c>
      <c r="BY937">
        <v>0</v>
      </c>
      <c r="BZ937">
        <v>0</v>
      </c>
      <c r="CA937">
        <v>0</v>
      </c>
      <c r="CB937">
        <v>0</v>
      </c>
      <c r="CC937" s="18">
        <v>0</v>
      </c>
      <c r="CD937">
        <v>0</v>
      </c>
      <c r="CE937">
        <v>0</v>
      </c>
      <c r="CF937">
        <v>1</v>
      </c>
      <c r="CG937">
        <v>1</v>
      </c>
      <c r="CH937">
        <v>0</v>
      </c>
      <c r="CI937">
        <v>1</v>
      </c>
      <c r="CJ937">
        <v>1</v>
      </c>
      <c r="CK937">
        <v>1</v>
      </c>
      <c r="CL937">
        <v>1</v>
      </c>
      <c r="CM937">
        <v>0</v>
      </c>
      <c r="CN937" s="18">
        <v>1</v>
      </c>
      <c r="CO937">
        <v>0.14599999999999999</v>
      </c>
      <c r="CP937">
        <v>4</v>
      </c>
      <c r="CQ937">
        <v>1</v>
      </c>
      <c r="CR937">
        <v>0</v>
      </c>
      <c r="CS937">
        <v>18</v>
      </c>
      <c r="CY937" s="34"/>
    </row>
    <row r="938" spans="1:103" x14ac:dyDescent="0.25">
      <c r="A938">
        <v>937</v>
      </c>
      <c r="B938">
        <v>65</v>
      </c>
      <c r="C938" s="25" t="s">
        <v>3971</v>
      </c>
      <c r="D938" s="12">
        <v>9.44</v>
      </c>
      <c r="E938" s="14">
        <v>0.98</v>
      </c>
      <c r="F938" s="7">
        <f t="shared" ref="F938:F1001" si="234">D938/E938</f>
        <v>9.6326530612244898</v>
      </c>
      <c r="G938" s="7">
        <f t="shared" si="219"/>
        <v>8.4599999999999991</v>
      </c>
      <c r="H938" s="16">
        <f t="shared" si="220"/>
        <v>10.42</v>
      </c>
      <c r="I938" s="11">
        <f t="shared" si="223"/>
        <v>0.14911892285947093</v>
      </c>
      <c r="J938" s="33">
        <f t="shared" si="224"/>
        <v>1.5480566144309482E-2</v>
      </c>
      <c r="K938" s="33">
        <f t="shared" si="225"/>
        <v>64.597120717551476</v>
      </c>
      <c r="L938" s="8">
        <v>0</v>
      </c>
      <c r="M938" s="9">
        <v>1</v>
      </c>
      <c r="N938" s="8">
        <v>0</v>
      </c>
      <c r="O938" s="9">
        <v>0</v>
      </c>
      <c r="P938" s="9">
        <v>0</v>
      </c>
      <c r="Q938" s="9">
        <v>1</v>
      </c>
      <c r="R938" s="9">
        <v>0</v>
      </c>
      <c r="S938" s="8">
        <v>4083</v>
      </c>
      <c r="T938" s="9">
        <v>2</v>
      </c>
      <c r="U938" s="9">
        <f t="shared" si="221"/>
        <v>4080</v>
      </c>
      <c r="V938" s="9">
        <f t="shared" si="222"/>
        <v>24</v>
      </c>
      <c r="W938" s="7">
        <v>13.131</v>
      </c>
      <c r="X938" s="7">
        <f t="shared" ref="X938:X996" si="235">BL938-W938-6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31"/>
        <v>0.47599999999999998</v>
      </c>
      <c r="AS938" t="s">
        <v>98</v>
      </c>
      <c r="AT938" s="40" t="s">
        <v>98</v>
      </c>
      <c r="AU938">
        <v>0</v>
      </c>
      <c r="AV938" s="18">
        <v>1</v>
      </c>
      <c r="AW938" t="s">
        <v>98</v>
      </c>
      <c r="AX938" s="18" t="s">
        <v>98</v>
      </c>
      <c r="AY938" s="18" t="s">
        <v>233</v>
      </c>
      <c r="AZ938">
        <v>1</v>
      </c>
      <c r="BA938">
        <v>0</v>
      </c>
      <c r="BB938">
        <v>0</v>
      </c>
      <c r="BC938">
        <v>0</v>
      </c>
      <c r="BD938">
        <v>0</v>
      </c>
      <c r="BE938">
        <v>0</v>
      </c>
      <c r="BF938" s="18">
        <v>0</v>
      </c>
      <c r="BG938">
        <v>1</v>
      </c>
      <c r="BH938">
        <v>0</v>
      </c>
      <c r="BI938" s="18">
        <v>0</v>
      </c>
      <c r="BJ938">
        <v>19368</v>
      </c>
      <c r="BK938">
        <v>20765</v>
      </c>
      <c r="BL938" s="25">
        <v>28.28</v>
      </c>
      <c r="BM938">
        <v>0</v>
      </c>
      <c r="BN938">
        <v>0</v>
      </c>
      <c r="BO938">
        <v>0</v>
      </c>
      <c r="BP938">
        <v>1</v>
      </c>
      <c r="BQ938">
        <v>0</v>
      </c>
      <c r="BR938">
        <v>0</v>
      </c>
      <c r="BS938">
        <v>0</v>
      </c>
      <c r="BT938" s="18">
        <v>0</v>
      </c>
      <c r="BU938">
        <v>0</v>
      </c>
      <c r="BV938">
        <v>0</v>
      </c>
      <c r="BW938">
        <v>1</v>
      </c>
      <c r="BX938" s="18">
        <v>0</v>
      </c>
      <c r="BY938">
        <v>0</v>
      </c>
      <c r="BZ938">
        <v>0</v>
      </c>
      <c r="CA938">
        <v>0</v>
      </c>
      <c r="CB938">
        <v>0</v>
      </c>
      <c r="CC938" s="18">
        <v>0</v>
      </c>
      <c r="CD938">
        <v>0</v>
      </c>
      <c r="CE938">
        <v>0</v>
      </c>
      <c r="CF938">
        <v>0</v>
      </c>
      <c r="CG938">
        <v>0</v>
      </c>
      <c r="CH938">
        <v>0</v>
      </c>
      <c r="CI938">
        <v>0</v>
      </c>
      <c r="CJ938">
        <v>0</v>
      </c>
      <c r="CK938">
        <v>0</v>
      </c>
      <c r="CL938">
        <v>0</v>
      </c>
      <c r="CM938">
        <v>0</v>
      </c>
      <c r="CN938" s="18">
        <v>0</v>
      </c>
      <c r="CO938">
        <v>0.19600000000000001</v>
      </c>
      <c r="CP938">
        <v>166</v>
      </c>
      <c r="CQ938">
        <v>1</v>
      </c>
      <c r="CR938">
        <v>0</v>
      </c>
      <c r="CS938">
        <v>17</v>
      </c>
      <c r="CY938" s="34"/>
    </row>
    <row r="939" spans="1:103" x14ac:dyDescent="0.25">
      <c r="A939">
        <v>938</v>
      </c>
      <c r="B939">
        <v>65</v>
      </c>
      <c r="C939" s="25" t="s">
        <v>3971</v>
      </c>
      <c r="D939" s="12">
        <v>8.1</v>
      </c>
      <c r="E939" s="14">
        <v>0.22</v>
      </c>
      <c r="F939" s="7">
        <f t="shared" si="234"/>
        <v>36.818181818181813</v>
      </c>
      <c r="G939" s="7">
        <f t="shared" si="219"/>
        <v>7.88</v>
      </c>
      <c r="H939" s="16">
        <f t="shared" si="220"/>
        <v>8.32</v>
      </c>
      <c r="I939" s="11">
        <f t="shared" si="223"/>
        <v>0.14612854458928509</v>
      </c>
      <c r="J939" s="33">
        <f t="shared" si="224"/>
        <v>3.9689234332892257E-3</v>
      </c>
      <c r="K939" s="33">
        <f t="shared" si="225"/>
        <v>251.95749346347429</v>
      </c>
      <c r="L939" s="8">
        <v>0</v>
      </c>
      <c r="M939" s="9">
        <v>1</v>
      </c>
      <c r="N939" s="8">
        <v>0</v>
      </c>
      <c r="O939" s="9">
        <v>0</v>
      </c>
      <c r="P939" s="9">
        <v>0</v>
      </c>
      <c r="Q939" s="9">
        <v>1</v>
      </c>
      <c r="R939" s="9">
        <v>0</v>
      </c>
      <c r="S939" s="8">
        <v>62130</v>
      </c>
      <c r="T939" s="9">
        <v>2</v>
      </c>
      <c r="U939" s="9">
        <f t="shared" si="221"/>
        <v>62127</v>
      </c>
      <c r="V939" s="9">
        <f t="shared" si="222"/>
        <v>24</v>
      </c>
      <c r="W939" s="7">
        <v>13.154999999999999</v>
      </c>
      <c r="X939" s="7">
        <f t="shared" si="235"/>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31"/>
        <v>0.36699999999999999</v>
      </c>
      <c r="AS939" t="s">
        <v>98</v>
      </c>
      <c r="AT939" s="40" t="s">
        <v>98</v>
      </c>
      <c r="AU939">
        <v>0</v>
      </c>
      <c r="AV939" s="18">
        <v>1</v>
      </c>
      <c r="AW939" t="s">
        <v>98</v>
      </c>
      <c r="AX939" s="18" t="s">
        <v>98</v>
      </c>
      <c r="AY939" s="18" t="s">
        <v>233</v>
      </c>
      <c r="AZ939">
        <v>1</v>
      </c>
      <c r="BA939">
        <v>0</v>
      </c>
      <c r="BB939">
        <v>0</v>
      </c>
      <c r="BC939">
        <v>0</v>
      </c>
      <c r="BD939">
        <v>0</v>
      </c>
      <c r="BE939">
        <v>0</v>
      </c>
      <c r="BF939" s="18">
        <v>0</v>
      </c>
      <c r="BG939">
        <v>1</v>
      </c>
      <c r="BH939">
        <v>0</v>
      </c>
      <c r="BI939" s="18">
        <v>0</v>
      </c>
      <c r="BJ939">
        <v>19368</v>
      </c>
      <c r="BK939">
        <v>20765</v>
      </c>
      <c r="BL939" s="25">
        <v>30.21</v>
      </c>
      <c r="BM939">
        <v>0</v>
      </c>
      <c r="BN939">
        <v>0</v>
      </c>
      <c r="BO939">
        <v>0</v>
      </c>
      <c r="BP939">
        <v>1</v>
      </c>
      <c r="BQ939">
        <v>0</v>
      </c>
      <c r="BR939">
        <v>0</v>
      </c>
      <c r="BS939">
        <v>0</v>
      </c>
      <c r="BT939" s="18">
        <v>0</v>
      </c>
      <c r="BU939">
        <v>0</v>
      </c>
      <c r="BV939">
        <v>0</v>
      </c>
      <c r="BW939">
        <v>1</v>
      </c>
      <c r="BX939" s="18">
        <v>0</v>
      </c>
      <c r="BY939">
        <v>0</v>
      </c>
      <c r="BZ939">
        <v>0</v>
      </c>
      <c r="CA939">
        <v>0</v>
      </c>
      <c r="CB939">
        <v>0</v>
      </c>
      <c r="CC939" s="18">
        <v>0</v>
      </c>
      <c r="CD939">
        <v>0</v>
      </c>
      <c r="CE939">
        <v>0</v>
      </c>
      <c r="CF939">
        <v>0</v>
      </c>
      <c r="CG939">
        <v>0</v>
      </c>
      <c r="CH939">
        <v>0</v>
      </c>
      <c r="CI939">
        <v>0</v>
      </c>
      <c r="CJ939">
        <v>0</v>
      </c>
      <c r="CK939">
        <v>0</v>
      </c>
      <c r="CL939">
        <v>0</v>
      </c>
      <c r="CM939">
        <v>0</v>
      </c>
      <c r="CN939" s="18">
        <v>0</v>
      </c>
      <c r="CO939">
        <v>0.19600000000000001</v>
      </c>
      <c r="CP939">
        <v>166</v>
      </c>
      <c r="CQ939">
        <v>1</v>
      </c>
      <c r="CR939">
        <v>0</v>
      </c>
      <c r="CS939">
        <v>17</v>
      </c>
      <c r="CY939" s="34"/>
    </row>
    <row r="940" spans="1:103" x14ac:dyDescent="0.25">
      <c r="A940">
        <v>939</v>
      </c>
      <c r="B940">
        <v>65</v>
      </c>
      <c r="C940" s="25" t="s">
        <v>3971</v>
      </c>
      <c r="D940" s="12">
        <v>8.16</v>
      </c>
      <c r="E940" s="14">
        <v>0.21</v>
      </c>
      <c r="F940" s="7">
        <f t="shared" si="234"/>
        <v>38.857142857142861</v>
      </c>
      <c r="G940" s="7">
        <f t="shared" si="219"/>
        <v>7.95</v>
      </c>
      <c r="H940" s="16">
        <f t="shared" si="220"/>
        <v>8.370000000000001</v>
      </c>
      <c r="I940" s="11">
        <f t="shared" si="223"/>
        <v>0.14931821237205145</v>
      </c>
      <c r="J940" s="33">
        <f t="shared" si="224"/>
        <v>3.8427481125160295E-3</v>
      </c>
      <c r="K940" s="33">
        <f t="shared" si="225"/>
        <v>260.2304316390003</v>
      </c>
      <c r="L940" s="8">
        <v>0</v>
      </c>
      <c r="M940" s="9">
        <v>1</v>
      </c>
      <c r="N940" s="8">
        <v>0</v>
      </c>
      <c r="O940" s="9">
        <v>0</v>
      </c>
      <c r="P940" s="9">
        <v>0</v>
      </c>
      <c r="Q940" s="9">
        <v>1</v>
      </c>
      <c r="R940" s="9">
        <v>0</v>
      </c>
      <c r="S940" s="8">
        <v>66213</v>
      </c>
      <c r="T940" s="9">
        <v>2</v>
      </c>
      <c r="U940" s="9">
        <f t="shared" si="221"/>
        <v>66210</v>
      </c>
      <c r="V940" s="9">
        <f t="shared" si="222"/>
        <v>24</v>
      </c>
      <c r="W940" s="7">
        <v>13.153</v>
      </c>
      <c r="X940" s="7">
        <f t="shared" si="235"/>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31"/>
        <v>0.48299999999999998</v>
      </c>
      <c r="AS940" t="s">
        <v>98</v>
      </c>
      <c r="AT940" s="40" t="s">
        <v>98</v>
      </c>
      <c r="AU940">
        <v>0</v>
      </c>
      <c r="AV940" s="18">
        <v>1</v>
      </c>
      <c r="AW940" t="s">
        <v>98</v>
      </c>
      <c r="AX940" s="18" t="s">
        <v>98</v>
      </c>
      <c r="AY940" s="18" t="s">
        <v>233</v>
      </c>
      <c r="AZ940">
        <v>1</v>
      </c>
      <c r="BA940">
        <v>0</v>
      </c>
      <c r="BB940">
        <v>0</v>
      </c>
      <c r="BC940">
        <v>0</v>
      </c>
      <c r="BD940">
        <v>0</v>
      </c>
      <c r="BE940">
        <v>0</v>
      </c>
      <c r="BF940" s="18">
        <v>0</v>
      </c>
      <c r="BG940">
        <v>1</v>
      </c>
      <c r="BH940">
        <v>0</v>
      </c>
      <c r="BI940" s="18">
        <v>0</v>
      </c>
      <c r="BJ940">
        <v>19368</v>
      </c>
      <c r="BK940">
        <v>20765</v>
      </c>
      <c r="BL940" s="25">
        <v>28.15</v>
      </c>
      <c r="BM940">
        <v>0</v>
      </c>
      <c r="BN940">
        <v>0</v>
      </c>
      <c r="BO940">
        <v>0</v>
      </c>
      <c r="BP940">
        <v>1</v>
      </c>
      <c r="BQ940">
        <v>0</v>
      </c>
      <c r="BR940">
        <v>0</v>
      </c>
      <c r="BS940">
        <v>0</v>
      </c>
      <c r="BT940" s="18">
        <v>0</v>
      </c>
      <c r="BU940">
        <v>0</v>
      </c>
      <c r="BV940">
        <v>0</v>
      </c>
      <c r="BW940">
        <v>1</v>
      </c>
      <c r="BX940" s="18">
        <v>0</v>
      </c>
      <c r="BY940">
        <v>0</v>
      </c>
      <c r="BZ940">
        <v>0</v>
      </c>
      <c r="CA940">
        <v>0</v>
      </c>
      <c r="CB940">
        <v>0</v>
      </c>
      <c r="CC940" s="18">
        <v>0</v>
      </c>
      <c r="CD940">
        <v>0</v>
      </c>
      <c r="CE940">
        <v>0</v>
      </c>
      <c r="CF940">
        <v>0</v>
      </c>
      <c r="CG940">
        <v>0</v>
      </c>
      <c r="CH940">
        <v>0</v>
      </c>
      <c r="CI940">
        <v>0</v>
      </c>
      <c r="CJ940">
        <v>0</v>
      </c>
      <c r="CK940">
        <v>0</v>
      </c>
      <c r="CL940">
        <v>0</v>
      </c>
      <c r="CM940">
        <v>0</v>
      </c>
      <c r="CN940" s="18">
        <v>0</v>
      </c>
      <c r="CO940">
        <v>0.19600000000000001</v>
      </c>
      <c r="CP940">
        <v>166</v>
      </c>
      <c r="CQ940">
        <v>1</v>
      </c>
      <c r="CR940">
        <v>0</v>
      </c>
      <c r="CS940">
        <v>17</v>
      </c>
      <c r="CY940" s="34"/>
    </row>
    <row r="941" spans="1:103" x14ac:dyDescent="0.25">
      <c r="A941">
        <v>940</v>
      </c>
      <c r="B941">
        <v>65</v>
      </c>
      <c r="C941" s="25" t="s">
        <v>3971</v>
      </c>
      <c r="D941" s="12">
        <v>9.26</v>
      </c>
      <c r="E941" s="14">
        <v>0.95</v>
      </c>
      <c r="F941" s="7">
        <f t="shared" si="234"/>
        <v>9.7473684210526326</v>
      </c>
      <c r="G941" s="7">
        <f t="shared" si="219"/>
        <v>8.31</v>
      </c>
      <c r="H941" s="16">
        <f t="shared" si="220"/>
        <v>10.209999999999999</v>
      </c>
      <c r="I941" s="11">
        <f t="shared" si="223"/>
        <v>0.15085460062198786</v>
      </c>
      <c r="J941" s="33">
        <f t="shared" si="224"/>
        <v>1.5476443908303288E-2</v>
      </c>
      <c r="K941" s="33">
        <f t="shared" si="225"/>
        <v>64.614326516150697</v>
      </c>
      <c r="L941" s="8">
        <v>0</v>
      </c>
      <c r="M941" s="9">
        <v>1</v>
      </c>
      <c r="N941" s="8">
        <v>0</v>
      </c>
      <c r="O941" s="9">
        <v>0</v>
      </c>
      <c r="P941" s="9">
        <v>0</v>
      </c>
      <c r="Q941" s="9">
        <v>1</v>
      </c>
      <c r="R941" s="9">
        <v>0</v>
      </c>
      <c r="S941" s="8">
        <v>4083</v>
      </c>
      <c r="T941" s="9">
        <v>2</v>
      </c>
      <c r="U941" s="9">
        <f t="shared" si="221"/>
        <v>4080</v>
      </c>
      <c r="V941" s="9">
        <f t="shared" si="222"/>
        <v>24</v>
      </c>
      <c r="W941" s="7">
        <v>13.131</v>
      </c>
      <c r="X941" s="7">
        <f t="shared" si="235"/>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31"/>
        <v>0.47599999999999998</v>
      </c>
      <c r="AS941" t="s">
        <v>98</v>
      </c>
      <c r="AT941" s="40" t="s">
        <v>98</v>
      </c>
      <c r="AU941">
        <v>0</v>
      </c>
      <c r="AV941" s="18">
        <v>1</v>
      </c>
      <c r="AW941" t="s">
        <v>98</v>
      </c>
      <c r="AX941" s="18" t="s">
        <v>98</v>
      </c>
      <c r="AY941" s="18" t="s">
        <v>233</v>
      </c>
      <c r="AZ941">
        <v>1</v>
      </c>
      <c r="BA941">
        <v>0</v>
      </c>
      <c r="BB941">
        <v>0</v>
      </c>
      <c r="BC941">
        <v>0</v>
      </c>
      <c r="BD941">
        <v>0</v>
      </c>
      <c r="BE941">
        <v>0</v>
      </c>
      <c r="BF941" s="18">
        <v>0</v>
      </c>
      <c r="BG941">
        <v>1</v>
      </c>
      <c r="BH941">
        <v>0</v>
      </c>
      <c r="BI941" s="18">
        <v>0</v>
      </c>
      <c r="BJ941">
        <v>19368</v>
      </c>
      <c r="BK941">
        <v>20765</v>
      </c>
      <c r="BL941" s="25">
        <v>28.28</v>
      </c>
      <c r="BM941">
        <v>0</v>
      </c>
      <c r="BN941">
        <v>0</v>
      </c>
      <c r="BO941">
        <v>0</v>
      </c>
      <c r="BP941">
        <v>1</v>
      </c>
      <c r="BQ941">
        <v>0</v>
      </c>
      <c r="BR941">
        <v>0</v>
      </c>
      <c r="BS941">
        <v>0</v>
      </c>
      <c r="BT941" s="18">
        <v>0</v>
      </c>
      <c r="BU941">
        <v>0</v>
      </c>
      <c r="BV941">
        <v>0</v>
      </c>
      <c r="BW941">
        <v>1</v>
      </c>
      <c r="BX941" s="18">
        <v>0</v>
      </c>
      <c r="BY941">
        <v>0</v>
      </c>
      <c r="BZ941">
        <v>0</v>
      </c>
      <c r="CA941">
        <v>0</v>
      </c>
      <c r="CB941">
        <v>0</v>
      </c>
      <c r="CC941" s="18">
        <v>0</v>
      </c>
      <c r="CD941">
        <v>0</v>
      </c>
      <c r="CE941">
        <v>0</v>
      </c>
      <c r="CF941">
        <v>0</v>
      </c>
      <c r="CG941">
        <v>0</v>
      </c>
      <c r="CH941">
        <v>0</v>
      </c>
      <c r="CI941">
        <v>0</v>
      </c>
      <c r="CJ941">
        <v>0</v>
      </c>
      <c r="CK941">
        <v>0</v>
      </c>
      <c r="CL941">
        <v>0</v>
      </c>
      <c r="CM941">
        <v>0</v>
      </c>
      <c r="CN941" s="18">
        <v>0</v>
      </c>
      <c r="CO941">
        <v>0.19600000000000001</v>
      </c>
      <c r="CP941">
        <v>166</v>
      </c>
      <c r="CQ941">
        <v>1</v>
      </c>
      <c r="CR941">
        <v>0</v>
      </c>
      <c r="CS941">
        <v>17</v>
      </c>
      <c r="CY941" s="34"/>
    </row>
    <row r="942" spans="1:103" x14ac:dyDescent="0.25">
      <c r="A942">
        <v>941</v>
      </c>
      <c r="B942">
        <v>65</v>
      </c>
      <c r="C942" s="25" t="s">
        <v>3971</v>
      </c>
      <c r="D942" s="12">
        <v>8.08</v>
      </c>
      <c r="E942" s="14">
        <v>0.2</v>
      </c>
      <c r="F942" s="7">
        <f t="shared" si="234"/>
        <v>40.4</v>
      </c>
      <c r="G942" s="7">
        <f t="shared" si="219"/>
        <v>7.88</v>
      </c>
      <c r="H942" s="16">
        <f t="shared" si="220"/>
        <v>8.2799999999999994</v>
      </c>
      <c r="I942" s="11">
        <f t="shared" si="223"/>
        <v>0.15999634871826515</v>
      </c>
      <c r="J942" s="33">
        <f t="shared" si="224"/>
        <v>3.9603056613431971E-3</v>
      </c>
      <c r="K942" s="33">
        <f t="shared" si="225"/>
        <v>252.50576231048666</v>
      </c>
      <c r="L942" s="8">
        <v>0</v>
      </c>
      <c r="M942" s="9">
        <v>1</v>
      </c>
      <c r="N942" s="8">
        <v>0</v>
      </c>
      <c r="O942" s="9">
        <v>0</v>
      </c>
      <c r="P942" s="9">
        <v>0</v>
      </c>
      <c r="Q942" s="9">
        <v>1</v>
      </c>
      <c r="R942" s="9">
        <v>0</v>
      </c>
      <c r="S942" s="8">
        <v>62130</v>
      </c>
      <c r="T942" s="9">
        <v>2</v>
      </c>
      <c r="U942" s="9">
        <f t="shared" si="221"/>
        <v>62127</v>
      </c>
      <c r="V942" s="9">
        <f t="shared" si="222"/>
        <v>24</v>
      </c>
      <c r="W942" s="7">
        <v>13.154999999999999</v>
      </c>
      <c r="X942" s="7">
        <f t="shared" si="235"/>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31"/>
        <v>0.36699999999999999</v>
      </c>
      <c r="AS942" t="s">
        <v>98</v>
      </c>
      <c r="AT942" s="40" t="s">
        <v>98</v>
      </c>
      <c r="AU942">
        <v>0</v>
      </c>
      <c r="AV942" s="18">
        <v>1</v>
      </c>
      <c r="AW942" t="s">
        <v>98</v>
      </c>
      <c r="AX942" s="18" t="s">
        <v>98</v>
      </c>
      <c r="AY942" s="18" t="s">
        <v>233</v>
      </c>
      <c r="AZ942">
        <v>1</v>
      </c>
      <c r="BA942">
        <v>0</v>
      </c>
      <c r="BB942">
        <v>0</v>
      </c>
      <c r="BC942">
        <v>0</v>
      </c>
      <c r="BD942">
        <v>0</v>
      </c>
      <c r="BE942">
        <v>0</v>
      </c>
      <c r="BF942" s="18">
        <v>0</v>
      </c>
      <c r="BG942">
        <v>1</v>
      </c>
      <c r="BH942">
        <v>0</v>
      </c>
      <c r="BI942" s="18">
        <v>0</v>
      </c>
      <c r="BJ942">
        <v>19368</v>
      </c>
      <c r="BK942">
        <v>20765</v>
      </c>
      <c r="BL942" s="25">
        <v>30.21</v>
      </c>
      <c r="BM942">
        <v>0</v>
      </c>
      <c r="BN942">
        <v>0</v>
      </c>
      <c r="BO942">
        <v>0</v>
      </c>
      <c r="BP942">
        <v>1</v>
      </c>
      <c r="BQ942">
        <v>0</v>
      </c>
      <c r="BR942">
        <v>0</v>
      </c>
      <c r="BS942">
        <v>0</v>
      </c>
      <c r="BT942" s="18">
        <v>0</v>
      </c>
      <c r="BU942">
        <v>0</v>
      </c>
      <c r="BV942">
        <v>0</v>
      </c>
      <c r="BW942">
        <v>1</v>
      </c>
      <c r="BX942" s="18">
        <v>0</v>
      </c>
      <c r="BY942">
        <v>0</v>
      </c>
      <c r="BZ942">
        <v>0</v>
      </c>
      <c r="CA942">
        <v>0</v>
      </c>
      <c r="CB942">
        <v>0</v>
      </c>
      <c r="CC942" s="18">
        <v>0</v>
      </c>
      <c r="CD942">
        <v>0</v>
      </c>
      <c r="CE942">
        <v>0</v>
      </c>
      <c r="CF942">
        <v>0</v>
      </c>
      <c r="CG942">
        <v>0</v>
      </c>
      <c r="CH942">
        <v>0</v>
      </c>
      <c r="CI942">
        <v>0</v>
      </c>
      <c r="CJ942">
        <v>0</v>
      </c>
      <c r="CK942">
        <v>0</v>
      </c>
      <c r="CL942">
        <v>0</v>
      </c>
      <c r="CM942">
        <v>0</v>
      </c>
      <c r="CN942" s="18">
        <v>0</v>
      </c>
      <c r="CO942">
        <v>0.19600000000000001</v>
      </c>
      <c r="CP942">
        <v>166</v>
      </c>
      <c r="CQ942">
        <v>1</v>
      </c>
      <c r="CR942">
        <v>0</v>
      </c>
      <c r="CS942">
        <v>17</v>
      </c>
      <c r="CY942" s="34"/>
    </row>
    <row r="943" spans="1:103" x14ac:dyDescent="0.25">
      <c r="A943">
        <v>942</v>
      </c>
      <c r="B943">
        <v>65</v>
      </c>
      <c r="C943" s="25" t="s">
        <v>3971</v>
      </c>
      <c r="D943" s="12">
        <v>8.1199999999999992</v>
      </c>
      <c r="E943" s="14">
        <v>0.2</v>
      </c>
      <c r="F943" s="7">
        <f t="shared" si="234"/>
        <v>40.599999999999994</v>
      </c>
      <c r="G943" s="7">
        <f t="shared" si="219"/>
        <v>7.919999999999999</v>
      </c>
      <c r="H943" s="16">
        <f t="shared" si="220"/>
        <v>8.3199999999999985</v>
      </c>
      <c r="I943" s="11">
        <f t="shared" si="223"/>
        <v>0.15585629709920443</v>
      </c>
      <c r="J943" s="33">
        <f t="shared" si="224"/>
        <v>3.8388250517045436E-3</v>
      </c>
      <c r="K943" s="33">
        <f t="shared" si="225"/>
        <v>260.49637233558548</v>
      </c>
      <c r="L943" s="8">
        <v>0</v>
      </c>
      <c r="M943" s="9">
        <v>1</v>
      </c>
      <c r="N943" s="8">
        <v>0</v>
      </c>
      <c r="O943" s="9">
        <v>0</v>
      </c>
      <c r="P943" s="9">
        <v>0</v>
      </c>
      <c r="Q943" s="9">
        <v>1</v>
      </c>
      <c r="R943" s="9">
        <v>0</v>
      </c>
      <c r="S943" s="8">
        <v>66213</v>
      </c>
      <c r="T943" s="9">
        <v>2</v>
      </c>
      <c r="U943" s="9">
        <f t="shared" si="221"/>
        <v>66210</v>
      </c>
      <c r="V943" s="9">
        <f t="shared" si="222"/>
        <v>24</v>
      </c>
      <c r="W943" s="7">
        <v>13.153</v>
      </c>
      <c r="X943" s="7">
        <f t="shared" si="235"/>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31"/>
        <v>0.48299999999999998</v>
      </c>
      <c r="AS943" t="s">
        <v>98</v>
      </c>
      <c r="AT943" s="40" t="s">
        <v>98</v>
      </c>
      <c r="AU943">
        <v>0</v>
      </c>
      <c r="AV943" s="18">
        <v>1</v>
      </c>
      <c r="AW943" t="s">
        <v>98</v>
      </c>
      <c r="AX943" s="18" t="s">
        <v>98</v>
      </c>
      <c r="AY943" s="18" t="s">
        <v>233</v>
      </c>
      <c r="AZ943">
        <v>1</v>
      </c>
      <c r="BA943">
        <v>0</v>
      </c>
      <c r="BB943">
        <v>0</v>
      </c>
      <c r="BC943">
        <v>0</v>
      </c>
      <c r="BD943">
        <v>0</v>
      </c>
      <c r="BE943">
        <v>0</v>
      </c>
      <c r="BF943" s="18">
        <v>0</v>
      </c>
      <c r="BG943">
        <v>1</v>
      </c>
      <c r="BH943">
        <v>0</v>
      </c>
      <c r="BI943" s="18">
        <v>0</v>
      </c>
      <c r="BJ943">
        <v>19368</v>
      </c>
      <c r="BK943">
        <v>20765</v>
      </c>
      <c r="BL943" s="25">
        <v>28.15</v>
      </c>
      <c r="BM943">
        <v>0</v>
      </c>
      <c r="BN943">
        <v>0</v>
      </c>
      <c r="BO943">
        <v>0</v>
      </c>
      <c r="BP943">
        <v>1</v>
      </c>
      <c r="BQ943">
        <v>0</v>
      </c>
      <c r="BR943">
        <v>0</v>
      </c>
      <c r="BS943">
        <v>0</v>
      </c>
      <c r="BT943" s="18">
        <v>0</v>
      </c>
      <c r="BU943">
        <v>0</v>
      </c>
      <c r="BV943">
        <v>0</v>
      </c>
      <c r="BW943">
        <v>1</v>
      </c>
      <c r="BX943" s="18">
        <v>0</v>
      </c>
      <c r="BY943">
        <v>0</v>
      </c>
      <c r="BZ943">
        <v>0</v>
      </c>
      <c r="CA943">
        <v>0</v>
      </c>
      <c r="CB943">
        <v>0</v>
      </c>
      <c r="CC943" s="18">
        <v>0</v>
      </c>
      <c r="CD943">
        <v>0</v>
      </c>
      <c r="CE943">
        <v>0</v>
      </c>
      <c r="CF943">
        <v>0</v>
      </c>
      <c r="CG943">
        <v>0</v>
      </c>
      <c r="CH943">
        <v>0</v>
      </c>
      <c r="CI943">
        <v>0</v>
      </c>
      <c r="CJ943">
        <v>0</v>
      </c>
      <c r="CK943">
        <v>0</v>
      </c>
      <c r="CL943">
        <v>0</v>
      </c>
      <c r="CM943">
        <v>0</v>
      </c>
      <c r="CN943" s="18">
        <v>0</v>
      </c>
      <c r="CO943">
        <v>0.19600000000000001</v>
      </c>
      <c r="CP943">
        <v>166</v>
      </c>
      <c r="CQ943">
        <v>1</v>
      </c>
      <c r="CR943">
        <v>0</v>
      </c>
      <c r="CS943">
        <v>17</v>
      </c>
      <c r="CY943" s="34"/>
    </row>
    <row r="944" spans="1:103" x14ac:dyDescent="0.25">
      <c r="A944">
        <v>943</v>
      </c>
      <c r="B944">
        <v>65</v>
      </c>
      <c r="C944" s="25" t="s">
        <v>3971</v>
      </c>
      <c r="D944" s="12">
        <v>6.44</v>
      </c>
      <c r="E944" s="14">
        <v>1.19</v>
      </c>
      <c r="F944" s="7">
        <f t="shared" si="234"/>
        <v>5.4117647058823533</v>
      </c>
      <c r="G944" s="7">
        <f t="shared" si="219"/>
        <v>5.25</v>
      </c>
      <c r="H944" s="16">
        <f t="shared" si="220"/>
        <v>7.6300000000000008</v>
      </c>
      <c r="I944" s="11">
        <f t="shared" si="223"/>
        <v>9.4417443129568596E-2</v>
      </c>
      <c r="J944" s="33">
        <f t="shared" si="224"/>
        <v>1.7446701447855067E-2</v>
      </c>
      <c r="K944" s="33">
        <f t="shared" si="225"/>
        <v>57.31742490056434</v>
      </c>
      <c r="L944" s="8">
        <v>0</v>
      </c>
      <c r="M944" s="9">
        <v>1</v>
      </c>
      <c r="N944" s="8">
        <v>0</v>
      </c>
      <c r="O944" s="9">
        <v>0</v>
      </c>
      <c r="P944" s="9">
        <v>0</v>
      </c>
      <c r="Q944" s="9">
        <v>1</v>
      </c>
      <c r="R944" s="9">
        <v>0</v>
      </c>
      <c r="S944" s="8">
        <v>3275</v>
      </c>
      <c r="T944" s="9">
        <v>18</v>
      </c>
      <c r="U944" s="9">
        <f t="shared" si="221"/>
        <v>3256</v>
      </c>
      <c r="V944" s="9">
        <f t="shared" si="222"/>
        <v>24</v>
      </c>
      <c r="W944" s="7">
        <v>13.131</v>
      </c>
      <c r="X944" s="7">
        <f t="shared" si="235"/>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31"/>
        <v>0.47599999999999998</v>
      </c>
      <c r="AS944" t="s">
        <v>98</v>
      </c>
      <c r="AT944" s="40" t="s">
        <v>98</v>
      </c>
      <c r="AU944">
        <v>0</v>
      </c>
      <c r="AV944" s="18">
        <v>1</v>
      </c>
      <c r="AW944" t="s">
        <v>98</v>
      </c>
      <c r="AX944" s="18" t="s">
        <v>98</v>
      </c>
      <c r="AY944" s="18" t="s">
        <v>233</v>
      </c>
      <c r="AZ944">
        <v>1</v>
      </c>
      <c r="BA944">
        <v>0</v>
      </c>
      <c r="BB944">
        <v>0</v>
      </c>
      <c r="BC944">
        <v>0</v>
      </c>
      <c r="BD944">
        <v>0</v>
      </c>
      <c r="BE944">
        <v>0</v>
      </c>
      <c r="BF944" s="18">
        <v>0</v>
      </c>
      <c r="BG944">
        <v>1</v>
      </c>
      <c r="BH944">
        <v>0</v>
      </c>
      <c r="BI944" s="18">
        <v>0</v>
      </c>
      <c r="BJ944">
        <v>19368</v>
      </c>
      <c r="BK944">
        <v>20765</v>
      </c>
      <c r="BL944" s="25">
        <v>28.28</v>
      </c>
      <c r="BM944">
        <v>0</v>
      </c>
      <c r="BN944">
        <v>0</v>
      </c>
      <c r="BO944">
        <v>0</v>
      </c>
      <c r="BP944">
        <v>1</v>
      </c>
      <c r="BQ944">
        <v>0</v>
      </c>
      <c r="BR944">
        <v>0</v>
      </c>
      <c r="BS944">
        <v>0</v>
      </c>
      <c r="BT944" s="18">
        <v>0</v>
      </c>
      <c r="BU944">
        <v>0</v>
      </c>
      <c r="BV944">
        <v>0</v>
      </c>
      <c r="BW944">
        <v>1</v>
      </c>
      <c r="BX944" s="18">
        <v>0</v>
      </c>
      <c r="BY944">
        <v>0</v>
      </c>
      <c r="BZ944">
        <v>0</v>
      </c>
      <c r="CA944">
        <v>0</v>
      </c>
      <c r="CB944">
        <v>0</v>
      </c>
      <c r="CC944" s="18">
        <v>0</v>
      </c>
      <c r="CD944">
        <v>1</v>
      </c>
      <c r="CE944">
        <v>0</v>
      </c>
      <c r="CF944">
        <v>0</v>
      </c>
      <c r="CG944">
        <v>0</v>
      </c>
      <c r="CH944">
        <v>1</v>
      </c>
      <c r="CI944">
        <v>1</v>
      </c>
      <c r="CJ944">
        <v>1</v>
      </c>
      <c r="CK944">
        <v>0</v>
      </c>
      <c r="CL944">
        <v>0</v>
      </c>
      <c r="CM944">
        <v>1</v>
      </c>
      <c r="CN944" s="18">
        <v>0</v>
      </c>
      <c r="CO944">
        <v>0.19600000000000001</v>
      </c>
      <c r="CP944">
        <v>166</v>
      </c>
      <c r="CQ944">
        <v>1</v>
      </c>
      <c r="CR944">
        <v>0</v>
      </c>
      <c r="CS944">
        <v>17</v>
      </c>
      <c r="CY944" s="34"/>
    </row>
    <row r="945" spans="1:103" x14ac:dyDescent="0.25">
      <c r="A945">
        <v>944</v>
      </c>
      <c r="B945">
        <v>65</v>
      </c>
      <c r="C945" s="25" t="s">
        <v>3971</v>
      </c>
      <c r="D945" s="12">
        <v>5.44</v>
      </c>
      <c r="E945" s="14">
        <v>0.27</v>
      </c>
      <c r="F945" s="7">
        <f t="shared" si="234"/>
        <v>20.148148148148149</v>
      </c>
      <c r="G945" s="7">
        <f t="shared" si="219"/>
        <v>5.17</v>
      </c>
      <c r="H945" s="16">
        <f t="shared" si="220"/>
        <v>5.7100000000000009</v>
      </c>
      <c r="I945" s="11">
        <f t="shared" si="223"/>
        <v>9.0276994457422877E-2</v>
      </c>
      <c r="J945" s="33">
        <f t="shared" si="224"/>
        <v>4.4806596513794449E-3</v>
      </c>
      <c r="K945" s="33">
        <f t="shared" si="225"/>
        <v>223.18142367544777</v>
      </c>
      <c r="L945" s="8">
        <v>0</v>
      </c>
      <c r="M945" s="9">
        <v>1</v>
      </c>
      <c r="N945" s="8">
        <v>0</v>
      </c>
      <c r="O945" s="9">
        <v>0</v>
      </c>
      <c r="P945" s="9">
        <v>0</v>
      </c>
      <c r="Q945" s="9">
        <v>1</v>
      </c>
      <c r="R945" s="9">
        <v>0</v>
      </c>
      <c r="S945" s="8">
        <v>49423</v>
      </c>
      <c r="T945" s="9">
        <v>18</v>
      </c>
      <c r="U945" s="9">
        <f t="shared" si="221"/>
        <v>49404</v>
      </c>
      <c r="V945" s="9">
        <f t="shared" si="222"/>
        <v>24</v>
      </c>
      <c r="W945" s="7">
        <v>13.154999999999999</v>
      </c>
      <c r="X945" s="7">
        <f t="shared" si="235"/>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31"/>
        <v>0.36699999999999999</v>
      </c>
      <c r="AS945" t="s">
        <v>98</v>
      </c>
      <c r="AT945" s="40" t="s">
        <v>98</v>
      </c>
      <c r="AU945">
        <v>0</v>
      </c>
      <c r="AV945" s="18">
        <v>1</v>
      </c>
      <c r="AW945" t="s">
        <v>98</v>
      </c>
      <c r="AX945" s="18" t="s">
        <v>98</v>
      </c>
      <c r="AY945" s="18" t="s">
        <v>233</v>
      </c>
      <c r="AZ945">
        <v>1</v>
      </c>
      <c r="BA945">
        <v>0</v>
      </c>
      <c r="BB945">
        <v>0</v>
      </c>
      <c r="BC945">
        <v>0</v>
      </c>
      <c r="BD945">
        <v>0</v>
      </c>
      <c r="BE945">
        <v>0</v>
      </c>
      <c r="BF945" s="18">
        <v>0</v>
      </c>
      <c r="BG945">
        <v>1</v>
      </c>
      <c r="BH945">
        <v>0</v>
      </c>
      <c r="BI945" s="18">
        <v>0</v>
      </c>
      <c r="BJ945">
        <v>19368</v>
      </c>
      <c r="BK945">
        <v>20765</v>
      </c>
      <c r="BL945" s="25">
        <v>30.21</v>
      </c>
      <c r="BM945">
        <v>0</v>
      </c>
      <c r="BN945">
        <v>0</v>
      </c>
      <c r="BO945">
        <v>0</v>
      </c>
      <c r="BP945">
        <v>1</v>
      </c>
      <c r="BQ945">
        <v>0</v>
      </c>
      <c r="BR945">
        <v>0</v>
      </c>
      <c r="BS945">
        <v>0</v>
      </c>
      <c r="BT945" s="18">
        <v>0</v>
      </c>
      <c r="BU945">
        <v>0</v>
      </c>
      <c r="BV945">
        <v>0</v>
      </c>
      <c r="BW945">
        <v>1</v>
      </c>
      <c r="BX945" s="18">
        <v>0</v>
      </c>
      <c r="BY945">
        <v>0</v>
      </c>
      <c r="BZ945">
        <v>0</v>
      </c>
      <c r="CA945">
        <v>0</v>
      </c>
      <c r="CB945">
        <v>0</v>
      </c>
      <c r="CC945" s="18">
        <v>0</v>
      </c>
      <c r="CD945">
        <v>1</v>
      </c>
      <c r="CE945">
        <v>0</v>
      </c>
      <c r="CF945">
        <v>0</v>
      </c>
      <c r="CG945">
        <v>0</v>
      </c>
      <c r="CH945">
        <v>1</v>
      </c>
      <c r="CI945">
        <v>1</v>
      </c>
      <c r="CJ945">
        <v>1</v>
      </c>
      <c r="CK945">
        <v>0</v>
      </c>
      <c r="CL945">
        <v>0</v>
      </c>
      <c r="CM945">
        <v>1</v>
      </c>
      <c r="CN945" s="18">
        <v>0</v>
      </c>
      <c r="CO945">
        <v>0.19600000000000001</v>
      </c>
      <c r="CP945">
        <v>166</v>
      </c>
      <c r="CQ945">
        <v>1</v>
      </c>
      <c r="CR945">
        <v>0</v>
      </c>
      <c r="CS945">
        <v>17</v>
      </c>
      <c r="CY945" s="34"/>
    </row>
    <row r="946" spans="1:103" x14ac:dyDescent="0.25">
      <c r="A946">
        <v>945</v>
      </c>
      <c r="B946">
        <v>65</v>
      </c>
      <c r="C946" s="25" t="s">
        <v>3971</v>
      </c>
      <c r="D946" s="12">
        <v>5.42</v>
      </c>
      <c r="E946" s="14">
        <v>0.25</v>
      </c>
      <c r="F946" s="7">
        <f t="shared" si="234"/>
        <v>21.68</v>
      </c>
      <c r="G946" s="7">
        <f t="shared" si="219"/>
        <v>5.17</v>
      </c>
      <c r="H946" s="16">
        <f t="shared" si="220"/>
        <v>5.67</v>
      </c>
      <c r="I946" s="11">
        <f t="shared" si="223"/>
        <v>9.4039787159001409E-2</v>
      </c>
      <c r="J946" s="33">
        <f t="shared" si="224"/>
        <v>4.33762855899453E-3</v>
      </c>
      <c r="K946" s="33">
        <f t="shared" si="225"/>
        <v>230.54071744488002</v>
      </c>
      <c r="L946" s="8">
        <v>0</v>
      </c>
      <c r="M946" s="9">
        <v>1</v>
      </c>
      <c r="N946" s="8">
        <v>0</v>
      </c>
      <c r="O946" s="9">
        <v>0</v>
      </c>
      <c r="P946" s="9">
        <v>0</v>
      </c>
      <c r="Q946" s="9">
        <v>1</v>
      </c>
      <c r="R946" s="9">
        <v>0</v>
      </c>
      <c r="S946" s="8">
        <v>52698</v>
      </c>
      <c r="T946" s="9">
        <v>18</v>
      </c>
      <c r="U946" s="9">
        <f t="shared" si="221"/>
        <v>52679</v>
      </c>
      <c r="V946" s="9">
        <f t="shared" si="222"/>
        <v>24</v>
      </c>
      <c r="W946" s="7">
        <v>13.153</v>
      </c>
      <c r="X946" s="7">
        <f t="shared" si="235"/>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31"/>
        <v>0.48299999999999998</v>
      </c>
      <c r="AS946" t="s">
        <v>98</v>
      </c>
      <c r="AT946" s="40" t="s">
        <v>98</v>
      </c>
      <c r="AU946">
        <v>0</v>
      </c>
      <c r="AV946" s="18">
        <v>1</v>
      </c>
      <c r="AW946" t="s">
        <v>98</v>
      </c>
      <c r="AX946" s="18" t="s">
        <v>98</v>
      </c>
      <c r="AY946" s="18" t="s">
        <v>233</v>
      </c>
      <c r="AZ946">
        <v>1</v>
      </c>
      <c r="BA946">
        <v>0</v>
      </c>
      <c r="BB946">
        <v>0</v>
      </c>
      <c r="BC946">
        <v>0</v>
      </c>
      <c r="BD946">
        <v>0</v>
      </c>
      <c r="BE946">
        <v>0</v>
      </c>
      <c r="BF946" s="18">
        <v>0</v>
      </c>
      <c r="BG946">
        <v>1</v>
      </c>
      <c r="BH946">
        <v>0</v>
      </c>
      <c r="BI946" s="18">
        <v>0</v>
      </c>
      <c r="BJ946">
        <v>19368</v>
      </c>
      <c r="BK946">
        <v>20765</v>
      </c>
      <c r="BL946" s="25">
        <v>28.15</v>
      </c>
      <c r="BM946">
        <v>0</v>
      </c>
      <c r="BN946">
        <v>0</v>
      </c>
      <c r="BO946">
        <v>0</v>
      </c>
      <c r="BP946">
        <v>1</v>
      </c>
      <c r="BQ946">
        <v>0</v>
      </c>
      <c r="BR946">
        <v>0</v>
      </c>
      <c r="BS946">
        <v>0</v>
      </c>
      <c r="BT946" s="18">
        <v>0</v>
      </c>
      <c r="BU946">
        <v>0</v>
      </c>
      <c r="BV946">
        <v>0</v>
      </c>
      <c r="BW946">
        <v>1</v>
      </c>
      <c r="BX946" s="18">
        <v>0</v>
      </c>
      <c r="BY946">
        <v>0</v>
      </c>
      <c r="BZ946">
        <v>0</v>
      </c>
      <c r="CA946">
        <v>0</v>
      </c>
      <c r="CB946">
        <v>0</v>
      </c>
      <c r="CC946" s="18">
        <v>0</v>
      </c>
      <c r="CD946">
        <v>1</v>
      </c>
      <c r="CE946">
        <v>0</v>
      </c>
      <c r="CF946">
        <v>0</v>
      </c>
      <c r="CG946">
        <v>0</v>
      </c>
      <c r="CH946">
        <v>1</v>
      </c>
      <c r="CI946">
        <v>1</v>
      </c>
      <c r="CJ946">
        <v>1</v>
      </c>
      <c r="CK946">
        <v>0</v>
      </c>
      <c r="CL946">
        <v>0</v>
      </c>
      <c r="CM946">
        <v>1</v>
      </c>
      <c r="CN946" s="18">
        <v>0</v>
      </c>
      <c r="CO946">
        <v>0.19600000000000001</v>
      </c>
      <c r="CP946">
        <v>166</v>
      </c>
      <c r="CQ946">
        <v>1</v>
      </c>
      <c r="CR946">
        <v>0</v>
      </c>
      <c r="CS946">
        <v>17</v>
      </c>
      <c r="CY946" s="34"/>
    </row>
    <row r="947" spans="1:103" x14ac:dyDescent="0.25">
      <c r="A947">
        <v>946</v>
      </c>
      <c r="B947">
        <v>65</v>
      </c>
      <c r="C947" s="25" t="s">
        <v>3971</v>
      </c>
      <c r="D947" s="12">
        <v>5.59</v>
      </c>
      <c r="E947" s="14">
        <v>1.3</v>
      </c>
      <c r="F947" s="7">
        <f t="shared" si="234"/>
        <v>4.3</v>
      </c>
      <c r="G947" s="7">
        <f t="shared" si="219"/>
        <v>4.29</v>
      </c>
      <c r="H947" s="16">
        <f t="shared" si="220"/>
        <v>6.89</v>
      </c>
      <c r="I947" s="11">
        <f t="shared" si="223"/>
        <v>7.71371494382493E-2</v>
      </c>
      <c r="J947" s="33">
        <f t="shared" si="224"/>
        <v>1.7938871962383557E-2</v>
      </c>
      <c r="K947" s="33">
        <f t="shared" si="225"/>
        <v>55.744865234387291</v>
      </c>
      <c r="L947" s="8">
        <v>0</v>
      </c>
      <c r="M947" s="9">
        <v>1</v>
      </c>
      <c r="N947" s="8">
        <v>0</v>
      </c>
      <c r="O947" s="9">
        <v>0</v>
      </c>
      <c r="P947" s="9">
        <v>0</v>
      </c>
      <c r="Q947" s="9">
        <v>1</v>
      </c>
      <c r="R947" s="9">
        <v>0</v>
      </c>
      <c r="S947" s="8">
        <v>3109</v>
      </c>
      <c r="T947" s="9">
        <v>19</v>
      </c>
      <c r="U947" s="9">
        <f t="shared" si="221"/>
        <v>3089</v>
      </c>
      <c r="V947" s="9">
        <f t="shared" si="222"/>
        <v>24</v>
      </c>
      <c r="W947" s="7">
        <v>13.131</v>
      </c>
      <c r="X947" s="7">
        <f t="shared" si="235"/>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31"/>
        <v>0.47599999999999998</v>
      </c>
      <c r="AS947" t="s">
        <v>98</v>
      </c>
      <c r="AT947" s="40" t="s">
        <v>98</v>
      </c>
      <c r="AU947">
        <v>0</v>
      </c>
      <c r="AV947" s="18">
        <v>1</v>
      </c>
      <c r="AW947" t="s">
        <v>98</v>
      </c>
      <c r="AX947" s="18" t="s">
        <v>98</v>
      </c>
      <c r="AY947" s="18" t="s">
        <v>233</v>
      </c>
      <c r="AZ947">
        <v>1</v>
      </c>
      <c r="BA947">
        <v>0</v>
      </c>
      <c r="BB947">
        <v>0</v>
      </c>
      <c r="BC947">
        <v>0</v>
      </c>
      <c r="BD947">
        <v>0</v>
      </c>
      <c r="BE947">
        <v>0</v>
      </c>
      <c r="BF947" s="18">
        <v>0</v>
      </c>
      <c r="BG947">
        <v>1</v>
      </c>
      <c r="BH947">
        <v>0</v>
      </c>
      <c r="BI947" s="18">
        <v>0</v>
      </c>
      <c r="BJ947">
        <v>19368</v>
      </c>
      <c r="BK947">
        <v>20765</v>
      </c>
      <c r="BL947" s="25">
        <v>28.28</v>
      </c>
      <c r="BM947">
        <v>0</v>
      </c>
      <c r="BN947">
        <v>0</v>
      </c>
      <c r="BO947">
        <v>0</v>
      </c>
      <c r="BP947">
        <v>1</v>
      </c>
      <c r="BQ947">
        <v>0</v>
      </c>
      <c r="BR947">
        <v>0</v>
      </c>
      <c r="BS947">
        <v>0</v>
      </c>
      <c r="BT947" s="18">
        <v>0</v>
      </c>
      <c r="BU947">
        <v>1</v>
      </c>
      <c r="BV947">
        <v>0</v>
      </c>
      <c r="BW947">
        <v>0</v>
      </c>
      <c r="BX947" s="18">
        <v>0</v>
      </c>
      <c r="BY947">
        <v>0</v>
      </c>
      <c r="BZ947">
        <v>0</v>
      </c>
      <c r="CA947">
        <v>0</v>
      </c>
      <c r="CB947">
        <v>0</v>
      </c>
      <c r="CC947" s="18">
        <v>0</v>
      </c>
      <c r="CD947">
        <v>1</v>
      </c>
      <c r="CE947">
        <v>0</v>
      </c>
      <c r="CF947">
        <v>0</v>
      </c>
      <c r="CG947">
        <v>0</v>
      </c>
      <c r="CH947">
        <v>1</v>
      </c>
      <c r="CI947">
        <v>1</v>
      </c>
      <c r="CJ947">
        <v>1</v>
      </c>
      <c r="CK947">
        <v>0</v>
      </c>
      <c r="CL947">
        <v>0</v>
      </c>
      <c r="CM947">
        <v>1</v>
      </c>
      <c r="CN947" s="18">
        <v>0</v>
      </c>
      <c r="CO947">
        <v>0.19600000000000001</v>
      </c>
      <c r="CP947">
        <v>166</v>
      </c>
      <c r="CQ947">
        <v>1</v>
      </c>
      <c r="CR947">
        <v>0</v>
      </c>
      <c r="CS947">
        <v>17</v>
      </c>
      <c r="CY947" s="34"/>
    </row>
    <row r="948" spans="1:103" x14ac:dyDescent="0.25">
      <c r="A948">
        <v>947</v>
      </c>
      <c r="B948">
        <v>65</v>
      </c>
      <c r="C948" s="25" t="s">
        <v>3971</v>
      </c>
      <c r="D948" s="12">
        <v>4.37</v>
      </c>
      <c r="E948" s="14">
        <v>0.28999999999999998</v>
      </c>
      <c r="F948" s="7">
        <f t="shared" si="234"/>
        <v>15.068965517241381</v>
      </c>
      <c r="G948" s="7">
        <f t="shared" si="219"/>
        <v>4.08</v>
      </c>
      <c r="H948" s="16">
        <f t="shared" si="220"/>
        <v>4.66</v>
      </c>
      <c r="I948" s="11">
        <f t="shared" si="223"/>
        <v>6.9109827835688309E-2</v>
      </c>
      <c r="J948" s="33">
        <f t="shared" si="224"/>
        <v>4.5862357144964777E-3</v>
      </c>
      <c r="K948" s="33">
        <f t="shared" si="225"/>
        <v>218.04374267967381</v>
      </c>
      <c r="L948" s="8">
        <v>0</v>
      </c>
      <c r="M948" s="9">
        <v>1</v>
      </c>
      <c r="N948" s="8">
        <v>0</v>
      </c>
      <c r="O948" s="9">
        <v>0</v>
      </c>
      <c r="P948" s="9">
        <v>0</v>
      </c>
      <c r="Q948" s="9">
        <v>1</v>
      </c>
      <c r="R948" s="9">
        <v>0</v>
      </c>
      <c r="S948" s="8">
        <v>47336</v>
      </c>
      <c r="T948" s="9">
        <v>19</v>
      </c>
      <c r="U948" s="9">
        <f t="shared" si="221"/>
        <v>47316</v>
      </c>
      <c r="V948" s="9">
        <f t="shared" si="222"/>
        <v>24</v>
      </c>
      <c r="W948" s="7">
        <v>13.154999999999999</v>
      </c>
      <c r="X948" s="7">
        <f t="shared" si="235"/>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31"/>
        <v>0.36699999999999999</v>
      </c>
      <c r="AS948" t="s">
        <v>98</v>
      </c>
      <c r="AT948" s="40" t="s">
        <v>98</v>
      </c>
      <c r="AU948">
        <v>0</v>
      </c>
      <c r="AV948" s="18">
        <v>1</v>
      </c>
      <c r="AW948" t="s">
        <v>98</v>
      </c>
      <c r="AX948" s="18" t="s">
        <v>98</v>
      </c>
      <c r="AY948" s="18" t="s">
        <v>233</v>
      </c>
      <c r="AZ948">
        <v>1</v>
      </c>
      <c r="BA948">
        <v>0</v>
      </c>
      <c r="BB948">
        <v>0</v>
      </c>
      <c r="BC948">
        <v>0</v>
      </c>
      <c r="BD948">
        <v>0</v>
      </c>
      <c r="BE948">
        <v>0</v>
      </c>
      <c r="BF948" s="18">
        <v>0</v>
      </c>
      <c r="BG948">
        <v>1</v>
      </c>
      <c r="BH948">
        <v>0</v>
      </c>
      <c r="BI948" s="18">
        <v>0</v>
      </c>
      <c r="BJ948">
        <v>19368</v>
      </c>
      <c r="BK948">
        <v>20765</v>
      </c>
      <c r="BL948" s="25">
        <v>30.21</v>
      </c>
      <c r="BM948">
        <v>0</v>
      </c>
      <c r="BN948">
        <v>0</v>
      </c>
      <c r="BO948">
        <v>0</v>
      </c>
      <c r="BP948">
        <v>1</v>
      </c>
      <c r="BQ948">
        <v>0</v>
      </c>
      <c r="BR948">
        <v>0</v>
      </c>
      <c r="BS948">
        <v>0</v>
      </c>
      <c r="BT948" s="18">
        <v>0</v>
      </c>
      <c r="BU948">
        <v>1</v>
      </c>
      <c r="BV948">
        <v>0</v>
      </c>
      <c r="BW948">
        <v>0</v>
      </c>
      <c r="BX948" s="18">
        <v>0</v>
      </c>
      <c r="BY948">
        <v>0</v>
      </c>
      <c r="BZ948">
        <v>0</v>
      </c>
      <c r="CA948">
        <v>0</v>
      </c>
      <c r="CB948">
        <v>0</v>
      </c>
      <c r="CC948" s="18">
        <v>0</v>
      </c>
      <c r="CD948">
        <v>1</v>
      </c>
      <c r="CE948">
        <v>0</v>
      </c>
      <c r="CF948">
        <v>0</v>
      </c>
      <c r="CG948">
        <v>0</v>
      </c>
      <c r="CH948">
        <v>1</v>
      </c>
      <c r="CI948">
        <v>1</v>
      </c>
      <c r="CJ948">
        <v>1</v>
      </c>
      <c r="CK948">
        <v>0</v>
      </c>
      <c r="CL948">
        <v>0</v>
      </c>
      <c r="CM948">
        <v>1</v>
      </c>
      <c r="CN948" s="18">
        <v>0</v>
      </c>
      <c r="CO948">
        <v>0.19600000000000001</v>
      </c>
      <c r="CP948">
        <v>166</v>
      </c>
      <c r="CQ948">
        <v>1</v>
      </c>
      <c r="CR948">
        <v>0</v>
      </c>
      <c r="CS948">
        <v>17</v>
      </c>
      <c r="CY948" s="34"/>
    </row>
    <row r="949" spans="1:103" x14ac:dyDescent="0.25">
      <c r="A949">
        <v>948</v>
      </c>
      <c r="B949">
        <v>65</v>
      </c>
      <c r="C949" s="25" t="s">
        <v>3971</v>
      </c>
      <c r="D949" s="12">
        <v>4.43</v>
      </c>
      <c r="E949" s="14">
        <v>0.27</v>
      </c>
      <c r="F949" s="7">
        <f t="shared" si="234"/>
        <v>16.407407407407405</v>
      </c>
      <c r="G949" s="7">
        <f t="shared" si="219"/>
        <v>4.16</v>
      </c>
      <c r="H949" s="16">
        <f t="shared" si="220"/>
        <v>4.6999999999999993</v>
      </c>
      <c r="I949" s="11">
        <f t="shared" si="223"/>
        <v>7.2872020659854361E-2</v>
      </c>
      <c r="J949" s="33">
        <f t="shared" si="224"/>
        <v>4.4414098370565867E-3</v>
      </c>
      <c r="K949" s="33">
        <f t="shared" si="225"/>
        <v>225.15373196514565</v>
      </c>
      <c r="L949" s="8">
        <v>0</v>
      </c>
      <c r="M949" s="9">
        <v>1</v>
      </c>
      <c r="N949" s="8">
        <v>0</v>
      </c>
      <c r="O949" s="9">
        <v>0</v>
      </c>
      <c r="P949" s="9">
        <v>0</v>
      </c>
      <c r="Q949" s="9">
        <v>1</v>
      </c>
      <c r="R949" s="9">
        <v>0</v>
      </c>
      <c r="S949" s="8">
        <v>50445</v>
      </c>
      <c r="T949" s="9">
        <v>19</v>
      </c>
      <c r="U949" s="9">
        <f t="shared" si="221"/>
        <v>50425</v>
      </c>
      <c r="V949" s="9">
        <f t="shared" si="222"/>
        <v>24</v>
      </c>
      <c r="W949" s="7">
        <v>13.153</v>
      </c>
      <c r="X949" s="7">
        <f t="shared" si="235"/>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31"/>
        <v>0.48299999999999998</v>
      </c>
      <c r="AS949" t="s">
        <v>98</v>
      </c>
      <c r="AT949" s="40" t="s">
        <v>98</v>
      </c>
      <c r="AU949">
        <v>0</v>
      </c>
      <c r="AV949" s="18">
        <v>1</v>
      </c>
      <c r="AW949" t="s">
        <v>98</v>
      </c>
      <c r="AX949" s="18" t="s">
        <v>98</v>
      </c>
      <c r="AY949" s="18" t="s">
        <v>233</v>
      </c>
      <c r="AZ949">
        <v>1</v>
      </c>
      <c r="BA949">
        <v>0</v>
      </c>
      <c r="BB949">
        <v>0</v>
      </c>
      <c r="BC949">
        <v>0</v>
      </c>
      <c r="BD949">
        <v>0</v>
      </c>
      <c r="BE949">
        <v>0</v>
      </c>
      <c r="BF949" s="18">
        <v>0</v>
      </c>
      <c r="BG949">
        <v>1</v>
      </c>
      <c r="BH949">
        <v>0</v>
      </c>
      <c r="BI949" s="18">
        <v>0</v>
      </c>
      <c r="BJ949">
        <v>19368</v>
      </c>
      <c r="BK949">
        <v>20765</v>
      </c>
      <c r="BL949" s="25">
        <v>28.15</v>
      </c>
      <c r="BM949">
        <v>0</v>
      </c>
      <c r="BN949">
        <v>0</v>
      </c>
      <c r="BO949">
        <v>0</v>
      </c>
      <c r="BP949">
        <v>1</v>
      </c>
      <c r="BQ949">
        <v>0</v>
      </c>
      <c r="BR949">
        <v>0</v>
      </c>
      <c r="BS949">
        <v>0</v>
      </c>
      <c r="BT949" s="18">
        <v>0</v>
      </c>
      <c r="BU949">
        <v>1</v>
      </c>
      <c r="BV949">
        <v>0</v>
      </c>
      <c r="BW949">
        <v>0</v>
      </c>
      <c r="BX949" s="18">
        <v>0</v>
      </c>
      <c r="BY949">
        <v>0</v>
      </c>
      <c r="BZ949">
        <v>0</v>
      </c>
      <c r="CA949">
        <v>0</v>
      </c>
      <c r="CB949">
        <v>0</v>
      </c>
      <c r="CC949" s="18">
        <v>0</v>
      </c>
      <c r="CD949">
        <v>1</v>
      </c>
      <c r="CE949">
        <v>0</v>
      </c>
      <c r="CF949">
        <v>0</v>
      </c>
      <c r="CG949">
        <v>0</v>
      </c>
      <c r="CH949">
        <v>1</v>
      </c>
      <c r="CI949">
        <v>1</v>
      </c>
      <c r="CJ949">
        <v>1</v>
      </c>
      <c r="CK949">
        <v>0</v>
      </c>
      <c r="CL949">
        <v>0</v>
      </c>
      <c r="CM949">
        <v>1</v>
      </c>
      <c r="CN949" s="18">
        <v>0</v>
      </c>
      <c r="CO949">
        <v>0.19600000000000001</v>
      </c>
      <c r="CP949">
        <v>166</v>
      </c>
      <c r="CQ949">
        <v>1</v>
      </c>
      <c r="CR949">
        <v>0</v>
      </c>
      <c r="CS949">
        <v>17</v>
      </c>
      <c r="CY949" s="34"/>
    </row>
    <row r="950" spans="1:103" x14ac:dyDescent="0.25">
      <c r="A950">
        <v>949</v>
      </c>
      <c r="B950">
        <v>65</v>
      </c>
      <c r="C950" s="25" t="s">
        <v>3971</v>
      </c>
      <c r="D950" s="12">
        <v>17.64</v>
      </c>
      <c r="E950" s="14">
        <v>5.52</v>
      </c>
      <c r="F950" s="7">
        <f t="shared" si="234"/>
        <v>3.1956521739130439</v>
      </c>
      <c r="G950" s="7">
        <f t="shared" si="219"/>
        <v>12.120000000000001</v>
      </c>
      <c r="H950" s="16">
        <f t="shared" si="220"/>
        <v>23.16</v>
      </c>
      <c r="I950" s="11">
        <f t="shared" si="223"/>
        <v>5.591615566090917E-2</v>
      </c>
      <c r="J950" s="33">
        <f t="shared" si="224"/>
        <v>1.7497572519740285E-2</v>
      </c>
      <c r="K950" s="33">
        <f t="shared" si="225"/>
        <v>57.150784708669001</v>
      </c>
      <c r="L950" s="8">
        <v>0</v>
      </c>
      <c r="M950" s="9">
        <v>1</v>
      </c>
      <c r="N950" s="8">
        <v>0</v>
      </c>
      <c r="O950" s="9">
        <v>0</v>
      </c>
      <c r="P950" s="9">
        <v>0</v>
      </c>
      <c r="Q950" s="9">
        <v>1</v>
      </c>
      <c r="R950" s="9">
        <v>0</v>
      </c>
      <c r="S950" s="8">
        <v>3275</v>
      </c>
      <c r="T950" s="9">
        <v>18</v>
      </c>
      <c r="U950" s="9">
        <f t="shared" si="221"/>
        <v>3256</v>
      </c>
      <c r="V950" s="9">
        <f t="shared" si="222"/>
        <v>24</v>
      </c>
      <c r="W950" s="7">
        <v>13.131</v>
      </c>
      <c r="X950" s="7">
        <f t="shared" si="235"/>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31"/>
        <v>0.47599999999999998</v>
      </c>
      <c r="AS950" t="s">
        <v>98</v>
      </c>
      <c r="AT950" s="40" t="s">
        <v>98</v>
      </c>
      <c r="AU950">
        <v>0</v>
      </c>
      <c r="AV950" s="18">
        <v>1</v>
      </c>
      <c r="AW950" t="s">
        <v>98</v>
      </c>
      <c r="AX950" s="18" t="s">
        <v>98</v>
      </c>
      <c r="AY950" s="18" t="s">
        <v>233</v>
      </c>
      <c r="AZ950">
        <v>1</v>
      </c>
      <c r="BA950">
        <v>0</v>
      </c>
      <c r="BB950">
        <v>0</v>
      </c>
      <c r="BC950">
        <v>0</v>
      </c>
      <c r="BD950">
        <v>0</v>
      </c>
      <c r="BE950">
        <v>0</v>
      </c>
      <c r="BF950" s="18">
        <v>0</v>
      </c>
      <c r="BG950">
        <v>1</v>
      </c>
      <c r="BH950">
        <v>0</v>
      </c>
      <c r="BI950" s="18">
        <v>0</v>
      </c>
      <c r="BJ950">
        <v>19368</v>
      </c>
      <c r="BK950">
        <v>20765</v>
      </c>
      <c r="BL950" s="25">
        <v>28.28</v>
      </c>
      <c r="BM950">
        <v>0</v>
      </c>
      <c r="BN950">
        <v>0</v>
      </c>
      <c r="BO950">
        <v>0</v>
      </c>
      <c r="BP950">
        <v>0</v>
      </c>
      <c r="BQ950">
        <v>0</v>
      </c>
      <c r="BR950">
        <v>0</v>
      </c>
      <c r="BS950">
        <v>0</v>
      </c>
      <c r="BT950" s="18">
        <v>1</v>
      </c>
      <c r="BU950">
        <v>0</v>
      </c>
      <c r="BV950">
        <v>1</v>
      </c>
      <c r="BW950">
        <v>0</v>
      </c>
      <c r="BX950" s="18">
        <v>0</v>
      </c>
      <c r="BY950">
        <v>0</v>
      </c>
      <c r="BZ950">
        <v>0</v>
      </c>
      <c r="CA950">
        <v>0</v>
      </c>
      <c r="CB950">
        <v>0</v>
      </c>
      <c r="CC950" s="18">
        <v>0</v>
      </c>
      <c r="CD950">
        <v>1</v>
      </c>
      <c r="CE950">
        <v>0</v>
      </c>
      <c r="CF950">
        <v>0</v>
      </c>
      <c r="CG950">
        <v>0</v>
      </c>
      <c r="CH950">
        <v>1</v>
      </c>
      <c r="CI950">
        <v>1</v>
      </c>
      <c r="CJ950">
        <v>1</v>
      </c>
      <c r="CK950">
        <v>0</v>
      </c>
      <c r="CL950">
        <v>0</v>
      </c>
      <c r="CM950">
        <v>1</v>
      </c>
      <c r="CN950" s="18">
        <v>0</v>
      </c>
      <c r="CO950">
        <v>0.19600000000000001</v>
      </c>
      <c r="CP950">
        <v>166</v>
      </c>
      <c r="CQ950">
        <v>1</v>
      </c>
      <c r="CR950">
        <v>0</v>
      </c>
      <c r="CS950">
        <v>17</v>
      </c>
      <c r="CY950" s="34"/>
    </row>
    <row r="951" spans="1:103" x14ac:dyDescent="0.25">
      <c r="A951">
        <v>950</v>
      </c>
      <c r="B951">
        <v>65</v>
      </c>
      <c r="C951" s="25" t="s">
        <v>3971</v>
      </c>
      <c r="D951" s="12">
        <v>12.73</v>
      </c>
      <c r="E951" s="14">
        <v>1.18</v>
      </c>
      <c r="F951" s="7">
        <f t="shared" si="234"/>
        <v>10.788135593220339</v>
      </c>
      <c r="G951" s="7">
        <f t="shared" si="219"/>
        <v>11.55</v>
      </c>
      <c r="H951" s="16">
        <f t="shared" si="220"/>
        <v>13.91</v>
      </c>
      <c r="I951" s="11">
        <f t="shared" si="223"/>
        <v>4.8479082851631536E-2</v>
      </c>
      <c r="J951" s="33">
        <f t="shared" si="224"/>
        <v>4.4937405942596393E-3</v>
      </c>
      <c r="K951" s="33">
        <f t="shared" si="225"/>
        <v>222.53175923804159</v>
      </c>
      <c r="L951" s="8">
        <v>0</v>
      </c>
      <c r="M951" s="9">
        <v>1</v>
      </c>
      <c r="N951" s="8">
        <v>0</v>
      </c>
      <c r="O951" s="9">
        <v>0</v>
      </c>
      <c r="P951" s="9">
        <v>0</v>
      </c>
      <c r="Q951" s="9">
        <v>1</v>
      </c>
      <c r="R951" s="9">
        <v>0</v>
      </c>
      <c r="S951" s="8">
        <v>49423</v>
      </c>
      <c r="T951" s="9">
        <v>18</v>
      </c>
      <c r="U951" s="9">
        <f t="shared" si="221"/>
        <v>49404</v>
      </c>
      <c r="V951" s="9">
        <f t="shared" si="222"/>
        <v>24</v>
      </c>
      <c r="W951" s="7">
        <v>13.154999999999999</v>
      </c>
      <c r="X951" s="7">
        <f t="shared" si="235"/>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31"/>
        <v>0.36699999999999999</v>
      </c>
      <c r="AS951" t="s">
        <v>98</v>
      </c>
      <c r="AT951" s="40" t="s">
        <v>98</v>
      </c>
      <c r="AU951">
        <v>0</v>
      </c>
      <c r="AV951" s="18">
        <v>1</v>
      </c>
      <c r="AW951" t="s">
        <v>98</v>
      </c>
      <c r="AX951" s="18" t="s">
        <v>98</v>
      </c>
      <c r="AY951" s="18" t="s">
        <v>233</v>
      </c>
      <c r="AZ951">
        <v>1</v>
      </c>
      <c r="BA951">
        <v>0</v>
      </c>
      <c r="BB951">
        <v>0</v>
      </c>
      <c r="BC951">
        <v>0</v>
      </c>
      <c r="BD951">
        <v>0</v>
      </c>
      <c r="BE951">
        <v>0</v>
      </c>
      <c r="BF951" s="18">
        <v>0</v>
      </c>
      <c r="BG951">
        <v>1</v>
      </c>
      <c r="BH951">
        <v>0</v>
      </c>
      <c r="BI951" s="18">
        <v>0</v>
      </c>
      <c r="BJ951">
        <v>19368</v>
      </c>
      <c r="BK951">
        <v>20765</v>
      </c>
      <c r="BL951" s="25">
        <v>30.21</v>
      </c>
      <c r="BM951">
        <v>0</v>
      </c>
      <c r="BN951">
        <v>0</v>
      </c>
      <c r="BO951">
        <v>0</v>
      </c>
      <c r="BP951">
        <v>0</v>
      </c>
      <c r="BQ951">
        <v>0</v>
      </c>
      <c r="BR951">
        <v>0</v>
      </c>
      <c r="BS951">
        <v>0</v>
      </c>
      <c r="BT951" s="18">
        <v>1</v>
      </c>
      <c r="BU951">
        <v>0</v>
      </c>
      <c r="BV951">
        <v>1</v>
      </c>
      <c r="BW951">
        <v>0</v>
      </c>
      <c r="BX951" s="18">
        <v>0</v>
      </c>
      <c r="BY951">
        <v>0</v>
      </c>
      <c r="BZ951">
        <v>0</v>
      </c>
      <c r="CA951">
        <v>0</v>
      </c>
      <c r="CB951">
        <v>0</v>
      </c>
      <c r="CC951" s="18">
        <v>0</v>
      </c>
      <c r="CD951">
        <v>1</v>
      </c>
      <c r="CE951">
        <v>0</v>
      </c>
      <c r="CF951">
        <v>0</v>
      </c>
      <c r="CG951">
        <v>0</v>
      </c>
      <c r="CH951">
        <v>1</v>
      </c>
      <c r="CI951">
        <v>1</v>
      </c>
      <c r="CJ951">
        <v>1</v>
      </c>
      <c r="CK951">
        <v>0</v>
      </c>
      <c r="CL951">
        <v>0</v>
      </c>
      <c r="CM951">
        <v>1</v>
      </c>
      <c r="CN951" s="18">
        <v>0</v>
      </c>
      <c r="CO951">
        <v>0.19600000000000001</v>
      </c>
      <c r="CP951">
        <v>166</v>
      </c>
      <c r="CQ951">
        <v>1</v>
      </c>
      <c r="CR951">
        <v>0</v>
      </c>
      <c r="CS951">
        <v>17</v>
      </c>
      <c r="CY951" s="34"/>
    </row>
    <row r="952" spans="1:103" x14ac:dyDescent="0.25">
      <c r="A952">
        <v>951</v>
      </c>
      <c r="B952">
        <v>65</v>
      </c>
      <c r="C952" s="25" t="s">
        <v>3971</v>
      </c>
      <c r="D952" s="12">
        <v>11.27</v>
      </c>
      <c r="E952" s="14">
        <v>1.07</v>
      </c>
      <c r="F952" s="7">
        <f t="shared" si="234"/>
        <v>10.532710280373831</v>
      </c>
      <c r="G952" s="7">
        <f t="shared" si="219"/>
        <v>10.199999999999999</v>
      </c>
      <c r="H952" s="16">
        <f t="shared" si="220"/>
        <v>12.34</v>
      </c>
      <c r="I952" s="11">
        <f t="shared" si="223"/>
        <v>4.5842106149373264E-2</v>
      </c>
      <c r="J952" s="33">
        <f t="shared" si="224"/>
        <v>4.3523561295323336E-3</v>
      </c>
      <c r="K952" s="33">
        <f t="shared" si="225"/>
        <v>229.76061017034729</v>
      </c>
      <c r="L952" s="8">
        <v>0</v>
      </c>
      <c r="M952" s="9">
        <v>1</v>
      </c>
      <c r="N952" s="8">
        <v>0</v>
      </c>
      <c r="O952" s="9">
        <v>0</v>
      </c>
      <c r="P952" s="9">
        <v>0</v>
      </c>
      <c r="Q952" s="9">
        <v>1</v>
      </c>
      <c r="R952" s="9">
        <v>0</v>
      </c>
      <c r="S952" s="8">
        <v>52698</v>
      </c>
      <c r="T952" s="9">
        <v>18</v>
      </c>
      <c r="U952" s="9">
        <f t="shared" si="221"/>
        <v>52679</v>
      </c>
      <c r="V952" s="9">
        <f t="shared" si="222"/>
        <v>24</v>
      </c>
      <c r="W952" s="7">
        <v>13.153</v>
      </c>
      <c r="X952" s="7">
        <f t="shared" si="235"/>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31"/>
        <v>0.48299999999999998</v>
      </c>
      <c r="AS952" t="s">
        <v>98</v>
      </c>
      <c r="AT952" s="40" t="s">
        <v>98</v>
      </c>
      <c r="AU952">
        <v>0</v>
      </c>
      <c r="AV952" s="18">
        <v>1</v>
      </c>
      <c r="AW952" t="s">
        <v>98</v>
      </c>
      <c r="AX952" s="18" t="s">
        <v>98</v>
      </c>
      <c r="AY952" s="18" t="s">
        <v>233</v>
      </c>
      <c r="AZ952">
        <v>1</v>
      </c>
      <c r="BA952">
        <v>0</v>
      </c>
      <c r="BB952">
        <v>0</v>
      </c>
      <c r="BC952">
        <v>0</v>
      </c>
      <c r="BD952">
        <v>0</v>
      </c>
      <c r="BE952">
        <v>0</v>
      </c>
      <c r="BF952" s="18">
        <v>0</v>
      </c>
      <c r="BG952">
        <v>1</v>
      </c>
      <c r="BH952">
        <v>0</v>
      </c>
      <c r="BI952" s="18">
        <v>0</v>
      </c>
      <c r="BJ952">
        <v>19368</v>
      </c>
      <c r="BK952">
        <v>20765</v>
      </c>
      <c r="BL952" s="25">
        <v>28.15</v>
      </c>
      <c r="BM952">
        <v>0</v>
      </c>
      <c r="BN952">
        <v>0</v>
      </c>
      <c r="BO952">
        <v>0</v>
      </c>
      <c r="BP952">
        <v>0</v>
      </c>
      <c r="BQ952">
        <v>0</v>
      </c>
      <c r="BR952">
        <v>0</v>
      </c>
      <c r="BS952">
        <v>0</v>
      </c>
      <c r="BT952" s="18">
        <v>1</v>
      </c>
      <c r="BU952">
        <v>0</v>
      </c>
      <c r="BV952">
        <v>1</v>
      </c>
      <c r="BW952">
        <v>0</v>
      </c>
      <c r="BX952" s="18">
        <v>0</v>
      </c>
      <c r="BY952">
        <v>0</v>
      </c>
      <c r="BZ952">
        <v>0</v>
      </c>
      <c r="CA952">
        <v>0</v>
      </c>
      <c r="CB952">
        <v>0</v>
      </c>
      <c r="CC952" s="18">
        <v>0</v>
      </c>
      <c r="CD952">
        <v>1</v>
      </c>
      <c r="CE952">
        <v>0</v>
      </c>
      <c r="CF952">
        <v>0</v>
      </c>
      <c r="CG952">
        <v>0</v>
      </c>
      <c r="CH952">
        <v>1</v>
      </c>
      <c r="CI952">
        <v>1</v>
      </c>
      <c r="CJ952">
        <v>1</v>
      </c>
      <c r="CK952">
        <v>0</v>
      </c>
      <c r="CL952">
        <v>0</v>
      </c>
      <c r="CM952">
        <v>1</v>
      </c>
      <c r="CN952" s="18">
        <v>0</v>
      </c>
      <c r="CO952">
        <v>0.19600000000000001</v>
      </c>
      <c r="CP952">
        <v>166</v>
      </c>
      <c r="CQ952">
        <v>1</v>
      </c>
      <c r="CR952">
        <v>0</v>
      </c>
      <c r="CS952">
        <v>17</v>
      </c>
      <c r="CY952" s="34"/>
    </row>
    <row r="953" spans="1:103" x14ac:dyDescent="0.25">
      <c r="A953">
        <v>952</v>
      </c>
      <c r="B953">
        <v>65</v>
      </c>
      <c r="C953" s="25" t="s">
        <v>3971</v>
      </c>
      <c r="D953" s="12">
        <v>21.23</v>
      </c>
      <c r="E953" s="14">
        <v>5.52</v>
      </c>
      <c r="F953" s="7">
        <f t="shared" si="234"/>
        <v>3.8460144927536235</v>
      </c>
      <c r="G953" s="7">
        <f t="shared" si="219"/>
        <v>15.71</v>
      </c>
      <c r="H953" s="16">
        <f t="shared" si="220"/>
        <v>26.75</v>
      </c>
      <c r="I953" s="11">
        <f t="shared" si="223"/>
        <v>6.9034252041442867E-2</v>
      </c>
      <c r="J953" s="33">
        <f t="shared" si="224"/>
        <v>1.7949555877002574E-2</v>
      </c>
      <c r="K953" s="33">
        <f t="shared" si="225"/>
        <v>55.711684837908741</v>
      </c>
      <c r="L953" s="8">
        <v>0</v>
      </c>
      <c r="M953" s="9">
        <v>1</v>
      </c>
      <c r="N953" s="8">
        <v>0</v>
      </c>
      <c r="O953" s="9">
        <v>0</v>
      </c>
      <c r="P953" s="9">
        <v>0</v>
      </c>
      <c r="Q953" s="9">
        <v>1</v>
      </c>
      <c r="R953" s="9">
        <v>0</v>
      </c>
      <c r="S953" s="8">
        <v>3109</v>
      </c>
      <c r="T953" s="9">
        <v>19</v>
      </c>
      <c r="U953" s="9">
        <f t="shared" si="221"/>
        <v>3089</v>
      </c>
      <c r="V953" s="9">
        <f t="shared" si="222"/>
        <v>24</v>
      </c>
      <c r="W953" s="7">
        <v>13.131</v>
      </c>
      <c r="X953" s="7">
        <f t="shared" si="235"/>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31"/>
        <v>0.47599999999999998</v>
      </c>
      <c r="AS953" t="s">
        <v>98</v>
      </c>
      <c r="AT953" s="40" t="s">
        <v>98</v>
      </c>
      <c r="AU953">
        <v>0</v>
      </c>
      <c r="AV953" s="18">
        <v>1</v>
      </c>
      <c r="AW953" t="s">
        <v>98</v>
      </c>
      <c r="AX953" s="18" t="s">
        <v>98</v>
      </c>
      <c r="AY953" s="18" t="s">
        <v>233</v>
      </c>
      <c r="AZ953">
        <v>1</v>
      </c>
      <c r="BA953">
        <v>0</v>
      </c>
      <c r="BB953">
        <v>0</v>
      </c>
      <c r="BC953">
        <v>0</v>
      </c>
      <c r="BD953">
        <v>0</v>
      </c>
      <c r="BE953">
        <v>0</v>
      </c>
      <c r="BF953" s="18">
        <v>0</v>
      </c>
      <c r="BG953">
        <v>1</v>
      </c>
      <c r="BH953">
        <v>0</v>
      </c>
      <c r="BI953" s="18">
        <v>0</v>
      </c>
      <c r="BJ953">
        <v>19368</v>
      </c>
      <c r="BK953">
        <v>20765</v>
      </c>
      <c r="BL953" s="25">
        <v>28.28</v>
      </c>
      <c r="BM953">
        <v>0</v>
      </c>
      <c r="BN953">
        <v>0</v>
      </c>
      <c r="BO953">
        <v>0</v>
      </c>
      <c r="BP953">
        <v>0</v>
      </c>
      <c r="BQ953">
        <v>0</v>
      </c>
      <c r="BR953">
        <v>0</v>
      </c>
      <c r="BS953">
        <v>0</v>
      </c>
      <c r="BT953" s="18">
        <v>1</v>
      </c>
      <c r="BU953">
        <v>1</v>
      </c>
      <c r="BV953">
        <v>0</v>
      </c>
      <c r="BW953">
        <v>0</v>
      </c>
      <c r="BX953" s="18">
        <v>0</v>
      </c>
      <c r="BY953">
        <v>0</v>
      </c>
      <c r="BZ953">
        <v>0</v>
      </c>
      <c r="CA953">
        <v>0</v>
      </c>
      <c r="CB953">
        <v>0</v>
      </c>
      <c r="CC953" s="18">
        <v>0</v>
      </c>
      <c r="CD953">
        <v>1</v>
      </c>
      <c r="CE953">
        <v>0</v>
      </c>
      <c r="CF953">
        <v>0</v>
      </c>
      <c r="CG953">
        <v>0</v>
      </c>
      <c r="CH953">
        <v>1</v>
      </c>
      <c r="CI953">
        <v>1</v>
      </c>
      <c r="CJ953">
        <v>1</v>
      </c>
      <c r="CK953">
        <v>0</v>
      </c>
      <c r="CL953">
        <v>0</v>
      </c>
      <c r="CM953">
        <v>1</v>
      </c>
      <c r="CN953" s="18">
        <v>0</v>
      </c>
      <c r="CO953">
        <v>0.19600000000000001</v>
      </c>
      <c r="CP953">
        <v>166</v>
      </c>
      <c r="CQ953">
        <v>1</v>
      </c>
      <c r="CR953">
        <v>0</v>
      </c>
      <c r="CS953">
        <v>17</v>
      </c>
      <c r="CY953" s="34"/>
    </row>
    <row r="954" spans="1:103" x14ac:dyDescent="0.25">
      <c r="A954">
        <v>953</v>
      </c>
      <c r="B954">
        <v>65</v>
      </c>
      <c r="C954" s="25" t="s">
        <v>3971</v>
      </c>
      <c r="D954" s="12">
        <v>11.81</v>
      </c>
      <c r="E954" s="14">
        <v>1.63</v>
      </c>
      <c r="F954" s="7">
        <f t="shared" si="234"/>
        <v>7.2453987730061353</v>
      </c>
      <c r="G954" s="7">
        <f t="shared" si="219"/>
        <v>10.18</v>
      </c>
      <c r="H954" s="16">
        <f t="shared" si="220"/>
        <v>13.440000000000001</v>
      </c>
      <c r="I954" s="11">
        <f t="shared" si="223"/>
        <v>3.3290283704605919E-2</v>
      </c>
      <c r="J954" s="33">
        <f t="shared" si="224"/>
        <v>4.5946792919989545E-3</v>
      </c>
      <c r="K954" s="33">
        <f t="shared" si="225"/>
        <v>217.64304676092888</v>
      </c>
      <c r="L954" s="8">
        <v>0</v>
      </c>
      <c r="M954" s="9">
        <v>1</v>
      </c>
      <c r="N954" s="8">
        <v>0</v>
      </c>
      <c r="O954" s="9">
        <v>0</v>
      </c>
      <c r="P954" s="9">
        <v>0</v>
      </c>
      <c r="Q954" s="9">
        <v>1</v>
      </c>
      <c r="R954" s="9">
        <v>0</v>
      </c>
      <c r="S954" s="8">
        <v>47336</v>
      </c>
      <c r="T954" s="9">
        <v>19</v>
      </c>
      <c r="U954" s="9">
        <f t="shared" si="221"/>
        <v>47316</v>
      </c>
      <c r="V954" s="9">
        <f t="shared" si="222"/>
        <v>24</v>
      </c>
      <c r="W954" s="7">
        <v>13.154999999999999</v>
      </c>
      <c r="X954" s="7">
        <f t="shared" si="235"/>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31"/>
        <v>0.36699999999999999</v>
      </c>
      <c r="AS954" t="s">
        <v>98</v>
      </c>
      <c r="AT954" s="40" t="s">
        <v>98</v>
      </c>
      <c r="AU954">
        <v>0</v>
      </c>
      <c r="AV954" s="18">
        <v>1</v>
      </c>
      <c r="AW954" t="s">
        <v>98</v>
      </c>
      <c r="AX954" s="18" t="s">
        <v>98</v>
      </c>
      <c r="AY954" s="18" t="s">
        <v>233</v>
      </c>
      <c r="AZ954">
        <v>1</v>
      </c>
      <c r="BA954">
        <v>0</v>
      </c>
      <c r="BB954">
        <v>0</v>
      </c>
      <c r="BC954">
        <v>0</v>
      </c>
      <c r="BD954">
        <v>0</v>
      </c>
      <c r="BE954">
        <v>0</v>
      </c>
      <c r="BF954" s="18">
        <v>0</v>
      </c>
      <c r="BG954">
        <v>1</v>
      </c>
      <c r="BH954">
        <v>0</v>
      </c>
      <c r="BI954" s="18">
        <v>0</v>
      </c>
      <c r="BJ954">
        <v>19368</v>
      </c>
      <c r="BK954">
        <v>20765</v>
      </c>
      <c r="BL954" s="25">
        <v>30.21</v>
      </c>
      <c r="BM954">
        <v>0</v>
      </c>
      <c r="BN954">
        <v>0</v>
      </c>
      <c r="BO954">
        <v>0</v>
      </c>
      <c r="BP954">
        <v>0</v>
      </c>
      <c r="BQ954">
        <v>0</v>
      </c>
      <c r="BR954">
        <v>0</v>
      </c>
      <c r="BS954">
        <v>0</v>
      </c>
      <c r="BT954" s="18">
        <v>1</v>
      </c>
      <c r="BU954">
        <v>1</v>
      </c>
      <c r="BV954">
        <v>0</v>
      </c>
      <c r="BW954">
        <v>0</v>
      </c>
      <c r="BX954" s="18">
        <v>0</v>
      </c>
      <c r="BY954">
        <v>0</v>
      </c>
      <c r="BZ954">
        <v>0</v>
      </c>
      <c r="CA954">
        <v>0</v>
      </c>
      <c r="CB954">
        <v>0</v>
      </c>
      <c r="CC954" s="18">
        <v>0</v>
      </c>
      <c r="CD954">
        <v>1</v>
      </c>
      <c r="CE954">
        <v>0</v>
      </c>
      <c r="CF954">
        <v>0</v>
      </c>
      <c r="CG954">
        <v>0</v>
      </c>
      <c r="CH954">
        <v>1</v>
      </c>
      <c r="CI954">
        <v>1</v>
      </c>
      <c r="CJ954">
        <v>1</v>
      </c>
      <c r="CK954">
        <v>0</v>
      </c>
      <c r="CL954">
        <v>0</v>
      </c>
      <c r="CM954">
        <v>1</v>
      </c>
      <c r="CN954" s="18">
        <v>0</v>
      </c>
      <c r="CO954">
        <v>0.19600000000000001</v>
      </c>
      <c r="CP954">
        <v>166</v>
      </c>
      <c r="CQ954">
        <v>1</v>
      </c>
      <c r="CR954">
        <v>0</v>
      </c>
      <c r="CS954">
        <v>17</v>
      </c>
      <c r="CY954" s="34"/>
    </row>
    <row r="955" spans="1:103" x14ac:dyDescent="0.25">
      <c r="A955">
        <v>954</v>
      </c>
      <c r="B955">
        <v>65</v>
      </c>
      <c r="C955" s="25" t="s">
        <v>3971</v>
      </c>
      <c r="D955" s="12">
        <v>9.99</v>
      </c>
      <c r="E955" s="14">
        <v>1.46</v>
      </c>
      <c r="F955" s="7">
        <f t="shared" si="234"/>
        <v>6.8424657534246576</v>
      </c>
      <c r="G955" s="7">
        <f t="shared" si="219"/>
        <v>8.5300000000000011</v>
      </c>
      <c r="H955" s="16">
        <f t="shared" si="220"/>
        <v>11.45</v>
      </c>
      <c r="I955" s="11">
        <f t="shared" si="223"/>
        <v>3.0457072178164363E-2</v>
      </c>
      <c r="J955" s="33">
        <f t="shared" si="224"/>
        <v>4.451183721733731E-3</v>
      </c>
      <c r="K955" s="33">
        <f t="shared" si="225"/>
        <v>224.65934064175207</v>
      </c>
      <c r="L955" s="8">
        <v>0</v>
      </c>
      <c r="M955" s="9">
        <v>1</v>
      </c>
      <c r="N955" s="8">
        <v>0</v>
      </c>
      <c r="O955" s="9">
        <v>0</v>
      </c>
      <c r="P955" s="9">
        <v>0</v>
      </c>
      <c r="Q955" s="9">
        <v>1</v>
      </c>
      <c r="R955" s="9">
        <v>0</v>
      </c>
      <c r="S955" s="8">
        <v>50445</v>
      </c>
      <c r="T955" s="9">
        <v>19</v>
      </c>
      <c r="U955" s="9">
        <f t="shared" si="221"/>
        <v>50425</v>
      </c>
      <c r="V955" s="9">
        <f t="shared" si="222"/>
        <v>24</v>
      </c>
      <c r="W955" s="7">
        <v>13.153</v>
      </c>
      <c r="X955" s="7">
        <f t="shared" si="235"/>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31"/>
        <v>0.48299999999999998</v>
      </c>
      <c r="AS955" t="s">
        <v>98</v>
      </c>
      <c r="AT955" s="40" t="s">
        <v>98</v>
      </c>
      <c r="AU955">
        <v>0</v>
      </c>
      <c r="AV955" s="18">
        <v>1</v>
      </c>
      <c r="AW955" t="s">
        <v>98</v>
      </c>
      <c r="AX955" s="18" t="s">
        <v>98</v>
      </c>
      <c r="AY955" s="18" t="s">
        <v>233</v>
      </c>
      <c r="AZ955">
        <v>1</v>
      </c>
      <c r="BA955">
        <v>0</v>
      </c>
      <c r="BB955">
        <v>0</v>
      </c>
      <c r="BC955">
        <v>0</v>
      </c>
      <c r="BD955">
        <v>0</v>
      </c>
      <c r="BE955">
        <v>0</v>
      </c>
      <c r="BF955" s="18">
        <v>0</v>
      </c>
      <c r="BG955">
        <v>1</v>
      </c>
      <c r="BH955">
        <v>0</v>
      </c>
      <c r="BI955" s="18">
        <v>0</v>
      </c>
      <c r="BJ955">
        <v>19368</v>
      </c>
      <c r="BK955">
        <v>20765</v>
      </c>
      <c r="BL955" s="25">
        <v>28.15</v>
      </c>
      <c r="BM955">
        <v>0</v>
      </c>
      <c r="BN955">
        <v>0</v>
      </c>
      <c r="BO955">
        <v>0</v>
      </c>
      <c r="BP955">
        <v>0</v>
      </c>
      <c r="BQ955">
        <v>0</v>
      </c>
      <c r="BR955">
        <v>0</v>
      </c>
      <c r="BS955">
        <v>0</v>
      </c>
      <c r="BT955" s="18">
        <v>1</v>
      </c>
      <c r="BU955">
        <v>1</v>
      </c>
      <c r="BV955">
        <v>0</v>
      </c>
      <c r="BW955">
        <v>0</v>
      </c>
      <c r="BX955" s="18">
        <v>0</v>
      </c>
      <c r="BY955">
        <v>0</v>
      </c>
      <c r="BZ955">
        <v>0</v>
      </c>
      <c r="CA955">
        <v>0</v>
      </c>
      <c r="CB955">
        <v>0</v>
      </c>
      <c r="CC955" s="18">
        <v>0</v>
      </c>
      <c r="CD955">
        <v>1</v>
      </c>
      <c r="CE955">
        <v>0</v>
      </c>
      <c r="CF955">
        <v>0</v>
      </c>
      <c r="CG955">
        <v>0</v>
      </c>
      <c r="CH955">
        <v>1</v>
      </c>
      <c r="CI955">
        <v>1</v>
      </c>
      <c r="CJ955">
        <v>1</v>
      </c>
      <c r="CK955">
        <v>0</v>
      </c>
      <c r="CL955">
        <v>0</v>
      </c>
      <c r="CM955">
        <v>1</v>
      </c>
      <c r="CN955" s="18">
        <v>0</v>
      </c>
      <c r="CO955">
        <v>0.19600000000000001</v>
      </c>
      <c r="CP955">
        <v>166</v>
      </c>
      <c r="CQ955">
        <v>1</v>
      </c>
      <c r="CR955">
        <v>0</v>
      </c>
      <c r="CS955">
        <v>17</v>
      </c>
      <c r="CY955" s="34"/>
    </row>
    <row r="956" spans="1:103" x14ac:dyDescent="0.25">
      <c r="A956">
        <v>955</v>
      </c>
      <c r="B956">
        <v>65</v>
      </c>
      <c r="C956" s="25" t="s">
        <v>3971</v>
      </c>
      <c r="D956" s="12">
        <v>5.94</v>
      </c>
      <c r="E956" s="14">
        <v>1.23</v>
      </c>
      <c r="F956" s="7">
        <f t="shared" si="234"/>
        <v>4.8292682926829276</v>
      </c>
      <c r="G956" s="7">
        <f t="shared" si="219"/>
        <v>4.7100000000000009</v>
      </c>
      <c r="H956" s="16">
        <f t="shared" si="220"/>
        <v>7.17</v>
      </c>
      <c r="I956" s="11">
        <f t="shared" si="223"/>
        <v>8.4850476295895663E-2</v>
      </c>
      <c r="J956" s="33">
        <f t="shared" si="224"/>
        <v>1.7570048121877384E-2</v>
      </c>
      <c r="K956" s="33">
        <f t="shared" si="225"/>
        <v>56.915040474752473</v>
      </c>
      <c r="L956" s="8">
        <v>0</v>
      </c>
      <c r="M956" s="9">
        <v>1</v>
      </c>
      <c r="N956" s="8">
        <v>0</v>
      </c>
      <c r="O956" s="9">
        <v>0</v>
      </c>
      <c r="P956" s="9">
        <v>0</v>
      </c>
      <c r="Q956" s="9">
        <v>1</v>
      </c>
      <c r="R956" s="9">
        <v>0</v>
      </c>
      <c r="S956" s="8">
        <v>3235</v>
      </c>
      <c r="T956" s="9">
        <v>18</v>
      </c>
      <c r="U956" s="9">
        <f t="shared" si="221"/>
        <v>3216</v>
      </c>
      <c r="V956" s="9">
        <f t="shared" si="222"/>
        <v>24</v>
      </c>
      <c r="W956" s="7">
        <v>13.131</v>
      </c>
      <c r="X956" s="7">
        <f t="shared" si="235"/>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31"/>
        <v>0.47599999999999998</v>
      </c>
      <c r="AS956" t="s">
        <v>98</v>
      </c>
      <c r="AT956" s="40" t="s">
        <v>98</v>
      </c>
      <c r="AU956">
        <v>0</v>
      </c>
      <c r="AV956" s="18">
        <v>1</v>
      </c>
      <c r="AW956" t="s">
        <v>98</v>
      </c>
      <c r="AX956" s="18" t="s">
        <v>98</v>
      </c>
      <c r="AY956" s="18" t="s">
        <v>233</v>
      </c>
      <c r="AZ956">
        <v>1</v>
      </c>
      <c r="BA956">
        <v>0</v>
      </c>
      <c r="BB956">
        <v>0</v>
      </c>
      <c r="BC956">
        <v>0</v>
      </c>
      <c r="BD956">
        <v>0</v>
      </c>
      <c r="BE956">
        <v>0</v>
      </c>
      <c r="BF956" s="18">
        <v>0</v>
      </c>
      <c r="BG956">
        <v>1</v>
      </c>
      <c r="BH956">
        <v>0</v>
      </c>
      <c r="BI956" s="18">
        <v>0</v>
      </c>
      <c r="BJ956">
        <v>19368</v>
      </c>
      <c r="BK956">
        <v>20765</v>
      </c>
      <c r="BL956" s="25">
        <v>28.28</v>
      </c>
      <c r="BM956">
        <v>0</v>
      </c>
      <c r="BN956">
        <v>0</v>
      </c>
      <c r="BO956">
        <v>0</v>
      </c>
      <c r="BP956">
        <v>1</v>
      </c>
      <c r="BQ956">
        <v>0</v>
      </c>
      <c r="BR956">
        <v>0</v>
      </c>
      <c r="BS956">
        <v>0</v>
      </c>
      <c r="BT956" s="18">
        <v>0</v>
      </c>
      <c r="BU956">
        <v>0</v>
      </c>
      <c r="BV956">
        <v>0</v>
      </c>
      <c r="BW956">
        <v>1</v>
      </c>
      <c r="BX956" s="18">
        <v>0</v>
      </c>
      <c r="BY956">
        <v>0</v>
      </c>
      <c r="BZ956">
        <v>0</v>
      </c>
      <c r="CA956">
        <v>0</v>
      </c>
      <c r="CB956">
        <v>0</v>
      </c>
      <c r="CC956" s="18">
        <v>0</v>
      </c>
      <c r="CD956">
        <v>1</v>
      </c>
      <c r="CE956">
        <v>0</v>
      </c>
      <c r="CF956">
        <v>0</v>
      </c>
      <c r="CG956">
        <v>0</v>
      </c>
      <c r="CH956">
        <v>1</v>
      </c>
      <c r="CI956">
        <v>1</v>
      </c>
      <c r="CJ956">
        <v>1</v>
      </c>
      <c r="CK956">
        <v>0</v>
      </c>
      <c r="CL956">
        <v>0</v>
      </c>
      <c r="CM956">
        <v>1</v>
      </c>
      <c r="CN956" s="18">
        <v>0</v>
      </c>
      <c r="CO956">
        <v>0.19600000000000001</v>
      </c>
      <c r="CP956">
        <v>166</v>
      </c>
      <c r="CQ956">
        <v>1</v>
      </c>
      <c r="CR956">
        <v>0</v>
      </c>
      <c r="CS956">
        <v>17</v>
      </c>
      <c r="CY956" s="34"/>
    </row>
    <row r="957" spans="1:103" x14ac:dyDescent="0.25">
      <c r="A957">
        <v>956</v>
      </c>
      <c r="B957">
        <v>65</v>
      </c>
      <c r="C957" s="25" t="s">
        <v>3971</v>
      </c>
      <c r="D957" s="12">
        <v>5.25</v>
      </c>
      <c r="E957" s="14">
        <v>2.7</v>
      </c>
      <c r="F957" s="7">
        <f t="shared" si="234"/>
        <v>1.9444444444444444</v>
      </c>
      <c r="G957" s="7">
        <f t="shared" si="219"/>
        <v>2.5499999999999998</v>
      </c>
      <c r="H957" s="16">
        <f t="shared" si="220"/>
        <v>7.95</v>
      </c>
      <c r="I957" s="11">
        <f t="shared" si="223"/>
        <v>8.7677669757510405E-3</v>
      </c>
      <c r="J957" s="33">
        <f t="shared" si="224"/>
        <v>4.5091373018148204E-3</v>
      </c>
      <c r="K957" s="33">
        <f t="shared" si="225"/>
        <v>221.77191180173728</v>
      </c>
      <c r="L957" s="8">
        <v>0</v>
      </c>
      <c r="M957" s="9">
        <v>1</v>
      </c>
      <c r="N957" s="8">
        <v>0</v>
      </c>
      <c r="O957" s="9">
        <v>0</v>
      </c>
      <c r="P957" s="9">
        <v>0</v>
      </c>
      <c r="Q957" s="9">
        <v>1</v>
      </c>
      <c r="R957" s="9">
        <v>0</v>
      </c>
      <c r="S957" s="8">
        <v>49198</v>
      </c>
      <c r="T957" s="9">
        <v>18</v>
      </c>
      <c r="U957" s="9">
        <f t="shared" si="221"/>
        <v>49179</v>
      </c>
      <c r="V957" s="9">
        <f t="shared" si="222"/>
        <v>24</v>
      </c>
      <c r="W957" s="7">
        <v>13.154999999999999</v>
      </c>
      <c r="X957" s="7">
        <f t="shared" si="235"/>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31"/>
        <v>0.36699999999999999</v>
      </c>
      <c r="AS957" t="s">
        <v>98</v>
      </c>
      <c r="AT957" s="40" t="s">
        <v>98</v>
      </c>
      <c r="AU957">
        <v>0</v>
      </c>
      <c r="AV957" s="18">
        <v>1</v>
      </c>
      <c r="AW957" t="s">
        <v>98</v>
      </c>
      <c r="AX957" s="18" t="s">
        <v>98</v>
      </c>
      <c r="AY957" s="18" t="s">
        <v>233</v>
      </c>
      <c r="AZ957">
        <v>1</v>
      </c>
      <c r="BA957">
        <v>0</v>
      </c>
      <c r="BB957">
        <v>0</v>
      </c>
      <c r="BC957">
        <v>0</v>
      </c>
      <c r="BD957">
        <v>0</v>
      </c>
      <c r="BE957">
        <v>0</v>
      </c>
      <c r="BF957" s="18">
        <v>0</v>
      </c>
      <c r="BG957">
        <v>1</v>
      </c>
      <c r="BH957">
        <v>0</v>
      </c>
      <c r="BI957" s="18">
        <v>0</v>
      </c>
      <c r="BJ957">
        <v>19368</v>
      </c>
      <c r="BK957">
        <v>20765</v>
      </c>
      <c r="BL957" s="25">
        <v>30.21</v>
      </c>
      <c r="BM957">
        <v>0</v>
      </c>
      <c r="BN957">
        <v>0</v>
      </c>
      <c r="BO957">
        <v>0</v>
      </c>
      <c r="BP957">
        <v>1</v>
      </c>
      <c r="BQ957">
        <v>0</v>
      </c>
      <c r="BR957">
        <v>0</v>
      </c>
      <c r="BS957">
        <v>0</v>
      </c>
      <c r="BT957" s="18">
        <v>0</v>
      </c>
      <c r="BU957">
        <v>0</v>
      </c>
      <c r="BV957">
        <v>0</v>
      </c>
      <c r="BW957">
        <v>1</v>
      </c>
      <c r="BX957" s="18">
        <v>0</v>
      </c>
      <c r="BY957">
        <v>0</v>
      </c>
      <c r="BZ957">
        <v>0</v>
      </c>
      <c r="CA957">
        <v>0</v>
      </c>
      <c r="CB957">
        <v>0</v>
      </c>
      <c r="CC957" s="18">
        <v>0</v>
      </c>
      <c r="CD957">
        <v>1</v>
      </c>
      <c r="CE957">
        <v>0</v>
      </c>
      <c r="CF957">
        <v>0</v>
      </c>
      <c r="CG957">
        <v>0</v>
      </c>
      <c r="CH957">
        <v>1</v>
      </c>
      <c r="CI957">
        <v>1</v>
      </c>
      <c r="CJ957">
        <v>1</v>
      </c>
      <c r="CK957">
        <v>0</v>
      </c>
      <c r="CL957">
        <v>0</v>
      </c>
      <c r="CM957">
        <v>1</v>
      </c>
      <c r="CN957" s="18">
        <v>0</v>
      </c>
      <c r="CO957">
        <v>0.19600000000000001</v>
      </c>
      <c r="CP957">
        <v>166</v>
      </c>
      <c r="CQ957">
        <v>1</v>
      </c>
      <c r="CR957">
        <v>0</v>
      </c>
      <c r="CS957">
        <v>17</v>
      </c>
      <c r="CY957" s="34"/>
    </row>
    <row r="958" spans="1:103" x14ac:dyDescent="0.25">
      <c r="A958">
        <v>957</v>
      </c>
      <c r="B958">
        <v>65</v>
      </c>
      <c r="C958" s="25" t="s">
        <v>3971</v>
      </c>
      <c r="D958" s="12">
        <v>5.23</v>
      </c>
      <c r="E958" s="14">
        <v>2.5</v>
      </c>
      <c r="F958" s="7">
        <f t="shared" si="234"/>
        <v>2.0920000000000001</v>
      </c>
      <c r="G958" s="7">
        <f t="shared" si="219"/>
        <v>2.7300000000000004</v>
      </c>
      <c r="H958" s="16">
        <f t="shared" si="220"/>
        <v>7.73</v>
      </c>
      <c r="I958" s="11">
        <f t="shared" si="223"/>
        <v>9.1373423589723498E-3</v>
      </c>
      <c r="J958" s="33">
        <f t="shared" si="224"/>
        <v>4.3677544736961515E-3</v>
      </c>
      <c r="K958" s="33">
        <f t="shared" si="225"/>
        <v>228.9505983045251</v>
      </c>
      <c r="L958" s="8">
        <v>0</v>
      </c>
      <c r="M958" s="9">
        <v>1</v>
      </c>
      <c r="N958" s="8">
        <v>0</v>
      </c>
      <c r="O958" s="9">
        <v>0</v>
      </c>
      <c r="P958" s="9">
        <v>0</v>
      </c>
      <c r="Q958" s="9">
        <v>1</v>
      </c>
      <c r="R958" s="9">
        <v>0</v>
      </c>
      <c r="S958" s="8">
        <v>52433</v>
      </c>
      <c r="T958" s="9">
        <v>18</v>
      </c>
      <c r="U958" s="9">
        <f t="shared" si="221"/>
        <v>52414</v>
      </c>
      <c r="V958" s="9">
        <f t="shared" si="222"/>
        <v>24</v>
      </c>
      <c r="W958" s="7">
        <v>13.153</v>
      </c>
      <c r="X958" s="7">
        <f t="shared" si="235"/>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31"/>
        <v>0.48299999999999998</v>
      </c>
      <c r="AS958" t="s">
        <v>98</v>
      </c>
      <c r="AT958" s="40" t="s">
        <v>98</v>
      </c>
      <c r="AU958">
        <v>0</v>
      </c>
      <c r="AV958" s="18">
        <v>1</v>
      </c>
      <c r="AW958" t="s">
        <v>98</v>
      </c>
      <c r="AX958" s="18" t="s">
        <v>98</v>
      </c>
      <c r="AY958" s="18" t="s">
        <v>233</v>
      </c>
      <c r="AZ958">
        <v>1</v>
      </c>
      <c r="BA958">
        <v>0</v>
      </c>
      <c r="BB958">
        <v>0</v>
      </c>
      <c r="BC958">
        <v>0</v>
      </c>
      <c r="BD958">
        <v>0</v>
      </c>
      <c r="BE958">
        <v>0</v>
      </c>
      <c r="BF958" s="18">
        <v>0</v>
      </c>
      <c r="BG958">
        <v>1</v>
      </c>
      <c r="BH958">
        <v>0</v>
      </c>
      <c r="BI958" s="18">
        <v>0</v>
      </c>
      <c r="BJ958">
        <v>19368</v>
      </c>
      <c r="BK958">
        <v>20765</v>
      </c>
      <c r="BL958" s="25">
        <v>28.15</v>
      </c>
      <c r="BM958">
        <v>0</v>
      </c>
      <c r="BN958">
        <v>0</v>
      </c>
      <c r="BO958">
        <v>0</v>
      </c>
      <c r="BP958">
        <v>1</v>
      </c>
      <c r="BQ958">
        <v>0</v>
      </c>
      <c r="BR958">
        <v>0</v>
      </c>
      <c r="BS958">
        <v>0</v>
      </c>
      <c r="BT958" s="18">
        <v>0</v>
      </c>
      <c r="BU958">
        <v>0</v>
      </c>
      <c r="BV958">
        <v>0</v>
      </c>
      <c r="BW958">
        <v>1</v>
      </c>
      <c r="BX958" s="18">
        <v>0</v>
      </c>
      <c r="BY958">
        <v>0</v>
      </c>
      <c r="BZ958">
        <v>0</v>
      </c>
      <c r="CA958">
        <v>0</v>
      </c>
      <c r="CB958">
        <v>0</v>
      </c>
      <c r="CC958" s="18">
        <v>0</v>
      </c>
      <c r="CD958">
        <v>1</v>
      </c>
      <c r="CE958">
        <v>0</v>
      </c>
      <c r="CF958">
        <v>0</v>
      </c>
      <c r="CG958">
        <v>0</v>
      </c>
      <c r="CH958">
        <v>1</v>
      </c>
      <c r="CI958">
        <v>1</v>
      </c>
      <c r="CJ958">
        <v>1</v>
      </c>
      <c r="CK958">
        <v>0</v>
      </c>
      <c r="CL958">
        <v>0</v>
      </c>
      <c r="CM958">
        <v>1</v>
      </c>
      <c r="CN958" s="18">
        <v>0</v>
      </c>
      <c r="CO958">
        <v>0.19600000000000001</v>
      </c>
      <c r="CP958">
        <v>166</v>
      </c>
      <c r="CQ958">
        <v>1</v>
      </c>
      <c r="CR958">
        <v>0</v>
      </c>
      <c r="CS958">
        <v>17</v>
      </c>
      <c r="CY958" s="34"/>
    </row>
    <row r="959" spans="1:103" x14ac:dyDescent="0.25">
      <c r="A959">
        <v>958</v>
      </c>
      <c r="B959">
        <v>65</v>
      </c>
      <c r="C959" s="25" t="s">
        <v>3971</v>
      </c>
      <c r="D959" s="12">
        <v>5.29</v>
      </c>
      <c r="E959" s="14">
        <v>1.34</v>
      </c>
      <c r="F959" s="7">
        <f t="shared" si="234"/>
        <v>3.9477611940298507</v>
      </c>
      <c r="G959" s="7">
        <f t="shared" si="219"/>
        <v>3.95</v>
      </c>
      <c r="H959" s="16">
        <f t="shared" si="220"/>
        <v>6.63</v>
      </c>
      <c r="I959" s="11">
        <f t="shared" si="223"/>
        <v>7.1312399672231297E-2</v>
      </c>
      <c r="J959" s="33">
        <f t="shared" si="224"/>
        <v>1.8064010502984867E-2</v>
      </c>
      <c r="K959" s="33">
        <f t="shared" si="225"/>
        <v>55.358692347680027</v>
      </c>
      <c r="L959" s="8">
        <v>0</v>
      </c>
      <c r="M959" s="9">
        <v>1</v>
      </c>
      <c r="N959" s="8">
        <v>0</v>
      </c>
      <c r="O959" s="9">
        <v>0</v>
      </c>
      <c r="P959" s="9">
        <v>0</v>
      </c>
      <c r="Q959" s="9">
        <v>1</v>
      </c>
      <c r="R959" s="9">
        <v>0</v>
      </c>
      <c r="S959" s="8">
        <v>3069</v>
      </c>
      <c r="T959" s="9">
        <v>19</v>
      </c>
      <c r="U959" s="9">
        <f t="shared" si="221"/>
        <v>3049</v>
      </c>
      <c r="V959" s="9">
        <f t="shared" si="222"/>
        <v>24</v>
      </c>
      <c r="W959" s="7">
        <v>13.131</v>
      </c>
      <c r="X959" s="7">
        <f t="shared" si="235"/>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31"/>
        <v>0.47599999999999998</v>
      </c>
      <c r="AS959" t="s">
        <v>98</v>
      </c>
      <c r="AT959" s="40" t="s">
        <v>98</v>
      </c>
      <c r="AU959">
        <v>0</v>
      </c>
      <c r="AV959" s="18">
        <v>1</v>
      </c>
      <c r="AW959" t="s">
        <v>98</v>
      </c>
      <c r="AX959" s="18" t="s">
        <v>98</v>
      </c>
      <c r="AY959" s="18" t="s">
        <v>233</v>
      </c>
      <c r="AZ959">
        <v>1</v>
      </c>
      <c r="BA959">
        <v>0</v>
      </c>
      <c r="BB959">
        <v>0</v>
      </c>
      <c r="BC959">
        <v>0</v>
      </c>
      <c r="BD959">
        <v>0</v>
      </c>
      <c r="BE959">
        <v>0</v>
      </c>
      <c r="BF959" s="18">
        <v>0</v>
      </c>
      <c r="BG959">
        <v>1</v>
      </c>
      <c r="BH959">
        <v>0</v>
      </c>
      <c r="BI959" s="18">
        <v>0</v>
      </c>
      <c r="BJ959">
        <v>19368</v>
      </c>
      <c r="BK959">
        <v>20765</v>
      </c>
      <c r="BL959" s="25">
        <v>28.28</v>
      </c>
      <c r="BM959">
        <v>0</v>
      </c>
      <c r="BN959">
        <v>0</v>
      </c>
      <c r="BO959">
        <v>0</v>
      </c>
      <c r="BP959">
        <v>1</v>
      </c>
      <c r="BQ959">
        <v>0</v>
      </c>
      <c r="BR959">
        <v>0</v>
      </c>
      <c r="BS959">
        <v>0</v>
      </c>
      <c r="BT959" s="18">
        <v>0</v>
      </c>
      <c r="BU959">
        <v>1</v>
      </c>
      <c r="BV959">
        <v>0</v>
      </c>
      <c r="BW959">
        <v>0</v>
      </c>
      <c r="BX959" s="18">
        <v>0</v>
      </c>
      <c r="BY959">
        <v>0</v>
      </c>
      <c r="BZ959">
        <v>0</v>
      </c>
      <c r="CA959">
        <v>0</v>
      </c>
      <c r="CB959">
        <v>0</v>
      </c>
      <c r="CC959" s="18">
        <v>0</v>
      </c>
      <c r="CD959">
        <v>1</v>
      </c>
      <c r="CE959">
        <v>0</v>
      </c>
      <c r="CF959">
        <v>0</v>
      </c>
      <c r="CG959">
        <v>0</v>
      </c>
      <c r="CH959">
        <v>1</v>
      </c>
      <c r="CI959">
        <v>1</v>
      </c>
      <c r="CJ959">
        <v>1</v>
      </c>
      <c r="CK959">
        <v>0</v>
      </c>
      <c r="CL959">
        <v>0</v>
      </c>
      <c r="CM959">
        <v>1</v>
      </c>
      <c r="CN959" s="18">
        <v>0</v>
      </c>
      <c r="CO959">
        <v>0.19600000000000001</v>
      </c>
      <c r="CP959">
        <v>166</v>
      </c>
      <c r="CQ959">
        <v>1</v>
      </c>
      <c r="CR959">
        <v>0</v>
      </c>
      <c r="CS959">
        <v>17</v>
      </c>
      <c r="CY959" s="34"/>
    </row>
    <row r="960" spans="1:103" x14ac:dyDescent="0.25">
      <c r="A960">
        <v>959</v>
      </c>
      <c r="B960">
        <v>65</v>
      </c>
      <c r="C960" s="25" t="s">
        <v>3971</v>
      </c>
      <c r="D960" s="12">
        <v>4.28</v>
      </c>
      <c r="E960" s="14">
        <v>2.9</v>
      </c>
      <c r="F960" s="7">
        <f t="shared" si="234"/>
        <v>1.4758620689655173</v>
      </c>
      <c r="G960" s="7">
        <f t="shared" si="219"/>
        <v>1.3800000000000003</v>
      </c>
      <c r="H960" s="16">
        <f t="shared" si="220"/>
        <v>7.18</v>
      </c>
      <c r="I960" s="11">
        <f t="shared" si="223"/>
        <v>6.7985965340321289E-3</v>
      </c>
      <c r="J960" s="33">
        <f t="shared" si="224"/>
        <v>4.6065256889470038E-3</v>
      </c>
      <c r="K960" s="33">
        <f t="shared" si="225"/>
        <v>217.0833438309964</v>
      </c>
      <c r="L960" s="8">
        <v>0</v>
      </c>
      <c r="M960" s="9">
        <v>1</v>
      </c>
      <c r="N960" s="8">
        <v>0</v>
      </c>
      <c r="O960" s="9">
        <v>0</v>
      </c>
      <c r="P960" s="9">
        <v>0</v>
      </c>
      <c r="Q960" s="9">
        <v>1</v>
      </c>
      <c r="R960" s="9">
        <v>0</v>
      </c>
      <c r="S960" s="8">
        <v>47143</v>
      </c>
      <c r="T960" s="9">
        <v>19</v>
      </c>
      <c r="U960" s="9">
        <f t="shared" si="221"/>
        <v>47123</v>
      </c>
      <c r="V960" s="9">
        <f t="shared" si="222"/>
        <v>24</v>
      </c>
      <c r="W960" s="7">
        <v>13.154999999999999</v>
      </c>
      <c r="X960" s="7">
        <f t="shared" si="235"/>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31"/>
        <v>0.36699999999999999</v>
      </c>
      <c r="AS960" t="s">
        <v>98</v>
      </c>
      <c r="AT960" s="40" t="s">
        <v>98</v>
      </c>
      <c r="AU960">
        <v>0</v>
      </c>
      <c r="AV960" s="18">
        <v>1</v>
      </c>
      <c r="AW960" t="s">
        <v>98</v>
      </c>
      <c r="AX960" s="18" t="s">
        <v>98</v>
      </c>
      <c r="AY960" s="18" t="s">
        <v>233</v>
      </c>
      <c r="AZ960">
        <v>1</v>
      </c>
      <c r="BA960">
        <v>0</v>
      </c>
      <c r="BB960">
        <v>0</v>
      </c>
      <c r="BC960">
        <v>0</v>
      </c>
      <c r="BD960">
        <v>0</v>
      </c>
      <c r="BE960">
        <v>0</v>
      </c>
      <c r="BF960" s="18">
        <v>0</v>
      </c>
      <c r="BG960">
        <v>1</v>
      </c>
      <c r="BH960">
        <v>0</v>
      </c>
      <c r="BI960" s="18">
        <v>0</v>
      </c>
      <c r="BJ960">
        <v>19368</v>
      </c>
      <c r="BK960">
        <v>20765</v>
      </c>
      <c r="BL960" s="25">
        <v>30.21</v>
      </c>
      <c r="BM960">
        <v>0</v>
      </c>
      <c r="BN960">
        <v>0</v>
      </c>
      <c r="BO960">
        <v>0</v>
      </c>
      <c r="BP960">
        <v>1</v>
      </c>
      <c r="BQ960">
        <v>0</v>
      </c>
      <c r="BR960">
        <v>0</v>
      </c>
      <c r="BS960">
        <v>0</v>
      </c>
      <c r="BT960" s="18">
        <v>0</v>
      </c>
      <c r="BU960">
        <v>1</v>
      </c>
      <c r="BV960">
        <v>0</v>
      </c>
      <c r="BW960">
        <v>0</v>
      </c>
      <c r="BX960" s="18">
        <v>0</v>
      </c>
      <c r="BY960">
        <v>0</v>
      </c>
      <c r="BZ960">
        <v>0</v>
      </c>
      <c r="CA960">
        <v>0</v>
      </c>
      <c r="CB960">
        <v>0</v>
      </c>
      <c r="CC960" s="18">
        <v>0</v>
      </c>
      <c r="CD960">
        <v>1</v>
      </c>
      <c r="CE960">
        <v>0</v>
      </c>
      <c r="CF960">
        <v>0</v>
      </c>
      <c r="CG960">
        <v>0</v>
      </c>
      <c r="CH960">
        <v>1</v>
      </c>
      <c r="CI960">
        <v>1</v>
      </c>
      <c r="CJ960">
        <v>1</v>
      </c>
      <c r="CK960">
        <v>0</v>
      </c>
      <c r="CL960">
        <v>0</v>
      </c>
      <c r="CM960">
        <v>1</v>
      </c>
      <c r="CN960" s="18">
        <v>0</v>
      </c>
      <c r="CO960">
        <v>0.19600000000000001</v>
      </c>
      <c r="CP960">
        <v>166</v>
      </c>
      <c r="CQ960">
        <v>1</v>
      </c>
      <c r="CR960">
        <v>0</v>
      </c>
      <c r="CS960">
        <v>17</v>
      </c>
      <c r="CY960" s="34"/>
    </row>
    <row r="961" spans="1:103" x14ac:dyDescent="0.25">
      <c r="A961">
        <v>960</v>
      </c>
      <c r="B961">
        <v>65</v>
      </c>
      <c r="C961" s="25" t="s">
        <v>3971</v>
      </c>
      <c r="D961" s="12">
        <v>4.25</v>
      </c>
      <c r="E961" s="14">
        <v>2.7</v>
      </c>
      <c r="F961" s="7">
        <f t="shared" si="234"/>
        <v>1.574074074074074</v>
      </c>
      <c r="G961" s="7">
        <f t="shared" si="219"/>
        <v>1.5499999999999998</v>
      </c>
      <c r="H961" s="16">
        <f t="shared" si="220"/>
        <v>6.95</v>
      </c>
      <c r="I961" s="11">
        <f t="shared" si="223"/>
        <v>7.0258228637515583E-3</v>
      </c>
      <c r="J961" s="33">
        <f t="shared" si="224"/>
        <v>4.4634639369715784E-3</v>
      </c>
      <c r="K961" s="33">
        <f t="shared" si="225"/>
        <v>224.04124109009635</v>
      </c>
      <c r="L961" s="8">
        <v>0</v>
      </c>
      <c r="M961" s="9">
        <v>1</v>
      </c>
      <c r="N961" s="8">
        <v>0</v>
      </c>
      <c r="O961" s="9">
        <v>0</v>
      </c>
      <c r="P961" s="9">
        <v>0</v>
      </c>
      <c r="Q961" s="9">
        <v>1</v>
      </c>
      <c r="R961" s="9">
        <v>0</v>
      </c>
      <c r="S961" s="8">
        <v>50212</v>
      </c>
      <c r="T961" s="9">
        <v>19</v>
      </c>
      <c r="U961" s="9">
        <f t="shared" si="221"/>
        <v>50192</v>
      </c>
      <c r="V961" s="9">
        <f t="shared" si="222"/>
        <v>24</v>
      </c>
      <c r="W961" s="7">
        <v>13.153</v>
      </c>
      <c r="X961" s="7">
        <f t="shared" si="235"/>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31"/>
        <v>0.48299999999999998</v>
      </c>
      <c r="AS961" t="s">
        <v>98</v>
      </c>
      <c r="AT961" s="40" t="s">
        <v>98</v>
      </c>
      <c r="AU961">
        <v>0</v>
      </c>
      <c r="AV961" s="18">
        <v>1</v>
      </c>
      <c r="AW961" t="s">
        <v>98</v>
      </c>
      <c r="AX961" s="18" t="s">
        <v>98</v>
      </c>
      <c r="AY961" s="18" t="s">
        <v>233</v>
      </c>
      <c r="AZ961">
        <v>1</v>
      </c>
      <c r="BA961">
        <v>0</v>
      </c>
      <c r="BB961">
        <v>0</v>
      </c>
      <c r="BC961">
        <v>0</v>
      </c>
      <c r="BD961">
        <v>0</v>
      </c>
      <c r="BE961">
        <v>0</v>
      </c>
      <c r="BF961" s="18">
        <v>0</v>
      </c>
      <c r="BG961">
        <v>1</v>
      </c>
      <c r="BH961">
        <v>0</v>
      </c>
      <c r="BI961" s="18">
        <v>0</v>
      </c>
      <c r="BJ961">
        <v>19368</v>
      </c>
      <c r="BK961">
        <v>20765</v>
      </c>
      <c r="BL961" s="25">
        <v>28.15</v>
      </c>
      <c r="BM961">
        <v>0</v>
      </c>
      <c r="BN961">
        <v>0</v>
      </c>
      <c r="BO961">
        <v>0</v>
      </c>
      <c r="BP961">
        <v>1</v>
      </c>
      <c r="BQ961">
        <v>0</v>
      </c>
      <c r="BR961">
        <v>0</v>
      </c>
      <c r="BS961">
        <v>0</v>
      </c>
      <c r="BT961" s="18">
        <v>0</v>
      </c>
      <c r="BU961">
        <v>1</v>
      </c>
      <c r="BV961">
        <v>0</v>
      </c>
      <c r="BW961">
        <v>0</v>
      </c>
      <c r="BX961" s="18">
        <v>0</v>
      </c>
      <c r="BY961">
        <v>0</v>
      </c>
      <c r="BZ961">
        <v>0</v>
      </c>
      <c r="CA961">
        <v>0</v>
      </c>
      <c r="CB961">
        <v>0</v>
      </c>
      <c r="CC961" s="18">
        <v>0</v>
      </c>
      <c r="CD961">
        <v>1</v>
      </c>
      <c r="CE961">
        <v>0</v>
      </c>
      <c r="CF961">
        <v>0</v>
      </c>
      <c r="CG961">
        <v>0</v>
      </c>
      <c r="CH961">
        <v>1</v>
      </c>
      <c r="CI961">
        <v>1</v>
      </c>
      <c r="CJ961">
        <v>1</v>
      </c>
      <c r="CK961">
        <v>0</v>
      </c>
      <c r="CL961">
        <v>0</v>
      </c>
      <c r="CM961">
        <v>1</v>
      </c>
      <c r="CN961" s="18">
        <v>0</v>
      </c>
      <c r="CO961">
        <v>0.19600000000000001</v>
      </c>
      <c r="CP961">
        <v>166</v>
      </c>
      <c r="CQ961">
        <v>1</v>
      </c>
      <c r="CR961">
        <v>0</v>
      </c>
      <c r="CS961">
        <v>17</v>
      </c>
      <c r="CY961" s="34"/>
    </row>
    <row r="962" spans="1:103" x14ac:dyDescent="0.25">
      <c r="A962">
        <v>961</v>
      </c>
      <c r="B962">
        <v>66</v>
      </c>
      <c r="C962" s="25" t="s">
        <v>3979</v>
      </c>
      <c r="D962" s="12">
        <v>6.4</v>
      </c>
      <c r="E962" s="14">
        <v>1</v>
      </c>
      <c r="F962" s="7">
        <f t="shared" si="234"/>
        <v>6.4</v>
      </c>
      <c r="G962" s="7">
        <f t="shared" ref="G962:G1025" si="236">D962-E962</f>
        <v>5.4</v>
      </c>
      <c r="H962" s="16">
        <f t="shared" ref="H962:H1025" si="237">D962+E962</f>
        <v>7.4</v>
      </c>
      <c r="I962" s="11">
        <f t="shared" si="223"/>
        <v>0.26973742357178704</v>
      </c>
      <c r="J962" s="33">
        <f t="shared" si="224"/>
        <v>4.2146472433091726E-2</v>
      </c>
      <c r="K962" s="33">
        <f t="shared" si="225"/>
        <v>23.726778120933318</v>
      </c>
      <c r="L962" s="8">
        <v>0</v>
      </c>
      <c r="M962" s="9">
        <v>1</v>
      </c>
      <c r="N962" s="8">
        <v>1</v>
      </c>
      <c r="O962" s="9">
        <v>0</v>
      </c>
      <c r="P962" s="9">
        <v>0</v>
      </c>
      <c r="Q962" s="9">
        <v>0</v>
      </c>
      <c r="R962" s="9">
        <v>0</v>
      </c>
      <c r="S962" s="8">
        <v>526</v>
      </c>
      <c r="T962" s="9">
        <v>3</v>
      </c>
      <c r="U962" s="9">
        <f t="shared" ref="U962:U1025" si="238">S962-T962-1</f>
        <v>522</v>
      </c>
      <c r="V962" s="9">
        <f t="shared" ref="V962:V1025" si="239">COUNTIF(B:B,B962)</f>
        <v>8</v>
      </c>
      <c r="W962" s="7">
        <v>11.6</v>
      </c>
      <c r="X962" s="7">
        <f t="shared" si="235"/>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31"/>
        <v>0</v>
      </c>
      <c r="AS962">
        <v>0.45400000000000001</v>
      </c>
      <c r="AT962" s="40">
        <f t="shared" ref="AT962:AT976" si="240">1-AS962</f>
        <v>0.54600000000000004</v>
      </c>
      <c r="AU962">
        <v>0</v>
      </c>
      <c r="AV962" s="18">
        <v>1</v>
      </c>
      <c r="AW962">
        <v>0</v>
      </c>
      <c r="AX962" s="18">
        <v>1</v>
      </c>
      <c r="AY962" s="18" t="s">
        <v>19</v>
      </c>
      <c r="AZ962">
        <v>0</v>
      </c>
      <c r="BA962">
        <v>0</v>
      </c>
      <c r="BB962">
        <v>0</v>
      </c>
      <c r="BC962">
        <v>0</v>
      </c>
      <c r="BD962">
        <v>0</v>
      </c>
      <c r="BE962">
        <v>0</v>
      </c>
      <c r="BF962" s="18">
        <v>1</v>
      </c>
      <c r="BG962">
        <v>0</v>
      </c>
      <c r="BH962">
        <v>1</v>
      </c>
      <c r="BI962" s="18">
        <v>0</v>
      </c>
      <c r="BJ962">
        <v>925</v>
      </c>
      <c r="BK962" t="s">
        <v>98</v>
      </c>
      <c r="BL962" s="25">
        <v>28</v>
      </c>
      <c r="BM962">
        <v>0</v>
      </c>
      <c r="BN962">
        <v>0</v>
      </c>
      <c r="BO962">
        <v>1</v>
      </c>
      <c r="BP962">
        <v>0</v>
      </c>
      <c r="BQ962">
        <v>0</v>
      </c>
      <c r="BR962">
        <v>0</v>
      </c>
      <c r="BS962">
        <v>0</v>
      </c>
      <c r="BT962" s="18">
        <v>0</v>
      </c>
      <c r="BU962">
        <v>0</v>
      </c>
      <c r="BV962">
        <v>0</v>
      </c>
      <c r="BW962">
        <v>0</v>
      </c>
      <c r="BX962" s="18">
        <v>0</v>
      </c>
      <c r="BY962">
        <v>0</v>
      </c>
      <c r="BZ962">
        <v>0</v>
      </c>
      <c r="CA962">
        <v>0</v>
      </c>
      <c r="CB962">
        <v>0</v>
      </c>
      <c r="CC962" s="18">
        <v>0</v>
      </c>
      <c r="CD962">
        <v>0</v>
      </c>
      <c r="CE962">
        <v>0</v>
      </c>
      <c r="CF962">
        <v>0</v>
      </c>
      <c r="CG962">
        <v>0</v>
      </c>
      <c r="CH962">
        <v>0</v>
      </c>
      <c r="CI962">
        <v>0</v>
      </c>
      <c r="CJ962">
        <v>0</v>
      </c>
      <c r="CK962">
        <v>1</v>
      </c>
      <c r="CL962">
        <v>1</v>
      </c>
      <c r="CM962">
        <v>0</v>
      </c>
      <c r="CN962" s="18">
        <v>0</v>
      </c>
      <c r="CO962">
        <v>0.14599999999999999</v>
      </c>
      <c r="CP962">
        <v>6</v>
      </c>
      <c r="CQ962">
        <v>1</v>
      </c>
      <c r="CR962">
        <v>0</v>
      </c>
      <c r="CS962">
        <v>2</v>
      </c>
      <c r="CY962" s="34"/>
    </row>
    <row r="963" spans="1:103" x14ac:dyDescent="0.25">
      <c r="A963">
        <v>962</v>
      </c>
      <c r="B963">
        <v>66</v>
      </c>
      <c r="C963" s="25" t="s">
        <v>3979</v>
      </c>
      <c r="D963" s="12">
        <v>5.8</v>
      </c>
      <c r="E963" s="14">
        <v>1.2</v>
      </c>
      <c r="F963" s="7">
        <f t="shared" si="234"/>
        <v>4.833333333333333</v>
      </c>
      <c r="G963" s="7">
        <f t="shared" si="236"/>
        <v>4.5999999999999996</v>
      </c>
      <c r="H963" s="16">
        <f t="shared" si="237"/>
        <v>7</v>
      </c>
      <c r="I963" s="11">
        <f t="shared" si="223"/>
        <v>0.20948049241473998</v>
      </c>
      <c r="J963" s="33">
        <f t="shared" si="224"/>
        <v>4.3340791534084135E-2</v>
      </c>
      <c r="K963" s="33">
        <f t="shared" si="225"/>
        <v>23.07295193752007</v>
      </c>
      <c r="L963" s="8">
        <v>0</v>
      </c>
      <c r="M963" s="9">
        <v>1</v>
      </c>
      <c r="N963" s="8">
        <v>1</v>
      </c>
      <c r="O963" s="9">
        <v>0</v>
      </c>
      <c r="P963" s="9">
        <v>0</v>
      </c>
      <c r="Q963" s="9">
        <v>0</v>
      </c>
      <c r="R963" s="9">
        <v>0</v>
      </c>
      <c r="S963" s="8">
        <v>515</v>
      </c>
      <c r="T963" s="9">
        <v>5</v>
      </c>
      <c r="U963" s="9">
        <f t="shared" si="238"/>
        <v>509</v>
      </c>
      <c r="V963" s="9">
        <f t="shared" si="239"/>
        <v>8</v>
      </c>
      <c r="W963" s="7">
        <v>11.6</v>
      </c>
      <c r="X963" s="7">
        <f t="shared" si="235"/>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31"/>
        <v>0</v>
      </c>
      <c r="AS963">
        <v>0.45400000000000001</v>
      </c>
      <c r="AT963" s="40">
        <f t="shared" si="240"/>
        <v>0.54600000000000004</v>
      </c>
      <c r="AU963">
        <v>0</v>
      </c>
      <c r="AV963" s="18">
        <v>1</v>
      </c>
      <c r="AW963">
        <v>0</v>
      </c>
      <c r="AX963" s="18">
        <v>1</v>
      </c>
      <c r="AY963" s="18" t="s">
        <v>19</v>
      </c>
      <c r="AZ963">
        <v>0</v>
      </c>
      <c r="BA963">
        <v>0</v>
      </c>
      <c r="BB963">
        <v>0</v>
      </c>
      <c r="BC963">
        <v>0</v>
      </c>
      <c r="BD963">
        <v>0</v>
      </c>
      <c r="BE963">
        <v>0</v>
      </c>
      <c r="BF963" s="18">
        <v>1</v>
      </c>
      <c r="BG963">
        <v>0</v>
      </c>
      <c r="BH963">
        <v>1</v>
      </c>
      <c r="BI963" s="18">
        <v>0</v>
      </c>
      <c r="BJ963">
        <v>925</v>
      </c>
      <c r="BK963" t="s">
        <v>98</v>
      </c>
      <c r="BL963" s="25">
        <v>28</v>
      </c>
      <c r="BM963">
        <v>0</v>
      </c>
      <c r="BN963">
        <v>0</v>
      </c>
      <c r="BO963">
        <v>1</v>
      </c>
      <c r="BP963">
        <v>0</v>
      </c>
      <c r="BQ963">
        <v>0</v>
      </c>
      <c r="BR963">
        <v>0</v>
      </c>
      <c r="BS963">
        <v>0</v>
      </c>
      <c r="BT963" s="18">
        <v>0</v>
      </c>
      <c r="BU963">
        <v>0</v>
      </c>
      <c r="BV963">
        <v>0</v>
      </c>
      <c r="BW963">
        <v>0</v>
      </c>
      <c r="BX963" s="18">
        <v>0</v>
      </c>
      <c r="BY963">
        <v>0</v>
      </c>
      <c r="BZ963">
        <v>0</v>
      </c>
      <c r="CA963">
        <v>0</v>
      </c>
      <c r="CB963">
        <v>0</v>
      </c>
      <c r="CC963" s="18">
        <v>0</v>
      </c>
      <c r="CD963">
        <v>0</v>
      </c>
      <c r="CE963">
        <v>0</v>
      </c>
      <c r="CF963">
        <v>0</v>
      </c>
      <c r="CG963">
        <v>0</v>
      </c>
      <c r="CH963">
        <v>0</v>
      </c>
      <c r="CI963">
        <v>0</v>
      </c>
      <c r="CJ963">
        <v>0</v>
      </c>
      <c r="CK963">
        <v>1</v>
      </c>
      <c r="CL963">
        <v>1</v>
      </c>
      <c r="CM963">
        <v>0</v>
      </c>
      <c r="CN963" s="18">
        <v>0</v>
      </c>
      <c r="CO963">
        <v>0.14599999999999999</v>
      </c>
      <c r="CP963">
        <v>6</v>
      </c>
      <c r="CQ963">
        <v>1</v>
      </c>
      <c r="CR963">
        <v>0</v>
      </c>
      <c r="CS963">
        <v>2</v>
      </c>
      <c r="CY963" s="34"/>
    </row>
    <row r="964" spans="1:103" x14ac:dyDescent="0.25">
      <c r="A964">
        <v>963</v>
      </c>
      <c r="B964">
        <v>66</v>
      </c>
      <c r="C964" s="25" t="s">
        <v>3979</v>
      </c>
      <c r="D964" s="12">
        <v>8.8000000000000007</v>
      </c>
      <c r="E964" s="14">
        <v>1.6</v>
      </c>
      <c r="F964" s="7">
        <f t="shared" si="234"/>
        <v>5.5</v>
      </c>
      <c r="G964" s="7">
        <f t="shared" si="236"/>
        <v>7.2000000000000011</v>
      </c>
      <c r="H964" s="16">
        <f t="shared" si="237"/>
        <v>10.4</v>
      </c>
      <c r="I964" s="11">
        <f t="shared" si="223"/>
        <v>0.2368468497303001</v>
      </c>
      <c r="J964" s="33">
        <f t="shared" si="224"/>
        <v>4.306306358732729E-2</v>
      </c>
      <c r="K964" s="33">
        <f t="shared" si="225"/>
        <v>23.221757039466244</v>
      </c>
      <c r="L964" s="8">
        <v>0</v>
      </c>
      <c r="M964" s="9">
        <v>1</v>
      </c>
      <c r="N964" s="8">
        <v>1</v>
      </c>
      <c r="O964" s="9">
        <v>0</v>
      </c>
      <c r="P964" s="9">
        <v>0</v>
      </c>
      <c r="Q964" s="9">
        <v>0</v>
      </c>
      <c r="R964" s="9">
        <v>0</v>
      </c>
      <c r="S964" s="8">
        <v>515</v>
      </c>
      <c r="T964" s="9">
        <v>5</v>
      </c>
      <c r="U964" s="9">
        <f t="shared" si="238"/>
        <v>509</v>
      </c>
      <c r="V964" s="9">
        <f t="shared" si="239"/>
        <v>8</v>
      </c>
      <c r="W964" s="7">
        <v>11.6</v>
      </c>
      <c r="X964" s="7">
        <f t="shared" si="235"/>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31"/>
        <v>0</v>
      </c>
      <c r="AS964">
        <v>0.45400000000000001</v>
      </c>
      <c r="AT964" s="40">
        <f t="shared" si="240"/>
        <v>0.54600000000000004</v>
      </c>
      <c r="AU964">
        <v>0</v>
      </c>
      <c r="AV964" s="18">
        <v>1</v>
      </c>
      <c r="AW964">
        <v>0</v>
      </c>
      <c r="AX964" s="18">
        <v>1</v>
      </c>
      <c r="AY964" s="18" t="s">
        <v>19</v>
      </c>
      <c r="AZ964">
        <v>0</v>
      </c>
      <c r="BA964">
        <v>0</v>
      </c>
      <c r="BB964">
        <v>0</v>
      </c>
      <c r="BC964">
        <v>0</v>
      </c>
      <c r="BD964">
        <v>0</v>
      </c>
      <c r="BE964">
        <v>0</v>
      </c>
      <c r="BF964" s="18">
        <v>1</v>
      </c>
      <c r="BG964">
        <v>0</v>
      </c>
      <c r="BH964">
        <v>1</v>
      </c>
      <c r="BI964" s="18">
        <v>0</v>
      </c>
      <c r="BJ964">
        <v>925</v>
      </c>
      <c r="BK964" t="s">
        <v>98</v>
      </c>
      <c r="BL964" s="25">
        <v>28</v>
      </c>
      <c r="BM964">
        <v>0</v>
      </c>
      <c r="BN964">
        <v>0</v>
      </c>
      <c r="BO964">
        <v>1</v>
      </c>
      <c r="BP964">
        <v>0</v>
      </c>
      <c r="BQ964">
        <v>0</v>
      </c>
      <c r="BR964">
        <v>0</v>
      </c>
      <c r="BS964">
        <v>0</v>
      </c>
      <c r="BT964" s="18">
        <v>0</v>
      </c>
      <c r="BU964">
        <v>0</v>
      </c>
      <c r="BV964">
        <v>0</v>
      </c>
      <c r="BW964">
        <v>0</v>
      </c>
      <c r="BX964" s="18">
        <v>0</v>
      </c>
      <c r="BY964">
        <v>0</v>
      </c>
      <c r="BZ964">
        <v>0</v>
      </c>
      <c r="CA964">
        <v>0</v>
      </c>
      <c r="CB964">
        <v>0</v>
      </c>
      <c r="CC964" s="18">
        <v>0</v>
      </c>
      <c r="CD964">
        <v>0</v>
      </c>
      <c r="CE964">
        <v>0</v>
      </c>
      <c r="CF964">
        <v>0</v>
      </c>
      <c r="CG964">
        <v>0</v>
      </c>
      <c r="CH964">
        <v>0</v>
      </c>
      <c r="CI964">
        <v>0</v>
      </c>
      <c r="CJ964">
        <v>0</v>
      </c>
      <c r="CK964">
        <v>1</v>
      </c>
      <c r="CL964">
        <v>1</v>
      </c>
      <c r="CM964">
        <v>0</v>
      </c>
      <c r="CN964" s="18">
        <v>0</v>
      </c>
      <c r="CO964">
        <v>0.14599999999999999</v>
      </c>
      <c r="CP964">
        <v>6</v>
      </c>
      <c r="CQ964">
        <v>1</v>
      </c>
      <c r="CR964">
        <v>0</v>
      </c>
      <c r="CS964">
        <v>2</v>
      </c>
      <c r="CY964" s="34"/>
    </row>
    <row r="965" spans="1:103" x14ac:dyDescent="0.25">
      <c r="A965">
        <v>964</v>
      </c>
      <c r="B965">
        <v>66</v>
      </c>
      <c r="C965" s="25" t="s">
        <v>3979</v>
      </c>
      <c r="D965" s="12">
        <v>8.1999999999999993</v>
      </c>
      <c r="E965" s="14">
        <v>2</v>
      </c>
      <c r="F965" s="7">
        <f t="shared" si="234"/>
        <v>4.0999999999999996</v>
      </c>
      <c r="G965" s="7">
        <f t="shared" si="236"/>
        <v>6.1999999999999993</v>
      </c>
      <c r="H965" s="16">
        <f t="shared" si="237"/>
        <v>10.199999999999999</v>
      </c>
      <c r="I965" s="11">
        <f t="shared" si="223"/>
        <v>0.18017670483805717</v>
      </c>
      <c r="J965" s="33">
        <f t="shared" si="224"/>
        <v>4.3945537765379801E-2</v>
      </c>
      <c r="K965" s="33">
        <f t="shared" si="225"/>
        <v>22.755438910291314</v>
      </c>
      <c r="L965" s="8">
        <v>0</v>
      </c>
      <c r="M965" s="9">
        <v>1</v>
      </c>
      <c r="N965" s="8">
        <v>1</v>
      </c>
      <c r="O965" s="9">
        <v>0</v>
      </c>
      <c r="P965" s="9">
        <v>0</v>
      </c>
      <c r="Q965" s="9">
        <v>0</v>
      </c>
      <c r="R965" s="9">
        <v>0</v>
      </c>
      <c r="S965" s="8">
        <v>515</v>
      </c>
      <c r="T965" s="9">
        <v>13</v>
      </c>
      <c r="U965" s="9">
        <f t="shared" si="238"/>
        <v>501</v>
      </c>
      <c r="V965" s="9">
        <f t="shared" si="239"/>
        <v>8</v>
      </c>
      <c r="W965" s="7">
        <v>11.6</v>
      </c>
      <c r="X965" s="7">
        <f t="shared" si="235"/>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31"/>
        <v>0</v>
      </c>
      <c r="AS965">
        <v>0.45400000000000001</v>
      </c>
      <c r="AT965" s="40">
        <f t="shared" si="240"/>
        <v>0.54600000000000004</v>
      </c>
      <c r="AU965">
        <v>0</v>
      </c>
      <c r="AV965" s="18">
        <v>1</v>
      </c>
      <c r="AW965">
        <v>0</v>
      </c>
      <c r="AX965" s="18">
        <v>1</v>
      </c>
      <c r="AY965" s="18" t="s">
        <v>19</v>
      </c>
      <c r="AZ965">
        <v>0</v>
      </c>
      <c r="BA965">
        <v>0</v>
      </c>
      <c r="BB965">
        <v>0</v>
      </c>
      <c r="BC965">
        <v>0</v>
      </c>
      <c r="BD965">
        <v>0</v>
      </c>
      <c r="BE965">
        <v>0</v>
      </c>
      <c r="BF965" s="18">
        <v>1</v>
      </c>
      <c r="BG965">
        <v>0</v>
      </c>
      <c r="BH965">
        <v>1</v>
      </c>
      <c r="BI965" s="18">
        <v>0</v>
      </c>
      <c r="BJ965">
        <v>925</v>
      </c>
      <c r="BK965" t="s">
        <v>98</v>
      </c>
      <c r="BL965" s="25">
        <v>28</v>
      </c>
      <c r="BM965">
        <v>0</v>
      </c>
      <c r="BN965">
        <v>0</v>
      </c>
      <c r="BO965">
        <v>1</v>
      </c>
      <c r="BP965">
        <v>0</v>
      </c>
      <c r="BQ965">
        <v>0</v>
      </c>
      <c r="BR965">
        <v>0</v>
      </c>
      <c r="BS965">
        <v>0</v>
      </c>
      <c r="BT965" s="18">
        <v>0</v>
      </c>
      <c r="BU965">
        <v>0</v>
      </c>
      <c r="BV965">
        <v>0</v>
      </c>
      <c r="BW965">
        <v>0</v>
      </c>
      <c r="BX965" s="18">
        <v>0</v>
      </c>
      <c r="BY965">
        <v>0</v>
      </c>
      <c r="BZ965">
        <v>0</v>
      </c>
      <c r="CA965">
        <v>0</v>
      </c>
      <c r="CB965">
        <v>0</v>
      </c>
      <c r="CC965" s="18">
        <v>0</v>
      </c>
      <c r="CD965">
        <v>0</v>
      </c>
      <c r="CE965">
        <v>0</v>
      </c>
      <c r="CF965">
        <v>0</v>
      </c>
      <c r="CG965">
        <v>0</v>
      </c>
      <c r="CH965">
        <v>0</v>
      </c>
      <c r="CI965">
        <v>0</v>
      </c>
      <c r="CJ965">
        <v>0</v>
      </c>
      <c r="CK965">
        <v>1</v>
      </c>
      <c r="CL965">
        <v>1</v>
      </c>
      <c r="CM965">
        <v>0</v>
      </c>
      <c r="CN965" s="18">
        <v>0</v>
      </c>
      <c r="CO965">
        <v>0.14599999999999999</v>
      </c>
      <c r="CP965">
        <v>6</v>
      </c>
      <c r="CQ965">
        <v>1</v>
      </c>
      <c r="CR965">
        <v>0</v>
      </c>
      <c r="CS965">
        <v>2</v>
      </c>
      <c r="CY965" s="34"/>
    </row>
    <row r="966" spans="1:103" x14ac:dyDescent="0.25">
      <c r="A966">
        <v>965</v>
      </c>
      <c r="B966">
        <v>66</v>
      </c>
      <c r="C966" s="25" t="s">
        <v>3979</v>
      </c>
      <c r="D966" s="12">
        <v>7.4</v>
      </c>
      <c r="E966" s="14">
        <v>0.8</v>
      </c>
      <c r="F966" s="7">
        <f t="shared" si="234"/>
        <v>9.25</v>
      </c>
      <c r="G966" s="7">
        <f t="shared" si="236"/>
        <v>6.6000000000000005</v>
      </c>
      <c r="H966" s="16">
        <f t="shared" si="237"/>
        <v>8.2000000000000011</v>
      </c>
      <c r="I966" s="11">
        <f t="shared" si="223"/>
        <v>0.37527207837150228</v>
      </c>
      <c r="J966" s="33">
        <f t="shared" si="224"/>
        <v>4.0569954418540784E-2</v>
      </c>
      <c r="K966" s="33">
        <f t="shared" si="225"/>
        <v>24.64878293141469</v>
      </c>
      <c r="L966" s="8">
        <v>0</v>
      </c>
      <c r="M966" s="9">
        <v>1</v>
      </c>
      <c r="N966" s="8">
        <v>1</v>
      </c>
      <c r="O966" s="9">
        <v>0</v>
      </c>
      <c r="P966" s="9">
        <v>0</v>
      </c>
      <c r="Q966" s="9">
        <v>0</v>
      </c>
      <c r="R966" s="9">
        <v>0</v>
      </c>
      <c r="S966" s="8">
        <v>526</v>
      </c>
      <c r="T966" s="9">
        <v>3</v>
      </c>
      <c r="U966" s="9">
        <f t="shared" si="238"/>
        <v>522</v>
      </c>
      <c r="V966" s="9">
        <f t="shared" si="239"/>
        <v>8</v>
      </c>
      <c r="W966" s="7">
        <v>11.6</v>
      </c>
      <c r="X966" s="7">
        <f t="shared" si="235"/>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31"/>
        <v>0</v>
      </c>
      <c r="AS966">
        <v>0.45400000000000001</v>
      </c>
      <c r="AT966" s="40">
        <f t="shared" si="240"/>
        <v>0.54600000000000004</v>
      </c>
      <c r="AU966">
        <v>0</v>
      </c>
      <c r="AV966" s="18">
        <v>1</v>
      </c>
      <c r="AW966">
        <v>0</v>
      </c>
      <c r="AX966" s="18">
        <v>1</v>
      </c>
      <c r="AY966" s="18" t="s">
        <v>19</v>
      </c>
      <c r="AZ966">
        <v>0</v>
      </c>
      <c r="BA966">
        <v>0</v>
      </c>
      <c r="BB966">
        <v>0</v>
      </c>
      <c r="BC966">
        <v>0</v>
      </c>
      <c r="BD966">
        <v>0</v>
      </c>
      <c r="BE966">
        <v>0</v>
      </c>
      <c r="BF966" s="18">
        <v>1</v>
      </c>
      <c r="BG966">
        <v>0</v>
      </c>
      <c r="BH966">
        <v>1</v>
      </c>
      <c r="BI966" s="18">
        <v>0</v>
      </c>
      <c r="BJ966">
        <v>925</v>
      </c>
      <c r="BK966" t="s">
        <v>98</v>
      </c>
      <c r="BL966" s="25">
        <v>28</v>
      </c>
      <c r="BM966">
        <v>0</v>
      </c>
      <c r="BN966">
        <v>0</v>
      </c>
      <c r="BO966">
        <v>1</v>
      </c>
      <c r="BP966">
        <v>0</v>
      </c>
      <c r="BQ966">
        <v>0</v>
      </c>
      <c r="BR966">
        <v>0</v>
      </c>
      <c r="BS966">
        <v>0</v>
      </c>
      <c r="BT966" s="18">
        <v>0</v>
      </c>
      <c r="BU966">
        <v>0</v>
      </c>
      <c r="BV966">
        <v>0</v>
      </c>
      <c r="BW966">
        <v>0</v>
      </c>
      <c r="BX966" s="18">
        <v>0</v>
      </c>
      <c r="BY966">
        <v>0</v>
      </c>
      <c r="BZ966">
        <v>0</v>
      </c>
      <c r="CA966">
        <v>0</v>
      </c>
      <c r="CB966">
        <v>0</v>
      </c>
      <c r="CC966" s="18">
        <v>0</v>
      </c>
      <c r="CD966">
        <v>0</v>
      </c>
      <c r="CE966">
        <v>0</v>
      </c>
      <c r="CF966">
        <v>0</v>
      </c>
      <c r="CG966">
        <v>0</v>
      </c>
      <c r="CH966">
        <v>0</v>
      </c>
      <c r="CI966">
        <v>0</v>
      </c>
      <c r="CJ966">
        <v>0</v>
      </c>
      <c r="CK966">
        <v>1</v>
      </c>
      <c r="CL966">
        <v>1</v>
      </c>
      <c r="CM966">
        <v>0</v>
      </c>
      <c r="CN966" s="18">
        <v>0</v>
      </c>
      <c r="CO966">
        <v>0.14599999999999999</v>
      </c>
      <c r="CP966">
        <v>6</v>
      </c>
      <c r="CQ966">
        <v>1</v>
      </c>
      <c r="CR966">
        <v>0</v>
      </c>
      <c r="CS966">
        <v>2</v>
      </c>
      <c r="CY966" s="34"/>
    </row>
    <row r="967" spans="1:103" x14ac:dyDescent="0.25">
      <c r="A967">
        <v>966</v>
      </c>
      <c r="B967">
        <v>66</v>
      </c>
      <c r="C967" s="25" t="s">
        <v>3979</v>
      </c>
      <c r="D967" s="12">
        <v>7.1</v>
      </c>
      <c r="E967" s="14">
        <v>0.9</v>
      </c>
      <c r="F967" s="7">
        <f t="shared" si="234"/>
        <v>7.8888888888888884</v>
      </c>
      <c r="G967" s="7">
        <f t="shared" si="236"/>
        <v>6.1999999999999993</v>
      </c>
      <c r="H967" s="16">
        <f t="shared" si="237"/>
        <v>8</v>
      </c>
      <c r="I967" s="11">
        <f t="shared" si="223"/>
        <v>0.33007193484128955</v>
      </c>
      <c r="J967" s="33">
        <f t="shared" si="224"/>
        <v>4.1840104416501489E-2</v>
      </c>
      <c r="K967" s="33">
        <f t="shared" si="225"/>
        <v>23.900513967302768</v>
      </c>
      <c r="L967" s="8">
        <v>0</v>
      </c>
      <c r="M967" s="9">
        <v>1</v>
      </c>
      <c r="N967" s="8">
        <v>1</v>
      </c>
      <c r="O967" s="9">
        <v>0</v>
      </c>
      <c r="P967" s="9">
        <v>0</v>
      </c>
      <c r="Q967" s="9">
        <v>0</v>
      </c>
      <c r="R967" s="9">
        <v>0</v>
      </c>
      <c r="S967" s="8">
        <v>515</v>
      </c>
      <c r="T967" s="9">
        <v>5</v>
      </c>
      <c r="U967" s="9">
        <f t="shared" si="238"/>
        <v>509</v>
      </c>
      <c r="V967" s="9">
        <f t="shared" si="239"/>
        <v>8</v>
      </c>
      <c r="W967" s="7">
        <v>11.6</v>
      </c>
      <c r="X967" s="7">
        <f t="shared" si="235"/>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31"/>
        <v>0</v>
      </c>
      <c r="AS967">
        <v>0.45400000000000001</v>
      </c>
      <c r="AT967" s="40">
        <f t="shared" si="240"/>
        <v>0.54600000000000004</v>
      </c>
      <c r="AU967">
        <v>0</v>
      </c>
      <c r="AV967" s="18">
        <v>1</v>
      </c>
      <c r="AW967">
        <v>0</v>
      </c>
      <c r="AX967" s="18">
        <v>1</v>
      </c>
      <c r="AY967" s="18" t="s">
        <v>19</v>
      </c>
      <c r="AZ967">
        <v>0</v>
      </c>
      <c r="BA967">
        <v>0</v>
      </c>
      <c r="BB967">
        <v>0</v>
      </c>
      <c r="BC967">
        <v>0</v>
      </c>
      <c r="BD967">
        <v>0</v>
      </c>
      <c r="BE967">
        <v>0</v>
      </c>
      <c r="BF967" s="18">
        <v>1</v>
      </c>
      <c r="BG967">
        <v>0</v>
      </c>
      <c r="BH967">
        <v>1</v>
      </c>
      <c r="BI967" s="18">
        <v>0</v>
      </c>
      <c r="BJ967">
        <v>925</v>
      </c>
      <c r="BK967" t="s">
        <v>98</v>
      </c>
      <c r="BL967" s="25">
        <v>28</v>
      </c>
      <c r="BM967">
        <v>0</v>
      </c>
      <c r="BN967">
        <v>0</v>
      </c>
      <c r="BO967">
        <v>1</v>
      </c>
      <c r="BP967">
        <v>0</v>
      </c>
      <c r="BQ967">
        <v>0</v>
      </c>
      <c r="BR967">
        <v>0</v>
      </c>
      <c r="BS967">
        <v>0</v>
      </c>
      <c r="BT967" s="18">
        <v>0</v>
      </c>
      <c r="BU967">
        <v>0</v>
      </c>
      <c r="BV967">
        <v>0</v>
      </c>
      <c r="BW967">
        <v>0</v>
      </c>
      <c r="BX967" s="18">
        <v>0</v>
      </c>
      <c r="BY967">
        <v>0</v>
      </c>
      <c r="BZ967">
        <v>0</v>
      </c>
      <c r="CA967">
        <v>0</v>
      </c>
      <c r="CB967">
        <v>0</v>
      </c>
      <c r="CC967" s="18">
        <v>0</v>
      </c>
      <c r="CD967">
        <v>0</v>
      </c>
      <c r="CE967">
        <v>0</v>
      </c>
      <c r="CF967">
        <v>0</v>
      </c>
      <c r="CG967">
        <v>0</v>
      </c>
      <c r="CH967">
        <v>0</v>
      </c>
      <c r="CI967">
        <v>0</v>
      </c>
      <c r="CJ967">
        <v>0</v>
      </c>
      <c r="CK967">
        <v>1</v>
      </c>
      <c r="CL967">
        <v>1</v>
      </c>
      <c r="CM967">
        <v>0</v>
      </c>
      <c r="CN967" s="18">
        <v>0</v>
      </c>
      <c r="CO967">
        <v>0.14599999999999999</v>
      </c>
      <c r="CP967">
        <v>6</v>
      </c>
      <c r="CQ967">
        <v>1</v>
      </c>
      <c r="CR967">
        <v>0</v>
      </c>
      <c r="CS967">
        <v>2</v>
      </c>
      <c r="CY967" s="34"/>
    </row>
    <row r="968" spans="1:103" x14ac:dyDescent="0.25">
      <c r="A968">
        <v>967</v>
      </c>
      <c r="B968">
        <v>66</v>
      </c>
      <c r="C968" s="25" t="s">
        <v>3979</v>
      </c>
      <c r="D968" s="12">
        <v>8.4</v>
      </c>
      <c r="E968" s="14">
        <v>1.3</v>
      </c>
      <c r="F968" s="7">
        <f t="shared" si="234"/>
        <v>6.4615384615384617</v>
      </c>
      <c r="G968" s="7">
        <f t="shared" si="236"/>
        <v>7.1000000000000005</v>
      </c>
      <c r="H968" s="16">
        <f t="shared" si="237"/>
        <v>9.7000000000000011</v>
      </c>
      <c r="I968" s="11">
        <f t="shared" ref="I968:I1031" si="241">IFERROR(F968/SQRT(F968^2+U968), "X")</f>
        <v>0.27735463364540874</v>
      </c>
      <c r="J968" s="33">
        <f t="shared" ref="J968:J1031" si="242">IFERROR(SQRT((1-I968^2)/U968), "X")</f>
        <v>4.2923931397503737E-2</v>
      </c>
      <c r="K968" s="33">
        <f t="shared" ref="K968:K1031" si="243">IFERROR(1/J968, "X")</f>
        <v>23.297027262935089</v>
      </c>
      <c r="L968" s="8">
        <v>0</v>
      </c>
      <c r="M968" s="9">
        <v>1</v>
      </c>
      <c r="N968" s="8">
        <v>1</v>
      </c>
      <c r="O968" s="9">
        <v>0</v>
      </c>
      <c r="P968" s="9">
        <v>0</v>
      </c>
      <c r="Q968" s="9">
        <v>0</v>
      </c>
      <c r="R968" s="9">
        <v>0</v>
      </c>
      <c r="S968" s="8">
        <v>515</v>
      </c>
      <c r="T968" s="9">
        <v>13</v>
      </c>
      <c r="U968" s="9">
        <f t="shared" si="238"/>
        <v>501</v>
      </c>
      <c r="V968" s="9">
        <f t="shared" si="239"/>
        <v>8</v>
      </c>
      <c r="W968" s="7">
        <v>11.6</v>
      </c>
      <c r="X968" s="7">
        <f t="shared" si="235"/>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31"/>
        <v>0</v>
      </c>
      <c r="AS968">
        <v>0.45400000000000001</v>
      </c>
      <c r="AT968" s="40">
        <f t="shared" si="240"/>
        <v>0.54600000000000004</v>
      </c>
      <c r="AU968">
        <v>0</v>
      </c>
      <c r="AV968" s="18">
        <v>1</v>
      </c>
      <c r="AW968">
        <v>0</v>
      </c>
      <c r="AX968" s="18">
        <v>1</v>
      </c>
      <c r="AY968" s="18" t="s">
        <v>19</v>
      </c>
      <c r="AZ968">
        <v>0</v>
      </c>
      <c r="BA968">
        <v>0</v>
      </c>
      <c r="BB968">
        <v>0</v>
      </c>
      <c r="BC968">
        <v>0</v>
      </c>
      <c r="BD968">
        <v>0</v>
      </c>
      <c r="BE968">
        <v>0</v>
      </c>
      <c r="BF968" s="18">
        <v>1</v>
      </c>
      <c r="BG968">
        <v>0</v>
      </c>
      <c r="BH968">
        <v>1</v>
      </c>
      <c r="BI968" s="18">
        <v>0</v>
      </c>
      <c r="BJ968">
        <v>925</v>
      </c>
      <c r="BK968" t="s">
        <v>98</v>
      </c>
      <c r="BL968" s="25">
        <v>28</v>
      </c>
      <c r="BM968">
        <v>0</v>
      </c>
      <c r="BN968">
        <v>0</v>
      </c>
      <c r="BO968">
        <v>1</v>
      </c>
      <c r="BP968">
        <v>0</v>
      </c>
      <c r="BQ968">
        <v>0</v>
      </c>
      <c r="BR968">
        <v>0</v>
      </c>
      <c r="BS968">
        <v>0</v>
      </c>
      <c r="BT968" s="18">
        <v>0</v>
      </c>
      <c r="BU968">
        <v>0</v>
      </c>
      <c r="BV968">
        <v>0</v>
      </c>
      <c r="BW968">
        <v>0</v>
      </c>
      <c r="BX968" s="18">
        <v>0</v>
      </c>
      <c r="BY968">
        <v>0</v>
      </c>
      <c r="BZ968">
        <v>0</v>
      </c>
      <c r="CA968">
        <v>0</v>
      </c>
      <c r="CB968">
        <v>0</v>
      </c>
      <c r="CC968" s="18">
        <v>0</v>
      </c>
      <c r="CD968">
        <v>0</v>
      </c>
      <c r="CE968">
        <v>0</v>
      </c>
      <c r="CF968">
        <v>0</v>
      </c>
      <c r="CG968">
        <v>0</v>
      </c>
      <c r="CH968">
        <v>0</v>
      </c>
      <c r="CI968">
        <v>0</v>
      </c>
      <c r="CJ968">
        <v>0</v>
      </c>
      <c r="CK968">
        <v>1</v>
      </c>
      <c r="CL968">
        <v>1</v>
      </c>
      <c r="CM968">
        <v>0</v>
      </c>
      <c r="CN968" s="18">
        <v>0</v>
      </c>
      <c r="CO968">
        <v>0.14599999999999999</v>
      </c>
      <c r="CP968">
        <v>6</v>
      </c>
      <c r="CQ968">
        <v>1</v>
      </c>
      <c r="CR968">
        <v>0</v>
      </c>
      <c r="CS968">
        <v>2</v>
      </c>
      <c r="CY968" s="34"/>
    </row>
    <row r="969" spans="1:103" x14ac:dyDescent="0.25">
      <c r="A969">
        <v>968</v>
      </c>
      <c r="B969">
        <v>66</v>
      </c>
      <c r="C969" s="25" t="s">
        <v>3979</v>
      </c>
      <c r="D969" s="12">
        <v>8.8000000000000007</v>
      </c>
      <c r="E969" s="14">
        <v>1.5</v>
      </c>
      <c r="F969" s="7">
        <f t="shared" si="234"/>
        <v>5.8666666666666671</v>
      </c>
      <c r="G969" s="7">
        <f t="shared" si="236"/>
        <v>7.3000000000000007</v>
      </c>
      <c r="H969" s="16">
        <f t="shared" si="237"/>
        <v>10.3</v>
      </c>
      <c r="I969" s="11">
        <f t="shared" si="241"/>
        <v>0.25353914385959897</v>
      </c>
      <c r="J969" s="33">
        <f t="shared" si="242"/>
        <v>4.3216899521522557E-2</v>
      </c>
      <c r="K969" s="33">
        <f t="shared" si="243"/>
        <v>23.139096304259112</v>
      </c>
      <c r="L969" s="8">
        <v>0</v>
      </c>
      <c r="M969" s="9">
        <v>1</v>
      </c>
      <c r="N969" s="8">
        <v>1</v>
      </c>
      <c r="O969" s="9">
        <v>0</v>
      </c>
      <c r="P969" s="9">
        <v>0</v>
      </c>
      <c r="Q969" s="9">
        <v>0</v>
      </c>
      <c r="R969" s="9">
        <v>0</v>
      </c>
      <c r="S969" s="8">
        <v>515</v>
      </c>
      <c r="T969" s="9">
        <v>13</v>
      </c>
      <c r="U969" s="9">
        <f t="shared" si="238"/>
        <v>501</v>
      </c>
      <c r="V969" s="9">
        <f t="shared" si="239"/>
        <v>8</v>
      </c>
      <c r="W969" s="7">
        <v>11.6</v>
      </c>
      <c r="X969" s="7">
        <f t="shared" si="235"/>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31"/>
        <v>0</v>
      </c>
      <c r="AS969">
        <v>0.45400000000000001</v>
      </c>
      <c r="AT969" s="40">
        <f t="shared" si="240"/>
        <v>0.54600000000000004</v>
      </c>
      <c r="AU969">
        <v>0</v>
      </c>
      <c r="AV969" s="18">
        <v>1</v>
      </c>
      <c r="AW969">
        <v>0</v>
      </c>
      <c r="AX969" s="18">
        <v>1</v>
      </c>
      <c r="AY969" s="18" t="s">
        <v>19</v>
      </c>
      <c r="AZ969">
        <v>0</v>
      </c>
      <c r="BA969">
        <v>0</v>
      </c>
      <c r="BB969">
        <v>0</v>
      </c>
      <c r="BC969">
        <v>0</v>
      </c>
      <c r="BD969">
        <v>0</v>
      </c>
      <c r="BE969">
        <v>0</v>
      </c>
      <c r="BF969" s="18">
        <v>1</v>
      </c>
      <c r="BG969">
        <v>0</v>
      </c>
      <c r="BH969">
        <v>1</v>
      </c>
      <c r="BI969" s="18">
        <v>0</v>
      </c>
      <c r="BJ969">
        <v>925</v>
      </c>
      <c r="BK969" t="s">
        <v>98</v>
      </c>
      <c r="BL969" s="25">
        <v>28</v>
      </c>
      <c r="BM969">
        <v>0</v>
      </c>
      <c r="BN969">
        <v>0</v>
      </c>
      <c r="BO969">
        <v>1</v>
      </c>
      <c r="BP969">
        <v>0</v>
      </c>
      <c r="BQ969">
        <v>0</v>
      </c>
      <c r="BR969">
        <v>0</v>
      </c>
      <c r="BS969">
        <v>0</v>
      </c>
      <c r="BT969" s="18">
        <v>0</v>
      </c>
      <c r="BU969">
        <v>0</v>
      </c>
      <c r="BV969">
        <v>0</v>
      </c>
      <c r="BW969">
        <v>0</v>
      </c>
      <c r="BX969" s="18">
        <v>0</v>
      </c>
      <c r="BY969">
        <v>0</v>
      </c>
      <c r="BZ969">
        <v>0</v>
      </c>
      <c r="CA969">
        <v>0</v>
      </c>
      <c r="CB969">
        <v>0</v>
      </c>
      <c r="CC969" s="18">
        <v>0</v>
      </c>
      <c r="CD969">
        <v>0</v>
      </c>
      <c r="CE969">
        <v>0</v>
      </c>
      <c r="CF969">
        <v>0</v>
      </c>
      <c r="CG969">
        <v>0</v>
      </c>
      <c r="CH969">
        <v>0</v>
      </c>
      <c r="CI969">
        <v>0</v>
      </c>
      <c r="CJ969">
        <v>0</v>
      </c>
      <c r="CK969">
        <v>1</v>
      </c>
      <c r="CL969">
        <v>1</v>
      </c>
      <c r="CM969">
        <v>0</v>
      </c>
      <c r="CN969" s="18">
        <v>0</v>
      </c>
      <c r="CO969">
        <v>0.14599999999999999</v>
      </c>
      <c r="CP969">
        <v>6</v>
      </c>
      <c r="CQ969">
        <v>1</v>
      </c>
      <c r="CR969">
        <v>0</v>
      </c>
      <c r="CS969">
        <v>2</v>
      </c>
      <c r="CY969" s="34"/>
    </row>
    <row r="970" spans="1:103" x14ac:dyDescent="0.25">
      <c r="A970">
        <v>969</v>
      </c>
      <c r="B970">
        <v>67</v>
      </c>
      <c r="C970" s="25" t="s">
        <v>3993</v>
      </c>
      <c r="D970" s="12">
        <v>21.4</v>
      </c>
      <c r="E970" s="14">
        <v>12</v>
      </c>
      <c r="F970" s="7">
        <f t="shared" si="234"/>
        <v>1.7833333333333332</v>
      </c>
      <c r="G970" s="7">
        <f t="shared" si="236"/>
        <v>9.3999999999999986</v>
      </c>
      <c r="H970" s="16">
        <f t="shared" si="237"/>
        <v>33.4</v>
      </c>
      <c r="I970" s="11">
        <f t="shared" si="241"/>
        <v>4.1007761425582795E-2</v>
      </c>
      <c r="J970" s="33">
        <f t="shared" si="242"/>
        <v>2.299500640686886E-2</v>
      </c>
      <c r="K970" s="33">
        <f t="shared" si="243"/>
        <v>43.487702604044024</v>
      </c>
      <c r="L970" s="8">
        <v>1</v>
      </c>
      <c r="M970" s="9">
        <v>0</v>
      </c>
      <c r="N970" s="8">
        <v>0</v>
      </c>
      <c r="O970" s="9">
        <v>0</v>
      </c>
      <c r="P970" s="9">
        <v>1</v>
      </c>
      <c r="Q970" s="9">
        <v>0</v>
      </c>
      <c r="R970" s="9">
        <v>0</v>
      </c>
      <c r="S970" s="8">
        <v>1900</v>
      </c>
      <c r="T970" s="9">
        <v>11</v>
      </c>
      <c r="U970" s="9">
        <f t="shared" si="238"/>
        <v>1888</v>
      </c>
      <c r="V970" s="9">
        <f t="shared" si="239"/>
        <v>7</v>
      </c>
      <c r="W970" s="7">
        <v>4.6900000000000004</v>
      </c>
      <c r="X970" s="7">
        <f t="shared" si="235"/>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44">0.57</f>
        <v>0.56999999999999995</v>
      </c>
      <c r="AL970" s="33">
        <v>0.25</v>
      </c>
      <c r="AM970" s="33">
        <v>0.17</v>
      </c>
      <c r="AN970" s="43">
        <v>0.01</v>
      </c>
      <c r="AO970" s="42">
        <v>0</v>
      </c>
      <c r="AP970" s="18">
        <v>1</v>
      </c>
      <c r="AQ970">
        <v>0.55000000000000004</v>
      </c>
      <c r="AR970" s="40">
        <v>0.45</v>
      </c>
      <c r="AS970">
        <v>1</v>
      </c>
      <c r="AT970" s="40">
        <f t="shared" si="240"/>
        <v>0</v>
      </c>
      <c r="AU970">
        <v>0</v>
      </c>
      <c r="AV970" s="18">
        <v>1</v>
      </c>
      <c r="AW970">
        <v>0.85</v>
      </c>
      <c r="AX970" s="18">
        <v>0.15</v>
      </c>
      <c r="AY970" s="18" t="s">
        <v>535</v>
      </c>
      <c r="AZ970">
        <v>0</v>
      </c>
      <c r="BA970">
        <v>0</v>
      </c>
      <c r="BB970">
        <v>0</v>
      </c>
      <c r="BC970">
        <v>0</v>
      </c>
      <c r="BD970">
        <v>0</v>
      </c>
      <c r="BE970">
        <v>0</v>
      </c>
      <c r="BF970" s="18">
        <v>1</v>
      </c>
      <c r="BG970">
        <v>0</v>
      </c>
      <c r="BH970">
        <v>0</v>
      </c>
      <c r="BI970" s="18">
        <v>1</v>
      </c>
      <c r="BJ970" t="s">
        <v>98</v>
      </c>
      <c r="BK970">
        <v>28</v>
      </c>
      <c r="BL970" s="25">
        <v>39.020000000000003</v>
      </c>
      <c r="BM970">
        <v>0</v>
      </c>
      <c r="BN970">
        <v>0</v>
      </c>
      <c r="BO970">
        <v>0</v>
      </c>
      <c r="BP970">
        <v>0</v>
      </c>
      <c r="BQ970">
        <v>1</v>
      </c>
      <c r="BR970">
        <v>0</v>
      </c>
      <c r="BS970">
        <v>0</v>
      </c>
      <c r="BT970" s="18">
        <v>0</v>
      </c>
      <c r="BU970">
        <v>0</v>
      </c>
      <c r="BV970">
        <v>0</v>
      </c>
      <c r="BW970">
        <v>1</v>
      </c>
      <c r="BX970" s="18">
        <v>0</v>
      </c>
      <c r="BY970">
        <v>0</v>
      </c>
      <c r="BZ970">
        <v>0</v>
      </c>
      <c r="CA970">
        <v>0</v>
      </c>
      <c r="CB970">
        <v>0</v>
      </c>
      <c r="CC970" s="18">
        <v>0</v>
      </c>
      <c r="CD970">
        <v>1</v>
      </c>
      <c r="CE970">
        <v>1</v>
      </c>
      <c r="CF970">
        <v>0</v>
      </c>
      <c r="CG970">
        <v>0</v>
      </c>
      <c r="CH970">
        <v>0</v>
      </c>
      <c r="CI970">
        <v>1</v>
      </c>
      <c r="CJ970">
        <v>1</v>
      </c>
      <c r="CK970">
        <v>0</v>
      </c>
      <c r="CL970">
        <v>1</v>
      </c>
      <c r="CM970">
        <v>1</v>
      </c>
      <c r="CN970" s="18">
        <v>0</v>
      </c>
      <c r="CO970">
        <v>0.19600000000000001</v>
      </c>
      <c r="CP970">
        <v>118</v>
      </c>
      <c r="CQ970">
        <v>1</v>
      </c>
      <c r="CR970">
        <v>0</v>
      </c>
      <c r="CS970">
        <v>19</v>
      </c>
      <c r="CY970" s="34"/>
    </row>
    <row r="971" spans="1:103" x14ac:dyDescent="0.25">
      <c r="A971">
        <v>970</v>
      </c>
      <c r="B971">
        <v>67</v>
      </c>
      <c r="C971" s="25" t="s">
        <v>3993</v>
      </c>
      <c r="D971" s="12">
        <v>6</v>
      </c>
      <c r="E971" s="14">
        <v>1</v>
      </c>
      <c r="F971" s="7">
        <f t="shared" si="234"/>
        <v>6</v>
      </c>
      <c r="G971" s="7">
        <f t="shared" si="236"/>
        <v>5</v>
      </c>
      <c r="H971" s="16">
        <f t="shared" si="237"/>
        <v>7</v>
      </c>
      <c r="I971" s="11">
        <f t="shared" si="241"/>
        <v>0.13678822577626595</v>
      </c>
      <c r="J971" s="33">
        <f t="shared" si="242"/>
        <v>2.2798037629377661E-2</v>
      </c>
      <c r="K971" s="33">
        <f t="shared" si="243"/>
        <v>43.863424398922618</v>
      </c>
      <c r="L971" s="8">
        <v>1</v>
      </c>
      <c r="M971" s="9">
        <v>0</v>
      </c>
      <c r="N971" s="8">
        <v>0</v>
      </c>
      <c r="O971" s="9">
        <v>0</v>
      </c>
      <c r="P971" s="9">
        <v>1</v>
      </c>
      <c r="Q971" s="9">
        <v>0</v>
      </c>
      <c r="R971" s="9">
        <v>0</v>
      </c>
      <c r="S971" s="8">
        <v>1900</v>
      </c>
      <c r="T971" s="9">
        <v>11</v>
      </c>
      <c r="U971" s="9">
        <f t="shared" si="238"/>
        <v>1888</v>
      </c>
      <c r="V971" s="9">
        <f t="shared" si="239"/>
        <v>7</v>
      </c>
      <c r="W971" s="7">
        <v>4.6900000000000004</v>
      </c>
      <c r="X971" s="7">
        <f t="shared" si="235"/>
        <v>28.330000000000005</v>
      </c>
      <c r="Y971" s="9">
        <v>1</v>
      </c>
      <c r="Z971" s="9">
        <v>0</v>
      </c>
      <c r="AA971" s="9">
        <v>0</v>
      </c>
      <c r="AB971" s="9">
        <v>0</v>
      </c>
      <c r="AC971" s="9">
        <v>1</v>
      </c>
      <c r="AD971" s="9">
        <v>0</v>
      </c>
      <c r="AE971" s="8">
        <v>0</v>
      </c>
      <c r="AF971" s="9">
        <v>1</v>
      </c>
      <c r="AG971" s="30">
        <v>0</v>
      </c>
      <c r="AH971" s="9">
        <v>1</v>
      </c>
      <c r="AI971" s="30">
        <v>0</v>
      </c>
      <c r="AJ971" s="21">
        <v>2005</v>
      </c>
      <c r="AK971" s="7">
        <f t="shared" si="244"/>
        <v>0.56999999999999995</v>
      </c>
      <c r="AL971" s="33">
        <v>0.25</v>
      </c>
      <c r="AM971" s="33">
        <v>0.17</v>
      </c>
      <c r="AN971" s="43">
        <v>0.01</v>
      </c>
      <c r="AO971" s="42">
        <v>0</v>
      </c>
      <c r="AP971" s="18">
        <v>1</v>
      </c>
      <c r="AQ971">
        <v>0.55000000000000004</v>
      </c>
      <c r="AR971" s="40">
        <v>0.45</v>
      </c>
      <c r="AS971">
        <v>1</v>
      </c>
      <c r="AT971" s="40">
        <f t="shared" si="240"/>
        <v>0</v>
      </c>
      <c r="AU971">
        <v>0</v>
      </c>
      <c r="AV971" s="18">
        <v>1</v>
      </c>
      <c r="AW971">
        <v>0.85</v>
      </c>
      <c r="AX971" s="18">
        <v>0.15</v>
      </c>
      <c r="AY971" s="18" t="s">
        <v>535</v>
      </c>
      <c r="AZ971">
        <v>0</v>
      </c>
      <c r="BA971">
        <v>0</v>
      </c>
      <c r="BB971">
        <v>0</v>
      </c>
      <c r="BC971">
        <v>0</v>
      </c>
      <c r="BD971">
        <v>0</v>
      </c>
      <c r="BE971">
        <v>0</v>
      </c>
      <c r="BF971" s="18">
        <v>1</v>
      </c>
      <c r="BG971">
        <v>0</v>
      </c>
      <c r="BH971">
        <v>0</v>
      </c>
      <c r="BI971" s="18">
        <v>1</v>
      </c>
      <c r="BJ971" t="s">
        <v>98</v>
      </c>
      <c r="BK971">
        <v>28</v>
      </c>
      <c r="BL971" s="25">
        <v>39.020000000000003</v>
      </c>
      <c r="BM971">
        <v>1</v>
      </c>
      <c r="BN971">
        <v>0</v>
      </c>
      <c r="BO971">
        <v>0</v>
      </c>
      <c r="BP971">
        <v>0</v>
      </c>
      <c r="BQ971">
        <v>0</v>
      </c>
      <c r="BR971">
        <v>0</v>
      </c>
      <c r="BS971">
        <v>0</v>
      </c>
      <c r="BT971" s="18">
        <v>0</v>
      </c>
      <c r="BU971">
        <v>0</v>
      </c>
      <c r="BV971">
        <v>0</v>
      </c>
      <c r="BW971">
        <v>1</v>
      </c>
      <c r="BX971" s="18">
        <v>0</v>
      </c>
      <c r="BY971">
        <v>0</v>
      </c>
      <c r="BZ971">
        <v>0</v>
      </c>
      <c r="CA971">
        <v>0</v>
      </c>
      <c r="CB971">
        <v>0</v>
      </c>
      <c r="CC971" s="18">
        <v>0</v>
      </c>
      <c r="CD971">
        <v>1</v>
      </c>
      <c r="CE971">
        <v>1</v>
      </c>
      <c r="CF971">
        <v>0</v>
      </c>
      <c r="CG971">
        <v>0</v>
      </c>
      <c r="CH971">
        <v>0</v>
      </c>
      <c r="CI971">
        <v>1</v>
      </c>
      <c r="CJ971">
        <v>1</v>
      </c>
      <c r="CK971">
        <v>0</v>
      </c>
      <c r="CL971">
        <v>1</v>
      </c>
      <c r="CM971">
        <v>1</v>
      </c>
      <c r="CN971" s="18">
        <v>0</v>
      </c>
      <c r="CO971">
        <v>0.19600000000000001</v>
      </c>
      <c r="CP971">
        <v>118</v>
      </c>
      <c r="CQ971">
        <v>1</v>
      </c>
      <c r="CR971">
        <v>0</v>
      </c>
      <c r="CS971">
        <v>19</v>
      </c>
      <c r="CY971" s="34"/>
    </row>
    <row r="972" spans="1:103" x14ac:dyDescent="0.25">
      <c r="A972">
        <v>971</v>
      </c>
      <c r="B972">
        <v>67</v>
      </c>
      <c r="C972" s="25" t="s">
        <v>3993</v>
      </c>
      <c r="D972" s="12">
        <v>-4.0999999999999996</v>
      </c>
      <c r="E972" s="14">
        <v>1.2</v>
      </c>
      <c r="F972" s="7">
        <f t="shared" si="234"/>
        <v>-3.4166666666666665</v>
      </c>
      <c r="G972" s="7">
        <f t="shared" si="236"/>
        <v>-5.3</v>
      </c>
      <c r="H972" s="16">
        <f t="shared" si="237"/>
        <v>-2.8999999999999995</v>
      </c>
      <c r="I972" s="11">
        <f t="shared" si="241"/>
        <v>-6.316691593984583E-2</v>
      </c>
      <c r="J972" s="33">
        <f t="shared" si="242"/>
        <v>1.8487877836052439E-2</v>
      </c>
      <c r="K972" s="33">
        <f t="shared" si="243"/>
        <v>54.089496310384618</v>
      </c>
      <c r="L972" s="8">
        <v>1</v>
      </c>
      <c r="M972" s="9">
        <v>0</v>
      </c>
      <c r="N972" s="8">
        <v>0</v>
      </c>
      <c r="O972" s="9">
        <v>0</v>
      </c>
      <c r="P972" s="9">
        <v>1</v>
      </c>
      <c r="Q972" s="9">
        <v>0</v>
      </c>
      <c r="R972" s="9">
        <v>0</v>
      </c>
      <c r="S972" s="8">
        <v>2926</v>
      </c>
      <c r="T972" s="9">
        <v>11</v>
      </c>
      <c r="U972" s="9">
        <f t="shared" si="238"/>
        <v>2914</v>
      </c>
      <c r="V972" s="9">
        <f t="shared" si="239"/>
        <v>7</v>
      </c>
      <c r="W972" s="7">
        <v>4.6900000000000004</v>
      </c>
      <c r="X972" s="7">
        <f t="shared" si="235"/>
        <v>28.330000000000005</v>
      </c>
      <c r="Y972" s="9">
        <v>1</v>
      </c>
      <c r="Z972" s="9">
        <v>0</v>
      </c>
      <c r="AA972" s="9">
        <v>0</v>
      </c>
      <c r="AB972" s="9">
        <v>0</v>
      </c>
      <c r="AC972" s="9">
        <v>1</v>
      </c>
      <c r="AD972" s="9">
        <v>0</v>
      </c>
      <c r="AE972" s="8">
        <v>0</v>
      </c>
      <c r="AF972" s="9">
        <v>1</v>
      </c>
      <c r="AG972" s="30">
        <v>0</v>
      </c>
      <c r="AH972" s="9">
        <v>1</v>
      </c>
      <c r="AI972" s="30">
        <v>0</v>
      </c>
      <c r="AJ972" s="21">
        <v>2005</v>
      </c>
      <c r="AK972" s="7">
        <f t="shared" si="244"/>
        <v>0.56999999999999995</v>
      </c>
      <c r="AL972" s="33">
        <v>0.25</v>
      </c>
      <c r="AM972" s="33">
        <v>0.17</v>
      </c>
      <c r="AN972" s="43">
        <v>0.01</v>
      </c>
      <c r="AO972" s="42">
        <v>0</v>
      </c>
      <c r="AP972" s="18">
        <v>1</v>
      </c>
      <c r="AQ972">
        <v>0.55000000000000004</v>
      </c>
      <c r="AR972" s="40">
        <v>0.45</v>
      </c>
      <c r="AS972">
        <v>1</v>
      </c>
      <c r="AT972" s="40">
        <f t="shared" si="240"/>
        <v>0</v>
      </c>
      <c r="AU972">
        <v>0</v>
      </c>
      <c r="AV972" s="18">
        <v>1</v>
      </c>
      <c r="AW972">
        <v>0.85</v>
      </c>
      <c r="AX972" s="18">
        <v>0.15</v>
      </c>
      <c r="AY972" s="18" t="s">
        <v>535</v>
      </c>
      <c r="AZ972">
        <v>0</v>
      </c>
      <c r="BA972">
        <v>0</v>
      </c>
      <c r="BB972">
        <v>0</v>
      </c>
      <c r="BC972">
        <v>0</v>
      </c>
      <c r="BD972">
        <v>0</v>
      </c>
      <c r="BE972">
        <v>0</v>
      </c>
      <c r="BF972" s="18">
        <v>1</v>
      </c>
      <c r="BG972">
        <v>0</v>
      </c>
      <c r="BH972">
        <v>0</v>
      </c>
      <c r="BI972" s="18">
        <v>1</v>
      </c>
      <c r="BJ972" t="s">
        <v>98</v>
      </c>
      <c r="BK972">
        <v>28</v>
      </c>
      <c r="BL972" s="25">
        <v>39.020000000000003</v>
      </c>
      <c r="BM972">
        <v>0</v>
      </c>
      <c r="BN972">
        <v>0</v>
      </c>
      <c r="BO972">
        <v>0</v>
      </c>
      <c r="BP972">
        <v>0</v>
      </c>
      <c r="BQ972">
        <v>1</v>
      </c>
      <c r="BR972">
        <v>0</v>
      </c>
      <c r="BS972">
        <v>0</v>
      </c>
      <c r="BT972" s="18">
        <v>0</v>
      </c>
      <c r="BU972">
        <v>0</v>
      </c>
      <c r="BV972">
        <v>0</v>
      </c>
      <c r="BW972">
        <v>1</v>
      </c>
      <c r="BX972" s="18">
        <v>0</v>
      </c>
      <c r="BY972">
        <v>0</v>
      </c>
      <c r="BZ972">
        <v>0</v>
      </c>
      <c r="CA972">
        <v>0</v>
      </c>
      <c r="CB972">
        <v>0</v>
      </c>
      <c r="CC972" s="18">
        <v>0</v>
      </c>
      <c r="CD972">
        <v>1</v>
      </c>
      <c r="CE972">
        <v>1</v>
      </c>
      <c r="CF972">
        <v>0</v>
      </c>
      <c r="CG972">
        <v>0</v>
      </c>
      <c r="CH972">
        <v>0</v>
      </c>
      <c r="CI972">
        <v>1</v>
      </c>
      <c r="CJ972">
        <v>1</v>
      </c>
      <c r="CK972">
        <v>0</v>
      </c>
      <c r="CL972">
        <v>1</v>
      </c>
      <c r="CM972">
        <v>1</v>
      </c>
      <c r="CN972" s="18">
        <v>0</v>
      </c>
      <c r="CO972">
        <v>0.19600000000000001</v>
      </c>
      <c r="CP972">
        <v>118</v>
      </c>
      <c r="CQ972">
        <v>1</v>
      </c>
      <c r="CR972">
        <v>0</v>
      </c>
      <c r="CS972">
        <v>19</v>
      </c>
      <c r="CY972" s="34"/>
    </row>
    <row r="973" spans="1:103" x14ac:dyDescent="0.25">
      <c r="A973">
        <v>972</v>
      </c>
      <c r="B973">
        <v>67</v>
      </c>
      <c r="C973" s="25" t="s">
        <v>3993</v>
      </c>
      <c r="D973" s="12">
        <v>20</v>
      </c>
      <c r="E973" s="14">
        <v>9</v>
      </c>
      <c r="F973" s="7">
        <f t="shared" si="234"/>
        <v>2.2222222222222223</v>
      </c>
      <c r="G973" s="7">
        <f t="shared" si="236"/>
        <v>11</v>
      </c>
      <c r="H973" s="16">
        <f t="shared" si="237"/>
        <v>29</v>
      </c>
      <c r="I973" s="11">
        <f t="shared" si="241"/>
        <v>6.9582582319649325E-2</v>
      </c>
      <c r="J973" s="33">
        <f t="shared" si="242"/>
        <v>3.1312162043842191E-2</v>
      </c>
      <c r="K973" s="33">
        <f t="shared" si="243"/>
        <v>31.93647243521016</v>
      </c>
      <c r="L973" s="8">
        <v>1</v>
      </c>
      <c r="M973" s="9">
        <v>0</v>
      </c>
      <c r="N973" s="8">
        <v>0</v>
      </c>
      <c r="O973" s="9">
        <v>0</v>
      </c>
      <c r="P973" s="9">
        <v>1</v>
      </c>
      <c r="Q973" s="9">
        <v>0</v>
      </c>
      <c r="R973" s="9">
        <v>0</v>
      </c>
      <c r="S973" s="8">
        <v>1027</v>
      </c>
      <c r="T973" s="9">
        <v>11</v>
      </c>
      <c r="U973" s="9">
        <f t="shared" si="238"/>
        <v>1015</v>
      </c>
      <c r="V973" s="9">
        <f t="shared" si="239"/>
        <v>7</v>
      </c>
      <c r="W973" s="7">
        <v>4.6900000000000004</v>
      </c>
      <c r="X973" s="7">
        <f t="shared" si="235"/>
        <v>28.330000000000005</v>
      </c>
      <c r="Y973" s="9">
        <v>1</v>
      </c>
      <c r="Z973" s="9">
        <v>0</v>
      </c>
      <c r="AA973" s="9">
        <v>0</v>
      </c>
      <c r="AB973" s="9">
        <v>0</v>
      </c>
      <c r="AC973" s="9">
        <v>1</v>
      </c>
      <c r="AD973" s="9">
        <v>0</v>
      </c>
      <c r="AE973" s="8">
        <v>0</v>
      </c>
      <c r="AF973" s="9">
        <v>1</v>
      </c>
      <c r="AG973" s="30">
        <v>0</v>
      </c>
      <c r="AH973" s="9">
        <v>1</v>
      </c>
      <c r="AI973" s="30">
        <v>0</v>
      </c>
      <c r="AJ973" s="21">
        <v>2005</v>
      </c>
      <c r="AK973" s="7">
        <f t="shared" si="244"/>
        <v>0.56999999999999995</v>
      </c>
      <c r="AL973" s="33">
        <v>0.25</v>
      </c>
      <c r="AM973" s="33">
        <v>0.17</v>
      </c>
      <c r="AN973" s="43">
        <v>0.01</v>
      </c>
      <c r="AO973" s="42">
        <v>0</v>
      </c>
      <c r="AP973" s="18">
        <v>1</v>
      </c>
      <c r="AQ973">
        <v>0.55000000000000004</v>
      </c>
      <c r="AR973" s="40">
        <v>0.45</v>
      </c>
      <c r="AS973">
        <v>1</v>
      </c>
      <c r="AT973" s="40">
        <f t="shared" si="240"/>
        <v>0</v>
      </c>
      <c r="AU973">
        <v>0</v>
      </c>
      <c r="AV973" s="18">
        <v>1</v>
      </c>
      <c r="AW973">
        <v>0.85</v>
      </c>
      <c r="AX973" s="18">
        <v>0.15</v>
      </c>
      <c r="AY973" s="18" t="s">
        <v>535</v>
      </c>
      <c r="AZ973">
        <v>0</v>
      </c>
      <c r="BA973">
        <v>0</v>
      </c>
      <c r="BB973">
        <v>0</v>
      </c>
      <c r="BC973">
        <v>0</v>
      </c>
      <c r="BD973">
        <v>0</v>
      </c>
      <c r="BE973">
        <v>0</v>
      </c>
      <c r="BF973" s="18">
        <v>1</v>
      </c>
      <c r="BG973">
        <v>0</v>
      </c>
      <c r="BH973">
        <v>0</v>
      </c>
      <c r="BI973" s="18">
        <v>1</v>
      </c>
      <c r="BJ973" t="s">
        <v>98</v>
      </c>
      <c r="BK973">
        <v>28</v>
      </c>
      <c r="BL973" s="25">
        <v>39.020000000000003</v>
      </c>
      <c r="BM973">
        <v>0</v>
      </c>
      <c r="BN973">
        <v>0</v>
      </c>
      <c r="BO973">
        <v>0</v>
      </c>
      <c r="BP973">
        <v>0</v>
      </c>
      <c r="BQ973">
        <v>0</v>
      </c>
      <c r="BR973">
        <v>0</v>
      </c>
      <c r="BS973">
        <v>0</v>
      </c>
      <c r="BT973" s="18">
        <v>1</v>
      </c>
      <c r="BU973">
        <v>0</v>
      </c>
      <c r="BV973">
        <v>1</v>
      </c>
      <c r="BW973">
        <v>0</v>
      </c>
      <c r="BX973" s="18">
        <v>0</v>
      </c>
      <c r="BY973">
        <v>0</v>
      </c>
      <c r="BZ973">
        <v>0</v>
      </c>
      <c r="CA973">
        <v>0</v>
      </c>
      <c r="CB973">
        <v>0</v>
      </c>
      <c r="CC973" s="18">
        <v>0</v>
      </c>
      <c r="CD973">
        <v>1</v>
      </c>
      <c r="CE973">
        <v>1</v>
      </c>
      <c r="CF973">
        <v>0</v>
      </c>
      <c r="CG973">
        <v>0</v>
      </c>
      <c r="CH973">
        <v>0</v>
      </c>
      <c r="CI973">
        <v>1</v>
      </c>
      <c r="CJ973">
        <v>1</v>
      </c>
      <c r="CK973">
        <v>0</v>
      </c>
      <c r="CL973">
        <v>1</v>
      </c>
      <c r="CM973">
        <v>1</v>
      </c>
      <c r="CN973" s="18">
        <v>0</v>
      </c>
      <c r="CO973">
        <v>0.19600000000000001</v>
      </c>
      <c r="CP973">
        <v>118</v>
      </c>
      <c r="CQ973">
        <v>1</v>
      </c>
      <c r="CR973">
        <v>0</v>
      </c>
      <c r="CS973">
        <v>19</v>
      </c>
      <c r="CY973" s="34"/>
    </row>
    <row r="974" spans="1:103" x14ac:dyDescent="0.25">
      <c r="A974">
        <v>973</v>
      </c>
      <c r="B974">
        <v>67</v>
      </c>
      <c r="C974" s="25" t="s">
        <v>3993</v>
      </c>
      <c r="D974" s="12">
        <v>20.399999999999999</v>
      </c>
      <c r="E974" s="14">
        <v>9</v>
      </c>
      <c r="F974" s="7">
        <f t="shared" si="234"/>
        <v>2.2666666666666666</v>
      </c>
      <c r="G974" s="7">
        <f t="shared" si="236"/>
        <v>11.399999999999999</v>
      </c>
      <c r="H974" s="16">
        <f t="shared" si="237"/>
        <v>29.4</v>
      </c>
      <c r="I974" s="11">
        <f t="shared" si="241"/>
        <v>7.1889318935879881E-2</v>
      </c>
      <c r="J974" s="33">
        <f t="shared" si="242"/>
        <v>3.171587600112348E-2</v>
      </c>
      <c r="K974" s="33">
        <f t="shared" si="243"/>
        <v>31.529950488032451</v>
      </c>
      <c r="L974" s="8">
        <v>1</v>
      </c>
      <c r="M974" s="9">
        <v>0</v>
      </c>
      <c r="N974" s="8">
        <v>0</v>
      </c>
      <c r="O974" s="9">
        <v>0</v>
      </c>
      <c r="P974" s="9">
        <v>1</v>
      </c>
      <c r="Q974" s="9">
        <v>0</v>
      </c>
      <c r="R974" s="9">
        <v>0</v>
      </c>
      <c r="S974" s="8">
        <v>1001</v>
      </c>
      <c r="T974" s="9">
        <v>11</v>
      </c>
      <c r="U974" s="9">
        <f t="shared" si="238"/>
        <v>989</v>
      </c>
      <c r="V974" s="9">
        <f t="shared" si="239"/>
        <v>7</v>
      </c>
      <c r="W974" s="7">
        <v>4.6900000000000004</v>
      </c>
      <c r="X974" s="7">
        <f t="shared" si="235"/>
        <v>28.330000000000005</v>
      </c>
      <c r="Y974" s="9">
        <v>1</v>
      </c>
      <c r="Z974" s="9">
        <v>0</v>
      </c>
      <c r="AA974" s="9">
        <v>0</v>
      </c>
      <c r="AB974" s="9">
        <v>0</v>
      </c>
      <c r="AC974" s="9">
        <v>1</v>
      </c>
      <c r="AD974" s="9">
        <v>0</v>
      </c>
      <c r="AE974" s="8">
        <v>0</v>
      </c>
      <c r="AF974" s="9">
        <v>1</v>
      </c>
      <c r="AG974" s="30">
        <v>0</v>
      </c>
      <c r="AH974" s="9">
        <v>1</v>
      </c>
      <c r="AI974" s="30">
        <v>0</v>
      </c>
      <c r="AJ974" s="21">
        <v>2005</v>
      </c>
      <c r="AK974" s="7">
        <f t="shared" si="244"/>
        <v>0.56999999999999995</v>
      </c>
      <c r="AL974" s="33">
        <v>0.25</v>
      </c>
      <c r="AM974" s="33">
        <v>0.17</v>
      </c>
      <c r="AN974" s="43">
        <v>0.01</v>
      </c>
      <c r="AO974" s="42">
        <v>0</v>
      </c>
      <c r="AP974" s="18">
        <v>1</v>
      </c>
      <c r="AQ974">
        <v>0.55000000000000004</v>
      </c>
      <c r="AR974" s="40">
        <v>0.45</v>
      </c>
      <c r="AS974">
        <v>1</v>
      </c>
      <c r="AT974" s="40">
        <f t="shared" si="240"/>
        <v>0</v>
      </c>
      <c r="AU974">
        <v>0</v>
      </c>
      <c r="AV974" s="18">
        <v>1</v>
      </c>
      <c r="AW974">
        <v>0.85</v>
      </c>
      <c r="AX974" s="18">
        <v>0.15</v>
      </c>
      <c r="AY974" s="18" t="s">
        <v>535</v>
      </c>
      <c r="AZ974">
        <v>0</v>
      </c>
      <c r="BA974">
        <v>0</v>
      </c>
      <c r="BB974">
        <v>0</v>
      </c>
      <c r="BC974">
        <v>0</v>
      </c>
      <c r="BD974">
        <v>0</v>
      </c>
      <c r="BE974">
        <v>0</v>
      </c>
      <c r="BF974" s="18">
        <v>1</v>
      </c>
      <c r="BG974">
        <v>0</v>
      </c>
      <c r="BH974">
        <v>0</v>
      </c>
      <c r="BI974" s="18">
        <v>1</v>
      </c>
      <c r="BJ974" t="s">
        <v>98</v>
      </c>
      <c r="BK974">
        <v>28</v>
      </c>
      <c r="BL974" s="25">
        <v>39.020000000000003</v>
      </c>
      <c r="BM974">
        <v>0</v>
      </c>
      <c r="BN974">
        <v>0</v>
      </c>
      <c r="BO974">
        <v>0</v>
      </c>
      <c r="BP974">
        <v>0</v>
      </c>
      <c r="BQ974">
        <v>0</v>
      </c>
      <c r="BR974">
        <v>0</v>
      </c>
      <c r="BS974">
        <v>0</v>
      </c>
      <c r="BT974" s="18">
        <v>1</v>
      </c>
      <c r="BU974">
        <v>0</v>
      </c>
      <c r="BV974">
        <v>1</v>
      </c>
      <c r="BW974">
        <v>0</v>
      </c>
      <c r="BX974" s="18">
        <v>0</v>
      </c>
      <c r="BY974">
        <v>0</v>
      </c>
      <c r="BZ974">
        <v>0</v>
      </c>
      <c r="CA974">
        <v>0</v>
      </c>
      <c r="CB974">
        <v>0</v>
      </c>
      <c r="CC974" s="18">
        <v>0</v>
      </c>
      <c r="CD974">
        <v>1</v>
      </c>
      <c r="CE974">
        <v>1</v>
      </c>
      <c r="CF974">
        <v>0</v>
      </c>
      <c r="CG974">
        <v>0</v>
      </c>
      <c r="CH974">
        <v>0</v>
      </c>
      <c r="CI974">
        <v>1</v>
      </c>
      <c r="CJ974">
        <v>1</v>
      </c>
      <c r="CK974">
        <v>0</v>
      </c>
      <c r="CL974">
        <v>1</v>
      </c>
      <c r="CM974">
        <v>1</v>
      </c>
      <c r="CN974" s="18">
        <v>0</v>
      </c>
      <c r="CO974">
        <v>0.19600000000000001</v>
      </c>
      <c r="CP974">
        <v>118</v>
      </c>
      <c r="CQ974">
        <v>1</v>
      </c>
      <c r="CR974">
        <v>0</v>
      </c>
      <c r="CS974">
        <v>19</v>
      </c>
      <c r="CY974" s="34"/>
    </row>
    <row r="975" spans="1:103" x14ac:dyDescent="0.25">
      <c r="A975">
        <v>974</v>
      </c>
      <c r="B975">
        <v>67</v>
      </c>
      <c r="C975" s="25" t="s">
        <v>3993</v>
      </c>
      <c r="D975" s="12">
        <v>2.4</v>
      </c>
      <c r="E975" s="14">
        <v>14</v>
      </c>
      <c r="F975" s="7">
        <f t="shared" si="234"/>
        <v>0.17142857142857143</v>
      </c>
      <c r="G975" s="7">
        <f t="shared" si="236"/>
        <v>-11.6</v>
      </c>
      <c r="H975" s="16">
        <f t="shared" si="237"/>
        <v>16.399999999999999</v>
      </c>
      <c r="I975" s="11">
        <f t="shared" si="241"/>
        <v>7.8162312730669422E-3</v>
      </c>
      <c r="J975" s="33">
        <f t="shared" si="242"/>
        <v>4.5594682426223825E-2</v>
      </c>
      <c r="K975" s="33">
        <f t="shared" si="243"/>
        <v>21.932382172374755</v>
      </c>
      <c r="L975" s="8">
        <v>1</v>
      </c>
      <c r="M975" s="9">
        <v>0</v>
      </c>
      <c r="N975" s="8">
        <v>0</v>
      </c>
      <c r="O975" s="9">
        <v>0</v>
      </c>
      <c r="P975" s="9">
        <v>1</v>
      </c>
      <c r="Q975" s="9">
        <v>0</v>
      </c>
      <c r="R975" s="9">
        <v>0</v>
      </c>
      <c r="S975" s="8">
        <v>493</v>
      </c>
      <c r="T975" s="9">
        <v>11</v>
      </c>
      <c r="U975" s="9">
        <f t="shared" si="238"/>
        <v>481</v>
      </c>
      <c r="V975" s="9">
        <f t="shared" si="239"/>
        <v>7</v>
      </c>
      <c r="W975" s="7">
        <v>4.6900000000000004</v>
      </c>
      <c r="X975" s="7">
        <f t="shared" si="235"/>
        <v>28.330000000000005</v>
      </c>
      <c r="Y975" s="9">
        <v>1</v>
      </c>
      <c r="Z975" s="9">
        <v>0</v>
      </c>
      <c r="AA975" s="9">
        <v>0</v>
      </c>
      <c r="AB975" s="9">
        <v>0</v>
      </c>
      <c r="AC975" s="9">
        <v>1</v>
      </c>
      <c r="AD975" s="9">
        <v>0</v>
      </c>
      <c r="AE975" s="8">
        <v>0</v>
      </c>
      <c r="AF975" s="9">
        <v>1</v>
      </c>
      <c r="AG975" s="30">
        <v>0</v>
      </c>
      <c r="AH975" s="9">
        <v>1</v>
      </c>
      <c r="AI975" s="30">
        <v>0</v>
      </c>
      <c r="AJ975" s="21">
        <v>2005</v>
      </c>
      <c r="AK975" s="7">
        <f t="shared" si="244"/>
        <v>0.56999999999999995</v>
      </c>
      <c r="AL975" s="33">
        <v>0.25</v>
      </c>
      <c r="AM975" s="33">
        <v>0.17</v>
      </c>
      <c r="AN975" s="43">
        <v>0.01</v>
      </c>
      <c r="AO975" s="42">
        <v>0</v>
      </c>
      <c r="AP975" s="18">
        <v>1</v>
      </c>
      <c r="AQ975">
        <v>0.55000000000000004</v>
      </c>
      <c r="AR975" s="40">
        <v>0.45</v>
      </c>
      <c r="AS975">
        <v>1</v>
      </c>
      <c r="AT975" s="40">
        <f t="shared" si="240"/>
        <v>0</v>
      </c>
      <c r="AU975">
        <v>0</v>
      </c>
      <c r="AV975" s="18">
        <v>1</v>
      </c>
      <c r="AW975">
        <v>0.85</v>
      </c>
      <c r="AX975" s="18">
        <v>0.15</v>
      </c>
      <c r="AY975" s="18" t="s">
        <v>535</v>
      </c>
      <c r="AZ975">
        <v>0</v>
      </c>
      <c r="BA975">
        <v>0</v>
      </c>
      <c r="BB975">
        <v>0</v>
      </c>
      <c r="BC975">
        <v>0</v>
      </c>
      <c r="BD975">
        <v>0</v>
      </c>
      <c r="BE975">
        <v>0</v>
      </c>
      <c r="BF975" s="18">
        <v>1</v>
      </c>
      <c r="BG975">
        <v>0</v>
      </c>
      <c r="BH975">
        <v>0</v>
      </c>
      <c r="BI975" s="18">
        <v>1</v>
      </c>
      <c r="BJ975" t="s">
        <v>98</v>
      </c>
      <c r="BK975">
        <v>28</v>
      </c>
      <c r="BL975" s="25">
        <v>39.020000000000003</v>
      </c>
      <c r="BM975">
        <v>0</v>
      </c>
      <c r="BN975">
        <v>0</v>
      </c>
      <c r="BO975">
        <v>0</v>
      </c>
      <c r="BP975">
        <v>0</v>
      </c>
      <c r="BQ975">
        <v>0</v>
      </c>
      <c r="BR975">
        <v>0</v>
      </c>
      <c r="BS975">
        <v>0</v>
      </c>
      <c r="BT975" s="18">
        <v>1</v>
      </c>
      <c r="BU975">
        <v>0</v>
      </c>
      <c r="BV975">
        <v>1</v>
      </c>
      <c r="BW975">
        <v>0</v>
      </c>
      <c r="BX975" s="18">
        <v>0</v>
      </c>
      <c r="BY975">
        <v>0</v>
      </c>
      <c r="BZ975">
        <v>0</v>
      </c>
      <c r="CA975">
        <v>0</v>
      </c>
      <c r="CB975">
        <v>0</v>
      </c>
      <c r="CC975" s="18">
        <v>0</v>
      </c>
      <c r="CD975">
        <v>1</v>
      </c>
      <c r="CE975">
        <v>1</v>
      </c>
      <c r="CF975">
        <v>0</v>
      </c>
      <c r="CG975">
        <v>0</v>
      </c>
      <c r="CH975">
        <v>0</v>
      </c>
      <c r="CI975">
        <v>1</v>
      </c>
      <c r="CJ975">
        <v>1</v>
      </c>
      <c r="CK975">
        <v>0</v>
      </c>
      <c r="CL975">
        <v>1</v>
      </c>
      <c r="CM975">
        <v>1</v>
      </c>
      <c r="CN975" s="18">
        <v>0</v>
      </c>
      <c r="CO975">
        <v>0.19600000000000001</v>
      </c>
      <c r="CP975">
        <v>118</v>
      </c>
      <c r="CQ975">
        <v>1</v>
      </c>
      <c r="CR975">
        <v>0</v>
      </c>
      <c r="CS975">
        <v>19</v>
      </c>
      <c r="CY975" s="34"/>
    </row>
    <row r="976" spans="1:103" x14ac:dyDescent="0.25">
      <c r="A976">
        <v>975</v>
      </c>
      <c r="B976">
        <v>67</v>
      </c>
      <c r="C976" s="25" t="s">
        <v>3993</v>
      </c>
      <c r="D976" s="12">
        <v>21.6</v>
      </c>
      <c r="E976" s="14">
        <v>4</v>
      </c>
      <c r="F976" s="7">
        <f t="shared" si="234"/>
        <v>5.4</v>
      </c>
      <c r="G976" s="7">
        <f t="shared" si="236"/>
        <v>17.600000000000001</v>
      </c>
      <c r="H976" s="16">
        <f t="shared" si="237"/>
        <v>25.6</v>
      </c>
      <c r="I976" s="11">
        <f t="shared" si="241"/>
        <v>0.11316105469835643</v>
      </c>
      <c r="J976" s="33">
        <f t="shared" si="242"/>
        <v>2.0955750870066004E-2</v>
      </c>
      <c r="K976" s="33">
        <f t="shared" si="243"/>
        <v>47.7195976512795</v>
      </c>
      <c r="L976" s="8">
        <v>1</v>
      </c>
      <c r="M976" s="9">
        <v>0</v>
      </c>
      <c r="N976" s="8">
        <v>0</v>
      </c>
      <c r="O976" s="9">
        <v>0</v>
      </c>
      <c r="P976" s="9">
        <v>1</v>
      </c>
      <c r="Q976" s="9">
        <v>0</v>
      </c>
      <c r="R976" s="9">
        <v>0</v>
      </c>
      <c r="S976" s="8">
        <v>2260</v>
      </c>
      <c r="T976" s="9">
        <v>11</v>
      </c>
      <c r="U976" s="9">
        <f t="shared" si="238"/>
        <v>2248</v>
      </c>
      <c r="V976" s="9">
        <f t="shared" si="239"/>
        <v>7</v>
      </c>
      <c r="W976" s="7">
        <v>4.6900000000000004</v>
      </c>
      <c r="X976" s="7">
        <f t="shared" si="235"/>
        <v>28.330000000000005</v>
      </c>
      <c r="Y976" s="9">
        <v>1</v>
      </c>
      <c r="Z976" s="9">
        <v>0</v>
      </c>
      <c r="AA976" s="9">
        <v>0</v>
      </c>
      <c r="AB976" s="9">
        <v>0</v>
      </c>
      <c r="AC976" s="9">
        <v>1</v>
      </c>
      <c r="AD976" s="9">
        <v>0</v>
      </c>
      <c r="AE976" s="8">
        <v>0</v>
      </c>
      <c r="AF976" s="9">
        <v>1</v>
      </c>
      <c r="AG976" s="30">
        <v>0</v>
      </c>
      <c r="AH976" s="9">
        <v>1</v>
      </c>
      <c r="AI976" s="30">
        <v>0</v>
      </c>
      <c r="AJ976" s="21">
        <v>2005</v>
      </c>
      <c r="AK976" s="7">
        <f t="shared" si="244"/>
        <v>0.56999999999999995</v>
      </c>
      <c r="AL976" s="33">
        <v>0.25</v>
      </c>
      <c r="AM976" s="33">
        <v>0.17</v>
      </c>
      <c r="AN976" s="43">
        <v>0.01</v>
      </c>
      <c r="AO976" s="42">
        <v>0</v>
      </c>
      <c r="AP976" s="18">
        <v>1</v>
      </c>
      <c r="AQ976">
        <v>0.55000000000000004</v>
      </c>
      <c r="AR976" s="40">
        <v>0.45</v>
      </c>
      <c r="AS976">
        <v>1</v>
      </c>
      <c r="AT976" s="40">
        <f t="shared" si="240"/>
        <v>0</v>
      </c>
      <c r="AU976">
        <v>0</v>
      </c>
      <c r="AV976" s="18">
        <v>1</v>
      </c>
      <c r="AW976">
        <v>0.85</v>
      </c>
      <c r="AX976" s="18">
        <v>0.15</v>
      </c>
      <c r="AY976" s="18" t="s">
        <v>535</v>
      </c>
      <c r="AZ976">
        <v>0</v>
      </c>
      <c r="BA976">
        <v>0</v>
      </c>
      <c r="BB976">
        <v>0</v>
      </c>
      <c r="BC976">
        <v>0</v>
      </c>
      <c r="BD976">
        <v>0</v>
      </c>
      <c r="BE976">
        <v>0</v>
      </c>
      <c r="BF976" s="18">
        <v>1</v>
      </c>
      <c r="BG976">
        <v>0</v>
      </c>
      <c r="BH976">
        <v>0</v>
      </c>
      <c r="BI976" s="18">
        <v>1</v>
      </c>
      <c r="BJ976" t="s">
        <v>98</v>
      </c>
      <c r="BK976">
        <v>28</v>
      </c>
      <c r="BL976" s="25">
        <v>39.020000000000003</v>
      </c>
      <c r="BM976">
        <v>0</v>
      </c>
      <c r="BN976">
        <v>0</v>
      </c>
      <c r="BO976">
        <v>0</v>
      </c>
      <c r="BP976">
        <v>0</v>
      </c>
      <c r="BQ976">
        <v>0</v>
      </c>
      <c r="BR976">
        <v>0</v>
      </c>
      <c r="BS976">
        <v>0</v>
      </c>
      <c r="BT976" s="18">
        <v>1</v>
      </c>
      <c r="BU976">
        <v>0</v>
      </c>
      <c r="BV976">
        <v>1</v>
      </c>
      <c r="BW976">
        <v>0</v>
      </c>
      <c r="BX976" s="18">
        <v>0</v>
      </c>
      <c r="BY976">
        <v>0</v>
      </c>
      <c r="BZ976">
        <v>0</v>
      </c>
      <c r="CA976">
        <v>0</v>
      </c>
      <c r="CB976">
        <v>0</v>
      </c>
      <c r="CC976" s="18">
        <v>0</v>
      </c>
      <c r="CD976">
        <v>1</v>
      </c>
      <c r="CE976">
        <v>1</v>
      </c>
      <c r="CF976">
        <v>0</v>
      </c>
      <c r="CG976">
        <v>0</v>
      </c>
      <c r="CH976">
        <v>0</v>
      </c>
      <c r="CI976">
        <v>1</v>
      </c>
      <c r="CJ976">
        <v>1</v>
      </c>
      <c r="CK976">
        <v>0</v>
      </c>
      <c r="CL976">
        <v>1</v>
      </c>
      <c r="CM976">
        <v>1</v>
      </c>
      <c r="CN976" s="18">
        <v>0</v>
      </c>
      <c r="CO976">
        <v>0.19600000000000001</v>
      </c>
      <c r="CP976">
        <v>118</v>
      </c>
      <c r="CQ976">
        <v>1</v>
      </c>
      <c r="CR976">
        <v>0</v>
      </c>
      <c r="CS976">
        <v>19</v>
      </c>
      <c r="CY976" s="34"/>
    </row>
    <row r="977" spans="1:103" x14ac:dyDescent="0.25">
      <c r="A977">
        <v>976</v>
      </c>
      <c r="B977">
        <v>68</v>
      </c>
      <c r="C977" s="25" t="s">
        <v>4001</v>
      </c>
      <c r="D977" s="12">
        <v>9</v>
      </c>
      <c r="E977" s="14">
        <v>0.4</v>
      </c>
      <c r="F977" s="7">
        <f t="shared" si="234"/>
        <v>22.5</v>
      </c>
      <c r="G977" s="7">
        <f t="shared" si="236"/>
        <v>8.6</v>
      </c>
      <c r="H977" s="16">
        <f t="shared" si="237"/>
        <v>9.4</v>
      </c>
      <c r="I977" s="11">
        <f t="shared" si="241"/>
        <v>0.2075319928180912</v>
      </c>
      <c r="J977" s="33">
        <f t="shared" si="242"/>
        <v>9.2236441252484987E-3</v>
      </c>
      <c r="K977" s="33">
        <f t="shared" si="243"/>
        <v>108.41701895920215</v>
      </c>
      <c r="L977" s="8">
        <v>0</v>
      </c>
      <c r="M977" s="9">
        <v>1</v>
      </c>
      <c r="N977" s="8">
        <v>0</v>
      </c>
      <c r="O977" s="9">
        <v>0</v>
      </c>
      <c r="P977" s="9">
        <v>1</v>
      </c>
      <c r="Q977" s="9">
        <v>0</v>
      </c>
      <c r="R977" s="9">
        <v>0</v>
      </c>
      <c r="S977" s="8">
        <v>11271</v>
      </c>
      <c r="T977" s="9">
        <v>22</v>
      </c>
      <c r="U977" s="9">
        <f t="shared" si="238"/>
        <v>11248</v>
      </c>
      <c r="V977" s="9">
        <f t="shared" si="239"/>
        <v>20</v>
      </c>
      <c r="W977" s="7">
        <v>8.8800000000000008</v>
      </c>
      <c r="X977" s="7">
        <f t="shared" si="235"/>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45">1-AQ977</f>
        <v>0.49</v>
      </c>
      <c r="AS977" t="s">
        <v>98</v>
      </c>
      <c r="AT977" s="40" t="s">
        <v>98</v>
      </c>
      <c r="AU977">
        <v>0</v>
      </c>
      <c r="AV977" s="18">
        <v>1</v>
      </c>
      <c r="AW977">
        <v>0.75</v>
      </c>
      <c r="AX977" s="18">
        <f t="shared" ref="AX977:AX986" si="246">1-AW977</f>
        <v>0.25</v>
      </c>
      <c r="AY977" s="18" t="s">
        <v>5</v>
      </c>
      <c r="AZ977">
        <v>0</v>
      </c>
      <c r="BA977">
        <v>1</v>
      </c>
      <c r="BB977">
        <v>0</v>
      </c>
      <c r="BC977">
        <v>0</v>
      </c>
      <c r="BD977">
        <v>0</v>
      </c>
      <c r="BE977">
        <v>0</v>
      </c>
      <c r="BF977" s="18">
        <v>0</v>
      </c>
      <c r="BG977">
        <v>0</v>
      </c>
      <c r="BH977">
        <v>1</v>
      </c>
      <c r="BI977" s="18">
        <v>0</v>
      </c>
      <c r="BJ977">
        <v>942</v>
      </c>
      <c r="BK977">
        <v>131</v>
      </c>
      <c r="BL977" s="25">
        <v>31.83</v>
      </c>
      <c r="BM977">
        <v>1</v>
      </c>
      <c r="BN977">
        <v>0</v>
      </c>
      <c r="BO977">
        <v>0</v>
      </c>
      <c r="BP977">
        <v>0</v>
      </c>
      <c r="BQ977">
        <v>0</v>
      </c>
      <c r="BR977">
        <v>0</v>
      </c>
      <c r="BS977">
        <v>0</v>
      </c>
      <c r="BT977" s="18">
        <v>0</v>
      </c>
      <c r="BU977">
        <v>0</v>
      </c>
      <c r="BV977">
        <v>0</v>
      </c>
      <c r="BW977">
        <v>1</v>
      </c>
      <c r="BX977" s="18">
        <v>0</v>
      </c>
      <c r="BY977">
        <v>0</v>
      </c>
      <c r="BZ977">
        <v>0</v>
      </c>
      <c r="CA977">
        <v>0</v>
      </c>
      <c r="CB977">
        <v>0</v>
      </c>
      <c r="CC977" s="18">
        <v>0</v>
      </c>
      <c r="CD977">
        <v>1</v>
      </c>
      <c r="CE977">
        <v>1</v>
      </c>
      <c r="CF977">
        <v>0</v>
      </c>
      <c r="CG977">
        <v>0</v>
      </c>
      <c r="CH977">
        <v>1</v>
      </c>
      <c r="CI977">
        <v>1</v>
      </c>
      <c r="CJ977">
        <v>1</v>
      </c>
      <c r="CK977">
        <v>0</v>
      </c>
      <c r="CL977">
        <v>0</v>
      </c>
      <c r="CM977">
        <v>1</v>
      </c>
      <c r="CN977" s="18">
        <v>1</v>
      </c>
      <c r="CO977">
        <v>0.14599999999999999</v>
      </c>
      <c r="CP977">
        <v>149</v>
      </c>
      <c r="CQ977">
        <v>1</v>
      </c>
      <c r="CR977">
        <v>0</v>
      </c>
      <c r="CS977">
        <v>16</v>
      </c>
      <c r="CY977" s="34"/>
    </row>
    <row r="978" spans="1:103" x14ac:dyDescent="0.25">
      <c r="A978">
        <v>977</v>
      </c>
      <c r="B978">
        <v>68</v>
      </c>
      <c r="C978" s="25" t="s">
        <v>4001</v>
      </c>
      <c r="D978" s="12">
        <v>20</v>
      </c>
      <c r="E978" s="14">
        <v>6</v>
      </c>
      <c r="F978" s="7">
        <f t="shared" si="234"/>
        <v>3.3333333333333335</v>
      </c>
      <c r="G978" s="7">
        <f t="shared" si="236"/>
        <v>14</v>
      </c>
      <c r="H978" s="16">
        <f t="shared" si="237"/>
        <v>26</v>
      </c>
      <c r="I978" s="11">
        <f t="shared" si="241"/>
        <v>3.1414249795253035E-2</v>
      </c>
      <c r="J978" s="33">
        <f t="shared" si="242"/>
        <v>9.4242749385759095E-3</v>
      </c>
      <c r="K978" s="33">
        <f t="shared" si="243"/>
        <v>106.10895867508601</v>
      </c>
      <c r="L978" s="8">
        <v>0</v>
      </c>
      <c r="M978" s="9">
        <v>1</v>
      </c>
      <c r="N978" s="8">
        <v>0</v>
      </c>
      <c r="O978" s="9">
        <v>0</v>
      </c>
      <c r="P978" s="9">
        <v>1</v>
      </c>
      <c r="Q978" s="9">
        <v>0</v>
      </c>
      <c r="R978" s="9">
        <v>0</v>
      </c>
      <c r="S978" s="8">
        <v>11271</v>
      </c>
      <c r="T978" s="9">
        <v>22</v>
      </c>
      <c r="U978" s="9">
        <f t="shared" si="238"/>
        <v>11248</v>
      </c>
      <c r="V978" s="9">
        <f t="shared" si="239"/>
        <v>20</v>
      </c>
      <c r="W978" s="7">
        <v>8.8800000000000008</v>
      </c>
      <c r="X978" s="7">
        <f t="shared" si="235"/>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45"/>
        <v>0.49</v>
      </c>
      <c r="AS978" t="s">
        <v>98</v>
      </c>
      <c r="AT978" s="40" t="s">
        <v>98</v>
      </c>
      <c r="AU978">
        <v>0</v>
      </c>
      <c r="AV978" s="18">
        <v>1</v>
      </c>
      <c r="AW978">
        <v>0.75</v>
      </c>
      <c r="AX978" s="18">
        <f t="shared" si="246"/>
        <v>0.25</v>
      </c>
      <c r="AY978" s="18" t="s">
        <v>5</v>
      </c>
      <c r="AZ978">
        <v>0</v>
      </c>
      <c r="BA978">
        <v>1</v>
      </c>
      <c r="BB978">
        <v>0</v>
      </c>
      <c r="BC978">
        <v>0</v>
      </c>
      <c r="BD978">
        <v>0</v>
      </c>
      <c r="BE978">
        <v>0</v>
      </c>
      <c r="BF978" s="18">
        <v>0</v>
      </c>
      <c r="BG978">
        <v>0</v>
      </c>
      <c r="BH978">
        <v>1</v>
      </c>
      <c r="BI978" s="18">
        <v>0</v>
      </c>
      <c r="BJ978">
        <v>942</v>
      </c>
      <c r="BK978">
        <v>131</v>
      </c>
      <c r="BL978" s="25">
        <v>31.83</v>
      </c>
      <c r="BM978">
        <v>0</v>
      </c>
      <c r="BN978">
        <v>0</v>
      </c>
      <c r="BO978">
        <v>0</v>
      </c>
      <c r="BP978">
        <v>0</v>
      </c>
      <c r="BQ978">
        <v>1</v>
      </c>
      <c r="BR978">
        <v>0</v>
      </c>
      <c r="BS978">
        <v>0</v>
      </c>
      <c r="BT978" s="18">
        <v>0</v>
      </c>
      <c r="BU978">
        <v>0</v>
      </c>
      <c r="BV978">
        <v>0</v>
      </c>
      <c r="BW978">
        <v>1</v>
      </c>
      <c r="BX978" s="18">
        <v>0</v>
      </c>
      <c r="BY978">
        <v>0</v>
      </c>
      <c r="BZ978">
        <v>0</v>
      </c>
      <c r="CA978">
        <v>0</v>
      </c>
      <c r="CB978">
        <v>0</v>
      </c>
      <c r="CC978" s="18">
        <v>0</v>
      </c>
      <c r="CD978">
        <v>1</v>
      </c>
      <c r="CE978">
        <v>1</v>
      </c>
      <c r="CF978">
        <v>0</v>
      </c>
      <c r="CG978">
        <v>0</v>
      </c>
      <c r="CH978">
        <v>1</v>
      </c>
      <c r="CI978">
        <v>1</v>
      </c>
      <c r="CJ978">
        <v>1</v>
      </c>
      <c r="CK978">
        <v>0</v>
      </c>
      <c r="CL978">
        <v>0</v>
      </c>
      <c r="CM978">
        <v>1</v>
      </c>
      <c r="CN978" s="18">
        <v>1</v>
      </c>
      <c r="CO978">
        <v>0.14599999999999999</v>
      </c>
      <c r="CP978">
        <v>149</v>
      </c>
      <c r="CQ978">
        <v>1</v>
      </c>
      <c r="CR978">
        <v>0</v>
      </c>
      <c r="CS978">
        <v>16</v>
      </c>
      <c r="CY978" s="34"/>
    </row>
    <row r="979" spans="1:103" x14ac:dyDescent="0.25">
      <c r="A979">
        <v>978</v>
      </c>
      <c r="B979">
        <v>68</v>
      </c>
      <c r="C979" s="25" t="s">
        <v>4001</v>
      </c>
      <c r="D979" s="12">
        <v>9</v>
      </c>
      <c r="E979" s="14">
        <v>1</v>
      </c>
      <c r="F979" s="7">
        <f t="shared" si="234"/>
        <v>9</v>
      </c>
      <c r="G979" s="7">
        <f t="shared" si="236"/>
        <v>8</v>
      </c>
      <c r="H979" s="16">
        <f t="shared" si="237"/>
        <v>10</v>
      </c>
      <c r="I979" s="11">
        <f t="shared" si="241"/>
        <v>8.4556446044914232E-2</v>
      </c>
      <c r="J979" s="33">
        <f t="shared" si="242"/>
        <v>9.3951606716571358E-3</v>
      </c>
      <c r="K979" s="33">
        <f t="shared" si="243"/>
        <v>106.43777524920371</v>
      </c>
      <c r="L979" s="8">
        <v>0</v>
      </c>
      <c r="M979" s="9">
        <v>1</v>
      </c>
      <c r="N979" s="8">
        <v>0</v>
      </c>
      <c r="O979" s="9">
        <v>0</v>
      </c>
      <c r="P979" s="9">
        <v>1</v>
      </c>
      <c r="Q979" s="9">
        <v>0</v>
      </c>
      <c r="R979" s="9">
        <v>0</v>
      </c>
      <c r="S979" s="8">
        <v>11271</v>
      </c>
      <c r="T979" s="9">
        <v>22</v>
      </c>
      <c r="U979" s="9">
        <f t="shared" si="238"/>
        <v>11248</v>
      </c>
      <c r="V979" s="9">
        <f t="shared" si="239"/>
        <v>20</v>
      </c>
      <c r="W979" s="7">
        <v>8.8800000000000008</v>
      </c>
      <c r="X979" s="7">
        <f t="shared" si="235"/>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45"/>
        <v>0.49</v>
      </c>
      <c r="AS979" t="s">
        <v>98</v>
      </c>
      <c r="AT979" s="40" t="s">
        <v>98</v>
      </c>
      <c r="AU979">
        <v>0</v>
      </c>
      <c r="AV979" s="18">
        <v>1</v>
      </c>
      <c r="AW979">
        <v>0.75</v>
      </c>
      <c r="AX979" s="18">
        <f t="shared" si="246"/>
        <v>0.25</v>
      </c>
      <c r="AY979" s="18" t="s">
        <v>5</v>
      </c>
      <c r="AZ979">
        <v>0</v>
      </c>
      <c r="BA979">
        <v>1</v>
      </c>
      <c r="BB979">
        <v>0</v>
      </c>
      <c r="BC979">
        <v>0</v>
      </c>
      <c r="BD979">
        <v>0</v>
      </c>
      <c r="BE979">
        <v>0</v>
      </c>
      <c r="BF979" s="18">
        <v>0</v>
      </c>
      <c r="BG979">
        <v>0</v>
      </c>
      <c r="BH979">
        <v>1</v>
      </c>
      <c r="BI979" s="18">
        <v>0</v>
      </c>
      <c r="BJ979">
        <v>942</v>
      </c>
      <c r="BK979">
        <v>131</v>
      </c>
      <c r="BL979" s="25">
        <v>31.83</v>
      </c>
      <c r="BM979">
        <v>0</v>
      </c>
      <c r="BN979">
        <v>0</v>
      </c>
      <c r="BO979">
        <v>1</v>
      </c>
      <c r="BP979">
        <v>0</v>
      </c>
      <c r="BQ979">
        <v>0</v>
      </c>
      <c r="BR979">
        <v>0</v>
      </c>
      <c r="BS979">
        <v>0</v>
      </c>
      <c r="BT979" s="18">
        <v>0</v>
      </c>
      <c r="BU979">
        <v>0</v>
      </c>
      <c r="BV979">
        <v>0</v>
      </c>
      <c r="BW979">
        <v>1</v>
      </c>
      <c r="BX979" s="18">
        <v>0</v>
      </c>
      <c r="BY979">
        <v>0</v>
      </c>
      <c r="BZ979">
        <v>0</v>
      </c>
      <c r="CA979">
        <v>0</v>
      </c>
      <c r="CB979">
        <v>0</v>
      </c>
      <c r="CC979" s="18">
        <v>0</v>
      </c>
      <c r="CD979">
        <v>1</v>
      </c>
      <c r="CE979">
        <v>1</v>
      </c>
      <c r="CF979">
        <v>0</v>
      </c>
      <c r="CG979">
        <v>0</v>
      </c>
      <c r="CH979">
        <v>1</v>
      </c>
      <c r="CI979">
        <v>1</v>
      </c>
      <c r="CJ979">
        <v>1</v>
      </c>
      <c r="CK979">
        <v>0</v>
      </c>
      <c r="CL979">
        <v>0</v>
      </c>
      <c r="CM979">
        <v>1</v>
      </c>
      <c r="CN979" s="18">
        <v>1</v>
      </c>
      <c r="CO979">
        <v>0.14599999999999999</v>
      </c>
      <c r="CP979">
        <v>149</v>
      </c>
      <c r="CQ979">
        <v>1</v>
      </c>
      <c r="CR979">
        <v>0</v>
      </c>
      <c r="CS979">
        <v>16</v>
      </c>
      <c r="CY979" s="34"/>
    </row>
    <row r="980" spans="1:103" x14ac:dyDescent="0.25">
      <c r="A980">
        <v>979</v>
      </c>
      <c r="B980">
        <v>68</v>
      </c>
      <c r="C980" s="25" t="s">
        <v>4001</v>
      </c>
      <c r="D980" s="12">
        <v>26</v>
      </c>
      <c r="E980" s="14">
        <v>9</v>
      </c>
      <c r="F980" s="7">
        <f t="shared" si="234"/>
        <v>2.8888888888888888</v>
      </c>
      <c r="G980" s="7">
        <f t="shared" si="236"/>
        <v>17</v>
      </c>
      <c r="H980" s="16">
        <f t="shared" si="237"/>
        <v>35</v>
      </c>
      <c r="I980" s="11">
        <f t="shared" si="241"/>
        <v>2.7229027320880107E-2</v>
      </c>
      <c r="J980" s="33">
        <f t="shared" si="242"/>
        <v>9.4254325341508061E-3</v>
      </c>
      <c r="K980" s="33">
        <f t="shared" si="243"/>
        <v>106.0959267786108</v>
      </c>
      <c r="L980" s="8">
        <v>0</v>
      </c>
      <c r="M980" s="9">
        <v>1</v>
      </c>
      <c r="N980" s="8">
        <v>0</v>
      </c>
      <c r="O980" s="9">
        <v>0</v>
      </c>
      <c r="P980" s="9">
        <v>1</v>
      </c>
      <c r="Q980" s="9">
        <v>0</v>
      </c>
      <c r="R980" s="9">
        <v>0</v>
      </c>
      <c r="S980" s="8">
        <v>11271</v>
      </c>
      <c r="T980" s="9">
        <v>22</v>
      </c>
      <c r="U980" s="9">
        <f t="shared" si="238"/>
        <v>11248</v>
      </c>
      <c r="V980" s="9">
        <f t="shared" si="239"/>
        <v>20</v>
      </c>
      <c r="W980" s="7">
        <v>8.8800000000000008</v>
      </c>
      <c r="X980" s="7">
        <f t="shared" si="235"/>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45"/>
        <v>0.49</v>
      </c>
      <c r="AS980" t="s">
        <v>98</v>
      </c>
      <c r="AT980" s="40" t="s">
        <v>98</v>
      </c>
      <c r="AU980">
        <v>0</v>
      </c>
      <c r="AV980" s="18">
        <v>1</v>
      </c>
      <c r="AW980">
        <v>0.75</v>
      </c>
      <c r="AX980" s="18">
        <f t="shared" si="246"/>
        <v>0.25</v>
      </c>
      <c r="AY980" s="18" t="s">
        <v>5</v>
      </c>
      <c r="AZ980">
        <v>0</v>
      </c>
      <c r="BA980">
        <v>1</v>
      </c>
      <c r="BB980">
        <v>0</v>
      </c>
      <c r="BC980">
        <v>0</v>
      </c>
      <c r="BD980">
        <v>0</v>
      </c>
      <c r="BE980">
        <v>0</v>
      </c>
      <c r="BF980" s="18">
        <v>0</v>
      </c>
      <c r="BG980">
        <v>0</v>
      </c>
      <c r="BH980">
        <v>1</v>
      </c>
      <c r="BI980" s="18">
        <v>0</v>
      </c>
      <c r="BJ980">
        <v>942</v>
      </c>
      <c r="BK980">
        <v>131</v>
      </c>
      <c r="BL980" s="25">
        <v>31.83</v>
      </c>
      <c r="BM980">
        <v>0</v>
      </c>
      <c r="BN980">
        <v>0</v>
      </c>
      <c r="BO980">
        <v>0</v>
      </c>
      <c r="BP980">
        <v>0</v>
      </c>
      <c r="BQ980">
        <v>1</v>
      </c>
      <c r="BR980">
        <v>0</v>
      </c>
      <c r="BS980">
        <v>0</v>
      </c>
      <c r="BT980" s="18">
        <v>0</v>
      </c>
      <c r="BU980">
        <v>0</v>
      </c>
      <c r="BV980">
        <v>0</v>
      </c>
      <c r="BW980">
        <v>1</v>
      </c>
      <c r="BX980" s="18">
        <v>0</v>
      </c>
      <c r="BY980">
        <v>0</v>
      </c>
      <c r="BZ980">
        <v>0</v>
      </c>
      <c r="CA980">
        <v>0</v>
      </c>
      <c r="CB980">
        <v>0</v>
      </c>
      <c r="CC980" s="18">
        <v>0</v>
      </c>
      <c r="CD980">
        <v>1</v>
      </c>
      <c r="CE980">
        <v>1</v>
      </c>
      <c r="CF980">
        <v>0</v>
      </c>
      <c r="CG980">
        <v>0</v>
      </c>
      <c r="CH980">
        <v>1</v>
      </c>
      <c r="CI980">
        <v>1</v>
      </c>
      <c r="CJ980">
        <v>1</v>
      </c>
      <c r="CK980">
        <v>0</v>
      </c>
      <c r="CL980">
        <v>0</v>
      </c>
      <c r="CM980">
        <v>1</v>
      </c>
      <c r="CN980" s="18">
        <v>1</v>
      </c>
      <c r="CO980">
        <v>0.14599999999999999</v>
      </c>
      <c r="CP980">
        <v>149</v>
      </c>
      <c r="CQ980">
        <v>1</v>
      </c>
      <c r="CR980">
        <v>0</v>
      </c>
      <c r="CS980">
        <v>16</v>
      </c>
      <c r="CY980" s="34"/>
    </row>
    <row r="981" spans="1:103" x14ac:dyDescent="0.25">
      <c r="A981">
        <v>980</v>
      </c>
      <c r="B981">
        <v>68</v>
      </c>
      <c r="C981" s="25" t="s">
        <v>4001</v>
      </c>
      <c r="D981" s="12">
        <v>9</v>
      </c>
      <c r="E981" s="14">
        <v>1</v>
      </c>
      <c r="F981" s="7">
        <f t="shared" si="234"/>
        <v>9</v>
      </c>
      <c r="G981" s="7">
        <f t="shared" si="236"/>
        <v>8</v>
      </c>
      <c r="H981" s="16">
        <f t="shared" si="237"/>
        <v>10</v>
      </c>
      <c r="I981" s="11">
        <f t="shared" si="241"/>
        <v>0.10435527873593063</v>
      </c>
      <c r="J981" s="33">
        <f t="shared" si="242"/>
        <v>1.159503097065896E-2</v>
      </c>
      <c r="K981" s="33">
        <f t="shared" si="243"/>
        <v>86.24384035976135</v>
      </c>
      <c r="L981" s="8">
        <v>0</v>
      </c>
      <c r="M981" s="9">
        <v>1</v>
      </c>
      <c r="N981" s="8">
        <v>0</v>
      </c>
      <c r="O981" s="9">
        <v>0</v>
      </c>
      <c r="P981" s="9">
        <v>1</v>
      </c>
      <c r="Q981" s="9">
        <v>0</v>
      </c>
      <c r="R981" s="9">
        <v>0</v>
      </c>
      <c r="S981" s="8">
        <v>7380</v>
      </c>
      <c r="T981" s="9">
        <v>22</v>
      </c>
      <c r="U981" s="9">
        <f t="shared" si="238"/>
        <v>7357</v>
      </c>
      <c r="V981" s="9">
        <f t="shared" si="239"/>
        <v>20</v>
      </c>
      <c r="W981" s="7">
        <v>8.66</v>
      </c>
      <c r="X981" s="7">
        <f t="shared" si="235"/>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45"/>
        <v>0.5</v>
      </c>
      <c r="AS981" t="s">
        <v>98</v>
      </c>
      <c r="AT981" s="40" t="s">
        <v>98</v>
      </c>
      <c r="AU981">
        <v>0</v>
      </c>
      <c r="AV981" s="18">
        <v>1</v>
      </c>
      <c r="AW981">
        <v>0.73</v>
      </c>
      <c r="AX981" s="18">
        <f t="shared" si="246"/>
        <v>0.27</v>
      </c>
      <c r="AY981" s="18" t="s">
        <v>5</v>
      </c>
      <c r="AZ981">
        <v>0</v>
      </c>
      <c r="BA981">
        <v>1</v>
      </c>
      <c r="BB981">
        <v>0</v>
      </c>
      <c r="BC981">
        <v>0</v>
      </c>
      <c r="BD981">
        <v>0</v>
      </c>
      <c r="BE981">
        <v>0</v>
      </c>
      <c r="BF981" s="18">
        <v>0</v>
      </c>
      <c r="BG981">
        <v>0</v>
      </c>
      <c r="BH981">
        <v>1</v>
      </c>
      <c r="BI981" s="18">
        <v>0</v>
      </c>
      <c r="BJ981">
        <v>942</v>
      </c>
      <c r="BK981">
        <v>131</v>
      </c>
      <c r="BL981" s="25">
        <v>35.57</v>
      </c>
      <c r="BM981">
        <v>0</v>
      </c>
      <c r="BN981">
        <v>0</v>
      </c>
      <c r="BO981">
        <v>1</v>
      </c>
      <c r="BP981">
        <v>0</v>
      </c>
      <c r="BQ981">
        <v>0</v>
      </c>
      <c r="BR981">
        <v>0</v>
      </c>
      <c r="BS981">
        <v>0</v>
      </c>
      <c r="BT981" s="18">
        <v>0</v>
      </c>
      <c r="BU981">
        <v>0</v>
      </c>
      <c r="BV981">
        <v>0</v>
      </c>
      <c r="BW981">
        <v>1</v>
      </c>
      <c r="BX981" s="18">
        <v>0</v>
      </c>
      <c r="BY981">
        <v>0</v>
      </c>
      <c r="BZ981">
        <v>0</v>
      </c>
      <c r="CA981">
        <v>0</v>
      </c>
      <c r="CB981">
        <v>0</v>
      </c>
      <c r="CC981" s="18">
        <v>0</v>
      </c>
      <c r="CD981">
        <v>1</v>
      </c>
      <c r="CE981">
        <v>1</v>
      </c>
      <c r="CF981">
        <v>0</v>
      </c>
      <c r="CG981">
        <v>0</v>
      </c>
      <c r="CH981">
        <v>1</v>
      </c>
      <c r="CI981">
        <v>1</v>
      </c>
      <c r="CJ981">
        <v>1</v>
      </c>
      <c r="CK981">
        <v>0</v>
      </c>
      <c r="CL981">
        <v>0</v>
      </c>
      <c r="CM981">
        <v>1</v>
      </c>
      <c r="CN981" s="18">
        <v>1</v>
      </c>
      <c r="CO981">
        <v>0.14599999999999999</v>
      </c>
      <c r="CP981">
        <v>149</v>
      </c>
      <c r="CQ981">
        <v>1</v>
      </c>
      <c r="CR981">
        <v>0</v>
      </c>
      <c r="CS981">
        <v>16</v>
      </c>
      <c r="CY981" s="34"/>
    </row>
    <row r="982" spans="1:103" x14ac:dyDescent="0.25">
      <c r="A982">
        <v>981</v>
      </c>
      <c r="B982">
        <v>68</v>
      </c>
      <c r="C982" s="25" t="s">
        <v>4001</v>
      </c>
      <c r="D982" s="12">
        <v>54</v>
      </c>
      <c r="E982" s="14">
        <v>111</v>
      </c>
      <c r="F982" s="7">
        <f t="shared" si="234"/>
        <v>0.48648648648648651</v>
      </c>
      <c r="G982" s="7">
        <f t="shared" si="236"/>
        <v>-57</v>
      </c>
      <c r="H982" s="16">
        <f t="shared" si="237"/>
        <v>165</v>
      </c>
      <c r="I982" s="11">
        <f t="shared" si="241"/>
        <v>5.6717021749372338E-3</v>
      </c>
      <c r="J982" s="33">
        <f t="shared" si="242"/>
        <v>1.1658498915148759E-2</v>
      </c>
      <c r="K982" s="33">
        <f t="shared" si="243"/>
        <v>85.774335725212893</v>
      </c>
      <c r="L982" s="8">
        <v>0</v>
      </c>
      <c r="M982" s="9">
        <v>1</v>
      </c>
      <c r="N982" s="8">
        <v>0</v>
      </c>
      <c r="O982" s="9">
        <v>0</v>
      </c>
      <c r="P982" s="9">
        <v>1</v>
      </c>
      <c r="Q982" s="9">
        <v>0</v>
      </c>
      <c r="R982" s="9">
        <v>0</v>
      </c>
      <c r="S982" s="8">
        <v>7380</v>
      </c>
      <c r="T982" s="9">
        <v>22</v>
      </c>
      <c r="U982" s="9">
        <f t="shared" si="238"/>
        <v>7357</v>
      </c>
      <c r="V982" s="9">
        <f t="shared" si="239"/>
        <v>20</v>
      </c>
      <c r="W982" s="7">
        <v>8.66</v>
      </c>
      <c r="X982" s="7">
        <f t="shared" si="235"/>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45"/>
        <v>0.5</v>
      </c>
      <c r="AS982" t="s">
        <v>98</v>
      </c>
      <c r="AT982" s="40" t="s">
        <v>98</v>
      </c>
      <c r="AU982">
        <v>0</v>
      </c>
      <c r="AV982" s="18">
        <v>1</v>
      </c>
      <c r="AW982">
        <v>0.73</v>
      </c>
      <c r="AX982" s="18">
        <f t="shared" si="246"/>
        <v>0.27</v>
      </c>
      <c r="AY982" s="18" t="s">
        <v>5</v>
      </c>
      <c r="AZ982">
        <v>0</v>
      </c>
      <c r="BA982">
        <v>1</v>
      </c>
      <c r="BB982">
        <v>0</v>
      </c>
      <c r="BC982">
        <v>0</v>
      </c>
      <c r="BD982">
        <v>0</v>
      </c>
      <c r="BE982">
        <v>0</v>
      </c>
      <c r="BF982" s="18">
        <v>0</v>
      </c>
      <c r="BG982">
        <v>0</v>
      </c>
      <c r="BH982">
        <v>1</v>
      </c>
      <c r="BI982" s="18">
        <v>0</v>
      </c>
      <c r="BJ982">
        <v>942</v>
      </c>
      <c r="BK982">
        <v>131</v>
      </c>
      <c r="BL982" s="25">
        <v>35.57</v>
      </c>
      <c r="BM982">
        <v>0</v>
      </c>
      <c r="BN982">
        <v>0</v>
      </c>
      <c r="BO982">
        <v>0</v>
      </c>
      <c r="BP982">
        <v>0</v>
      </c>
      <c r="BQ982">
        <v>1</v>
      </c>
      <c r="BR982">
        <v>0</v>
      </c>
      <c r="BS982">
        <v>0</v>
      </c>
      <c r="BT982" s="18">
        <v>0</v>
      </c>
      <c r="BU982">
        <v>0</v>
      </c>
      <c r="BV982">
        <v>0</v>
      </c>
      <c r="BW982">
        <v>1</v>
      </c>
      <c r="BX982" s="18">
        <v>0</v>
      </c>
      <c r="BY982">
        <v>0</v>
      </c>
      <c r="BZ982">
        <v>0</v>
      </c>
      <c r="CA982">
        <v>0</v>
      </c>
      <c r="CB982">
        <v>0</v>
      </c>
      <c r="CC982" s="18">
        <v>0</v>
      </c>
      <c r="CD982">
        <v>1</v>
      </c>
      <c r="CE982">
        <v>1</v>
      </c>
      <c r="CF982">
        <v>0</v>
      </c>
      <c r="CG982">
        <v>0</v>
      </c>
      <c r="CH982">
        <v>1</v>
      </c>
      <c r="CI982">
        <v>1</v>
      </c>
      <c r="CJ982">
        <v>1</v>
      </c>
      <c r="CK982">
        <v>0</v>
      </c>
      <c r="CL982">
        <v>0</v>
      </c>
      <c r="CM982">
        <v>1</v>
      </c>
      <c r="CN982" s="18">
        <v>1</v>
      </c>
      <c r="CO982">
        <v>0.14599999999999999</v>
      </c>
      <c r="CP982">
        <v>149</v>
      </c>
      <c r="CQ982">
        <v>1</v>
      </c>
      <c r="CR982">
        <v>0</v>
      </c>
      <c r="CS982">
        <v>16</v>
      </c>
      <c r="CY982" s="34"/>
    </row>
    <row r="983" spans="1:103" x14ac:dyDescent="0.25">
      <c r="A983">
        <v>982</v>
      </c>
      <c r="B983">
        <v>68</v>
      </c>
      <c r="C983" s="25" t="s">
        <v>4001</v>
      </c>
      <c r="D983" s="12">
        <v>1</v>
      </c>
      <c r="E983" s="14">
        <v>2</v>
      </c>
      <c r="F983" s="7">
        <f t="shared" si="234"/>
        <v>0.5</v>
      </c>
      <c r="G983" s="7">
        <f t="shared" si="236"/>
        <v>-1</v>
      </c>
      <c r="H983" s="16">
        <f t="shared" si="237"/>
        <v>3</v>
      </c>
      <c r="I983" s="11">
        <f t="shared" si="241"/>
        <v>8.0391982232139066E-3</v>
      </c>
      <c r="J983" s="33">
        <f t="shared" si="242"/>
        <v>1.6078396446427813E-2</v>
      </c>
      <c r="K983" s="33">
        <f t="shared" si="243"/>
        <v>62.195257053894395</v>
      </c>
      <c r="L983" s="8">
        <v>0</v>
      </c>
      <c r="M983" s="9">
        <v>1</v>
      </c>
      <c r="N983" s="8">
        <v>0</v>
      </c>
      <c r="O983" s="9">
        <v>0</v>
      </c>
      <c r="P983" s="9">
        <v>1</v>
      </c>
      <c r="Q983" s="9">
        <v>0</v>
      </c>
      <c r="R983" s="9">
        <v>0</v>
      </c>
      <c r="S983" s="8">
        <v>3891</v>
      </c>
      <c r="T983" s="9">
        <v>22</v>
      </c>
      <c r="U983" s="9">
        <f t="shared" si="238"/>
        <v>3868</v>
      </c>
      <c r="V983" s="9">
        <f t="shared" si="239"/>
        <v>20</v>
      </c>
      <c r="W983" s="7">
        <v>9.2799999999999994</v>
      </c>
      <c r="X983" s="7">
        <f t="shared" si="235"/>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45"/>
        <v>0.48</v>
      </c>
      <c r="AS983" t="s">
        <v>98</v>
      </c>
      <c r="AT983" s="40" t="s">
        <v>98</v>
      </c>
      <c r="AU983">
        <v>0</v>
      </c>
      <c r="AV983" s="18">
        <v>1</v>
      </c>
      <c r="AW983">
        <v>0.79</v>
      </c>
      <c r="AX983" s="18">
        <f t="shared" si="246"/>
        <v>0.20999999999999996</v>
      </c>
      <c r="AY983" s="18" t="s">
        <v>5</v>
      </c>
      <c r="AZ983">
        <v>0</v>
      </c>
      <c r="BA983">
        <v>1</v>
      </c>
      <c r="BB983">
        <v>0</v>
      </c>
      <c r="BC983">
        <v>0</v>
      </c>
      <c r="BD983">
        <v>0</v>
      </c>
      <c r="BE983">
        <v>0</v>
      </c>
      <c r="BF983" s="18">
        <v>0</v>
      </c>
      <c r="BG983">
        <v>0</v>
      </c>
      <c r="BH983">
        <v>1</v>
      </c>
      <c r="BI983" s="18">
        <v>0</v>
      </c>
      <c r="BJ983">
        <v>942</v>
      </c>
      <c r="BK983">
        <v>131</v>
      </c>
      <c r="BL983" s="25">
        <v>24.74</v>
      </c>
      <c r="BM983">
        <v>0</v>
      </c>
      <c r="BN983">
        <v>0</v>
      </c>
      <c r="BO983">
        <v>1</v>
      </c>
      <c r="BP983">
        <v>0</v>
      </c>
      <c r="BQ983">
        <v>0</v>
      </c>
      <c r="BR983">
        <v>0</v>
      </c>
      <c r="BS983">
        <v>0</v>
      </c>
      <c r="BT983" s="18">
        <v>0</v>
      </c>
      <c r="BU983">
        <v>0</v>
      </c>
      <c r="BV983">
        <v>0</v>
      </c>
      <c r="BW983">
        <v>1</v>
      </c>
      <c r="BX983" s="18">
        <v>0</v>
      </c>
      <c r="BY983">
        <v>0</v>
      </c>
      <c r="BZ983">
        <v>0</v>
      </c>
      <c r="CA983">
        <v>0</v>
      </c>
      <c r="CB983">
        <v>0</v>
      </c>
      <c r="CC983" s="18">
        <v>0</v>
      </c>
      <c r="CD983">
        <v>1</v>
      </c>
      <c r="CE983">
        <v>1</v>
      </c>
      <c r="CF983">
        <v>0</v>
      </c>
      <c r="CG983">
        <v>0</v>
      </c>
      <c r="CH983">
        <v>1</v>
      </c>
      <c r="CI983">
        <v>1</v>
      </c>
      <c r="CJ983">
        <v>1</v>
      </c>
      <c r="CK983">
        <v>0</v>
      </c>
      <c r="CL983">
        <v>0</v>
      </c>
      <c r="CM983">
        <v>1</v>
      </c>
      <c r="CN983" s="18">
        <v>1</v>
      </c>
      <c r="CO983">
        <v>0.14599999999999999</v>
      </c>
      <c r="CP983">
        <v>149</v>
      </c>
      <c r="CQ983">
        <v>1</v>
      </c>
      <c r="CR983">
        <v>0</v>
      </c>
      <c r="CS983">
        <v>16</v>
      </c>
      <c r="CY983" s="34"/>
    </row>
    <row r="984" spans="1:103" x14ac:dyDescent="0.25">
      <c r="A984">
        <v>983</v>
      </c>
      <c r="B984">
        <v>68</v>
      </c>
      <c r="C984" s="25" t="s">
        <v>4001</v>
      </c>
      <c r="D984" s="12">
        <v>4</v>
      </c>
      <c r="E984" s="14">
        <v>22</v>
      </c>
      <c r="F984" s="7">
        <f t="shared" si="234"/>
        <v>0.18181818181818182</v>
      </c>
      <c r="G984" s="7">
        <f t="shared" si="236"/>
        <v>-18</v>
      </c>
      <c r="H984" s="16">
        <f t="shared" si="237"/>
        <v>26</v>
      </c>
      <c r="I984" s="11">
        <f t="shared" si="241"/>
        <v>2.9234267865169308E-3</v>
      </c>
      <c r="J984" s="33">
        <f t="shared" si="242"/>
        <v>1.607884732584312E-2</v>
      </c>
      <c r="K984" s="33">
        <f t="shared" si="243"/>
        <v>62.193512988504196</v>
      </c>
      <c r="L984" s="8">
        <v>0</v>
      </c>
      <c r="M984" s="9">
        <v>1</v>
      </c>
      <c r="N984" s="8">
        <v>0</v>
      </c>
      <c r="O984" s="9">
        <v>0</v>
      </c>
      <c r="P984" s="9">
        <v>1</v>
      </c>
      <c r="Q984" s="9">
        <v>0</v>
      </c>
      <c r="R984" s="9">
        <v>0</v>
      </c>
      <c r="S984" s="8">
        <v>3891</v>
      </c>
      <c r="T984" s="9">
        <v>22</v>
      </c>
      <c r="U984" s="9">
        <f t="shared" si="238"/>
        <v>3868</v>
      </c>
      <c r="V984" s="9">
        <f t="shared" si="239"/>
        <v>20</v>
      </c>
      <c r="W984" s="7">
        <v>9.2799999999999994</v>
      </c>
      <c r="X984" s="7">
        <f t="shared" si="235"/>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45"/>
        <v>0.48</v>
      </c>
      <c r="AS984" t="s">
        <v>98</v>
      </c>
      <c r="AT984" s="40" t="s">
        <v>98</v>
      </c>
      <c r="AU984">
        <v>0</v>
      </c>
      <c r="AV984" s="18">
        <v>1</v>
      </c>
      <c r="AW984">
        <v>0.79</v>
      </c>
      <c r="AX984" s="18">
        <f t="shared" si="246"/>
        <v>0.20999999999999996</v>
      </c>
      <c r="AY984" s="18" t="s">
        <v>5</v>
      </c>
      <c r="AZ984">
        <v>0</v>
      </c>
      <c r="BA984">
        <v>1</v>
      </c>
      <c r="BB984">
        <v>0</v>
      </c>
      <c r="BC984">
        <v>0</v>
      </c>
      <c r="BD984">
        <v>0</v>
      </c>
      <c r="BE984">
        <v>0</v>
      </c>
      <c r="BF984" s="18">
        <v>0</v>
      </c>
      <c r="BG984">
        <v>0</v>
      </c>
      <c r="BH984">
        <v>1</v>
      </c>
      <c r="BI984" s="18">
        <v>0</v>
      </c>
      <c r="BJ984">
        <v>942</v>
      </c>
      <c r="BK984">
        <v>131</v>
      </c>
      <c r="BL984" s="25">
        <v>24.74</v>
      </c>
      <c r="BM984">
        <v>0</v>
      </c>
      <c r="BN984">
        <v>0</v>
      </c>
      <c r="BO984">
        <v>0</v>
      </c>
      <c r="BP984">
        <v>0</v>
      </c>
      <c r="BQ984">
        <v>1</v>
      </c>
      <c r="BR984">
        <v>0</v>
      </c>
      <c r="BS984">
        <v>0</v>
      </c>
      <c r="BT984" s="18">
        <v>0</v>
      </c>
      <c r="BU984">
        <v>0</v>
      </c>
      <c r="BV984">
        <v>0</v>
      </c>
      <c r="BW984">
        <v>1</v>
      </c>
      <c r="BX984" s="18">
        <v>0</v>
      </c>
      <c r="BY984">
        <v>0</v>
      </c>
      <c r="BZ984">
        <v>0</v>
      </c>
      <c r="CA984">
        <v>0</v>
      </c>
      <c r="CB984">
        <v>0</v>
      </c>
      <c r="CC984" s="18">
        <v>0</v>
      </c>
      <c r="CD984">
        <v>1</v>
      </c>
      <c r="CE984">
        <v>1</v>
      </c>
      <c r="CF984">
        <v>0</v>
      </c>
      <c r="CG984">
        <v>0</v>
      </c>
      <c r="CH984">
        <v>1</v>
      </c>
      <c r="CI984">
        <v>1</v>
      </c>
      <c r="CJ984">
        <v>1</v>
      </c>
      <c r="CK984">
        <v>0</v>
      </c>
      <c r="CL984">
        <v>0</v>
      </c>
      <c r="CM984">
        <v>1</v>
      </c>
      <c r="CN984" s="18">
        <v>1</v>
      </c>
      <c r="CO984">
        <v>0.14599999999999999</v>
      </c>
      <c r="CP984">
        <v>149</v>
      </c>
      <c r="CQ984">
        <v>1</v>
      </c>
      <c r="CR984">
        <v>0</v>
      </c>
      <c r="CS984">
        <v>16</v>
      </c>
      <c r="CY984" s="34"/>
    </row>
    <row r="985" spans="1:103" x14ac:dyDescent="0.25">
      <c r="A985">
        <v>984</v>
      </c>
      <c r="B985">
        <v>68</v>
      </c>
      <c r="C985" s="25" t="s">
        <v>4001</v>
      </c>
      <c r="D985" s="12">
        <v>9</v>
      </c>
      <c r="E985" s="14">
        <v>1</v>
      </c>
      <c r="F985" s="7">
        <f t="shared" si="234"/>
        <v>9</v>
      </c>
      <c r="G985" s="7">
        <f t="shared" si="236"/>
        <v>8</v>
      </c>
      <c r="H985" s="16">
        <f t="shared" si="237"/>
        <v>10</v>
      </c>
      <c r="I985" s="11">
        <f t="shared" si="241"/>
        <v>8.4556446044914232E-2</v>
      </c>
      <c r="J985" s="33">
        <f t="shared" si="242"/>
        <v>9.3951606716571358E-3</v>
      </c>
      <c r="K985" s="33">
        <f t="shared" si="243"/>
        <v>106.43777524920371</v>
      </c>
      <c r="L985" s="8">
        <v>0</v>
      </c>
      <c r="M985" s="9">
        <v>1</v>
      </c>
      <c r="N985" s="8">
        <v>0</v>
      </c>
      <c r="O985" s="9">
        <v>0</v>
      </c>
      <c r="P985" s="9">
        <v>1</v>
      </c>
      <c r="Q985" s="9">
        <v>0</v>
      </c>
      <c r="R985" s="9">
        <v>0</v>
      </c>
      <c r="S985" s="8">
        <v>11271</v>
      </c>
      <c r="T985" s="9">
        <v>22</v>
      </c>
      <c r="U985" s="9">
        <f t="shared" si="238"/>
        <v>11248</v>
      </c>
      <c r="V985" s="9">
        <f t="shared" si="239"/>
        <v>20</v>
      </c>
      <c r="W985" s="7">
        <v>8.4600000000000009</v>
      </c>
      <c r="X985" s="7">
        <f t="shared" si="235"/>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46"/>
        <v>0.25</v>
      </c>
      <c r="AY985" s="18" t="s">
        <v>5</v>
      </c>
      <c r="AZ985">
        <v>0</v>
      </c>
      <c r="BA985">
        <v>1</v>
      </c>
      <c r="BB985">
        <v>0</v>
      </c>
      <c r="BC985">
        <v>0</v>
      </c>
      <c r="BD985">
        <v>0</v>
      </c>
      <c r="BE985">
        <v>0</v>
      </c>
      <c r="BF985" s="18">
        <v>0</v>
      </c>
      <c r="BG985">
        <v>0</v>
      </c>
      <c r="BH985">
        <v>1</v>
      </c>
      <c r="BI985" s="18">
        <v>0</v>
      </c>
      <c r="BJ985">
        <v>942</v>
      </c>
      <c r="BK985">
        <v>131</v>
      </c>
      <c r="BL985" s="25">
        <v>32.119999999999997</v>
      </c>
      <c r="BM985">
        <v>1</v>
      </c>
      <c r="BN985">
        <v>0</v>
      </c>
      <c r="BO985">
        <v>0</v>
      </c>
      <c r="BP985">
        <v>0</v>
      </c>
      <c r="BQ985">
        <v>0</v>
      </c>
      <c r="BR985">
        <v>0</v>
      </c>
      <c r="BS985">
        <v>0</v>
      </c>
      <c r="BT985" s="18">
        <v>0</v>
      </c>
      <c r="BU985">
        <v>0</v>
      </c>
      <c r="BV985">
        <v>0</v>
      </c>
      <c r="BW985">
        <v>1</v>
      </c>
      <c r="BX985" s="18">
        <v>0</v>
      </c>
      <c r="BY985">
        <v>0</v>
      </c>
      <c r="BZ985">
        <v>0</v>
      </c>
      <c r="CA985">
        <v>0</v>
      </c>
      <c r="CB985">
        <v>0</v>
      </c>
      <c r="CC985" s="18">
        <v>0</v>
      </c>
      <c r="CD985">
        <v>1</v>
      </c>
      <c r="CE985">
        <v>1</v>
      </c>
      <c r="CF985">
        <v>0</v>
      </c>
      <c r="CG985">
        <v>0</v>
      </c>
      <c r="CH985">
        <v>1</v>
      </c>
      <c r="CI985">
        <v>1</v>
      </c>
      <c r="CJ985">
        <v>1</v>
      </c>
      <c r="CK985">
        <v>0</v>
      </c>
      <c r="CL985">
        <v>0</v>
      </c>
      <c r="CM985">
        <v>1</v>
      </c>
      <c r="CN985" s="18">
        <v>1</v>
      </c>
      <c r="CO985">
        <v>0.14599999999999999</v>
      </c>
      <c r="CP985">
        <v>149</v>
      </c>
      <c r="CQ985">
        <v>1</v>
      </c>
      <c r="CR985">
        <v>0</v>
      </c>
      <c r="CS985">
        <v>16</v>
      </c>
      <c r="CY985" s="34"/>
    </row>
    <row r="986" spans="1:103" x14ac:dyDescent="0.25">
      <c r="A986">
        <v>985</v>
      </c>
      <c r="B986">
        <v>68</v>
      </c>
      <c r="C986" s="25" t="s">
        <v>4001</v>
      </c>
      <c r="D986" s="12">
        <v>9</v>
      </c>
      <c r="E986" s="14">
        <v>1</v>
      </c>
      <c r="F986" s="7">
        <f t="shared" si="234"/>
        <v>9</v>
      </c>
      <c r="G986" s="7">
        <f t="shared" si="236"/>
        <v>8</v>
      </c>
      <c r="H986" s="16">
        <f t="shared" si="237"/>
        <v>10</v>
      </c>
      <c r="I986" s="11">
        <f t="shared" si="241"/>
        <v>8.4556446044914232E-2</v>
      </c>
      <c r="J986" s="33">
        <f t="shared" si="242"/>
        <v>9.3951606716571358E-3</v>
      </c>
      <c r="K986" s="33">
        <f t="shared" si="243"/>
        <v>106.43777524920371</v>
      </c>
      <c r="L986" s="8">
        <v>0</v>
      </c>
      <c r="M986" s="9">
        <v>1</v>
      </c>
      <c r="N986" s="8">
        <v>0</v>
      </c>
      <c r="O986" s="9">
        <v>0</v>
      </c>
      <c r="P986" s="9">
        <v>1</v>
      </c>
      <c r="Q986" s="9">
        <v>0</v>
      </c>
      <c r="R986" s="9">
        <v>0</v>
      </c>
      <c r="S986" s="8">
        <v>11271</v>
      </c>
      <c r="T986" s="9">
        <v>22</v>
      </c>
      <c r="U986" s="9">
        <f t="shared" si="238"/>
        <v>11248</v>
      </c>
      <c r="V986" s="9">
        <f t="shared" si="239"/>
        <v>20</v>
      </c>
      <c r="W986" s="7">
        <v>9.2899999999999991</v>
      </c>
      <c r="X986" s="7">
        <f t="shared" si="235"/>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46"/>
        <v>0.25</v>
      </c>
      <c r="AY986" s="18" t="s">
        <v>5</v>
      </c>
      <c r="AZ986">
        <v>0</v>
      </c>
      <c r="BA986">
        <v>1</v>
      </c>
      <c r="BB986">
        <v>0</v>
      </c>
      <c r="BC986">
        <v>0</v>
      </c>
      <c r="BD986">
        <v>0</v>
      </c>
      <c r="BE986">
        <v>0</v>
      </c>
      <c r="BF986" s="18">
        <v>0</v>
      </c>
      <c r="BG986">
        <v>0</v>
      </c>
      <c r="BH986">
        <v>1</v>
      </c>
      <c r="BI986" s="18">
        <v>0</v>
      </c>
      <c r="BJ986">
        <v>942</v>
      </c>
      <c r="BK986">
        <v>131</v>
      </c>
      <c r="BL986" s="25">
        <v>31.54</v>
      </c>
      <c r="BM986">
        <v>0</v>
      </c>
      <c r="BN986">
        <v>0</v>
      </c>
      <c r="BO986">
        <v>0</v>
      </c>
      <c r="BP986">
        <v>0</v>
      </c>
      <c r="BQ986">
        <v>1</v>
      </c>
      <c r="BR986">
        <v>0</v>
      </c>
      <c r="BS986">
        <v>0</v>
      </c>
      <c r="BT986" s="18">
        <v>0</v>
      </c>
      <c r="BU986">
        <v>0</v>
      </c>
      <c r="BV986">
        <v>0</v>
      </c>
      <c r="BW986">
        <v>1</v>
      </c>
      <c r="BX986" s="18">
        <v>0</v>
      </c>
      <c r="BY986">
        <v>0</v>
      </c>
      <c r="BZ986">
        <v>0</v>
      </c>
      <c r="CA986">
        <v>0</v>
      </c>
      <c r="CB986">
        <v>0</v>
      </c>
      <c r="CC986" s="18">
        <v>0</v>
      </c>
      <c r="CD986">
        <v>1</v>
      </c>
      <c r="CE986">
        <v>1</v>
      </c>
      <c r="CF986">
        <v>0</v>
      </c>
      <c r="CG986">
        <v>0</v>
      </c>
      <c r="CH986">
        <v>1</v>
      </c>
      <c r="CI986">
        <v>1</v>
      </c>
      <c r="CJ986">
        <v>1</v>
      </c>
      <c r="CK986">
        <v>0</v>
      </c>
      <c r="CL986">
        <v>0</v>
      </c>
      <c r="CM986">
        <v>1</v>
      </c>
      <c r="CN986" s="18">
        <v>1</v>
      </c>
      <c r="CO986">
        <v>0.14599999999999999</v>
      </c>
      <c r="CP986">
        <v>149</v>
      </c>
      <c r="CQ986">
        <v>1</v>
      </c>
      <c r="CR986">
        <v>0</v>
      </c>
      <c r="CS986">
        <v>16</v>
      </c>
      <c r="CY986" s="34"/>
    </row>
    <row r="987" spans="1:103" x14ac:dyDescent="0.25">
      <c r="A987">
        <v>986</v>
      </c>
      <c r="B987">
        <v>68</v>
      </c>
      <c r="C987" s="25" t="s">
        <v>4001</v>
      </c>
      <c r="D987" s="12">
        <v>9</v>
      </c>
      <c r="E987" s="14">
        <v>1</v>
      </c>
      <c r="F987" s="7">
        <f t="shared" si="234"/>
        <v>9</v>
      </c>
      <c r="G987" s="7">
        <f t="shared" si="236"/>
        <v>8</v>
      </c>
      <c r="H987" s="16">
        <f t="shared" si="237"/>
        <v>10</v>
      </c>
      <c r="I987" s="11">
        <f t="shared" si="241"/>
        <v>8.4556446044914232E-2</v>
      </c>
      <c r="J987" s="33">
        <f t="shared" si="242"/>
        <v>9.3951606716571358E-3</v>
      </c>
      <c r="K987" s="33">
        <f t="shared" si="243"/>
        <v>106.43777524920371</v>
      </c>
      <c r="L987" s="8">
        <v>0</v>
      </c>
      <c r="M987" s="9">
        <v>1</v>
      </c>
      <c r="N987" s="8">
        <v>0</v>
      </c>
      <c r="O987" s="9">
        <v>0</v>
      </c>
      <c r="P987" s="9">
        <v>1</v>
      </c>
      <c r="Q987" s="9">
        <v>0</v>
      </c>
      <c r="R987" s="9">
        <v>0</v>
      </c>
      <c r="S987" s="8">
        <v>11271</v>
      </c>
      <c r="T987" s="9">
        <v>22</v>
      </c>
      <c r="U987" s="9">
        <f t="shared" si="238"/>
        <v>11248</v>
      </c>
      <c r="V987" s="9">
        <f t="shared" si="239"/>
        <v>20</v>
      </c>
      <c r="W987" s="7">
        <v>8.14</v>
      </c>
      <c r="X987" s="7">
        <f t="shared" si="235"/>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v>0</v>
      </c>
      <c r="BF987" s="18">
        <v>0</v>
      </c>
      <c r="BG987">
        <v>0</v>
      </c>
      <c r="BH987">
        <v>1</v>
      </c>
      <c r="BI987" s="18">
        <v>0</v>
      </c>
      <c r="BJ987">
        <v>942</v>
      </c>
      <c r="BK987">
        <v>131</v>
      </c>
      <c r="BL987" s="25">
        <v>31.36</v>
      </c>
      <c r="BM987">
        <v>1</v>
      </c>
      <c r="BN987">
        <v>0</v>
      </c>
      <c r="BO987">
        <v>0</v>
      </c>
      <c r="BP987">
        <v>0</v>
      </c>
      <c r="BQ987">
        <v>0</v>
      </c>
      <c r="BR987">
        <v>0</v>
      </c>
      <c r="BS987">
        <v>0</v>
      </c>
      <c r="BT987" s="18">
        <v>0</v>
      </c>
      <c r="BU987">
        <v>0</v>
      </c>
      <c r="BV987">
        <v>0</v>
      </c>
      <c r="BW987">
        <v>1</v>
      </c>
      <c r="BX987" s="18">
        <v>0</v>
      </c>
      <c r="BY987">
        <v>0</v>
      </c>
      <c r="BZ987">
        <v>0</v>
      </c>
      <c r="CA987">
        <v>0</v>
      </c>
      <c r="CB987">
        <v>0</v>
      </c>
      <c r="CC987" s="18">
        <v>0</v>
      </c>
      <c r="CD987">
        <v>1</v>
      </c>
      <c r="CE987">
        <v>1</v>
      </c>
      <c r="CF987">
        <v>0</v>
      </c>
      <c r="CG987">
        <v>0</v>
      </c>
      <c r="CH987">
        <v>1</v>
      </c>
      <c r="CI987">
        <v>1</v>
      </c>
      <c r="CJ987">
        <v>1</v>
      </c>
      <c r="CK987">
        <v>0</v>
      </c>
      <c r="CL987">
        <v>0</v>
      </c>
      <c r="CM987">
        <v>1</v>
      </c>
      <c r="CN987" s="18">
        <v>1</v>
      </c>
      <c r="CO987">
        <v>0.14599999999999999</v>
      </c>
      <c r="CP987">
        <v>149</v>
      </c>
      <c r="CQ987">
        <v>1</v>
      </c>
      <c r="CR987">
        <v>0</v>
      </c>
      <c r="CS987">
        <v>16</v>
      </c>
      <c r="CY987" s="34"/>
    </row>
    <row r="988" spans="1:103" x14ac:dyDescent="0.25">
      <c r="A988">
        <v>987</v>
      </c>
      <c r="B988">
        <v>68</v>
      </c>
      <c r="C988" s="25" t="s">
        <v>4001</v>
      </c>
      <c r="D988" s="12">
        <v>8</v>
      </c>
      <c r="E988" s="14">
        <v>1</v>
      </c>
      <c r="F988" s="7">
        <f t="shared" si="234"/>
        <v>8</v>
      </c>
      <c r="G988" s="7">
        <f t="shared" si="236"/>
        <v>7</v>
      </c>
      <c r="H988" s="16">
        <f t="shared" si="237"/>
        <v>9</v>
      </c>
      <c r="I988" s="11">
        <f t="shared" si="241"/>
        <v>7.5217741444460154E-2</v>
      </c>
      <c r="J988" s="33">
        <f t="shared" si="242"/>
        <v>9.4022176805575192E-3</v>
      </c>
      <c r="K988" s="33">
        <f t="shared" si="243"/>
        <v>106.35788640246663</v>
      </c>
      <c r="L988" s="8">
        <v>0</v>
      </c>
      <c r="M988" s="9">
        <v>1</v>
      </c>
      <c r="N988" s="8">
        <v>0</v>
      </c>
      <c r="O988" s="9">
        <v>0</v>
      </c>
      <c r="P988" s="9">
        <v>1</v>
      </c>
      <c r="Q988" s="9">
        <v>0</v>
      </c>
      <c r="R988" s="9">
        <v>0</v>
      </c>
      <c r="S988" s="8">
        <v>11271</v>
      </c>
      <c r="T988" s="9">
        <v>22</v>
      </c>
      <c r="U988" s="9">
        <f t="shared" si="238"/>
        <v>11248</v>
      </c>
      <c r="V988" s="9">
        <f t="shared" si="239"/>
        <v>20</v>
      </c>
      <c r="W988" s="7">
        <v>11.09</v>
      </c>
      <c r="X988" s="7">
        <f t="shared" si="235"/>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v>0</v>
      </c>
      <c r="BF988" s="18">
        <v>0</v>
      </c>
      <c r="BG988">
        <v>0</v>
      </c>
      <c r="BH988">
        <v>1</v>
      </c>
      <c r="BI988" s="18">
        <v>0</v>
      </c>
      <c r="BJ988">
        <v>942</v>
      </c>
      <c r="BK988">
        <v>131</v>
      </c>
      <c r="BL988" s="25">
        <v>33.229999999999997</v>
      </c>
      <c r="BM988">
        <v>0</v>
      </c>
      <c r="BN988">
        <v>0</v>
      </c>
      <c r="BO988">
        <v>0</v>
      </c>
      <c r="BP988">
        <v>0</v>
      </c>
      <c r="BQ988">
        <v>1</v>
      </c>
      <c r="BR988">
        <v>0</v>
      </c>
      <c r="BS988">
        <v>0</v>
      </c>
      <c r="BT988" s="18">
        <v>0</v>
      </c>
      <c r="BU988">
        <v>0</v>
      </c>
      <c r="BV988">
        <v>0</v>
      </c>
      <c r="BW988">
        <v>1</v>
      </c>
      <c r="BX988" s="18">
        <v>0</v>
      </c>
      <c r="BY988">
        <v>0</v>
      </c>
      <c r="BZ988">
        <v>0</v>
      </c>
      <c r="CA988">
        <v>0</v>
      </c>
      <c r="CB988">
        <v>0</v>
      </c>
      <c r="CC988" s="18">
        <v>0</v>
      </c>
      <c r="CD988">
        <v>1</v>
      </c>
      <c r="CE988">
        <v>1</v>
      </c>
      <c r="CF988">
        <v>0</v>
      </c>
      <c r="CG988">
        <v>0</v>
      </c>
      <c r="CH988">
        <v>1</v>
      </c>
      <c r="CI988">
        <v>1</v>
      </c>
      <c r="CJ988">
        <v>1</v>
      </c>
      <c r="CK988">
        <v>0</v>
      </c>
      <c r="CL988">
        <v>0</v>
      </c>
      <c r="CM988">
        <v>1</v>
      </c>
      <c r="CN988" s="18">
        <v>1</v>
      </c>
      <c r="CO988">
        <v>0.14599999999999999</v>
      </c>
      <c r="CP988">
        <v>149</v>
      </c>
      <c r="CQ988">
        <v>1</v>
      </c>
      <c r="CR988">
        <v>0</v>
      </c>
      <c r="CS988">
        <v>16</v>
      </c>
      <c r="CY988" s="34"/>
    </row>
    <row r="989" spans="1:103" x14ac:dyDescent="0.25">
      <c r="A989">
        <v>988</v>
      </c>
      <c r="B989">
        <v>68</v>
      </c>
      <c r="C989" s="25" t="s">
        <v>4001</v>
      </c>
      <c r="D989" s="12">
        <v>9</v>
      </c>
      <c r="E989" s="14">
        <v>1</v>
      </c>
      <c r="F989" s="7">
        <f t="shared" si="234"/>
        <v>9</v>
      </c>
      <c r="G989" s="7">
        <f t="shared" si="236"/>
        <v>8</v>
      </c>
      <c r="H989" s="16">
        <f t="shared" si="237"/>
        <v>10</v>
      </c>
      <c r="I989" s="11">
        <f t="shared" si="241"/>
        <v>8.4556446044914232E-2</v>
      </c>
      <c r="J989" s="33">
        <f t="shared" si="242"/>
        <v>9.3951606716571358E-3</v>
      </c>
      <c r="K989" s="33">
        <f t="shared" si="243"/>
        <v>106.43777524920371</v>
      </c>
      <c r="L989" s="8">
        <v>0</v>
      </c>
      <c r="M989" s="9">
        <v>1</v>
      </c>
      <c r="N989" s="8">
        <v>0</v>
      </c>
      <c r="O989" s="9">
        <v>0</v>
      </c>
      <c r="P989" s="9">
        <v>1</v>
      </c>
      <c r="Q989" s="9">
        <v>0</v>
      </c>
      <c r="R989" s="9">
        <v>0</v>
      </c>
      <c r="S989" s="8">
        <v>11271</v>
      </c>
      <c r="T989" s="9">
        <v>22</v>
      </c>
      <c r="U989" s="9">
        <f t="shared" si="238"/>
        <v>11248</v>
      </c>
      <c r="V989" s="9">
        <f t="shared" si="239"/>
        <v>20</v>
      </c>
      <c r="W989" s="7">
        <v>8.73</v>
      </c>
      <c r="X989" s="7">
        <f t="shared" si="235"/>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v>0</v>
      </c>
      <c r="BF989" s="18">
        <v>0</v>
      </c>
      <c r="BG989">
        <v>0</v>
      </c>
      <c r="BH989">
        <v>1</v>
      </c>
      <c r="BI989" s="18">
        <v>0</v>
      </c>
      <c r="BJ989">
        <v>942</v>
      </c>
      <c r="BK989">
        <v>131</v>
      </c>
      <c r="BL989" s="25">
        <v>31.45</v>
      </c>
      <c r="BM989">
        <v>1</v>
      </c>
      <c r="BN989">
        <v>0</v>
      </c>
      <c r="BO989">
        <v>0</v>
      </c>
      <c r="BP989">
        <v>0</v>
      </c>
      <c r="BQ989">
        <v>0</v>
      </c>
      <c r="BR989">
        <v>0</v>
      </c>
      <c r="BS989">
        <v>0</v>
      </c>
      <c r="BT989" s="18">
        <v>0</v>
      </c>
      <c r="BU989">
        <v>0</v>
      </c>
      <c r="BV989">
        <v>0</v>
      </c>
      <c r="BW989">
        <v>1</v>
      </c>
      <c r="BX989" s="18">
        <v>0</v>
      </c>
      <c r="BY989">
        <v>0</v>
      </c>
      <c r="BZ989">
        <v>0</v>
      </c>
      <c r="CA989">
        <v>0</v>
      </c>
      <c r="CB989">
        <v>0</v>
      </c>
      <c r="CC989" s="18">
        <v>0</v>
      </c>
      <c r="CD989">
        <v>1</v>
      </c>
      <c r="CE989">
        <v>1</v>
      </c>
      <c r="CF989">
        <v>0</v>
      </c>
      <c r="CG989">
        <v>0</v>
      </c>
      <c r="CH989">
        <v>1</v>
      </c>
      <c r="CI989">
        <v>1</v>
      </c>
      <c r="CJ989">
        <v>1</v>
      </c>
      <c r="CK989">
        <v>0</v>
      </c>
      <c r="CL989">
        <v>0</v>
      </c>
      <c r="CM989">
        <v>1</v>
      </c>
      <c r="CN989" s="18">
        <v>1</v>
      </c>
      <c r="CO989">
        <v>0.14599999999999999</v>
      </c>
      <c r="CP989">
        <v>149</v>
      </c>
      <c r="CQ989">
        <v>1</v>
      </c>
      <c r="CR989">
        <v>0</v>
      </c>
      <c r="CS989">
        <v>16</v>
      </c>
      <c r="CY989" s="34"/>
    </row>
    <row r="990" spans="1:103" x14ac:dyDescent="0.25">
      <c r="A990">
        <v>989</v>
      </c>
      <c r="B990">
        <v>68</v>
      </c>
      <c r="C990" s="25" t="s">
        <v>4001</v>
      </c>
      <c r="D990" s="12">
        <v>9</v>
      </c>
      <c r="E990" s="14">
        <v>1</v>
      </c>
      <c r="F990" s="7">
        <f t="shared" si="234"/>
        <v>9</v>
      </c>
      <c r="G990" s="7">
        <f t="shared" si="236"/>
        <v>8</v>
      </c>
      <c r="H990" s="16">
        <f t="shared" si="237"/>
        <v>10</v>
      </c>
      <c r="I990" s="11">
        <f t="shared" si="241"/>
        <v>8.4556446044914232E-2</v>
      </c>
      <c r="J990" s="33">
        <f t="shared" si="242"/>
        <v>9.3951606716571358E-3</v>
      </c>
      <c r="K990" s="33">
        <f t="shared" si="243"/>
        <v>106.43777524920371</v>
      </c>
      <c r="L990" s="8">
        <v>0</v>
      </c>
      <c r="M990" s="9">
        <v>1</v>
      </c>
      <c r="N990" s="8">
        <v>0</v>
      </c>
      <c r="O990" s="9">
        <v>0</v>
      </c>
      <c r="P990" s="9">
        <v>1</v>
      </c>
      <c r="Q990" s="9">
        <v>0</v>
      </c>
      <c r="R990" s="9">
        <v>0</v>
      </c>
      <c r="S990" s="8">
        <v>11271</v>
      </c>
      <c r="T990" s="9">
        <v>22</v>
      </c>
      <c r="U990" s="9">
        <f t="shared" si="238"/>
        <v>11248</v>
      </c>
      <c r="V990" s="9">
        <f t="shared" si="239"/>
        <v>20</v>
      </c>
      <c r="W990" s="7">
        <v>9.24</v>
      </c>
      <c r="X990" s="7">
        <f t="shared" si="235"/>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v>0</v>
      </c>
      <c r="BF990" s="18">
        <v>0</v>
      </c>
      <c r="BG990">
        <v>0</v>
      </c>
      <c r="BH990">
        <v>1</v>
      </c>
      <c r="BI990" s="18">
        <v>0</v>
      </c>
      <c r="BJ990">
        <v>942</v>
      </c>
      <c r="BK990">
        <v>131</v>
      </c>
      <c r="BL990" s="25">
        <v>32.74</v>
      </c>
      <c r="BM990">
        <v>0</v>
      </c>
      <c r="BN990">
        <v>0</v>
      </c>
      <c r="BO990">
        <v>0</v>
      </c>
      <c r="BP990">
        <v>0</v>
      </c>
      <c r="BQ990">
        <v>1</v>
      </c>
      <c r="BR990">
        <v>0</v>
      </c>
      <c r="BS990">
        <v>0</v>
      </c>
      <c r="BT990" s="18">
        <v>0</v>
      </c>
      <c r="BU990">
        <v>0</v>
      </c>
      <c r="BV990">
        <v>0</v>
      </c>
      <c r="BW990">
        <v>1</v>
      </c>
      <c r="BX990" s="18">
        <v>0</v>
      </c>
      <c r="BY990">
        <v>0</v>
      </c>
      <c r="BZ990">
        <v>0</v>
      </c>
      <c r="CA990">
        <v>0</v>
      </c>
      <c r="CB990">
        <v>0</v>
      </c>
      <c r="CC990" s="18">
        <v>0</v>
      </c>
      <c r="CD990">
        <v>1</v>
      </c>
      <c r="CE990">
        <v>1</v>
      </c>
      <c r="CF990">
        <v>0</v>
      </c>
      <c r="CG990">
        <v>0</v>
      </c>
      <c r="CH990">
        <v>1</v>
      </c>
      <c r="CI990">
        <v>1</v>
      </c>
      <c r="CJ990">
        <v>1</v>
      </c>
      <c r="CK990">
        <v>0</v>
      </c>
      <c r="CL990">
        <v>0</v>
      </c>
      <c r="CM990">
        <v>1</v>
      </c>
      <c r="CN990" s="18">
        <v>1</v>
      </c>
      <c r="CO990">
        <v>0.14599999999999999</v>
      </c>
      <c r="CP990">
        <v>149</v>
      </c>
      <c r="CQ990">
        <v>1</v>
      </c>
      <c r="CR990">
        <v>0</v>
      </c>
      <c r="CS990">
        <v>16</v>
      </c>
      <c r="CY990" s="34"/>
    </row>
    <row r="991" spans="1:103" x14ac:dyDescent="0.25">
      <c r="A991">
        <v>990</v>
      </c>
      <c r="B991">
        <v>68</v>
      </c>
      <c r="C991" s="25" t="s">
        <v>4001</v>
      </c>
      <c r="D991" s="12">
        <v>10</v>
      </c>
      <c r="E991" s="14">
        <v>5</v>
      </c>
      <c r="F991" s="7">
        <f t="shared" si="234"/>
        <v>2</v>
      </c>
      <c r="G991" s="7">
        <f t="shared" si="236"/>
        <v>5</v>
      </c>
      <c r="H991" s="16">
        <f t="shared" si="237"/>
        <v>15</v>
      </c>
      <c r="I991" s="11">
        <f t="shared" si="241"/>
        <v>1.8854504950126014E-2</v>
      </c>
      <c r="J991" s="33">
        <f t="shared" si="242"/>
        <v>9.4272524750630068E-3</v>
      </c>
      <c r="K991" s="33">
        <f t="shared" si="243"/>
        <v>106.07544484940895</v>
      </c>
      <c r="L991" s="8">
        <v>0</v>
      </c>
      <c r="M991" s="9">
        <v>1</v>
      </c>
      <c r="N991" s="8">
        <v>0</v>
      </c>
      <c r="O991" s="9">
        <v>0</v>
      </c>
      <c r="P991" s="9">
        <v>1</v>
      </c>
      <c r="Q991" s="9">
        <v>0</v>
      </c>
      <c r="R991" s="9">
        <v>0</v>
      </c>
      <c r="S991" s="8">
        <v>11271</v>
      </c>
      <c r="T991" s="9">
        <v>22</v>
      </c>
      <c r="U991" s="9">
        <f t="shared" si="238"/>
        <v>11248</v>
      </c>
      <c r="V991" s="9">
        <f t="shared" si="239"/>
        <v>20</v>
      </c>
      <c r="W991" s="7">
        <v>8.4600000000000009</v>
      </c>
      <c r="X991" s="7">
        <f t="shared" si="235"/>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v>0</v>
      </c>
      <c r="BF991" s="18">
        <v>0</v>
      </c>
      <c r="BG991">
        <v>0</v>
      </c>
      <c r="BH991">
        <v>1</v>
      </c>
      <c r="BI991" s="18">
        <v>0</v>
      </c>
      <c r="BJ991">
        <v>942</v>
      </c>
      <c r="BK991">
        <v>131</v>
      </c>
      <c r="BL991" s="25">
        <v>32.119999999999997</v>
      </c>
      <c r="BM991">
        <v>1</v>
      </c>
      <c r="BN991">
        <v>0</v>
      </c>
      <c r="BO991">
        <v>0</v>
      </c>
      <c r="BP991">
        <v>0</v>
      </c>
      <c r="BQ991">
        <v>0</v>
      </c>
      <c r="BR991">
        <v>0</v>
      </c>
      <c r="BS991">
        <v>0</v>
      </c>
      <c r="BT991" s="18">
        <v>0</v>
      </c>
      <c r="BU991">
        <v>0</v>
      </c>
      <c r="BV991">
        <v>0</v>
      </c>
      <c r="BW991">
        <v>1</v>
      </c>
      <c r="BX991" s="18">
        <v>0</v>
      </c>
      <c r="BY991">
        <v>0</v>
      </c>
      <c r="BZ991">
        <v>0</v>
      </c>
      <c r="CA991">
        <v>0</v>
      </c>
      <c r="CB991">
        <v>0</v>
      </c>
      <c r="CC991" s="18">
        <v>0</v>
      </c>
      <c r="CD991">
        <v>1</v>
      </c>
      <c r="CE991">
        <v>1</v>
      </c>
      <c r="CF991">
        <v>0</v>
      </c>
      <c r="CG991">
        <v>0</v>
      </c>
      <c r="CH991">
        <v>1</v>
      </c>
      <c r="CI991">
        <v>1</v>
      </c>
      <c r="CJ991">
        <v>1</v>
      </c>
      <c r="CK991">
        <v>0</v>
      </c>
      <c r="CL991">
        <v>0</v>
      </c>
      <c r="CM991">
        <v>1</v>
      </c>
      <c r="CN991" s="18">
        <v>1</v>
      </c>
      <c r="CO991">
        <v>0.14599999999999999</v>
      </c>
      <c r="CP991">
        <v>149</v>
      </c>
      <c r="CQ991">
        <v>1</v>
      </c>
      <c r="CR991">
        <v>0</v>
      </c>
      <c r="CS991">
        <v>16</v>
      </c>
      <c r="CY991" s="34"/>
    </row>
    <row r="992" spans="1:103" x14ac:dyDescent="0.25">
      <c r="A992">
        <v>991</v>
      </c>
      <c r="B992">
        <v>68</v>
      </c>
      <c r="C992" s="25" t="s">
        <v>4001</v>
      </c>
      <c r="D992" s="12">
        <v>51</v>
      </c>
      <c r="E992" s="14">
        <v>23</v>
      </c>
      <c r="F992" s="7">
        <f t="shared" si="234"/>
        <v>2.2173913043478262</v>
      </c>
      <c r="G992" s="7">
        <f t="shared" si="236"/>
        <v>28</v>
      </c>
      <c r="H992" s="16">
        <f t="shared" si="237"/>
        <v>74</v>
      </c>
      <c r="I992" s="11">
        <f t="shared" si="241"/>
        <v>2.090305607850099E-2</v>
      </c>
      <c r="J992" s="33">
        <f t="shared" si="242"/>
        <v>9.4268684275592707E-3</v>
      </c>
      <c r="K992" s="33">
        <f t="shared" si="243"/>
        <v>106.07976632796942</v>
      </c>
      <c r="L992" s="8">
        <v>0</v>
      </c>
      <c r="M992" s="9">
        <v>1</v>
      </c>
      <c r="N992" s="8">
        <v>0</v>
      </c>
      <c r="O992" s="9">
        <v>0</v>
      </c>
      <c r="P992" s="9">
        <v>1</v>
      </c>
      <c r="Q992" s="9">
        <v>0</v>
      </c>
      <c r="R992" s="9">
        <v>0</v>
      </c>
      <c r="S992" s="8">
        <v>11271</v>
      </c>
      <c r="T992" s="9">
        <v>22</v>
      </c>
      <c r="U992" s="9">
        <f t="shared" si="238"/>
        <v>11248</v>
      </c>
      <c r="V992" s="9">
        <f t="shared" si="239"/>
        <v>20</v>
      </c>
      <c r="W992" s="7">
        <v>9.2899999999999991</v>
      </c>
      <c r="X992" s="7">
        <f t="shared" si="235"/>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v>0</v>
      </c>
      <c r="BF992" s="18">
        <v>0</v>
      </c>
      <c r="BG992">
        <v>0</v>
      </c>
      <c r="BH992">
        <v>1</v>
      </c>
      <c r="BI992" s="18">
        <v>0</v>
      </c>
      <c r="BJ992">
        <v>942</v>
      </c>
      <c r="BK992">
        <v>131</v>
      </c>
      <c r="BL992" s="25">
        <v>31.54</v>
      </c>
      <c r="BM992">
        <v>0</v>
      </c>
      <c r="BN992">
        <v>0</v>
      </c>
      <c r="BO992">
        <v>0</v>
      </c>
      <c r="BP992">
        <v>0</v>
      </c>
      <c r="BQ992">
        <v>1</v>
      </c>
      <c r="BR992">
        <v>0</v>
      </c>
      <c r="BS992">
        <v>0</v>
      </c>
      <c r="BT992" s="18">
        <v>0</v>
      </c>
      <c r="BU992">
        <v>0</v>
      </c>
      <c r="BV992">
        <v>0</v>
      </c>
      <c r="BW992">
        <v>1</v>
      </c>
      <c r="BX992" s="18">
        <v>0</v>
      </c>
      <c r="BY992">
        <v>0</v>
      </c>
      <c r="BZ992">
        <v>0</v>
      </c>
      <c r="CA992">
        <v>0</v>
      </c>
      <c r="CB992">
        <v>0</v>
      </c>
      <c r="CC992" s="18">
        <v>0</v>
      </c>
      <c r="CD992">
        <v>1</v>
      </c>
      <c r="CE992">
        <v>1</v>
      </c>
      <c r="CF992">
        <v>0</v>
      </c>
      <c r="CG992">
        <v>0</v>
      </c>
      <c r="CH992">
        <v>1</v>
      </c>
      <c r="CI992">
        <v>1</v>
      </c>
      <c r="CJ992">
        <v>1</v>
      </c>
      <c r="CK992">
        <v>0</v>
      </c>
      <c r="CL992">
        <v>0</v>
      </c>
      <c r="CM992">
        <v>1</v>
      </c>
      <c r="CN992" s="18">
        <v>1</v>
      </c>
      <c r="CO992">
        <v>0.14599999999999999</v>
      </c>
      <c r="CP992">
        <v>149</v>
      </c>
      <c r="CQ992">
        <v>1</v>
      </c>
      <c r="CR992">
        <v>0</v>
      </c>
      <c r="CS992">
        <v>16</v>
      </c>
      <c r="CY992" s="34"/>
    </row>
    <row r="993" spans="1:103" x14ac:dyDescent="0.25">
      <c r="A993">
        <v>992</v>
      </c>
      <c r="B993">
        <v>68</v>
      </c>
      <c r="C993" s="25" t="s">
        <v>4001</v>
      </c>
      <c r="D993" s="12">
        <v>18</v>
      </c>
      <c r="E993" s="14">
        <v>7</v>
      </c>
      <c r="F993" s="7">
        <f t="shared" si="234"/>
        <v>2.5714285714285716</v>
      </c>
      <c r="G993" s="7">
        <f t="shared" si="236"/>
        <v>11</v>
      </c>
      <c r="H993" s="16">
        <f t="shared" si="237"/>
        <v>25</v>
      </c>
      <c r="I993" s="11">
        <f t="shared" si="241"/>
        <v>2.4238692921174167E-2</v>
      </c>
      <c r="J993" s="33">
        <f t="shared" si="242"/>
        <v>9.4261583582343975E-3</v>
      </c>
      <c r="K993" s="33">
        <f t="shared" si="243"/>
        <v>106.08775728093208</v>
      </c>
      <c r="L993" s="8">
        <v>0</v>
      </c>
      <c r="M993" s="9">
        <v>1</v>
      </c>
      <c r="N993" s="8">
        <v>0</v>
      </c>
      <c r="O993" s="9">
        <v>0</v>
      </c>
      <c r="P993" s="9">
        <v>1</v>
      </c>
      <c r="Q993" s="9">
        <v>0</v>
      </c>
      <c r="R993" s="9">
        <v>0</v>
      </c>
      <c r="S993" s="8">
        <v>11271</v>
      </c>
      <c r="T993" s="9">
        <v>22</v>
      </c>
      <c r="U993" s="9">
        <f t="shared" si="238"/>
        <v>11248</v>
      </c>
      <c r="V993" s="9">
        <f t="shared" si="239"/>
        <v>20</v>
      </c>
      <c r="W993" s="7">
        <v>8.14</v>
      </c>
      <c r="X993" s="7">
        <f t="shared" si="235"/>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47">1-AQ993</f>
        <v>0.49</v>
      </c>
      <c r="AS993" t="s">
        <v>98</v>
      </c>
      <c r="AT993" s="40" t="s">
        <v>98</v>
      </c>
      <c r="AU993">
        <v>0</v>
      </c>
      <c r="AV993" s="18">
        <v>1</v>
      </c>
      <c r="AW993">
        <v>1</v>
      </c>
      <c r="AX993" s="18">
        <v>0</v>
      </c>
      <c r="AY993" s="18" t="s">
        <v>5</v>
      </c>
      <c r="AZ993">
        <v>0</v>
      </c>
      <c r="BA993">
        <v>1</v>
      </c>
      <c r="BB993">
        <v>0</v>
      </c>
      <c r="BC993">
        <v>0</v>
      </c>
      <c r="BD993">
        <v>0</v>
      </c>
      <c r="BE993">
        <v>0</v>
      </c>
      <c r="BF993" s="18">
        <v>0</v>
      </c>
      <c r="BG993">
        <v>0</v>
      </c>
      <c r="BH993">
        <v>1</v>
      </c>
      <c r="BI993" s="18">
        <v>0</v>
      </c>
      <c r="BJ993">
        <v>942</v>
      </c>
      <c r="BK993">
        <v>131</v>
      </c>
      <c r="BL993" s="25">
        <v>31.36</v>
      </c>
      <c r="BM993">
        <v>1</v>
      </c>
      <c r="BN993">
        <v>0</v>
      </c>
      <c r="BO993">
        <v>0</v>
      </c>
      <c r="BP993">
        <v>0</v>
      </c>
      <c r="BQ993">
        <v>0</v>
      </c>
      <c r="BR993">
        <v>0</v>
      </c>
      <c r="BS993">
        <v>0</v>
      </c>
      <c r="BT993" s="18">
        <v>0</v>
      </c>
      <c r="BU993">
        <v>0</v>
      </c>
      <c r="BV993">
        <v>0</v>
      </c>
      <c r="BW993">
        <v>1</v>
      </c>
      <c r="BX993" s="18">
        <v>0</v>
      </c>
      <c r="BY993">
        <v>0</v>
      </c>
      <c r="BZ993">
        <v>0</v>
      </c>
      <c r="CA993">
        <v>0</v>
      </c>
      <c r="CB993">
        <v>0</v>
      </c>
      <c r="CC993" s="18">
        <v>0</v>
      </c>
      <c r="CD993">
        <v>1</v>
      </c>
      <c r="CE993">
        <v>1</v>
      </c>
      <c r="CF993">
        <v>0</v>
      </c>
      <c r="CG993">
        <v>0</v>
      </c>
      <c r="CH993">
        <v>1</v>
      </c>
      <c r="CI993">
        <v>1</v>
      </c>
      <c r="CJ993">
        <v>1</v>
      </c>
      <c r="CK993">
        <v>0</v>
      </c>
      <c r="CL993">
        <v>0</v>
      </c>
      <c r="CM993">
        <v>1</v>
      </c>
      <c r="CN993" s="18">
        <v>1</v>
      </c>
      <c r="CO993">
        <v>0.14599999999999999</v>
      </c>
      <c r="CP993">
        <v>149</v>
      </c>
      <c r="CQ993">
        <v>1</v>
      </c>
      <c r="CR993">
        <v>0</v>
      </c>
      <c r="CS993">
        <v>16</v>
      </c>
      <c r="CY993" s="34"/>
    </row>
    <row r="994" spans="1:103" x14ac:dyDescent="0.25">
      <c r="A994">
        <v>993</v>
      </c>
      <c r="B994">
        <v>68</v>
      </c>
      <c r="C994" s="25" t="s">
        <v>4001</v>
      </c>
      <c r="D994" s="12">
        <v>14</v>
      </c>
      <c r="E994" s="14">
        <v>9</v>
      </c>
      <c r="F994" s="7">
        <f t="shared" si="234"/>
        <v>1.5555555555555556</v>
      </c>
      <c r="G994" s="7">
        <f t="shared" si="236"/>
        <v>5</v>
      </c>
      <c r="H994" s="16">
        <f t="shared" si="237"/>
        <v>23</v>
      </c>
      <c r="I994" s="11">
        <f t="shared" si="241"/>
        <v>1.4665644829398285E-2</v>
      </c>
      <c r="J994" s="33">
        <f t="shared" si="242"/>
        <v>9.4279145331846101E-3</v>
      </c>
      <c r="K994" s="33">
        <f t="shared" si="243"/>
        <v>106.06799589455069</v>
      </c>
      <c r="L994" s="8">
        <v>0</v>
      </c>
      <c r="M994" s="9">
        <v>1</v>
      </c>
      <c r="N994" s="8">
        <v>0</v>
      </c>
      <c r="O994" s="9">
        <v>0</v>
      </c>
      <c r="P994" s="9">
        <v>1</v>
      </c>
      <c r="Q994" s="9">
        <v>0</v>
      </c>
      <c r="R994" s="9">
        <v>0</v>
      </c>
      <c r="S994" s="8">
        <v>11271</v>
      </c>
      <c r="T994" s="9">
        <v>22</v>
      </c>
      <c r="U994" s="9">
        <f t="shared" si="238"/>
        <v>11248</v>
      </c>
      <c r="V994" s="9">
        <f t="shared" si="239"/>
        <v>20</v>
      </c>
      <c r="W994" s="7">
        <v>11.09</v>
      </c>
      <c r="X994" s="7">
        <f t="shared" si="235"/>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47"/>
        <v>0.49</v>
      </c>
      <c r="AS994" t="s">
        <v>98</v>
      </c>
      <c r="AT994" s="40" t="s">
        <v>98</v>
      </c>
      <c r="AU994">
        <v>0</v>
      </c>
      <c r="AV994" s="18">
        <v>1</v>
      </c>
      <c r="AW994">
        <v>0</v>
      </c>
      <c r="AX994" s="18">
        <v>1</v>
      </c>
      <c r="AY994" s="18" t="s">
        <v>5</v>
      </c>
      <c r="AZ994">
        <v>0</v>
      </c>
      <c r="BA994">
        <v>1</v>
      </c>
      <c r="BB994">
        <v>0</v>
      </c>
      <c r="BC994">
        <v>0</v>
      </c>
      <c r="BD994">
        <v>0</v>
      </c>
      <c r="BE994">
        <v>0</v>
      </c>
      <c r="BF994" s="18">
        <v>0</v>
      </c>
      <c r="BG994">
        <v>0</v>
      </c>
      <c r="BH994">
        <v>1</v>
      </c>
      <c r="BI994" s="18">
        <v>0</v>
      </c>
      <c r="BJ994">
        <v>942</v>
      </c>
      <c r="BK994">
        <v>131</v>
      </c>
      <c r="BL994" s="25">
        <v>33.229999999999997</v>
      </c>
      <c r="BM994">
        <v>0</v>
      </c>
      <c r="BN994">
        <v>0</v>
      </c>
      <c r="BO994">
        <v>0</v>
      </c>
      <c r="BP994">
        <v>0</v>
      </c>
      <c r="BQ994">
        <v>1</v>
      </c>
      <c r="BR994">
        <v>0</v>
      </c>
      <c r="BS994">
        <v>0</v>
      </c>
      <c r="BT994" s="18">
        <v>0</v>
      </c>
      <c r="BU994">
        <v>0</v>
      </c>
      <c r="BV994">
        <v>0</v>
      </c>
      <c r="BW994">
        <v>1</v>
      </c>
      <c r="BX994" s="18">
        <v>0</v>
      </c>
      <c r="BY994">
        <v>0</v>
      </c>
      <c r="BZ994">
        <v>0</v>
      </c>
      <c r="CA994">
        <v>0</v>
      </c>
      <c r="CB994">
        <v>0</v>
      </c>
      <c r="CC994" s="18">
        <v>0</v>
      </c>
      <c r="CD994">
        <v>1</v>
      </c>
      <c r="CE994">
        <v>1</v>
      </c>
      <c r="CF994">
        <v>0</v>
      </c>
      <c r="CG994">
        <v>0</v>
      </c>
      <c r="CH994">
        <v>1</v>
      </c>
      <c r="CI994">
        <v>1</v>
      </c>
      <c r="CJ994">
        <v>1</v>
      </c>
      <c r="CK994">
        <v>0</v>
      </c>
      <c r="CL994">
        <v>0</v>
      </c>
      <c r="CM994">
        <v>1</v>
      </c>
      <c r="CN994" s="18">
        <v>1</v>
      </c>
      <c r="CO994">
        <v>0.14599999999999999</v>
      </c>
      <c r="CP994">
        <v>149</v>
      </c>
      <c r="CQ994">
        <v>1</v>
      </c>
      <c r="CR994">
        <v>0</v>
      </c>
      <c r="CS994">
        <v>16</v>
      </c>
      <c r="CY994" s="34"/>
    </row>
    <row r="995" spans="1:103" x14ac:dyDescent="0.25">
      <c r="A995">
        <v>994</v>
      </c>
      <c r="B995">
        <v>68</v>
      </c>
      <c r="C995" s="25" t="s">
        <v>4001</v>
      </c>
      <c r="D995" s="12">
        <v>12</v>
      </c>
      <c r="E995" s="14">
        <v>8</v>
      </c>
      <c r="F995" s="7">
        <f t="shared" si="234"/>
        <v>1.5</v>
      </c>
      <c r="G995" s="7">
        <f t="shared" si="236"/>
        <v>4</v>
      </c>
      <c r="H995" s="16">
        <f t="shared" si="237"/>
        <v>20</v>
      </c>
      <c r="I995" s="11">
        <f t="shared" si="241"/>
        <v>1.4141978491509553E-2</v>
      </c>
      <c r="J995" s="33">
        <f t="shared" si="242"/>
        <v>9.4279856610063675E-3</v>
      </c>
      <c r="K995" s="33">
        <f t="shared" si="243"/>
        <v>106.06719568273691</v>
      </c>
      <c r="L995" s="8">
        <v>0</v>
      </c>
      <c r="M995" s="9">
        <v>1</v>
      </c>
      <c r="N995" s="8">
        <v>0</v>
      </c>
      <c r="O995" s="9">
        <v>0</v>
      </c>
      <c r="P995" s="9">
        <v>1</v>
      </c>
      <c r="Q995" s="9">
        <v>0</v>
      </c>
      <c r="R995" s="9">
        <v>0</v>
      </c>
      <c r="S995" s="8">
        <v>11271</v>
      </c>
      <c r="T995" s="9">
        <v>22</v>
      </c>
      <c r="U995" s="9">
        <f t="shared" si="238"/>
        <v>11248</v>
      </c>
      <c r="V995" s="9">
        <f t="shared" si="239"/>
        <v>20</v>
      </c>
      <c r="W995" s="7">
        <v>8.73</v>
      </c>
      <c r="X995" s="7">
        <f t="shared" si="235"/>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47"/>
        <v>0.49</v>
      </c>
      <c r="AS995" t="s">
        <v>98</v>
      </c>
      <c r="AT995" s="40" t="s">
        <v>98</v>
      </c>
      <c r="AU995">
        <v>0</v>
      </c>
      <c r="AV995" s="18">
        <v>1</v>
      </c>
      <c r="AW995">
        <v>0.75</v>
      </c>
      <c r="AX995" s="18">
        <f>1-AW995</f>
        <v>0.25</v>
      </c>
      <c r="AY995" s="18" t="s">
        <v>5</v>
      </c>
      <c r="AZ995">
        <v>0</v>
      </c>
      <c r="BA995">
        <v>1</v>
      </c>
      <c r="BB995">
        <v>0</v>
      </c>
      <c r="BC995">
        <v>0</v>
      </c>
      <c r="BD995">
        <v>0</v>
      </c>
      <c r="BE995">
        <v>0</v>
      </c>
      <c r="BF995" s="18">
        <v>0</v>
      </c>
      <c r="BG995">
        <v>0</v>
      </c>
      <c r="BH995">
        <v>1</v>
      </c>
      <c r="BI995" s="18">
        <v>0</v>
      </c>
      <c r="BJ995">
        <v>942</v>
      </c>
      <c r="BK995">
        <v>131</v>
      </c>
      <c r="BL995" s="25">
        <v>31.45</v>
      </c>
      <c r="BM995">
        <v>1</v>
      </c>
      <c r="BN995">
        <v>0</v>
      </c>
      <c r="BO995">
        <v>0</v>
      </c>
      <c r="BP995">
        <v>0</v>
      </c>
      <c r="BQ995">
        <v>0</v>
      </c>
      <c r="BR995">
        <v>0</v>
      </c>
      <c r="BS995">
        <v>0</v>
      </c>
      <c r="BT995" s="18">
        <v>0</v>
      </c>
      <c r="BU995">
        <v>0</v>
      </c>
      <c r="BV995">
        <v>0</v>
      </c>
      <c r="BW995">
        <v>1</v>
      </c>
      <c r="BX995" s="18">
        <v>0</v>
      </c>
      <c r="BY995">
        <v>0</v>
      </c>
      <c r="BZ995">
        <v>0</v>
      </c>
      <c r="CA995">
        <v>0</v>
      </c>
      <c r="CB995">
        <v>0</v>
      </c>
      <c r="CC995" s="18">
        <v>0</v>
      </c>
      <c r="CD995">
        <v>1</v>
      </c>
      <c r="CE995">
        <v>1</v>
      </c>
      <c r="CF995">
        <v>0</v>
      </c>
      <c r="CG995">
        <v>0</v>
      </c>
      <c r="CH995">
        <v>1</v>
      </c>
      <c r="CI995">
        <v>1</v>
      </c>
      <c r="CJ995">
        <v>1</v>
      </c>
      <c r="CK995">
        <v>0</v>
      </c>
      <c r="CL995">
        <v>0</v>
      </c>
      <c r="CM995">
        <v>1</v>
      </c>
      <c r="CN995" s="18">
        <v>1</v>
      </c>
      <c r="CO995">
        <v>0.14599999999999999</v>
      </c>
      <c r="CP995">
        <v>149</v>
      </c>
      <c r="CQ995">
        <v>1</v>
      </c>
      <c r="CR995">
        <v>0</v>
      </c>
      <c r="CS995">
        <v>16</v>
      </c>
      <c r="CY995" s="34"/>
    </row>
    <row r="996" spans="1:103" x14ac:dyDescent="0.25">
      <c r="A996">
        <v>995</v>
      </c>
      <c r="B996">
        <v>68</v>
      </c>
      <c r="C996" s="25" t="s">
        <v>4001</v>
      </c>
      <c r="D996" s="12">
        <v>37</v>
      </c>
      <c r="E996" s="14">
        <v>12</v>
      </c>
      <c r="F996" s="7">
        <f t="shared" si="234"/>
        <v>3.0833333333333335</v>
      </c>
      <c r="G996" s="7">
        <f t="shared" si="236"/>
        <v>25</v>
      </c>
      <c r="H996" s="16">
        <f t="shared" si="237"/>
        <v>49</v>
      </c>
      <c r="I996" s="11">
        <f t="shared" si="241"/>
        <v>2.906025134602834E-2</v>
      </c>
      <c r="J996" s="33">
        <f t="shared" si="242"/>
        <v>9.4249463824956775E-3</v>
      </c>
      <c r="K996" s="33">
        <f t="shared" si="243"/>
        <v>106.10139935196163</v>
      </c>
      <c r="L996" s="8">
        <v>0</v>
      </c>
      <c r="M996" s="9">
        <v>1</v>
      </c>
      <c r="N996" s="8">
        <v>0</v>
      </c>
      <c r="O996" s="9">
        <v>0</v>
      </c>
      <c r="P996" s="9">
        <v>1</v>
      </c>
      <c r="Q996" s="9">
        <v>0</v>
      </c>
      <c r="R996" s="9">
        <v>0</v>
      </c>
      <c r="S996" s="8">
        <v>11271</v>
      </c>
      <c r="T996" s="9">
        <v>22</v>
      </c>
      <c r="U996" s="9">
        <f t="shared" si="238"/>
        <v>11248</v>
      </c>
      <c r="V996" s="9">
        <f t="shared" si="239"/>
        <v>20</v>
      </c>
      <c r="W996" s="7">
        <v>9.24</v>
      </c>
      <c r="X996" s="7">
        <f t="shared" si="235"/>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47"/>
        <v>0.51</v>
      </c>
      <c r="AS996" t="s">
        <v>98</v>
      </c>
      <c r="AT996" s="40" t="s">
        <v>98</v>
      </c>
      <c r="AU996">
        <v>0</v>
      </c>
      <c r="AV996" s="18">
        <v>1</v>
      </c>
      <c r="AW996">
        <v>0.76</v>
      </c>
      <c r="AX996" s="18">
        <f>1-AW996</f>
        <v>0.24</v>
      </c>
      <c r="AY996" s="18" t="s">
        <v>5</v>
      </c>
      <c r="AZ996">
        <v>0</v>
      </c>
      <c r="BA996">
        <v>1</v>
      </c>
      <c r="BB996">
        <v>0</v>
      </c>
      <c r="BC996">
        <v>0</v>
      </c>
      <c r="BD996">
        <v>0</v>
      </c>
      <c r="BE996">
        <v>0</v>
      </c>
      <c r="BF996" s="18">
        <v>0</v>
      </c>
      <c r="BG996">
        <v>0</v>
      </c>
      <c r="BH996">
        <v>1</v>
      </c>
      <c r="BI996" s="18">
        <v>0</v>
      </c>
      <c r="BJ996">
        <v>942</v>
      </c>
      <c r="BK996">
        <v>131</v>
      </c>
      <c r="BL996" s="25">
        <v>32.74</v>
      </c>
      <c r="BM996">
        <v>0</v>
      </c>
      <c r="BN996">
        <v>0</v>
      </c>
      <c r="BO996">
        <v>0</v>
      </c>
      <c r="BP996">
        <v>0</v>
      </c>
      <c r="BQ996">
        <v>1</v>
      </c>
      <c r="BR996">
        <v>0</v>
      </c>
      <c r="BS996">
        <v>0</v>
      </c>
      <c r="BT996" s="18">
        <v>0</v>
      </c>
      <c r="BU996">
        <v>0</v>
      </c>
      <c r="BV996">
        <v>0</v>
      </c>
      <c r="BW996">
        <v>1</v>
      </c>
      <c r="BX996" s="18">
        <v>0</v>
      </c>
      <c r="BY996">
        <v>0</v>
      </c>
      <c r="BZ996">
        <v>0</v>
      </c>
      <c r="CA996">
        <v>0</v>
      </c>
      <c r="CB996">
        <v>0</v>
      </c>
      <c r="CC996" s="18">
        <v>0</v>
      </c>
      <c r="CD996">
        <v>1</v>
      </c>
      <c r="CE996">
        <v>1</v>
      </c>
      <c r="CF996">
        <v>0</v>
      </c>
      <c r="CG996">
        <v>0</v>
      </c>
      <c r="CH996">
        <v>1</v>
      </c>
      <c r="CI996">
        <v>1</v>
      </c>
      <c r="CJ996">
        <v>1</v>
      </c>
      <c r="CK996">
        <v>0</v>
      </c>
      <c r="CL996">
        <v>0</v>
      </c>
      <c r="CM996">
        <v>1</v>
      </c>
      <c r="CN996" s="18">
        <v>1</v>
      </c>
      <c r="CO996">
        <v>0.14599999999999999</v>
      </c>
      <c r="CP996">
        <v>149</v>
      </c>
      <c r="CQ996">
        <v>1</v>
      </c>
      <c r="CR996">
        <v>0</v>
      </c>
      <c r="CS996">
        <v>16</v>
      </c>
      <c r="CY996" s="34"/>
    </row>
    <row r="997" spans="1:103" x14ac:dyDescent="0.25">
      <c r="A997">
        <v>996</v>
      </c>
      <c r="B997">
        <v>69</v>
      </c>
      <c r="C997" s="25" t="s">
        <v>4012</v>
      </c>
      <c r="D997" s="12">
        <v>6.08</v>
      </c>
      <c r="E997" s="14">
        <v>0.1</v>
      </c>
      <c r="F997" s="7">
        <f t="shared" si="234"/>
        <v>60.8</v>
      </c>
      <c r="G997" s="7">
        <f t="shared" si="236"/>
        <v>5.98</v>
      </c>
      <c r="H997" s="16">
        <f t="shared" si="237"/>
        <v>6.18</v>
      </c>
      <c r="I997" s="11">
        <f t="shared" si="241"/>
        <v>6.0981702242611277E-2</v>
      </c>
      <c r="J997" s="33">
        <f t="shared" si="242"/>
        <v>1.0029885237271593E-3</v>
      </c>
      <c r="K997" s="33">
        <f t="shared" si="243"/>
        <v>997.02038093511396</v>
      </c>
      <c r="L997" s="8">
        <v>0</v>
      </c>
      <c r="M997" s="9">
        <v>1</v>
      </c>
      <c r="N997" s="8">
        <v>0</v>
      </c>
      <c r="O997" s="9">
        <v>0</v>
      </c>
      <c r="P997" s="9">
        <v>0</v>
      </c>
      <c r="Q997" s="9">
        <v>1</v>
      </c>
      <c r="R997" s="9">
        <v>0</v>
      </c>
      <c r="S997" s="8">
        <v>990357</v>
      </c>
      <c r="T997" s="9">
        <v>3</v>
      </c>
      <c r="U997" s="9">
        <f t="shared" si="238"/>
        <v>990353</v>
      </c>
      <c r="V997" s="9">
        <f t="shared" si="239"/>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47"/>
        <v>0.33099999999999996</v>
      </c>
      <c r="AS997">
        <v>1</v>
      </c>
      <c r="AT997" s="40">
        <v>0</v>
      </c>
      <c r="AU997">
        <v>1</v>
      </c>
      <c r="AV997" s="18">
        <v>0</v>
      </c>
      <c r="AW997" t="s">
        <v>98</v>
      </c>
      <c r="AX997" s="18" t="s">
        <v>98</v>
      </c>
      <c r="AY997" s="18" t="s">
        <v>522</v>
      </c>
      <c r="AZ997">
        <v>1</v>
      </c>
      <c r="BA997">
        <v>0</v>
      </c>
      <c r="BB997">
        <v>0</v>
      </c>
      <c r="BC997">
        <v>0</v>
      </c>
      <c r="BD997">
        <v>0</v>
      </c>
      <c r="BE997">
        <v>0</v>
      </c>
      <c r="BF997" s="18">
        <v>0</v>
      </c>
      <c r="BG997">
        <v>1</v>
      </c>
      <c r="BH997">
        <v>0</v>
      </c>
      <c r="BI997" s="18">
        <v>0</v>
      </c>
      <c r="BJ997">
        <v>7294</v>
      </c>
      <c r="BK997">
        <v>760</v>
      </c>
      <c r="BL997" s="25">
        <v>34.99</v>
      </c>
      <c r="BM997">
        <v>1</v>
      </c>
      <c r="BN997">
        <v>0</v>
      </c>
      <c r="BO997">
        <v>0</v>
      </c>
      <c r="BP997">
        <v>0</v>
      </c>
      <c r="BQ997">
        <v>0</v>
      </c>
      <c r="BR997">
        <v>0</v>
      </c>
      <c r="BS997">
        <v>0</v>
      </c>
      <c r="BT997" s="18">
        <v>0</v>
      </c>
      <c r="BU997">
        <v>0</v>
      </c>
      <c r="BV997">
        <v>0</v>
      </c>
      <c r="BW997">
        <v>1</v>
      </c>
      <c r="BX997" s="18">
        <v>0</v>
      </c>
      <c r="BY997">
        <v>0</v>
      </c>
      <c r="BZ997">
        <v>0</v>
      </c>
      <c r="CA997">
        <v>0</v>
      </c>
      <c r="CB997">
        <v>0</v>
      </c>
      <c r="CC997" s="18">
        <v>0</v>
      </c>
      <c r="CD997">
        <v>1</v>
      </c>
      <c r="CE997">
        <v>1</v>
      </c>
      <c r="CF997">
        <v>1</v>
      </c>
      <c r="CG997">
        <v>1</v>
      </c>
      <c r="CH997">
        <v>0</v>
      </c>
      <c r="CI997">
        <v>0</v>
      </c>
      <c r="CJ997">
        <v>1</v>
      </c>
      <c r="CK997">
        <v>0</v>
      </c>
      <c r="CL997">
        <v>1</v>
      </c>
      <c r="CM997">
        <v>0</v>
      </c>
      <c r="CN997" s="18">
        <v>0</v>
      </c>
      <c r="CO997">
        <v>0.04</v>
      </c>
      <c r="CP997">
        <v>4</v>
      </c>
      <c r="CQ997">
        <v>1</v>
      </c>
      <c r="CR997">
        <v>0</v>
      </c>
      <c r="CS997">
        <v>21</v>
      </c>
      <c r="CY997" s="34"/>
    </row>
    <row r="998" spans="1:103" x14ac:dyDescent="0.25">
      <c r="A998">
        <v>997</v>
      </c>
      <c r="B998">
        <v>69</v>
      </c>
      <c r="C998" s="25" t="s">
        <v>4012</v>
      </c>
      <c r="D998" s="12">
        <v>7.19</v>
      </c>
      <c r="E998" s="14">
        <v>0.1</v>
      </c>
      <c r="F998" s="7">
        <f t="shared" si="234"/>
        <v>71.900000000000006</v>
      </c>
      <c r="G998" s="7">
        <f t="shared" si="236"/>
        <v>7.0900000000000007</v>
      </c>
      <c r="H998" s="16">
        <f t="shared" si="237"/>
        <v>7.29</v>
      </c>
      <c r="I998" s="11">
        <f t="shared" si="241"/>
        <v>5.9304085037547423E-2</v>
      </c>
      <c r="J998" s="33">
        <f t="shared" si="242"/>
        <v>8.248134219408542E-4</v>
      </c>
      <c r="K998" s="33">
        <f t="shared" si="243"/>
        <v>1212.3954016738928</v>
      </c>
      <c r="L998" s="8">
        <v>0</v>
      </c>
      <c r="M998" s="9">
        <v>1</v>
      </c>
      <c r="N998" s="8">
        <v>0</v>
      </c>
      <c r="O998" s="9">
        <v>0</v>
      </c>
      <c r="P998" s="9">
        <v>0</v>
      </c>
      <c r="Q998" s="9">
        <v>1</v>
      </c>
      <c r="R998" s="9">
        <v>0</v>
      </c>
      <c r="S998" s="8">
        <v>1464737</v>
      </c>
      <c r="T998" s="9">
        <v>3</v>
      </c>
      <c r="U998" s="9">
        <f t="shared" si="238"/>
        <v>1464733</v>
      </c>
      <c r="V998" s="9">
        <f t="shared" si="239"/>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47"/>
        <v>0.39900000000000002</v>
      </c>
      <c r="AS998">
        <v>1</v>
      </c>
      <c r="AT998" s="40">
        <v>0</v>
      </c>
      <c r="AU998">
        <v>1</v>
      </c>
      <c r="AV998" s="18">
        <v>0</v>
      </c>
      <c r="AW998" t="s">
        <v>98</v>
      </c>
      <c r="AX998" s="18" t="s">
        <v>98</v>
      </c>
      <c r="AY998" s="18" t="s">
        <v>522</v>
      </c>
      <c r="AZ998">
        <v>1</v>
      </c>
      <c r="BA998">
        <v>0</v>
      </c>
      <c r="BB998">
        <v>0</v>
      </c>
      <c r="BC998">
        <v>0</v>
      </c>
      <c r="BD998">
        <v>0</v>
      </c>
      <c r="BE998">
        <v>0</v>
      </c>
      <c r="BF998" s="18">
        <v>0</v>
      </c>
      <c r="BG998">
        <v>1</v>
      </c>
      <c r="BH998">
        <v>0</v>
      </c>
      <c r="BI998" s="18">
        <v>0</v>
      </c>
      <c r="BJ998">
        <v>10406</v>
      </c>
      <c r="BK998">
        <v>9300</v>
      </c>
      <c r="BL998" s="25">
        <v>35.799999999999997</v>
      </c>
      <c r="BM998">
        <v>1</v>
      </c>
      <c r="BN998">
        <v>0</v>
      </c>
      <c r="BO998">
        <v>0</v>
      </c>
      <c r="BP998">
        <v>0</v>
      </c>
      <c r="BQ998">
        <v>0</v>
      </c>
      <c r="BR998">
        <v>0</v>
      </c>
      <c r="BS998">
        <v>0</v>
      </c>
      <c r="BT998" s="18">
        <v>0</v>
      </c>
      <c r="BU998">
        <v>0</v>
      </c>
      <c r="BV998">
        <v>0</v>
      </c>
      <c r="BW998">
        <v>1</v>
      </c>
      <c r="BX998" s="18">
        <v>0</v>
      </c>
      <c r="BY998">
        <v>0</v>
      </c>
      <c r="BZ998">
        <v>0</v>
      </c>
      <c r="CA998">
        <v>0</v>
      </c>
      <c r="CB998">
        <v>0</v>
      </c>
      <c r="CC998" s="18">
        <v>0</v>
      </c>
      <c r="CD998">
        <v>1</v>
      </c>
      <c r="CE998">
        <v>1</v>
      </c>
      <c r="CF998">
        <v>1</v>
      </c>
      <c r="CG998">
        <v>1</v>
      </c>
      <c r="CH998">
        <v>0</v>
      </c>
      <c r="CI998">
        <v>0</v>
      </c>
      <c r="CJ998">
        <v>1</v>
      </c>
      <c r="CK998">
        <v>0</v>
      </c>
      <c r="CL998">
        <v>1</v>
      </c>
      <c r="CM998">
        <v>0</v>
      </c>
      <c r="CN998" s="18">
        <v>0</v>
      </c>
      <c r="CO998">
        <v>0.04</v>
      </c>
      <c r="CP998">
        <v>4</v>
      </c>
      <c r="CQ998">
        <v>1</v>
      </c>
      <c r="CR998">
        <v>0</v>
      </c>
      <c r="CS998">
        <v>21</v>
      </c>
      <c r="CY998" s="34"/>
    </row>
    <row r="999" spans="1:103" x14ac:dyDescent="0.25">
      <c r="A999">
        <v>998</v>
      </c>
      <c r="B999">
        <v>69</v>
      </c>
      <c r="C999" s="25" t="s">
        <v>4012</v>
      </c>
      <c r="D999" s="12">
        <v>7.3</v>
      </c>
      <c r="E999" s="14">
        <v>0.1</v>
      </c>
      <c r="F999" s="7">
        <f t="shared" si="234"/>
        <v>73</v>
      </c>
      <c r="G999" s="7">
        <f t="shared" si="236"/>
        <v>7.2</v>
      </c>
      <c r="H999" s="16">
        <f t="shared" si="237"/>
        <v>7.3999999999999995</v>
      </c>
      <c r="I999" s="11">
        <f t="shared" si="241"/>
        <v>5.1794508130782013E-2</v>
      </c>
      <c r="J999" s="33">
        <f t="shared" si="242"/>
        <v>7.0951381001071252E-4</v>
      </c>
      <c r="K999" s="33">
        <f t="shared" si="243"/>
        <v>1409.4158364372099</v>
      </c>
      <c r="L999" s="8">
        <v>0</v>
      </c>
      <c r="M999" s="9">
        <v>1</v>
      </c>
      <c r="N999" s="8">
        <v>0</v>
      </c>
      <c r="O999" s="9">
        <v>0</v>
      </c>
      <c r="P999" s="9">
        <v>0</v>
      </c>
      <c r="Q999" s="9">
        <v>1</v>
      </c>
      <c r="R999" s="9">
        <v>0</v>
      </c>
      <c r="S999" s="8">
        <v>1981128</v>
      </c>
      <c r="T999" s="9">
        <v>3</v>
      </c>
      <c r="U999" s="9">
        <f t="shared" si="238"/>
        <v>1981124</v>
      </c>
      <c r="V999" s="9">
        <f t="shared" si="239"/>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47"/>
        <v>0.42200000000000004</v>
      </c>
      <c r="AS999">
        <v>1</v>
      </c>
      <c r="AT999" s="40">
        <v>0</v>
      </c>
      <c r="AU999">
        <v>1</v>
      </c>
      <c r="AV999" s="18">
        <v>0</v>
      </c>
      <c r="AW999" t="s">
        <v>98</v>
      </c>
      <c r="AX999" s="18" t="s">
        <v>98</v>
      </c>
      <c r="AY999" s="18" t="s">
        <v>522</v>
      </c>
      <c r="AZ999">
        <v>1</v>
      </c>
      <c r="BA999">
        <v>0</v>
      </c>
      <c r="BB999">
        <v>0</v>
      </c>
      <c r="BC999">
        <v>0</v>
      </c>
      <c r="BD999">
        <v>0</v>
      </c>
      <c r="BE999">
        <v>0</v>
      </c>
      <c r="BF999" s="18">
        <v>0</v>
      </c>
      <c r="BG999">
        <v>1</v>
      </c>
      <c r="BH999">
        <v>0</v>
      </c>
      <c r="BI999" s="18">
        <v>0</v>
      </c>
      <c r="BJ999">
        <v>12511</v>
      </c>
      <c r="BK999">
        <v>9911</v>
      </c>
      <c r="BL999" s="25">
        <v>37.270000000000003</v>
      </c>
      <c r="BM999">
        <v>1</v>
      </c>
      <c r="BN999">
        <v>0</v>
      </c>
      <c r="BO999">
        <v>0</v>
      </c>
      <c r="BP999">
        <v>0</v>
      </c>
      <c r="BQ999">
        <v>0</v>
      </c>
      <c r="BR999">
        <v>0</v>
      </c>
      <c r="BS999">
        <v>0</v>
      </c>
      <c r="BT999" s="18">
        <v>0</v>
      </c>
      <c r="BU999">
        <v>0</v>
      </c>
      <c r="BV999">
        <v>0</v>
      </c>
      <c r="BW999">
        <v>1</v>
      </c>
      <c r="BX999" s="18">
        <v>0</v>
      </c>
      <c r="BY999">
        <v>0</v>
      </c>
      <c r="BZ999">
        <v>0</v>
      </c>
      <c r="CA999">
        <v>0</v>
      </c>
      <c r="CB999">
        <v>0</v>
      </c>
      <c r="CC999" s="18">
        <v>0</v>
      </c>
      <c r="CD999">
        <v>1</v>
      </c>
      <c r="CE999">
        <v>1</v>
      </c>
      <c r="CF999">
        <v>1</v>
      </c>
      <c r="CG999">
        <v>1</v>
      </c>
      <c r="CH999">
        <v>0</v>
      </c>
      <c r="CI999">
        <v>0</v>
      </c>
      <c r="CJ999">
        <v>1</v>
      </c>
      <c r="CK999">
        <v>0</v>
      </c>
      <c r="CL999">
        <v>1</v>
      </c>
      <c r="CM999">
        <v>0</v>
      </c>
      <c r="CN999" s="18">
        <v>0</v>
      </c>
      <c r="CO999">
        <v>0.04</v>
      </c>
      <c r="CP999">
        <v>4</v>
      </c>
      <c r="CQ999">
        <v>1</v>
      </c>
      <c r="CR999">
        <v>0</v>
      </c>
      <c r="CS999">
        <v>21</v>
      </c>
      <c r="CY999" s="34"/>
    </row>
    <row r="1000" spans="1:103" x14ac:dyDescent="0.25">
      <c r="A1000">
        <v>999</v>
      </c>
      <c r="B1000">
        <v>69</v>
      </c>
      <c r="C1000" s="25" t="s">
        <v>4012</v>
      </c>
      <c r="D1000" s="12">
        <v>7.15</v>
      </c>
      <c r="E1000" s="14">
        <v>0.1</v>
      </c>
      <c r="F1000" s="7">
        <f t="shared" si="234"/>
        <v>71.5</v>
      </c>
      <c r="G1000" s="7">
        <f t="shared" si="236"/>
        <v>7.0500000000000007</v>
      </c>
      <c r="H1000" s="16">
        <f t="shared" si="237"/>
        <v>7.25</v>
      </c>
      <c r="I1000" s="11">
        <f t="shared" si="241"/>
        <v>4.9971389312554342E-2</v>
      </c>
      <c r="J1000" s="33">
        <f t="shared" si="242"/>
        <v>6.9890054982593491E-4</v>
      </c>
      <c r="K1000" s="33">
        <f t="shared" si="243"/>
        <v>1430.8187341518842</v>
      </c>
      <c r="L1000" s="8">
        <v>0</v>
      </c>
      <c r="M1000" s="9">
        <v>1</v>
      </c>
      <c r="N1000" s="8">
        <v>0</v>
      </c>
      <c r="O1000" s="9">
        <v>0</v>
      </c>
      <c r="P1000" s="9">
        <v>0</v>
      </c>
      <c r="Q1000" s="9">
        <v>1</v>
      </c>
      <c r="R1000" s="9">
        <v>0</v>
      </c>
      <c r="S1000" s="8">
        <v>2042134</v>
      </c>
      <c r="T1000" s="9">
        <v>3</v>
      </c>
      <c r="U1000" s="9">
        <f t="shared" si="238"/>
        <v>2042130</v>
      </c>
      <c r="V1000" s="9">
        <f t="shared" si="239"/>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47"/>
        <v>0.45199999999999996</v>
      </c>
      <c r="AS1000">
        <v>1</v>
      </c>
      <c r="AT1000" s="40">
        <v>0</v>
      </c>
      <c r="AU1000">
        <v>1</v>
      </c>
      <c r="AV1000" s="18">
        <v>0</v>
      </c>
      <c r="AW1000" t="s">
        <v>98</v>
      </c>
      <c r="AX1000" s="18" t="s">
        <v>98</v>
      </c>
      <c r="AY1000" s="18" t="s">
        <v>522</v>
      </c>
      <c r="AZ1000">
        <v>1</v>
      </c>
      <c r="BA1000">
        <v>0</v>
      </c>
      <c r="BB1000">
        <v>0</v>
      </c>
      <c r="BC1000">
        <v>0</v>
      </c>
      <c r="BD1000">
        <v>0</v>
      </c>
      <c r="BE1000">
        <v>0</v>
      </c>
      <c r="BF1000" s="18">
        <v>0</v>
      </c>
      <c r="BG1000">
        <v>1</v>
      </c>
      <c r="BH1000">
        <v>0</v>
      </c>
      <c r="BI1000" s="18">
        <v>0</v>
      </c>
      <c r="BJ1000">
        <v>13110</v>
      </c>
      <c r="BK1000">
        <v>11530</v>
      </c>
      <c r="BL1000" s="25">
        <v>38.58</v>
      </c>
      <c r="BM1000">
        <v>1</v>
      </c>
      <c r="BN1000">
        <v>0</v>
      </c>
      <c r="BO1000">
        <v>0</v>
      </c>
      <c r="BP1000">
        <v>0</v>
      </c>
      <c r="BQ1000">
        <v>0</v>
      </c>
      <c r="BR1000">
        <v>0</v>
      </c>
      <c r="BS1000">
        <v>0</v>
      </c>
      <c r="BT1000" s="18">
        <v>0</v>
      </c>
      <c r="BU1000">
        <v>0</v>
      </c>
      <c r="BV1000">
        <v>0</v>
      </c>
      <c r="BW1000">
        <v>1</v>
      </c>
      <c r="BX1000" s="18">
        <v>0</v>
      </c>
      <c r="BY1000">
        <v>0</v>
      </c>
      <c r="BZ1000">
        <v>0</v>
      </c>
      <c r="CA1000">
        <v>0</v>
      </c>
      <c r="CB1000">
        <v>0</v>
      </c>
      <c r="CC1000" s="18">
        <v>0</v>
      </c>
      <c r="CD1000">
        <v>1</v>
      </c>
      <c r="CE1000">
        <v>1</v>
      </c>
      <c r="CF1000">
        <v>1</v>
      </c>
      <c r="CG1000">
        <v>1</v>
      </c>
      <c r="CH1000">
        <v>0</v>
      </c>
      <c r="CI1000">
        <v>0</v>
      </c>
      <c r="CJ1000">
        <v>1</v>
      </c>
      <c r="CK1000">
        <v>0</v>
      </c>
      <c r="CL1000">
        <v>1</v>
      </c>
      <c r="CM1000">
        <v>0</v>
      </c>
      <c r="CN1000" s="18">
        <v>0</v>
      </c>
      <c r="CO1000">
        <v>0.04</v>
      </c>
      <c r="CP1000">
        <v>4</v>
      </c>
      <c r="CQ1000">
        <v>1</v>
      </c>
      <c r="CR1000">
        <v>0</v>
      </c>
      <c r="CS1000">
        <v>21</v>
      </c>
      <c r="CY1000" s="34"/>
    </row>
    <row r="1001" spans="1:103" x14ac:dyDescent="0.25">
      <c r="A1001">
        <v>1000</v>
      </c>
      <c r="B1001">
        <v>69</v>
      </c>
      <c r="C1001" s="25" t="s">
        <v>4012</v>
      </c>
      <c r="D1001" s="12">
        <v>7.06</v>
      </c>
      <c r="E1001" s="14">
        <v>0.1</v>
      </c>
      <c r="F1001" s="7">
        <f t="shared" si="234"/>
        <v>70.599999999999994</v>
      </c>
      <c r="G1001" s="7">
        <f t="shared" si="236"/>
        <v>6.96</v>
      </c>
      <c r="H1001" s="16">
        <f t="shared" si="237"/>
        <v>7.1599999999999993</v>
      </c>
      <c r="I1001" s="11">
        <f t="shared" si="241"/>
        <v>5.1087237728615377E-2</v>
      </c>
      <c r="J1001" s="33">
        <f t="shared" si="242"/>
        <v>7.2361526527783826E-4</v>
      </c>
      <c r="K1001" s="33">
        <f t="shared" si="243"/>
        <v>1381.9498399001318</v>
      </c>
      <c r="L1001" s="8">
        <v>0</v>
      </c>
      <c r="M1001" s="9">
        <v>1</v>
      </c>
      <c r="N1001" s="8">
        <v>0</v>
      </c>
      <c r="O1001" s="9">
        <v>0</v>
      </c>
      <c r="P1001" s="9">
        <v>0</v>
      </c>
      <c r="Q1001" s="9">
        <v>1</v>
      </c>
      <c r="R1001" s="9">
        <v>0</v>
      </c>
      <c r="S1001" s="8">
        <v>1904805</v>
      </c>
      <c r="T1001" s="9">
        <v>3</v>
      </c>
      <c r="U1001" s="9">
        <f t="shared" si="238"/>
        <v>1904801</v>
      </c>
      <c r="V1001" s="9">
        <f t="shared" si="239"/>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47"/>
        <v>0.47299999999999998</v>
      </c>
      <c r="AS1001">
        <v>1</v>
      </c>
      <c r="AT1001" s="40">
        <v>0</v>
      </c>
      <c r="AU1001">
        <v>1</v>
      </c>
      <c r="AV1001" s="18">
        <v>0</v>
      </c>
      <c r="AW1001" t="s">
        <v>98</v>
      </c>
      <c r="AX1001" s="18" t="s">
        <v>98</v>
      </c>
      <c r="AY1001" s="18" t="s">
        <v>522</v>
      </c>
      <c r="AZ1001">
        <v>1</v>
      </c>
      <c r="BA1001">
        <v>0</v>
      </c>
      <c r="BB1001">
        <v>0</v>
      </c>
      <c r="BC1001">
        <v>0</v>
      </c>
      <c r="BD1001">
        <v>0</v>
      </c>
      <c r="BE1001">
        <v>0</v>
      </c>
      <c r="BF1001" s="18">
        <v>0</v>
      </c>
      <c r="BG1001">
        <v>1</v>
      </c>
      <c r="BH1001">
        <v>0</v>
      </c>
      <c r="BI1001" s="18">
        <v>0</v>
      </c>
      <c r="BJ1001">
        <v>11965</v>
      </c>
      <c r="BK1001">
        <v>11021</v>
      </c>
      <c r="BL1001" s="25">
        <v>39.659999999999997</v>
      </c>
      <c r="BM1001">
        <v>1</v>
      </c>
      <c r="BN1001">
        <v>0</v>
      </c>
      <c r="BO1001">
        <v>0</v>
      </c>
      <c r="BP1001">
        <v>0</v>
      </c>
      <c r="BQ1001">
        <v>0</v>
      </c>
      <c r="BR1001">
        <v>0</v>
      </c>
      <c r="BS1001">
        <v>0</v>
      </c>
      <c r="BT1001" s="18">
        <v>0</v>
      </c>
      <c r="BU1001">
        <v>0</v>
      </c>
      <c r="BV1001">
        <v>0</v>
      </c>
      <c r="BW1001">
        <v>1</v>
      </c>
      <c r="BX1001" s="18">
        <v>0</v>
      </c>
      <c r="BY1001">
        <v>0</v>
      </c>
      <c r="BZ1001">
        <v>0</v>
      </c>
      <c r="CA1001">
        <v>0</v>
      </c>
      <c r="CB1001">
        <v>0</v>
      </c>
      <c r="CC1001" s="18">
        <v>0</v>
      </c>
      <c r="CD1001">
        <v>1</v>
      </c>
      <c r="CE1001">
        <v>1</v>
      </c>
      <c r="CF1001">
        <v>1</v>
      </c>
      <c r="CG1001">
        <v>1</v>
      </c>
      <c r="CH1001">
        <v>0</v>
      </c>
      <c r="CI1001">
        <v>0</v>
      </c>
      <c r="CJ1001">
        <v>1</v>
      </c>
      <c r="CK1001">
        <v>0</v>
      </c>
      <c r="CL1001">
        <v>1</v>
      </c>
      <c r="CM1001">
        <v>0</v>
      </c>
      <c r="CN1001" s="18">
        <v>0</v>
      </c>
      <c r="CO1001">
        <v>0.04</v>
      </c>
      <c r="CP1001">
        <v>4</v>
      </c>
      <c r="CQ1001">
        <v>1</v>
      </c>
      <c r="CR1001">
        <v>0</v>
      </c>
      <c r="CS1001">
        <v>21</v>
      </c>
      <c r="CY1001" s="34"/>
    </row>
    <row r="1002" spans="1:103" x14ac:dyDescent="0.25">
      <c r="A1002">
        <v>1001</v>
      </c>
      <c r="B1002">
        <v>69</v>
      </c>
      <c r="C1002" s="25" t="s">
        <v>4012</v>
      </c>
      <c r="D1002" s="12">
        <v>4.78</v>
      </c>
      <c r="E1002" s="14">
        <v>0.1</v>
      </c>
      <c r="F1002" s="7">
        <f t="shared" ref="F1002:F1011" si="248">D1002/E1002</f>
        <v>47.8</v>
      </c>
      <c r="G1002" s="7">
        <f t="shared" si="236"/>
        <v>4.6800000000000006</v>
      </c>
      <c r="H1002" s="16">
        <f t="shared" si="237"/>
        <v>4.88</v>
      </c>
      <c r="I1002" s="11">
        <f t="shared" si="241"/>
        <v>4.7976933183397304E-2</v>
      </c>
      <c r="J1002" s="33">
        <f t="shared" si="242"/>
        <v>1.0037015310334165E-3</v>
      </c>
      <c r="K1002" s="33">
        <f t="shared" si="243"/>
        <v>996.31211976970349</v>
      </c>
      <c r="L1002" s="8">
        <v>0</v>
      </c>
      <c r="M1002" s="9">
        <v>1</v>
      </c>
      <c r="N1002" s="8">
        <v>0</v>
      </c>
      <c r="O1002" s="9">
        <v>0</v>
      </c>
      <c r="P1002" s="9">
        <v>0</v>
      </c>
      <c r="Q1002" s="9">
        <v>1</v>
      </c>
      <c r="R1002" s="9">
        <v>0</v>
      </c>
      <c r="S1002" s="8">
        <v>990357</v>
      </c>
      <c r="T1002" s="9">
        <v>3</v>
      </c>
      <c r="U1002" s="9">
        <f t="shared" si="238"/>
        <v>990353</v>
      </c>
      <c r="V1002" s="9">
        <f t="shared" si="239"/>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47"/>
        <v>0.33099999999999996</v>
      </c>
      <c r="AS1002">
        <v>1</v>
      </c>
      <c r="AT1002" s="40">
        <v>0</v>
      </c>
      <c r="AU1002">
        <v>1</v>
      </c>
      <c r="AV1002" s="18">
        <v>0</v>
      </c>
      <c r="AW1002" t="s">
        <v>98</v>
      </c>
      <c r="AX1002" s="18" t="s">
        <v>98</v>
      </c>
      <c r="AY1002" s="18" t="s">
        <v>522</v>
      </c>
      <c r="AZ1002">
        <v>1</v>
      </c>
      <c r="BA1002">
        <v>0</v>
      </c>
      <c r="BB1002">
        <v>0</v>
      </c>
      <c r="BC1002">
        <v>0</v>
      </c>
      <c r="BD1002">
        <v>0</v>
      </c>
      <c r="BE1002">
        <v>0</v>
      </c>
      <c r="BF1002" s="18">
        <v>0</v>
      </c>
      <c r="BG1002">
        <v>1</v>
      </c>
      <c r="BH1002">
        <v>0</v>
      </c>
      <c r="BI1002" s="18">
        <v>0</v>
      </c>
      <c r="BJ1002">
        <v>7294</v>
      </c>
      <c r="BK1002">
        <v>760</v>
      </c>
      <c r="BL1002" s="25">
        <v>34.99</v>
      </c>
      <c r="BM1002">
        <v>1</v>
      </c>
      <c r="BN1002">
        <v>0</v>
      </c>
      <c r="BO1002">
        <v>0</v>
      </c>
      <c r="BP1002">
        <v>0</v>
      </c>
      <c r="BQ1002">
        <v>0</v>
      </c>
      <c r="BR1002">
        <v>0</v>
      </c>
      <c r="BS1002">
        <v>0</v>
      </c>
      <c r="BT1002" s="18">
        <v>0</v>
      </c>
      <c r="BU1002">
        <v>0</v>
      </c>
      <c r="BV1002">
        <v>0</v>
      </c>
      <c r="BW1002">
        <v>1</v>
      </c>
      <c r="BX1002" s="18">
        <v>0</v>
      </c>
      <c r="BY1002">
        <v>0</v>
      </c>
      <c r="BZ1002">
        <v>0</v>
      </c>
      <c r="CA1002">
        <v>0</v>
      </c>
      <c r="CB1002">
        <v>0</v>
      </c>
      <c r="CC1002" s="18">
        <v>0</v>
      </c>
      <c r="CD1002">
        <v>1</v>
      </c>
      <c r="CE1002">
        <v>1</v>
      </c>
      <c r="CF1002">
        <v>1</v>
      </c>
      <c r="CG1002">
        <v>1</v>
      </c>
      <c r="CH1002">
        <v>0</v>
      </c>
      <c r="CI1002">
        <v>0</v>
      </c>
      <c r="CJ1002">
        <v>1</v>
      </c>
      <c r="CK1002">
        <v>0</v>
      </c>
      <c r="CL1002">
        <v>1</v>
      </c>
      <c r="CM1002">
        <v>0</v>
      </c>
      <c r="CN1002" s="18">
        <v>1</v>
      </c>
      <c r="CO1002">
        <v>0.04</v>
      </c>
      <c r="CP1002">
        <v>4</v>
      </c>
      <c r="CQ1002">
        <v>1</v>
      </c>
      <c r="CR1002">
        <v>0</v>
      </c>
      <c r="CS1002">
        <v>21</v>
      </c>
      <c r="CY1002" s="34"/>
    </row>
    <row r="1003" spans="1:103" x14ac:dyDescent="0.25">
      <c r="A1003">
        <v>1002</v>
      </c>
      <c r="B1003">
        <v>69</v>
      </c>
      <c r="C1003" s="25" t="s">
        <v>4012</v>
      </c>
      <c r="D1003" s="12">
        <v>5.8</v>
      </c>
      <c r="E1003" s="14">
        <v>0.1</v>
      </c>
      <c r="F1003" s="7">
        <f t="shared" si="248"/>
        <v>57.999999999999993</v>
      </c>
      <c r="G1003" s="7">
        <f t="shared" si="236"/>
        <v>5.7</v>
      </c>
      <c r="H1003" s="16">
        <f t="shared" si="237"/>
        <v>5.8999999999999995</v>
      </c>
      <c r="I1003" s="11">
        <f t="shared" si="241"/>
        <v>4.7868588094701701E-2</v>
      </c>
      <c r="J1003" s="33">
        <f t="shared" si="242"/>
        <v>8.2532048439140876E-4</v>
      </c>
      <c r="K1003" s="33">
        <f t="shared" si="243"/>
        <v>1211.6505271735741</v>
      </c>
      <c r="L1003" s="8">
        <v>0</v>
      </c>
      <c r="M1003" s="9">
        <v>1</v>
      </c>
      <c r="N1003" s="8">
        <v>0</v>
      </c>
      <c r="O1003" s="9">
        <v>0</v>
      </c>
      <c r="P1003" s="9">
        <v>0</v>
      </c>
      <c r="Q1003" s="9">
        <v>1</v>
      </c>
      <c r="R1003" s="9">
        <v>0</v>
      </c>
      <c r="S1003" s="8">
        <v>1464737</v>
      </c>
      <c r="T1003" s="9">
        <v>3</v>
      </c>
      <c r="U1003" s="9">
        <f t="shared" si="238"/>
        <v>1464733</v>
      </c>
      <c r="V1003" s="9">
        <f t="shared" si="239"/>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47"/>
        <v>0.39900000000000002</v>
      </c>
      <c r="AS1003">
        <v>1</v>
      </c>
      <c r="AT1003" s="40">
        <v>0</v>
      </c>
      <c r="AU1003">
        <v>1</v>
      </c>
      <c r="AV1003" s="18">
        <v>0</v>
      </c>
      <c r="AW1003" t="s">
        <v>98</v>
      </c>
      <c r="AX1003" s="18" t="s">
        <v>98</v>
      </c>
      <c r="AY1003" s="18" t="s">
        <v>522</v>
      </c>
      <c r="AZ1003">
        <v>1</v>
      </c>
      <c r="BA1003">
        <v>0</v>
      </c>
      <c r="BB1003">
        <v>0</v>
      </c>
      <c r="BC1003">
        <v>0</v>
      </c>
      <c r="BD1003">
        <v>0</v>
      </c>
      <c r="BE1003">
        <v>0</v>
      </c>
      <c r="BF1003" s="18">
        <v>0</v>
      </c>
      <c r="BG1003">
        <v>1</v>
      </c>
      <c r="BH1003">
        <v>0</v>
      </c>
      <c r="BI1003" s="18">
        <v>0</v>
      </c>
      <c r="BJ1003">
        <v>10406</v>
      </c>
      <c r="BK1003">
        <v>9300</v>
      </c>
      <c r="BL1003" s="25">
        <v>35.799999999999997</v>
      </c>
      <c r="BM1003">
        <v>1</v>
      </c>
      <c r="BN1003">
        <v>0</v>
      </c>
      <c r="BO1003">
        <v>0</v>
      </c>
      <c r="BP1003">
        <v>0</v>
      </c>
      <c r="BQ1003">
        <v>0</v>
      </c>
      <c r="BR1003">
        <v>0</v>
      </c>
      <c r="BS1003">
        <v>0</v>
      </c>
      <c r="BT1003" s="18">
        <v>0</v>
      </c>
      <c r="BU1003">
        <v>0</v>
      </c>
      <c r="BV1003">
        <v>0</v>
      </c>
      <c r="BW1003">
        <v>1</v>
      </c>
      <c r="BX1003" s="18">
        <v>0</v>
      </c>
      <c r="BY1003">
        <v>0</v>
      </c>
      <c r="BZ1003">
        <v>0</v>
      </c>
      <c r="CA1003">
        <v>0</v>
      </c>
      <c r="CB1003">
        <v>0</v>
      </c>
      <c r="CC1003" s="18">
        <v>0</v>
      </c>
      <c r="CD1003">
        <v>1</v>
      </c>
      <c r="CE1003">
        <v>1</v>
      </c>
      <c r="CF1003">
        <v>1</v>
      </c>
      <c r="CG1003">
        <v>1</v>
      </c>
      <c r="CH1003">
        <v>0</v>
      </c>
      <c r="CI1003">
        <v>0</v>
      </c>
      <c r="CJ1003">
        <v>1</v>
      </c>
      <c r="CK1003">
        <v>0</v>
      </c>
      <c r="CL1003">
        <v>1</v>
      </c>
      <c r="CM1003">
        <v>0</v>
      </c>
      <c r="CN1003" s="18">
        <v>1</v>
      </c>
      <c r="CO1003">
        <v>0.04</v>
      </c>
      <c r="CP1003">
        <v>4</v>
      </c>
      <c r="CQ1003">
        <v>1</v>
      </c>
      <c r="CR1003">
        <v>0</v>
      </c>
      <c r="CS1003">
        <v>21</v>
      </c>
      <c r="CY1003" s="34"/>
    </row>
    <row r="1004" spans="1:103" x14ac:dyDescent="0.25">
      <c r="A1004">
        <v>1003</v>
      </c>
      <c r="B1004">
        <v>69</v>
      </c>
      <c r="C1004" s="25" t="s">
        <v>4012</v>
      </c>
      <c r="D1004" s="12">
        <v>6.4</v>
      </c>
      <c r="E1004" s="14">
        <v>0.1</v>
      </c>
      <c r="F1004" s="7">
        <f t="shared" si="248"/>
        <v>64</v>
      </c>
      <c r="G1004" s="7">
        <f t="shared" si="236"/>
        <v>6.3000000000000007</v>
      </c>
      <c r="H1004" s="16">
        <f t="shared" si="237"/>
        <v>6.5</v>
      </c>
      <c r="I1004" s="11">
        <f t="shared" si="241"/>
        <v>4.5422983150308821E-2</v>
      </c>
      <c r="J1004" s="33">
        <f t="shared" si="242"/>
        <v>7.0973411172357533E-4</v>
      </c>
      <c r="K1004" s="33">
        <f t="shared" si="243"/>
        <v>1408.9783532758763</v>
      </c>
      <c r="L1004" s="8">
        <v>0</v>
      </c>
      <c r="M1004" s="9">
        <v>1</v>
      </c>
      <c r="N1004" s="8">
        <v>0</v>
      </c>
      <c r="O1004" s="9">
        <v>0</v>
      </c>
      <c r="P1004" s="9">
        <v>0</v>
      </c>
      <c r="Q1004" s="9">
        <v>1</v>
      </c>
      <c r="R1004" s="9">
        <v>0</v>
      </c>
      <c r="S1004" s="8">
        <v>1981128</v>
      </c>
      <c r="T1004" s="9">
        <v>3</v>
      </c>
      <c r="U1004" s="9">
        <f t="shared" si="238"/>
        <v>1981124</v>
      </c>
      <c r="V1004" s="9">
        <f t="shared" si="239"/>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47"/>
        <v>0.42200000000000004</v>
      </c>
      <c r="AS1004">
        <v>1</v>
      </c>
      <c r="AT1004" s="40">
        <v>0</v>
      </c>
      <c r="AU1004">
        <v>1</v>
      </c>
      <c r="AV1004" s="18">
        <v>0</v>
      </c>
      <c r="AW1004" t="s">
        <v>98</v>
      </c>
      <c r="AX1004" s="18" t="s">
        <v>98</v>
      </c>
      <c r="AY1004" s="18" t="s">
        <v>522</v>
      </c>
      <c r="AZ1004">
        <v>1</v>
      </c>
      <c r="BA1004">
        <v>0</v>
      </c>
      <c r="BB1004">
        <v>0</v>
      </c>
      <c r="BC1004">
        <v>0</v>
      </c>
      <c r="BD1004">
        <v>0</v>
      </c>
      <c r="BE1004">
        <v>0</v>
      </c>
      <c r="BF1004" s="18">
        <v>0</v>
      </c>
      <c r="BG1004">
        <v>1</v>
      </c>
      <c r="BH1004">
        <v>0</v>
      </c>
      <c r="BI1004" s="18">
        <v>0</v>
      </c>
      <c r="BJ1004">
        <v>12511</v>
      </c>
      <c r="BK1004">
        <v>9911</v>
      </c>
      <c r="BL1004" s="25">
        <v>37.270000000000003</v>
      </c>
      <c r="BM1004">
        <v>1</v>
      </c>
      <c r="BN1004">
        <v>0</v>
      </c>
      <c r="BO1004">
        <v>0</v>
      </c>
      <c r="BP1004">
        <v>0</v>
      </c>
      <c r="BQ1004">
        <v>0</v>
      </c>
      <c r="BR1004">
        <v>0</v>
      </c>
      <c r="BS1004">
        <v>0</v>
      </c>
      <c r="BT1004" s="18">
        <v>0</v>
      </c>
      <c r="BU1004">
        <v>0</v>
      </c>
      <c r="BV1004">
        <v>0</v>
      </c>
      <c r="BW1004">
        <v>1</v>
      </c>
      <c r="BX1004" s="18">
        <v>0</v>
      </c>
      <c r="BY1004">
        <v>0</v>
      </c>
      <c r="BZ1004">
        <v>0</v>
      </c>
      <c r="CA1004">
        <v>0</v>
      </c>
      <c r="CB1004">
        <v>0</v>
      </c>
      <c r="CC1004" s="18">
        <v>0</v>
      </c>
      <c r="CD1004">
        <v>1</v>
      </c>
      <c r="CE1004">
        <v>1</v>
      </c>
      <c r="CF1004">
        <v>1</v>
      </c>
      <c r="CG1004">
        <v>1</v>
      </c>
      <c r="CH1004">
        <v>0</v>
      </c>
      <c r="CI1004">
        <v>0</v>
      </c>
      <c r="CJ1004">
        <v>1</v>
      </c>
      <c r="CK1004">
        <v>0</v>
      </c>
      <c r="CL1004">
        <v>1</v>
      </c>
      <c r="CM1004">
        <v>0</v>
      </c>
      <c r="CN1004" s="18">
        <v>1</v>
      </c>
      <c r="CO1004">
        <v>0.04</v>
      </c>
      <c r="CP1004">
        <v>4</v>
      </c>
      <c r="CQ1004">
        <v>1</v>
      </c>
      <c r="CR1004">
        <v>0</v>
      </c>
      <c r="CS1004">
        <v>21</v>
      </c>
      <c r="CY1004" s="34"/>
    </row>
    <row r="1005" spans="1:103" x14ac:dyDescent="0.25">
      <c r="A1005">
        <v>1004</v>
      </c>
      <c r="B1005">
        <v>69</v>
      </c>
      <c r="C1005" s="25" t="s">
        <v>4012</v>
      </c>
      <c r="D1005" s="12">
        <v>6.38</v>
      </c>
      <c r="E1005" s="14">
        <v>0.1</v>
      </c>
      <c r="F1005" s="7">
        <f t="shared" si="248"/>
        <v>63.8</v>
      </c>
      <c r="G1005" s="7">
        <f t="shared" si="236"/>
        <v>6.28</v>
      </c>
      <c r="H1005" s="16">
        <f t="shared" si="237"/>
        <v>6.4799999999999995</v>
      </c>
      <c r="I1005" s="11">
        <f t="shared" si="241"/>
        <v>4.4601204955611651E-2</v>
      </c>
      <c r="J1005" s="33">
        <f t="shared" si="242"/>
        <v>6.9907844758011989E-4</v>
      </c>
      <c r="K1005" s="33">
        <f t="shared" si="243"/>
        <v>1430.4546270329586</v>
      </c>
      <c r="L1005" s="8">
        <v>0</v>
      </c>
      <c r="M1005" s="9">
        <v>1</v>
      </c>
      <c r="N1005" s="8">
        <v>0</v>
      </c>
      <c r="O1005" s="9">
        <v>0</v>
      </c>
      <c r="P1005" s="9">
        <v>0</v>
      </c>
      <c r="Q1005" s="9">
        <v>1</v>
      </c>
      <c r="R1005" s="9">
        <v>0</v>
      </c>
      <c r="S1005" s="8">
        <v>2042134</v>
      </c>
      <c r="T1005" s="9">
        <v>3</v>
      </c>
      <c r="U1005" s="9">
        <f t="shared" si="238"/>
        <v>2042130</v>
      </c>
      <c r="V1005" s="9">
        <f t="shared" si="239"/>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47"/>
        <v>0.45199999999999996</v>
      </c>
      <c r="AS1005">
        <v>1</v>
      </c>
      <c r="AT1005" s="40">
        <v>0</v>
      </c>
      <c r="AU1005">
        <v>1</v>
      </c>
      <c r="AV1005" s="18">
        <v>0</v>
      </c>
      <c r="AW1005" t="s">
        <v>98</v>
      </c>
      <c r="AX1005" s="18" t="s">
        <v>98</v>
      </c>
      <c r="AY1005" s="18" t="s">
        <v>522</v>
      </c>
      <c r="AZ1005">
        <v>1</v>
      </c>
      <c r="BA1005">
        <v>0</v>
      </c>
      <c r="BB1005">
        <v>0</v>
      </c>
      <c r="BC1005">
        <v>0</v>
      </c>
      <c r="BD1005">
        <v>0</v>
      </c>
      <c r="BE1005">
        <v>0</v>
      </c>
      <c r="BF1005" s="18">
        <v>0</v>
      </c>
      <c r="BG1005">
        <v>1</v>
      </c>
      <c r="BH1005">
        <v>0</v>
      </c>
      <c r="BI1005" s="18">
        <v>0</v>
      </c>
      <c r="BJ1005">
        <v>13110</v>
      </c>
      <c r="BK1005">
        <v>11530</v>
      </c>
      <c r="BL1005" s="25">
        <v>38.58</v>
      </c>
      <c r="BM1005">
        <v>1</v>
      </c>
      <c r="BN1005">
        <v>0</v>
      </c>
      <c r="BO1005">
        <v>0</v>
      </c>
      <c r="BP1005">
        <v>0</v>
      </c>
      <c r="BQ1005">
        <v>0</v>
      </c>
      <c r="BR1005">
        <v>0</v>
      </c>
      <c r="BS1005">
        <v>0</v>
      </c>
      <c r="BT1005" s="18">
        <v>0</v>
      </c>
      <c r="BU1005">
        <v>0</v>
      </c>
      <c r="BV1005">
        <v>0</v>
      </c>
      <c r="BW1005">
        <v>1</v>
      </c>
      <c r="BX1005" s="18">
        <v>0</v>
      </c>
      <c r="BY1005">
        <v>0</v>
      </c>
      <c r="BZ1005">
        <v>0</v>
      </c>
      <c r="CA1005">
        <v>0</v>
      </c>
      <c r="CB1005">
        <v>0</v>
      </c>
      <c r="CC1005" s="18">
        <v>0</v>
      </c>
      <c r="CD1005">
        <v>1</v>
      </c>
      <c r="CE1005">
        <v>1</v>
      </c>
      <c r="CF1005">
        <v>1</v>
      </c>
      <c r="CG1005">
        <v>1</v>
      </c>
      <c r="CH1005">
        <v>0</v>
      </c>
      <c r="CI1005">
        <v>0</v>
      </c>
      <c r="CJ1005">
        <v>1</v>
      </c>
      <c r="CK1005">
        <v>0</v>
      </c>
      <c r="CL1005">
        <v>1</v>
      </c>
      <c r="CM1005">
        <v>0</v>
      </c>
      <c r="CN1005" s="18">
        <v>1</v>
      </c>
      <c r="CO1005">
        <v>0.04</v>
      </c>
      <c r="CP1005">
        <v>4</v>
      </c>
      <c r="CQ1005">
        <v>1</v>
      </c>
      <c r="CR1005">
        <v>0</v>
      </c>
      <c r="CS1005">
        <v>21</v>
      </c>
      <c r="CY1005" s="34"/>
    </row>
    <row r="1006" spans="1:103" x14ac:dyDescent="0.25">
      <c r="A1006">
        <v>1005</v>
      </c>
      <c r="B1006">
        <v>69</v>
      </c>
      <c r="C1006" s="25" t="s">
        <v>4012</v>
      </c>
      <c r="D1006" s="12">
        <v>6.37</v>
      </c>
      <c r="E1006" s="14">
        <v>0.1</v>
      </c>
      <c r="F1006" s="7">
        <f t="shared" si="248"/>
        <v>63.699999999999996</v>
      </c>
      <c r="G1006" s="7">
        <f t="shared" si="236"/>
        <v>6.2700000000000005</v>
      </c>
      <c r="H1006" s="16">
        <f t="shared" si="237"/>
        <v>6.47</v>
      </c>
      <c r="I1006" s="11">
        <f t="shared" si="241"/>
        <v>4.6105479453435814E-2</v>
      </c>
      <c r="J1006" s="33">
        <f t="shared" si="242"/>
        <v>7.2379088623918087E-4</v>
      </c>
      <c r="K1006" s="33">
        <f t="shared" si="243"/>
        <v>1381.6145229404619</v>
      </c>
      <c r="L1006" s="8">
        <v>0</v>
      </c>
      <c r="M1006" s="9">
        <v>1</v>
      </c>
      <c r="N1006" s="8">
        <v>0</v>
      </c>
      <c r="O1006" s="9">
        <v>0</v>
      </c>
      <c r="P1006" s="9">
        <v>0</v>
      </c>
      <c r="Q1006" s="9">
        <v>1</v>
      </c>
      <c r="R1006" s="9">
        <v>0</v>
      </c>
      <c r="S1006" s="8">
        <v>1904805</v>
      </c>
      <c r="T1006" s="9">
        <v>3</v>
      </c>
      <c r="U1006" s="9">
        <f t="shared" si="238"/>
        <v>1904801</v>
      </c>
      <c r="V1006" s="9">
        <f t="shared" si="239"/>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47"/>
        <v>0.47299999999999998</v>
      </c>
      <c r="AS1006">
        <v>1</v>
      </c>
      <c r="AT1006" s="40">
        <v>0</v>
      </c>
      <c r="AU1006">
        <v>1</v>
      </c>
      <c r="AV1006" s="18">
        <v>0</v>
      </c>
      <c r="AW1006" t="s">
        <v>98</v>
      </c>
      <c r="AX1006" s="18" t="s">
        <v>98</v>
      </c>
      <c r="AY1006" s="18" t="s">
        <v>522</v>
      </c>
      <c r="AZ1006">
        <v>1</v>
      </c>
      <c r="BA1006">
        <v>0</v>
      </c>
      <c r="BB1006">
        <v>0</v>
      </c>
      <c r="BC1006">
        <v>0</v>
      </c>
      <c r="BD1006">
        <v>0</v>
      </c>
      <c r="BE1006">
        <v>0</v>
      </c>
      <c r="BF1006" s="18">
        <v>0</v>
      </c>
      <c r="BG1006">
        <v>1</v>
      </c>
      <c r="BH1006">
        <v>0</v>
      </c>
      <c r="BI1006" s="18">
        <v>0</v>
      </c>
      <c r="BJ1006">
        <v>11965</v>
      </c>
      <c r="BK1006">
        <v>11021</v>
      </c>
      <c r="BL1006" s="25">
        <v>39.659999999999997</v>
      </c>
      <c r="BM1006">
        <v>1</v>
      </c>
      <c r="BN1006">
        <v>0</v>
      </c>
      <c r="BO1006">
        <v>0</v>
      </c>
      <c r="BP1006">
        <v>0</v>
      </c>
      <c r="BQ1006">
        <v>0</v>
      </c>
      <c r="BR1006">
        <v>0</v>
      </c>
      <c r="BS1006">
        <v>0</v>
      </c>
      <c r="BT1006" s="18">
        <v>0</v>
      </c>
      <c r="BU1006">
        <v>0</v>
      </c>
      <c r="BV1006">
        <v>0</v>
      </c>
      <c r="BW1006">
        <v>1</v>
      </c>
      <c r="BX1006" s="18">
        <v>0</v>
      </c>
      <c r="BY1006">
        <v>0</v>
      </c>
      <c r="BZ1006">
        <v>0</v>
      </c>
      <c r="CA1006">
        <v>0</v>
      </c>
      <c r="CB1006">
        <v>0</v>
      </c>
      <c r="CC1006" s="18">
        <v>0</v>
      </c>
      <c r="CD1006">
        <v>1</v>
      </c>
      <c r="CE1006">
        <v>1</v>
      </c>
      <c r="CF1006">
        <v>1</v>
      </c>
      <c r="CG1006">
        <v>1</v>
      </c>
      <c r="CH1006">
        <v>0</v>
      </c>
      <c r="CI1006">
        <v>0</v>
      </c>
      <c r="CJ1006">
        <v>1</v>
      </c>
      <c r="CK1006">
        <v>0</v>
      </c>
      <c r="CL1006">
        <v>1</v>
      </c>
      <c r="CM1006">
        <v>0</v>
      </c>
      <c r="CN1006" s="18">
        <v>1</v>
      </c>
      <c r="CO1006">
        <v>0.04</v>
      </c>
      <c r="CP1006">
        <v>4</v>
      </c>
      <c r="CQ1006">
        <v>1</v>
      </c>
      <c r="CR1006">
        <v>0</v>
      </c>
      <c r="CS1006">
        <v>21</v>
      </c>
      <c r="CY1006" s="34"/>
    </row>
    <row r="1007" spans="1:103" x14ac:dyDescent="0.25">
      <c r="A1007">
        <v>1006</v>
      </c>
      <c r="B1007">
        <v>69</v>
      </c>
      <c r="C1007" s="25" t="s">
        <v>4012</v>
      </c>
      <c r="D1007" s="12">
        <v>6.11</v>
      </c>
      <c r="E1007" s="14">
        <v>0.1</v>
      </c>
      <c r="F1007" s="7">
        <f t="shared" si="248"/>
        <v>61.1</v>
      </c>
      <c r="G1007" s="7">
        <f t="shared" si="236"/>
        <v>6.0100000000000007</v>
      </c>
      <c r="H1007" s="16">
        <f t="shared" si="237"/>
        <v>6.21</v>
      </c>
      <c r="I1007" s="11">
        <f t="shared" si="241"/>
        <v>6.1281471570910073E-2</v>
      </c>
      <c r="J1007" s="33">
        <f t="shared" si="242"/>
        <v>1.002970074810312E-3</v>
      </c>
      <c r="K1007" s="33">
        <f t="shared" si="243"/>
        <v>997.0387204115998</v>
      </c>
      <c r="L1007" s="8">
        <v>0</v>
      </c>
      <c r="M1007" s="9">
        <v>1</v>
      </c>
      <c r="N1007" s="8">
        <v>0</v>
      </c>
      <c r="O1007" s="9">
        <v>0</v>
      </c>
      <c r="P1007" s="9">
        <v>0</v>
      </c>
      <c r="Q1007" s="9">
        <v>1</v>
      </c>
      <c r="R1007" s="9">
        <v>0</v>
      </c>
      <c r="S1007" s="8">
        <v>990357</v>
      </c>
      <c r="T1007" s="9">
        <v>3</v>
      </c>
      <c r="U1007" s="9">
        <f t="shared" si="238"/>
        <v>990353</v>
      </c>
      <c r="V1007" s="9">
        <f t="shared" si="239"/>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47"/>
        <v>0.33099999999999996</v>
      </c>
      <c r="AS1007">
        <v>1</v>
      </c>
      <c r="AT1007" s="40">
        <v>0</v>
      </c>
      <c r="AU1007">
        <v>1</v>
      </c>
      <c r="AV1007" s="18">
        <v>0</v>
      </c>
      <c r="AW1007" t="s">
        <v>98</v>
      </c>
      <c r="AX1007" s="18" t="s">
        <v>98</v>
      </c>
      <c r="AY1007" s="18" t="s">
        <v>522</v>
      </c>
      <c r="AZ1007">
        <v>1</v>
      </c>
      <c r="BA1007">
        <v>0</v>
      </c>
      <c r="BB1007">
        <v>0</v>
      </c>
      <c r="BC1007">
        <v>0</v>
      </c>
      <c r="BD1007">
        <v>0</v>
      </c>
      <c r="BE1007">
        <v>0</v>
      </c>
      <c r="BF1007" s="18">
        <v>0</v>
      </c>
      <c r="BG1007">
        <v>1</v>
      </c>
      <c r="BH1007">
        <v>0</v>
      </c>
      <c r="BI1007" s="18">
        <v>0</v>
      </c>
      <c r="BJ1007">
        <v>7294</v>
      </c>
      <c r="BK1007">
        <v>760</v>
      </c>
      <c r="BL1007" s="25">
        <v>34.99</v>
      </c>
      <c r="BM1007">
        <v>1</v>
      </c>
      <c r="BN1007">
        <v>0</v>
      </c>
      <c r="BO1007">
        <v>0</v>
      </c>
      <c r="BP1007">
        <v>0</v>
      </c>
      <c r="BQ1007">
        <v>0</v>
      </c>
      <c r="BR1007">
        <v>0</v>
      </c>
      <c r="BS1007">
        <v>0</v>
      </c>
      <c r="BT1007" s="18">
        <v>0</v>
      </c>
      <c r="BU1007">
        <v>0</v>
      </c>
      <c r="BV1007">
        <v>0</v>
      </c>
      <c r="BW1007">
        <v>1</v>
      </c>
      <c r="BX1007" s="18">
        <v>0</v>
      </c>
      <c r="BY1007">
        <v>0</v>
      </c>
      <c r="BZ1007">
        <v>0</v>
      </c>
      <c r="CA1007">
        <v>0</v>
      </c>
      <c r="CB1007">
        <v>0</v>
      </c>
      <c r="CC1007" s="18">
        <v>0</v>
      </c>
      <c r="CD1007">
        <v>1</v>
      </c>
      <c r="CE1007">
        <v>1</v>
      </c>
      <c r="CF1007">
        <v>1</v>
      </c>
      <c r="CG1007">
        <v>1</v>
      </c>
      <c r="CH1007">
        <v>0</v>
      </c>
      <c r="CI1007">
        <v>0</v>
      </c>
      <c r="CJ1007">
        <v>1</v>
      </c>
      <c r="CK1007">
        <v>0</v>
      </c>
      <c r="CL1007">
        <v>1</v>
      </c>
      <c r="CM1007">
        <v>0</v>
      </c>
      <c r="CN1007" s="18">
        <v>0</v>
      </c>
      <c r="CO1007">
        <v>0.04</v>
      </c>
      <c r="CP1007">
        <v>4</v>
      </c>
      <c r="CQ1007">
        <v>1</v>
      </c>
      <c r="CR1007">
        <v>0</v>
      </c>
      <c r="CS1007">
        <v>21</v>
      </c>
      <c r="CY1007" s="34"/>
    </row>
    <row r="1008" spans="1:103" x14ac:dyDescent="0.25">
      <c r="A1008">
        <v>1007</v>
      </c>
      <c r="B1008">
        <v>69</v>
      </c>
      <c r="C1008" s="25" t="s">
        <v>4012</v>
      </c>
      <c r="D1008" s="12">
        <v>7.19</v>
      </c>
      <c r="E1008" s="14">
        <v>0.1</v>
      </c>
      <c r="F1008" s="7">
        <f t="shared" si="248"/>
        <v>71.900000000000006</v>
      </c>
      <c r="G1008" s="7">
        <f t="shared" si="236"/>
        <v>7.0900000000000007</v>
      </c>
      <c r="H1008" s="16">
        <f t="shared" si="237"/>
        <v>7.29</v>
      </c>
      <c r="I1008" s="11">
        <f t="shared" si="241"/>
        <v>5.9304085037547423E-2</v>
      </c>
      <c r="J1008" s="33">
        <f t="shared" si="242"/>
        <v>8.248134219408542E-4</v>
      </c>
      <c r="K1008" s="33">
        <f t="shared" si="243"/>
        <v>1212.3954016738928</v>
      </c>
      <c r="L1008" s="8">
        <v>0</v>
      </c>
      <c r="M1008" s="9">
        <v>1</v>
      </c>
      <c r="N1008" s="8">
        <v>0</v>
      </c>
      <c r="O1008" s="9">
        <v>0</v>
      </c>
      <c r="P1008" s="9">
        <v>0</v>
      </c>
      <c r="Q1008" s="9">
        <v>1</v>
      </c>
      <c r="R1008" s="9">
        <v>0</v>
      </c>
      <c r="S1008" s="8">
        <v>1464737</v>
      </c>
      <c r="T1008" s="9">
        <v>3</v>
      </c>
      <c r="U1008" s="9">
        <f t="shared" si="238"/>
        <v>1464733</v>
      </c>
      <c r="V1008" s="9">
        <f t="shared" si="239"/>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47"/>
        <v>0.39900000000000002</v>
      </c>
      <c r="AS1008">
        <v>1</v>
      </c>
      <c r="AT1008" s="40">
        <v>0</v>
      </c>
      <c r="AU1008">
        <v>1</v>
      </c>
      <c r="AV1008" s="18">
        <v>0</v>
      </c>
      <c r="AW1008" t="s">
        <v>98</v>
      </c>
      <c r="AX1008" s="18" t="s">
        <v>98</v>
      </c>
      <c r="AY1008" s="18" t="s">
        <v>522</v>
      </c>
      <c r="AZ1008">
        <v>1</v>
      </c>
      <c r="BA1008">
        <v>0</v>
      </c>
      <c r="BB1008">
        <v>0</v>
      </c>
      <c r="BC1008">
        <v>0</v>
      </c>
      <c r="BD1008">
        <v>0</v>
      </c>
      <c r="BE1008">
        <v>0</v>
      </c>
      <c r="BF1008" s="18">
        <v>0</v>
      </c>
      <c r="BG1008">
        <v>1</v>
      </c>
      <c r="BH1008">
        <v>0</v>
      </c>
      <c r="BI1008" s="18">
        <v>0</v>
      </c>
      <c r="BJ1008">
        <v>10406</v>
      </c>
      <c r="BK1008">
        <v>9300</v>
      </c>
      <c r="BL1008" s="25">
        <v>35.799999999999997</v>
      </c>
      <c r="BM1008">
        <v>1</v>
      </c>
      <c r="BN1008">
        <v>0</v>
      </c>
      <c r="BO1008">
        <v>0</v>
      </c>
      <c r="BP1008">
        <v>0</v>
      </c>
      <c r="BQ1008">
        <v>0</v>
      </c>
      <c r="BR1008">
        <v>0</v>
      </c>
      <c r="BS1008">
        <v>0</v>
      </c>
      <c r="BT1008" s="18">
        <v>0</v>
      </c>
      <c r="BU1008">
        <v>0</v>
      </c>
      <c r="BV1008">
        <v>0</v>
      </c>
      <c r="BW1008">
        <v>1</v>
      </c>
      <c r="BX1008" s="18">
        <v>0</v>
      </c>
      <c r="BY1008">
        <v>0</v>
      </c>
      <c r="BZ1008">
        <v>0</v>
      </c>
      <c r="CA1008">
        <v>0</v>
      </c>
      <c r="CB1008">
        <v>0</v>
      </c>
      <c r="CC1008" s="18">
        <v>0</v>
      </c>
      <c r="CD1008">
        <v>1</v>
      </c>
      <c r="CE1008">
        <v>1</v>
      </c>
      <c r="CF1008">
        <v>1</v>
      </c>
      <c r="CG1008">
        <v>1</v>
      </c>
      <c r="CH1008">
        <v>0</v>
      </c>
      <c r="CI1008">
        <v>0</v>
      </c>
      <c r="CJ1008">
        <v>1</v>
      </c>
      <c r="CK1008">
        <v>0</v>
      </c>
      <c r="CL1008">
        <v>1</v>
      </c>
      <c r="CM1008">
        <v>0</v>
      </c>
      <c r="CN1008" s="18">
        <v>0</v>
      </c>
      <c r="CO1008">
        <v>0.04</v>
      </c>
      <c r="CP1008">
        <v>4</v>
      </c>
      <c r="CQ1008">
        <v>1</v>
      </c>
      <c r="CR1008">
        <v>0</v>
      </c>
      <c r="CS1008">
        <v>21</v>
      </c>
      <c r="CY1008" s="34"/>
    </row>
    <row r="1009" spans="1:103" x14ac:dyDescent="0.25">
      <c r="A1009">
        <v>1008</v>
      </c>
      <c r="B1009">
        <v>69</v>
      </c>
      <c r="C1009" s="25" t="s">
        <v>4012</v>
      </c>
      <c r="D1009" s="12">
        <v>7.32</v>
      </c>
      <c r="E1009" s="14">
        <v>0.1</v>
      </c>
      <c r="F1009" s="7">
        <f t="shared" si="248"/>
        <v>73.2</v>
      </c>
      <c r="G1009" s="7">
        <f t="shared" si="236"/>
        <v>7.2200000000000006</v>
      </c>
      <c r="H1009" s="16">
        <f t="shared" si="237"/>
        <v>7.42</v>
      </c>
      <c r="I1009" s="11">
        <f t="shared" si="241"/>
        <v>5.1936028652708639E-2</v>
      </c>
      <c r="J1009" s="33">
        <f t="shared" si="242"/>
        <v>7.095085881517573E-4</v>
      </c>
      <c r="K1009" s="33">
        <f t="shared" si="243"/>
        <v>1409.4262094909404</v>
      </c>
      <c r="L1009" s="8">
        <v>0</v>
      </c>
      <c r="M1009" s="9">
        <v>1</v>
      </c>
      <c r="N1009" s="8">
        <v>0</v>
      </c>
      <c r="O1009" s="9">
        <v>0</v>
      </c>
      <c r="P1009" s="9">
        <v>0</v>
      </c>
      <c r="Q1009" s="9">
        <v>1</v>
      </c>
      <c r="R1009" s="9">
        <v>0</v>
      </c>
      <c r="S1009" s="8">
        <v>1981128</v>
      </c>
      <c r="T1009" s="9">
        <v>3</v>
      </c>
      <c r="U1009" s="9">
        <f t="shared" si="238"/>
        <v>1981124</v>
      </c>
      <c r="V1009" s="9">
        <f t="shared" si="239"/>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47"/>
        <v>0.42200000000000004</v>
      </c>
      <c r="AS1009">
        <v>1</v>
      </c>
      <c r="AT1009" s="40">
        <v>0</v>
      </c>
      <c r="AU1009">
        <v>1</v>
      </c>
      <c r="AV1009" s="18">
        <v>0</v>
      </c>
      <c r="AW1009" t="s">
        <v>98</v>
      </c>
      <c r="AX1009" s="18" t="s">
        <v>98</v>
      </c>
      <c r="AY1009" s="18" t="s">
        <v>522</v>
      </c>
      <c r="AZ1009">
        <v>1</v>
      </c>
      <c r="BA1009">
        <v>0</v>
      </c>
      <c r="BB1009">
        <v>0</v>
      </c>
      <c r="BC1009">
        <v>0</v>
      </c>
      <c r="BD1009">
        <v>0</v>
      </c>
      <c r="BE1009">
        <v>0</v>
      </c>
      <c r="BF1009" s="18">
        <v>0</v>
      </c>
      <c r="BG1009">
        <v>1</v>
      </c>
      <c r="BH1009">
        <v>0</v>
      </c>
      <c r="BI1009" s="18">
        <v>0</v>
      </c>
      <c r="BJ1009">
        <v>12511</v>
      </c>
      <c r="BK1009">
        <v>9911</v>
      </c>
      <c r="BL1009" s="25">
        <v>37.270000000000003</v>
      </c>
      <c r="BM1009">
        <v>1</v>
      </c>
      <c r="BN1009">
        <v>0</v>
      </c>
      <c r="BO1009">
        <v>0</v>
      </c>
      <c r="BP1009">
        <v>0</v>
      </c>
      <c r="BQ1009">
        <v>0</v>
      </c>
      <c r="BR1009">
        <v>0</v>
      </c>
      <c r="BS1009">
        <v>0</v>
      </c>
      <c r="BT1009" s="18">
        <v>0</v>
      </c>
      <c r="BU1009">
        <v>0</v>
      </c>
      <c r="BV1009">
        <v>0</v>
      </c>
      <c r="BW1009">
        <v>1</v>
      </c>
      <c r="BX1009" s="18">
        <v>0</v>
      </c>
      <c r="BY1009">
        <v>0</v>
      </c>
      <c r="BZ1009">
        <v>0</v>
      </c>
      <c r="CA1009">
        <v>0</v>
      </c>
      <c r="CB1009">
        <v>0</v>
      </c>
      <c r="CC1009" s="18">
        <v>0</v>
      </c>
      <c r="CD1009">
        <v>1</v>
      </c>
      <c r="CE1009">
        <v>1</v>
      </c>
      <c r="CF1009">
        <v>1</v>
      </c>
      <c r="CG1009">
        <v>1</v>
      </c>
      <c r="CH1009">
        <v>0</v>
      </c>
      <c r="CI1009">
        <v>0</v>
      </c>
      <c r="CJ1009">
        <v>1</v>
      </c>
      <c r="CK1009">
        <v>0</v>
      </c>
      <c r="CL1009">
        <v>1</v>
      </c>
      <c r="CM1009">
        <v>0</v>
      </c>
      <c r="CN1009" s="18">
        <v>0</v>
      </c>
      <c r="CO1009">
        <v>0.04</v>
      </c>
      <c r="CP1009">
        <v>4</v>
      </c>
      <c r="CQ1009">
        <v>1</v>
      </c>
      <c r="CR1009">
        <v>0</v>
      </c>
      <c r="CS1009">
        <v>21</v>
      </c>
      <c r="CY1009" s="34"/>
    </row>
    <row r="1010" spans="1:103" x14ac:dyDescent="0.25">
      <c r="A1010">
        <v>1009</v>
      </c>
      <c r="B1010">
        <v>69</v>
      </c>
      <c r="C1010" s="25" t="s">
        <v>4012</v>
      </c>
      <c r="D1010" s="12">
        <v>7.16</v>
      </c>
      <c r="E1010" s="14">
        <v>0.1</v>
      </c>
      <c r="F1010" s="7">
        <f t="shared" si="248"/>
        <v>71.599999999999994</v>
      </c>
      <c r="G1010" s="7">
        <f t="shared" si="236"/>
        <v>7.0600000000000005</v>
      </c>
      <c r="H1010" s="16">
        <f t="shared" si="237"/>
        <v>7.26</v>
      </c>
      <c r="I1010" s="11">
        <f t="shared" si="241"/>
        <v>5.0041104476911825E-2</v>
      </c>
      <c r="J1010" s="33">
        <f t="shared" si="242"/>
        <v>6.9889810721943883E-4</v>
      </c>
      <c r="K1010" s="33">
        <f t="shared" si="243"/>
        <v>1430.8237347765798</v>
      </c>
      <c r="L1010" s="8">
        <v>0</v>
      </c>
      <c r="M1010" s="9">
        <v>1</v>
      </c>
      <c r="N1010" s="8">
        <v>0</v>
      </c>
      <c r="O1010" s="9">
        <v>0</v>
      </c>
      <c r="P1010" s="9">
        <v>0</v>
      </c>
      <c r="Q1010" s="9">
        <v>1</v>
      </c>
      <c r="R1010" s="9">
        <v>0</v>
      </c>
      <c r="S1010" s="8">
        <v>2042134</v>
      </c>
      <c r="T1010" s="9">
        <v>3</v>
      </c>
      <c r="U1010" s="9">
        <f t="shared" si="238"/>
        <v>2042130</v>
      </c>
      <c r="V1010" s="9">
        <f t="shared" si="239"/>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47"/>
        <v>0.45199999999999996</v>
      </c>
      <c r="AS1010">
        <v>1</v>
      </c>
      <c r="AT1010" s="40">
        <v>0</v>
      </c>
      <c r="AU1010">
        <v>1</v>
      </c>
      <c r="AV1010" s="18">
        <v>0</v>
      </c>
      <c r="AW1010" t="s">
        <v>98</v>
      </c>
      <c r="AX1010" s="18" t="s">
        <v>98</v>
      </c>
      <c r="AY1010" s="18" t="s">
        <v>522</v>
      </c>
      <c r="AZ1010">
        <v>1</v>
      </c>
      <c r="BA1010">
        <v>0</v>
      </c>
      <c r="BB1010">
        <v>0</v>
      </c>
      <c r="BC1010">
        <v>0</v>
      </c>
      <c r="BD1010">
        <v>0</v>
      </c>
      <c r="BE1010">
        <v>0</v>
      </c>
      <c r="BF1010" s="18">
        <v>0</v>
      </c>
      <c r="BG1010">
        <v>1</v>
      </c>
      <c r="BH1010">
        <v>0</v>
      </c>
      <c r="BI1010" s="18">
        <v>0</v>
      </c>
      <c r="BJ1010">
        <v>13110</v>
      </c>
      <c r="BK1010">
        <v>11530</v>
      </c>
      <c r="BL1010" s="25">
        <v>38.58</v>
      </c>
      <c r="BM1010">
        <v>1</v>
      </c>
      <c r="BN1010">
        <v>0</v>
      </c>
      <c r="BO1010">
        <v>0</v>
      </c>
      <c r="BP1010">
        <v>0</v>
      </c>
      <c r="BQ1010">
        <v>0</v>
      </c>
      <c r="BR1010">
        <v>0</v>
      </c>
      <c r="BS1010">
        <v>0</v>
      </c>
      <c r="BT1010" s="18">
        <v>0</v>
      </c>
      <c r="BU1010">
        <v>0</v>
      </c>
      <c r="BV1010">
        <v>0</v>
      </c>
      <c r="BW1010">
        <v>1</v>
      </c>
      <c r="BX1010" s="18">
        <v>0</v>
      </c>
      <c r="BY1010">
        <v>0</v>
      </c>
      <c r="BZ1010">
        <v>0</v>
      </c>
      <c r="CA1010">
        <v>0</v>
      </c>
      <c r="CB1010">
        <v>0</v>
      </c>
      <c r="CC1010" s="18">
        <v>0</v>
      </c>
      <c r="CD1010">
        <v>1</v>
      </c>
      <c r="CE1010">
        <v>1</v>
      </c>
      <c r="CF1010">
        <v>1</v>
      </c>
      <c r="CG1010">
        <v>1</v>
      </c>
      <c r="CH1010">
        <v>0</v>
      </c>
      <c r="CI1010">
        <v>0</v>
      </c>
      <c r="CJ1010">
        <v>1</v>
      </c>
      <c r="CK1010">
        <v>0</v>
      </c>
      <c r="CL1010">
        <v>1</v>
      </c>
      <c r="CM1010">
        <v>0</v>
      </c>
      <c r="CN1010" s="18">
        <v>0</v>
      </c>
      <c r="CO1010">
        <v>0.04</v>
      </c>
      <c r="CP1010">
        <v>4</v>
      </c>
      <c r="CQ1010">
        <v>1</v>
      </c>
      <c r="CR1010">
        <v>0</v>
      </c>
      <c r="CS1010">
        <v>21</v>
      </c>
      <c r="CY1010" s="34"/>
    </row>
    <row r="1011" spans="1:103" x14ac:dyDescent="0.25">
      <c r="A1011">
        <v>1010</v>
      </c>
      <c r="B1011">
        <v>69</v>
      </c>
      <c r="C1011" s="25" t="s">
        <v>4012</v>
      </c>
      <c r="D1011" s="12">
        <v>7.09</v>
      </c>
      <c r="E1011" s="14">
        <v>0.1</v>
      </c>
      <c r="F1011" s="7">
        <f t="shared" si="248"/>
        <v>70.899999999999991</v>
      </c>
      <c r="G1011" s="7">
        <f t="shared" si="236"/>
        <v>6.99</v>
      </c>
      <c r="H1011" s="16">
        <f t="shared" si="237"/>
        <v>7.1899999999999995</v>
      </c>
      <c r="I1011" s="11">
        <f t="shared" si="241"/>
        <v>5.130375213098886E-2</v>
      </c>
      <c r="J1011" s="33">
        <f t="shared" si="242"/>
        <v>7.2360722328616172E-4</v>
      </c>
      <c r="K1011" s="33">
        <f t="shared" si="243"/>
        <v>1381.9651985487912</v>
      </c>
      <c r="L1011" s="8">
        <v>0</v>
      </c>
      <c r="M1011" s="9">
        <v>1</v>
      </c>
      <c r="N1011" s="8">
        <v>0</v>
      </c>
      <c r="O1011" s="9">
        <v>0</v>
      </c>
      <c r="P1011" s="9">
        <v>0</v>
      </c>
      <c r="Q1011" s="9">
        <v>1</v>
      </c>
      <c r="R1011" s="9">
        <v>0</v>
      </c>
      <c r="S1011" s="8">
        <v>1904805</v>
      </c>
      <c r="T1011" s="9">
        <v>3</v>
      </c>
      <c r="U1011" s="9">
        <f t="shared" si="238"/>
        <v>1904801</v>
      </c>
      <c r="V1011" s="9">
        <f t="shared" si="239"/>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47"/>
        <v>0.47299999999999998</v>
      </c>
      <c r="AS1011">
        <v>1</v>
      </c>
      <c r="AT1011" s="40">
        <v>0</v>
      </c>
      <c r="AU1011">
        <v>1</v>
      </c>
      <c r="AV1011" s="18">
        <v>0</v>
      </c>
      <c r="AW1011" t="s">
        <v>98</v>
      </c>
      <c r="AX1011" s="18" t="s">
        <v>98</v>
      </c>
      <c r="AY1011" s="18" t="s">
        <v>522</v>
      </c>
      <c r="AZ1011">
        <v>1</v>
      </c>
      <c r="BA1011">
        <v>0</v>
      </c>
      <c r="BB1011">
        <v>0</v>
      </c>
      <c r="BC1011">
        <v>0</v>
      </c>
      <c r="BD1011">
        <v>0</v>
      </c>
      <c r="BE1011">
        <v>0</v>
      </c>
      <c r="BF1011" s="18">
        <v>0</v>
      </c>
      <c r="BG1011">
        <v>1</v>
      </c>
      <c r="BH1011">
        <v>0</v>
      </c>
      <c r="BI1011" s="18">
        <v>0</v>
      </c>
      <c r="BJ1011">
        <v>11965</v>
      </c>
      <c r="BK1011">
        <v>11021</v>
      </c>
      <c r="BL1011" s="25">
        <v>39.659999999999997</v>
      </c>
      <c r="BM1011">
        <v>1</v>
      </c>
      <c r="BN1011">
        <v>0</v>
      </c>
      <c r="BO1011">
        <v>0</v>
      </c>
      <c r="BP1011">
        <v>0</v>
      </c>
      <c r="BQ1011">
        <v>0</v>
      </c>
      <c r="BR1011">
        <v>0</v>
      </c>
      <c r="BS1011">
        <v>0</v>
      </c>
      <c r="BT1011" s="18">
        <v>0</v>
      </c>
      <c r="BU1011">
        <v>0</v>
      </c>
      <c r="BV1011">
        <v>0</v>
      </c>
      <c r="BW1011">
        <v>1</v>
      </c>
      <c r="BX1011" s="18">
        <v>0</v>
      </c>
      <c r="BY1011">
        <v>0</v>
      </c>
      <c r="BZ1011">
        <v>0</v>
      </c>
      <c r="CA1011">
        <v>0</v>
      </c>
      <c r="CB1011">
        <v>0</v>
      </c>
      <c r="CC1011" s="18">
        <v>0</v>
      </c>
      <c r="CD1011">
        <v>1</v>
      </c>
      <c r="CE1011">
        <v>1</v>
      </c>
      <c r="CF1011">
        <v>1</v>
      </c>
      <c r="CG1011">
        <v>1</v>
      </c>
      <c r="CH1011">
        <v>0</v>
      </c>
      <c r="CI1011">
        <v>0</v>
      </c>
      <c r="CJ1011">
        <v>1</v>
      </c>
      <c r="CK1011">
        <v>0</v>
      </c>
      <c r="CL1011">
        <v>1</v>
      </c>
      <c r="CM1011">
        <v>0</v>
      </c>
      <c r="CN1011" s="18">
        <v>0</v>
      </c>
      <c r="CO1011">
        <v>0.04</v>
      </c>
      <c r="CP1011">
        <v>4</v>
      </c>
      <c r="CQ1011">
        <v>1</v>
      </c>
      <c r="CR1011">
        <v>0</v>
      </c>
      <c r="CS1011">
        <v>21</v>
      </c>
      <c r="CY1011" s="34"/>
    </row>
    <row r="1012" spans="1:103" x14ac:dyDescent="0.25">
      <c r="A1012">
        <v>1011</v>
      </c>
      <c r="B1012">
        <v>70</v>
      </c>
      <c r="C1012" s="25" t="s">
        <v>4026</v>
      </c>
      <c r="D1012" s="12">
        <v>7.39</v>
      </c>
      <c r="E1012" s="14">
        <f t="shared" ref="E1012:E1047" si="249">D1012/F1012</f>
        <v>0.79147477776587771</v>
      </c>
      <c r="F1012" s="7">
        <v>9.3369999999999997</v>
      </c>
      <c r="G1012" s="7">
        <f t="shared" si="236"/>
        <v>6.5985252222341222</v>
      </c>
      <c r="H1012" s="16">
        <f t="shared" si="237"/>
        <v>8.1814747777658781</v>
      </c>
      <c r="I1012" s="11">
        <f t="shared" si="241"/>
        <v>0.35185655694543444</v>
      </c>
      <c r="J1012" s="33">
        <f t="shared" si="242"/>
        <v>3.7684112342876136E-2</v>
      </c>
      <c r="K1012" s="33">
        <f t="shared" si="243"/>
        <v>26.536381987754094</v>
      </c>
      <c r="L1012" s="8">
        <v>1</v>
      </c>
      <c r="M1012" s="9">
        <v>0</v>
      </c>
      <c r="N1012" s="8">
        <v>1</v>
      </c>
      <c r="O1012" s="9">
        <v>0</v>
      </c>
      <c r="P1012" s="9">
        <v>0</v>
      </c>
      <c r="Q1012" s="9">
        <v>0</v>
      </c>
      <c r="R1012" s="9">
        <v>0</v>
      </c>
      <c r="S1012" s="8">
        <v>628</v>
      </c>
      <c r="T1012" s="9">
        <v>10</v>
      </c>
      <c r="U1012" s="9">
        <f t="shared" si="238"/>
        <v>617</v>
      </c>
      <c r="V1012" s="9">
        <f t="shared" si="239"/>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47"/>
        <v>0.44750000000000001</v>
      </c>
      <c r="AS1012">
        <v>56.05</v>
      </c>
      <c r="AT1012" s="40">
        <v>43.05</v>
      </c>
      <c r="AU1012">
        <v>0</v>
      </c>
      <c r="AV1012" s="18">
        <v>1</v>
      </c>
      <c r="AW1012">
        <v>0</v>
      </c>
      <c r="AX1012" s="18">
        <v>1</v>
      </c>
      <c r="AY1012" s="18" t="s">
        <v>5</v>
      </c>
      <c r="AZ1012">
        <v>0</v>
      </c>
      <c r="BA1012">
        <v>1</v>
      </c>
      <c r="BB1012">
        <v>0</v>
      </c>
      <c r="BC1012">
        <v>0</v>
      </c>
      <c r="BD1012">
        <v>0</v>
      </c>
      <c r="BE1012">
        <v>0</v>
      </c>
      <c r="BF1012" s="18">
        <v>0</v>
      </c>
      <c r="BG1012">
        <v>0</v>
      </c>
      <c r="BH1012">
        <v>1</v>
      </c>
      <c r="BI1012" s="18">
        <v>0</v>
      </c>
      <c r="BJ1012">
        <v>1462</v>
      </c>
      <c r="BK1012">
        <v>176</v>
      </c>
      <c r="BL1012" s="93">
        <f t="shared" ref="BL1012:BL1047" si="250">W1012+X1012+6</f>
        <v>33.730000000000004</v>
      </c>
      <c r="BM1012">
        <v>1</v>
      </c>
      <c r="BN1012">
        <v>0</v>
      </c>
      <c r="BO1012">
        <v>0</v>
      </c>
      <c r="BP1012">
        <v>0</v>
      </c>
      <c r="BQ1012">
        <v>0</v>
      </c>
      <c r="BR1012">
        <v>0</v>
      </c>
      <c r="BS1012">
        <v>0</v>
      </c>
      <c r="BT1012" s="18">
        <v>0</v>
      </c>
      <c r="BU1012">
        <v>0</v>
      </c>
      <c r="BV1012">
        <v>0</v>
      </c>
      <c r="BW1012">
        <v>1</v>
      </c>
      <c r="BX1012" s="18">
        <v>0</v>
      </c>
      <c r="BY1012">
        <v>0</v>
      </c>
      <c r="BZ1012">
        <v>0</v>
      </c>
      <c r="CA1012">
        <v>0</v>
      </c>
      <c r="CB1012">
        <v>0</v>
      </c>
      <c r="CC1012" s="18">
        <v>0</v>
      </c>
      <c r="CD1012">
        <v>0</v>
      </c>
      <c r="CE1012">
        <v>0</v>
      </c>
      <c r="CF1012">
        <v>1</v>
      </c>
      <c r="CG1012">
        <v>1</v>
      </c>
      <c r="CH1012">
        <v>0</v>
      </c>
      <c r="CI1012">
        <v>1</v>
      </c>
      <c r="CJ1012">
        <v>1</v>
      </c>
      <c r="CK1012">
        <v>0</v>
      </c>
      <c r="CL1012">
        <v>0</v>
      </c>
      <c r="CM1012">
        <v>1</v>
      </c>
      <c r="CN1012" s="18">
        <v>0</v>
      </c>
      <c r="CO1012">
        <v>0</v>
      </c>
      <c r="CP1012">
        <v>2</v>
      </c>
      <c r="CQ1012">
        <v>0</v>
      </c>
      <c r="CR1012">
        <v>1</v>
      </c>
      <c r="CS1012">
        <v>16</v>
      </c>
      <c r="CY1012" s="34"/>
    </row>
    <row r="1013" spans="1:103" x14ac:dyDescent="0.25">
      <c r="A1013">
        <v>1012</v>
      </c>
      <c r="B1013">
        <v>70</v>
      </c>
      <c r="C1013" s="25" t="s">
        <v>4026</v>
      </c>
      <c r="D1013" s="12">
        <v>7.43</v>
      </c>
      <c r="E1013" s="14">
        <f t="shared" si="249"/>
        <v>0.79067787591784611</v>
      </c>
      <c r="F1013" s="7">
        <v>9.3970000000000002</v>
      </c>
      <c r="G1013" s="7">
        <f t="shared" si="236"/>
        <v>6.6393221240821534</v>
      </c>
      <c r="H1013" s="16">
        <f t="shared" si="237"/>
        <v>8.2206778759178452</v>
      </c>
      <c r="I1013" s="11">
        <f t="shared" si="241"/>
        <v>0.35535001823810058</v>
      </c>
      <c r="J1013" s="33">
        <f t="shared" si="242"/>
        <v>3.7815262130265044E-2</v>
      </c>
      <c r="K1013" s="33">
        <f t="shared" si="243"/>
        <v>26.444349282975367</v>
      </c>
      <c r="L1013" s="8">
        <v>1</v>
      </c>
      <c r="M1013" s="9">
        <v>0</v>
      </c>
      <c r="N1013" s="8">
        <v>1</v>
      </c>
      <c r="O1013" s="9">
        <v>0</v>
      </c>
      <c r="P1013" s="9">
        <v>0</v>
      </c>
      <c r="Q1013" s="9">
        <v>0</v>
      </c>
      <c r="R1013" s="9">
        <v>0</v>
      </c>
      <c r="S1013" s="8">
        <v>628</v>
      </c>
      <c r="T1013" s="9">
        <v>16</v>
      </c>
      <c r="U1013" s="9">
        <f t="shared" si="238"/>
        <v>611</v>
      </c>
      <c r="V1013" s="9">
        <f t="shared" si="239"/>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47"/>
        <v>0.44750000000000001</v>
      </c>
      <c r="AS1013">
        <v>56.05</v>
      </c>
      <c r="AT1013" s="40">
        <v>43.05</v>
      </c>
      <c r="AU1013">
        <v>0</v>
      </c>
      <c r="AV1013" s="18">
        <v>1</v>
      </c>
      <c r="AW1013">
        <v>0</v>
      </c>
      <c r="AX1013" s="18">
        <v>1</v>
      </c>
      <c r="AY1013" s="18" t="s">
        <v>5</v>
      </c>
      <c r="AZ1013">
        <v>0</v>
      </c>
      <c r="BA1013">
        <v>1</v>
      </c>
      <c r="BB1013">
        <v>0</v>
      </c>
      <c r="BC1013">
        <v>0</v>
      </c>
      <c r="BD1013">
        <v>0</v>
      </c>
      <c r="BE1013">
        <v>0</v>
      </c>
      <c r="BF1013" s="18">
        <v>0</v>
      </c>
      <c r="BG1013">
        <v>0</v>
      </c>
      <c r="BH1013">
        <v>1</v>
      </c>
      <c r="BI1013" s="18">
        <v>0</v>
      </c>
      <c r="BJ1013">
        <v>1462</v>
      </c>
      <c r="BK1013">
        <v>176</v>
      </c>
      <c r="BL1013" s="93">
        <f t="shared" si="250"/>
        <v>33.730000000000004</v>
      </c>
      <c r="BM1013">
        <v>1</v>
      </c>
      <c r="BN1013">
        <v>0</v>
      </c>
      <c r="BO1013">
        <v>0</v>
      </c>
      <c r="BP1013">
        <v>0</v>
      </c>
      <c r="BQ1013">
        <v>0</v>
      </c>
      <c r="BR1013">
        <v>0</v>
      </c>
      <c r="BS1013">
        <v>0</v>
      </c>
      <c r="BT1013" s="18">
        <v>0</v>
      </c>
      <c r="BU1013">
        <v>0</v>
      </c>
      <c r="BV1013">
        <v>0</v>
      </c>
      <c r="BW1013">
        <v>1</v>
      </c>
      <c r="BX1013" s="18">
        <v>0</v>
      </c>
      <c r="BY1013">
        <v>0</v>
      </c>
      <c r="BZ1013">
        <v>0</v>
      </c>
      <c r="CA1013">
        <v>0</v>
      </c>
      <c r="CB1013">
        <v>0</v>
      </c>
      <c r="CC1013" s="18">
        <v>0</v>
      </c>
      <c r="CD1013">
        <v>0</v>
      </c>
      <c r="CE1013">
        <v>0</v>
      </c>
      <c r="CF1013">
        <v>1</v>
      </c>
      <c r="CG1013">
        <v>1</v>
      </c>
      <c r="CH1013">
        <v>0</v>
      </c>
      <c r="CI1013">
        <v>1</v>
      </c>
      <c r="CJ1013">
        <v>1</v>
      </c>
      <c r="CK1013">
        <v>0</v>
      </c>
      <c r="CL1013">
        <v>1</v>
      </c>
      <c r="CM1013">
        <v>1</v>
      </c>
      <c r="CN1013" s="18">
        <v>0</v>
      </c>
      <c r="CO1013">
        <v>0</v>
      </c>
      <c r="CP1013">
        <v>2</v>
      </c>
      <c r="CQ1013">
        <v>0</v>
      </c>
      <c r="CR1013">
        <v>1</v>
      </c>
      <c r="CS1013">
        <v>16</v>
      </c>
      <c r="CY1013" s="34"/>
    </row>
    <row r="1014" spans="1:103" x14ac:dyDescent="0.25">
      <c r="A1014">
        <v>1013</v>
      </c>
      <c r="B1014">
        <v>70</v>
      </c>
      <c r="C1014" s="25" t="s">
        <v>4026</v>
      </c>
      <c r="D1014" s="12">
        <v>7.37</v>
      </c>
      <c r="E1014" s="14">
        <f t="shared" si="249"/>
        <v>0.79392437789507708</v>
      </c>
      <c r="F1014" s="7">
        <v>9.2829999999999995</v>
      </c>
      <c r="G1014" s="7">
        <f t="shared" si="236"/>
        <v>6.5760756221049235</v>
      </c>
      <c r="H1014" s="16">
        <f t="shared" si="237"/>
        <v>8.1639243778950767</v>
      </c>
      <c r="I1014" s="11">
        <f t="shared" si="241"/>
        <v>0.35182720878246931</v>
      </c>
      <c r="J1014" s="33">
        <f t="shared" si="242"/>
        <v>3.7900162531775222E-2</v>
      </c>
      <c r="K1014" s="33">
        <f t="shared" si="243"/>
        <v>26.385111123510544</v>
      </c>
      <c r="L1014" s="8">
        <v>1</v>
      </c>
      <c r="M1014" s="9">
        <v>0</v>
      </c>
      <c r="N1014" s="8">
        <v>1</v>
      </c>
      <c r="O1014" s="9">
        <v>0</v>
      </c>
      <c r="P1014" s="9">
        <v>0</v>
      </c>
      <c r="Q1014" s="9">
        <v>0</v>
      </c>
      <c r="R1014" s="9">
        <v>0</v>
      </c>
      <c r="S1014" s="8">
        <v>628</v>
      </c>
      <c r="T1014" s="9">
        <v>17</v>
      </c>
      <c r="U1014" s="9">
        <f t="shared" si="238"/>
        <v>610</v>
      </c>
      <c r="V1014" s="9">
        <f t="shared" si="239"/>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47"/>
        <v>0.44750000000000001</v>
      </c>
      <c r="AS1014">
        <v>56.05</v>
      </c>
      <c r="AT1014" s="40">
        <v>43.05</v>
      </c>
      <c r="AU1014">
        <v>0</v>
      </c>
      <c r="AV1014" s="18">
        <v>1</v>
      </c>
      <c r="AW1014">
        <v>0</v>
      </c>
      <c r="AX1014" s="18">
        <v>1</v>
      </c>
      <c r="AY1014" s="18" t="s">
        <v>5</v>
      </c>
      <c r="AZ1014">
        <v>0</v>
      </c>
      <c r="BA1014">
        <v>1</v>
      </c>
      <c r="BB1014">
        <v>0</v>
      </c>
      <c r="BC1014">
        <v>0</v>
      </c>
      <c r="BD1014">
        <v>0</v>
      </c>
      <c r="BE1014">
        <v>0</v>
      </c>
      <c r="BF1014" s="18">
        <v>0</v>
      </c>
      <c r="BG1014">
        <v>0</v>
      </c>
      <c r="BH1014">
        <v>1</v>
      </c>
      <c r="BI1014" s="18">
        <v>0</v>
      </c>
      <c r="BJ1014">
        <v>1462</v>
      </c>
      <c r="BK1014">
        <v>176</v>
      </c>
      <c r="BL1014" s="93">
        <f t="shared" si="250"/>
        <v>33.730000000000004</v>
      </c>
      <c r="BM1014">
        <v>1</v>
      </c>
      <c r="BN1014">
        <v>0</v>
      </c>
      <c r="BO1014">
        <v>0</v>
      </c>
      <c r="BP1014">
        <v>0</v>
      </c>
      <c r="BQ1014">
        <v>0</v>
      </c>
      <c r="BR1014">
        <v>0</v>
      </c>
      <c r="BS1014">
        <v>0</v>
      </c>
      <c r="BT1014" s="18">
        <v>0</v>
      </c>
      <c r="BU1014">
        <v>0</v>
      </c>
      <c r="BV1014">
        <v>0</v>
      </c>
      <c r="BW1014">
        <v>1</v>
      </c>
      <c r="BX1014" s="18">
        <v>0</v>
      </c>
      <c r="BY1014">
        <v>0</v>
      </c>
      <c r="BZ1014">
        <v>0</v>
      </c>
      <c r="CA1014">
        <v>0</v>
      </c>
      <c r="CB1014">
        <v>0</v>
      </c>
      <c r="CC1014" s="18">
        <v>0</v>
      </c>
      <c r="CD1014">
        <v>0</v>
      </c>
      <c r="CE1014">
        <v>0</v>
      </c>
      <c r="CF1014">
        <v>1</v>
      </c>
      <c r="CG1014">
        <v>1</v>
      </c>
      <c r="CH1014">
        <v>0</v>
      </c>
      <c r="CI1014">
        <v>1</v>
      </c>
      <c r="CJ1014">
        <v>1</v>
      </c>
      <c r="CK1014">
        <v>1</v>
      </c>
      <c r="CL1014">
        <v>1</v>
      </c>
      <c r="CM1014">
        <v>1</v>
      </c>
      <c r="CN1014" s="18">
        <v>0</v>
      </c>
      <c r="CO1014">
        <v>0</v>
      </c>
      <c r="CP1014">
        <v>2</v>
      </c>
      <c r="CQ1014">
        <v>0</v>
      </c>
      <c r="CR1014">
        <v>1</v>
      </c>
      <c r="CS1014">
        <v>16</v>
      </c>
      <c r="CY1014" s="34"/>
    </row>
    <row r="1015" spans="1:103" x14ac:dyDescent="0.25">
      <c r="A1015">
        <v>1014</v>
      </c>
      <c r="B1015">
        <v>70</v>
      </c>
      <c r="C1015" s="25" t="s">
        <v>4026</v>
      </c>
      <c r="D1015" s="12">
        <v>6.99</v>
      </c>
      <c r="E1015" s="14">
        <f t="shared" si="249"/>
        <v>0.79721715328467146</v>
      </c>
      <c r="F1015" s="7">
        <v>8.7680000000000007</v>
      </c>
      <c r="G1015" s="7">
        <f t="shared" si="236"/>
        <v>6.1927828467153283</v>
      </c>
      <c r="H1015" s="16">
        <f t="shared" si="237"/>
        <v>7.7872171532846721</v>
      </c>
      <c r="I1015" s="11">
        <f t="shared" si="241"/>
        <v>0.33479361013613657</v>
      </c>
      <c r="J1015" s="33">
        <f t="shared" si="242"/>
        <v>3.8183577798373232E-2</v>
      </c>
      <c r="K1015" s="33">
        <f t="shared" si="243"/>
        <v>26.189269252882948</v>
      </c>
      <c r="L1015" s="8">
        <v>1</v>
      </c>
      <c r="M1015" s="9">
        <v>0</v>
      </c>
      <c r="N1015" s="8">
        <v>1</v>
      </c>
      <c r="O1015" s="9">
        <v>0</v>
      </c>
      <c r="P1015" s="9">
        <v>0</v>
      </c>
      <c r="Q1015" s="9">
        <v>0</v>
      </c>
      <c r="R1015" s="9">
        <v>0</v>
      </c>
      <c r="S1015" s="8">
        <v>628</v>
      </c>
      <c r="T1015" s="9">
        <v>18</v>
      </c>
      <c r="U1015" s="9">
        <f t="shared" si="238"/>
        <v>609</v>
      </c>
      <c r="V1015" s="9">
        <f t="shared" si="239"/>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47"/>
        <v>0.44750000000000001</v>
      </c>
      <c r="AS1015">
        <v>56.05</v>
      </c>
      <c r="AT1015" s="40">
        <v>43.05</v>
      </c>
      <c r="AU1015">
        <v>0</v>
      </c>
      <c r="AV1015" s="18">
        <v>1</v>
      </c>
      <c r="AW1015">
        <v>0</v>
      </c>
      <c r="AX1015" s="18">
        <v>1</v>
      </c>
      <c r="AY1015" s="18" t="s">
        <v>5</v>
      </c>
      <c r="AZ1015">
        <v>0</v>
      </c>
      <c r="BA1015">
        <v>1</v>
      </c>
      <c r="BB1015">
        <v>0</v>
      </c>
      <c r="BC1015">
        <v>0</v>
      </c>
      <c r="BD1015">
        <v>0</v>
      </c>
      <c r="BE1015">
        <v>0</v>
      </c>
      <c r="BF1015" s="18">
        <v>0</v>
      </c>
      <c r="BG1015">
        <v>0</v>
      </c>
      <c r="BH1015">
        <v>1</v>
      </c>
      <c r="BI1015" s="18">
        <v>0</v>
      </c>
      <c r="BJ1015">
        <v>1462</v>
      </c>
      <c r="BK1015">
        <v>176</v>
      </c>
      <c r="BL1015" s="93">
        <f t="shared" si="250"/>
        <v>33.730000000000004</v>
      </c>
      <c r="BM1015">
        <v>1</v>
      </c>
      <c r="BN1015">
        <v>0</v>
      </c>
      <c r="BO1015">
        <v>0</v>
      </c>
      <c r="BP1015">
        <v>0</v>
      </c>
      <c r="BQ1015">
        <v>0</v>
      </c>
      <c r="BR1015">
        <v>0</v>
      </c>
      <c r="BS1015">
        <v>0</v>
      </c>
      <c r="BT1015" s="18">
        <v>0</v>
      </c>
      <c r="BU1015">
        <v>0</v>
      </c>
      <c r="BV1015">
        <v>0</v>
      </c>
      <c r="BW1015">
        <v>1</v>
      </c>
      <c r="BX1015" s="18">
        <v>0</v>
      </c>
      <c r="BY1015">
        <v>0</v>
      </c>
      <c r="BZ1015">
        <v>0</v>
      </c>
      <c r="CA1015">
        <v>0</v>
      </c>
      <c r="CB1015">
        <v>0</v>
      </c>
      <c r="CC1015" s="18">
        <v>0</v>
      </c>
      <c r="CD1015">
        <v>0</v>
      </c>
      <c r="CE1015">
        <v>0</v>
      </c>
      <c r="CF1015">
        <v>1</v>
      </c>
      <c r="CG1015">
        <v>1</v>
      </c>
      <c r="CH1015">
        <v>0</v>
      </c>
      <c r="CI1015">
        <v>1</v>
      </c>
      <c r="CJ1015">
        <v>1</v>
      </c>
      <c r="CK1015">
        <v>1</v>
      </c>
      <c r="CL1015">
        <v>1</v>
      </c>
      <c r="CM1015">
        <v>1</v>
      </c>
      <c r="CN1015" s="18">
        <v>0</v>
      </c>
      <c r="CO1015">
        <v>0</v>
      </c>
      <c r="CP1015">
        <v>2</v>
      </c>
      <c r="CQ1015">
        <v>0</v>
      </c>
      <c r="CR1015">
        <v>1</v>
      </c>
      <c r="CS1015">
        <v>16</v>
      </c>
      <c r="CY1015" s="34"/>
    </row>
    <row r="1016" spans="1:103" x14ac:dyDescent="0.25">
      <c r="A1016">
        <v>1015</v>
      </c>
      <c r="B1016">
        <v>70</v>
      </c>
      <c r="C1016" s="25" t="s">
        <v>4026</v>
      </c>
      <c r="D1016" s="12">
        <v>25.3</v>
      </c>
      <c r="E1016" s="14">
        <f t="shared" si="249"/>
        <v>4.7780925401322003</v>
      </c>
      <c r="F1016" s="7">
        <v>5.2949999999999999</v>
      </c>
      <c r="G1016" s="7">
        <f t="shared" si="236"/>
        <v>20.521907459867801</v>
      </c>
      <c r="H1016" s="16">
        <f t="shared" si="237"/>
        <v>30.0780925401322</v>
      </c>
      <c r="I1016" s="11">
        <f t="shared" si="241"/>
        <v>0.20848443765544997</v>
      </c>
      <c r="J1016" s="33">
        <f t="shared" si="242"/>
        <v>3.9373831474117084E-2</v>
      </c>
      <c r="K1016" s="33">
        <f t="shared" si="243"/>
        <v>25.39757911691585</v>
      </c>
      <c r="L1016" s="8">
        <v>1</v>
      </c>
      <c r="M1016" s="9">
        <v>0</v>
      </c>
      <c r="N1016" s="8">
        <v>1</v>
      </c>
      <c r="O1016" s="9">
        <v>0</v>
      </c>
      <c r="P1016" s="9">
        <v>0</v>
      </c>
      <c r="Q1016" s="9">
        <v>0</v>
      </c>
      <c r="R1016" s="9">
        <v>0</v>
      </c>
      <c r="S1016" s="8">
        <v>628</v>
      </c>
      <c r="T1016" s="9">
        <v>10</v>
      </c>
      <c r="U1016" s="9">
        <f t="shared" si="238"/>
        <v>617</v>
      </c>
      <c r="V1016" s="9">
        <f t="shared" si="239"/>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47"/>
        <v>0.44750000000000001</v>
      </c>
      <c r="AS1016">
        <v>56.05</v>
      </c>
      <c r="AT1016" s="40">
        <v>43.05</v>
      </c>
      <c r="AU1016">
        <v>0</v>
      </c>
      <c r="AV1016" s="18">
        <v>1</v>
      </c>
      <c r="AW1016">
        <v>0</v>
      </c>
      <c r="AX1016" s="18">
        <v>1</v>
      </c>
      <c r="AY1016" s="18" t="s">
        <v>5</v>
      </c>
      <c r="AZ1016">
        <v>0</v>
      </c>
      <c r="BA1016">
        <v>1</v>
      </c>
      <c r="BB1016">
        <v>0</v>
      </c>
      <c r="BC1016">
        <v>0</v>
      </c>
      <c r="BD1016">
        <v>0</v>
      </c>
      <c r="BE1016">
        <v>0</v>
      </c>
      <c r="BF1016" s="18">
        <v>0</v>
      </c>
      <c r="BG1016">
        <v>0</v>
      </c>
      <c r="BH1016">
        <v>1</v>
      </c>
      <c r="BI1016" s="18">
        <v>0</v>
      </c>
      <c r="BJ1016">
        <v>1462</v>
      </c>
      <c r="BK1016">
        <v>176</v>
      </c>
      <c r="BL1016" s="93">
        <f t="shared" si="250"/>
        <v>33.730000000000004</v>
      </c>
      <c r="BM1016">
        <v>0</v>
      </c>
      <c r="BN1016">
        <v>0</v>
      </c>
      <c r="BO1016">
        <v>0</v>
      </c>
      <c r="BP1016">
        <v>0</v>
      </c>
      <c r="BQ1016">
        <v>1</v>
      </c>
      <c r="BR1016">
        <v>0</v>
      </c>
      <c r="BS1016">
        <v>0</v>
      </c>
      <c r="BT1016" s="18">
        <v>0</v>
      </c>
      <c r="BU1016">
        <v>0</v>
      </c>
      <c r="BV1016">
        <v>1</v>
      </c>
      <c r="BW1016">
        <v>0</v>
      </c>
      <c r="BX1016" s="18">
        <v>0</v>
      </c>
      <c r="BY1016">
        <v>0</v>
      </c>
      <c r="BZ1016">
        <v>0</v>
      </c>
      <c r="CA1016">
        <v>0</v>
      </c>
      <c r="CB1016">
        <v>0</v>
      </c>
      <c r="CC1016" s="18">
        <v>0</v>
      </c>
      <c r="CD1016">
        <v>0</v>
      </c>
      <c r="CE1016">
        <v>0</v>
      </c>
      <c r="CF1016">
        <v>1</v>
      </c>
      <c r="CG1016">
        <v>1</v>
      </c>
      <c r="CH1016">
        <v>0</v>
      </c>
      <c r="CI1016">
        <v>1</v>
      </c>
      <c r="CJ1016">
        <v>1</v>
      </c>
      <c r="CK1016">
        <v>0</v>
      </c>
      <c r="CL1016">
        <v>0</v>
      </c>
      <c r="CM1016">
        <v>1</v>
      </c>
      <c r="CN1016" s="18">
        <v>0</v>
      </c>
      <c r="CO1016">
        <v>0</v>
      </c>
      <c r="CP1016">
        <v>2</v>
      </c>
      <c r="CQ1016">
        <v>0</v>
      </c>
      <c r="CR1016">
        <v>1</v>
      </c>
      <c r="CS1016">
        <v>16</v>
      </c>
      <c r="CY1016" s="34"/>
    </row>
    <row r="1017" spans="1:103" x14ac:dyDescent="0.25">
      <c r="A1017">
        <v>1016</v>
      </c>
      <c r="B1017">
        <v>70</v>
      </c>
      <c r="C1017" s="25" t="s">
        <v>4026</v>
      </c>
      <c r="D1017" s="12">
        <v>29</v>
      </c>
      <c r="E1017" s="14">
        <f t="shared" si="249"/>
        <v>6.2634989200863931</v>
      </c>
      <c r="F1017" s="7">
        <v>4.63</v>
      </c>
      <c r="G1017" s="7">
        <f t="shared" si="236"/>
        <v>22.736501079913609</v>
      </c>
      <c r="H1017" s="16">
        <f t="shared" si="237"/>
        <v>35.263498920086391</v>
      </c>
      <c r="I1017" s="11">
        <f t="shared" si="241"/>
        <v>0.18324072479867753</v>
      </c>
      <c r="J1017" s="33">
        <f t="shared" si="242"/>
        <v>3.9576830410081545E-2</v>
      </c>
      <c r="K1017" s="33">
        <f t="shared" si="243"/>
        <v>25.267308918838193</v>
      </c>
      <c r="L1017" s="8">
        <v>1</v>
      </c>
      <c r="M1017" s="9">
        <v>0</v>
      </c>
      <c r="N1017" s="8">
        <v>1</v>
      </c>
      <c r="O1017" s="9">
        <v>0</v>
      </c>
      <c r="P1017" s="9">
        <v>0</v>
      </c>
      <c r="Q1017" s="9">
        <v>0</v>
      </c>
      <c r="R1017" s="9">
        <v>0</v>
      </c>
      <c r="S1017" s="8">
        <v>628</v>
      </c>
      <c r="T1017" s="9">
        <v>10</v>
      </c>
      <c r="U1017" s="9">
        <f t="shared" si="238"/>
        <v>617</v>
      </c>
      <c r="V1017" s="9">
        <f t="shared" si="239"/>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47"/>
        <v>0.44750000000000001</v>
      </c>
      <c r="AS1017">
        <v>56.05</v>
      </c>
      <c r="AT1017" s="40">
        <v>43.05</v>
      </c>
      <c r="AU1017">
        <v>0</v>
      </c>
      <c r="AV1017" s="18">
        <v>1</v>
      </c>
      <c r="AW1017">
        <v>0</v>
      </c>
      <c r="AX1017" s="18">
        <v>1</v>
      </c>
      <c r="AY1017" s="18" t="s">
        <v>5</v>
      </c>
      <c r="AZ1017">
        <v>0</v>
      </c>
      <c r="BA1017">
        <v>1</v>
      </c>
      <c r="BB1017">
        <v>0</v>
      </c>
      <c r="BC1017">
        <v>0</v>
      </c>
      <c r="BD1017">
        <v>0</v>
      </c>
      <c r="BE1017">
        <v>0</v>
      </c>
      <c r="BF1017" s="18">
        <v>0</v>
      </c>
      <c r="BG1017">
        <v>0</v>
      </c>
      <c r="BH1017">
        <v>1</v>
      </c>
      <c r="BI1017" s="18">
        <v>0</v>
      </c>
      <c r="BJ1017">
        <v>1462</v>
      </c>
      <c r="BK1017">
        <v>176</v>
      </c>
      <c r="BL1017" s="93">
        <f t="shared" si="250"/>
        <v>33.730000000000004</v>
      </c>
      <c r="BM1017">
        <v>0</v>
      </c>
      <c r="BN1017">
        <v>0</v>
      </c>
      <c r="BO1017">
        <v>0</v>
      </c>
      <c r="BP1017">
        <v>0</v>
      </c>
      <c r="BQ1017">
        <v>1</v>
      </c>
      <c r="BR1017">
        <v>0</v>
      </c>
      <c r="BS1017">
        <v>0</v>
      </c>
      <c r="BT1017" s="18">
        <v>0</v>
      </c>
      <c r="BU1017">
        <v>0</v>
      </c>
      <c r="BV1017">
        <v>1</v>
      </c>
      <c r="BW1017">
        <v>0</v>
      </c>
      <c r="BX1017" s="18">
        <v>0</v>
      </c>
      <c r="BY1017">
        <v>0</v>
      </c>
      <c r="BZ1017">
        <v>0</v>
      </c>
      <c r="CA1017">
        <v>0</v>
      </c>
      <c r="CB1017">
        <v>0</v>
      </c>
      <c r="CC1017" s="18">
        <v>0</v>
      </c>
      <c r="CD1017">
        <v>0</v>
      </c>
      <c r="CE1017">
        <v>0</v>
      </c>
      <c r="CF1017">
        <v>1</v>
      </c>
      <c r="CG1017">
        <v>1</v>
      </c>
      <c r="CH1017">
        <v>0</v>
      </c>
      <c r="CI1017">
        <v>1</v>
      </c>
      <c r="CJ1017">
        <v>1</v>
      </c>
      <c r="CK1017">
        <v>0</v>
      </c>
      <c r="CL1017">
        <v>0</v>
      </c>
      <c r="CM1017">
        <v>1</v>
      </c>
      <c r="CN1017" s="18">
        <v>0</v>
      </c>
      <c r="CO1017">
        <v>0</v>
      </c>
      <c r="CP1017">
        <v>2</v>
      </c>
      <c r="CQ1017">
        <v>0</v>
      </c>
      <c r="CR1017">
        <v>1</v>
      </c>
      <c r="CS1017">
        <v>16</v>
      </c>
      <c r="CY1017" s="34"/>
    </row>
    <row r="1018" spans="1:103" x14ac:dyDescent="0.25">
      <c r="A1018">
        <v>1017</v>
      </c>
      <c r="B1018">
        <v>70</v>
      </c>
      <c r="C1018" s="25" t="s">
        <v>4026</v>
      </c>
      <c r="D1018" s="12">
        <v>25.7</v>
      </c>
      <c r="E1018" s="14">
        <f t="shared" si="249"/>
        <v>3.9919229574401989</v>
      </c>
      <c r="F1018" s="7">
        <v>6.4379999999999997</v>
      </c>
      <c r="G1018" s="7">
        <f t="shared" si="236"/>
        <v>21.7080770425598</v>
      </c>
      <c r="H1018" s="16">
        <f t="shared" si="237"/>
        <v>29.691922957440198</v>
      </c>
      <c r="I1018" s="11">
        <f t="shared" si="241"/>
        <v>0.25204499171861505</v>
      </c>
      <c r="J1018" s="33">
        <f t="shared" si="242"/>
        <v>3.9149579328769037E-2</v>
      </c>
      <c r="K1018" s="33">
        <f t="shared" si="243"/>
        <v>25.543058626562324</v>
      </c>
      <c r="L1018" s="8">
        <v>1</v>
      </c>
      <c r="M1018" s="9">
        <v>0</v>
      </c>
      <c r="N1018" s="8">
        <v>1</v>
      </c>
      <c r="O1018" s="9">
        <v>0</v>
      </c>
      <c r="P1018" s="9">
        <v>0</v>
      </c>
      <c r="Q1018" s="9">
        <v>0</v>
      </c>
      <c r="R1018" s="9">
        <v>0</v>
      </c>
      <c r="S1018" s="8">
        <v>628</v>
      </c>
      <c r="T1018" s="9">
        <v>16</v>
      </c>
      <c r="U1018" s="9">
        <f t="shared" si="238"/>
        <v>611</v>
      </c>
      <c r="V1018" s="9">
        <f t="shared" si="239"/>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47"/>
        <v>0.44750000000000001</v>
      </c>
      <c r="AS1018">
        <v>56.05</v>
      </c>
      <c r="AT1018" s="40">
        <v>43.05</v>
      </c>
      <c r="AU1018">
        <v>0</v>
      </c>
      <c r="AV1018" s="18">
        <v>1</v>
      </c>
      <c r="AW1018">
        <v>0</v>
      </c>
      <c r="AX1018" s="18">
        <v>1</v>
      </c>
      <c r="AY1018" s="18" t="s">
        <v>5</v>
      </c>
      <c r="AZ1018">
        <v>0</v>
      </c>
      <c r="BA1018">
        <v>1</v>
      </c>
      <c r="BB1018">
        <v>0</v>
      </c>
      <c r="BC1018">
        <v>0</v>
      </c>
      <c r="BD1018">
        <v>0</v>
      </c>
      <c r="BE1018">
        <v>0</v>
      </c>
      <c r="BF1018" s="18">
        <v>0</v>
      </c>
      <c r="BG1018">
        <v>0</v>
      </c>
      <c r="BH1018">
        <v>1</v>
      </c>
      <c r="BI1018" s="18">
        <v>0</v>
      </c>
      <c r="BJ1018">
        <v>1462</v>
      </c>
      <c r="BK1018">
        <v>176</v>
      </c>
      <c r="BL1018" s="93">
        <f t="shared" si="250"/>
        <v>33.730000000000004</v>
      </c>
      <c r="BM1018">
        <v>0</v>
      </c>
      <c r="BN1018">
        <v>0</v>
      </c>
      <c r="BO1018">
        <v>0</v>
      </c>
      <c r="BP1018">
        <v>0</v>
      </c>
      <c r="BQ1018">
        <v>1</v>
      </c>
      <c r="BR1018">
        <v>0</v>
      </c>
      <c r="BS1018">
        <v>0</v>
      </c>
      <c r="BT1018" s="18">
        <v>0</v>
      </c>
      <c r="BU1018">
        <v>0</v>
      </c>
      <c r="BV1018">
        <v>1</v>
      </c>
      <c r="BW1018">
        <v>0</v>
      </c>
      <c r="BX1018" s="18">
        <v>0</v>
      </c>
      <c r="BY1018">
        <v>0</v>
      </c>
      <c r="BZ1018">
        <v>0</v>
      </c>
      <c r="CA1018">
        <v>0</v>
      </c>
      <c r="CB1018">
        <v>0</v>
      </c>
      <c r="CC1018" s="18">
        <v>0</v>
      </c>
      <c r="CD1018">
        <v>0</v>
      </c>
      <c r="CE1018">
        <v>0</v>
      </c>
      <c r="CF1018">
        <v>1</v>
      </c>
      <c r="CG1018">
        <v>1</v>
      </c>
      <c r="CH1018">
        <v>0</v>
      </c>
      <c r="CI1018">
        <v>1</v>
      </c>
      <c r="CJ1018">
        <v>1</v>
      </c>
      <c r="CK1018">
        <v>0</v>
      </c>
      <c r="CL1018">
        <v>1</v>
      </c>
      <c r="CM1018">
        <v>1</v>
      </c>
      <c r="CN1018" s="18">
        <v>0</v>
      </c>
      <c r="CO1018">
        <v>0</v>
      </c>
      <c r="CP1018">
        <v>2</v>
      </c>
      <c r="CQ1018">
        <v>0</v>
      </c>
      <c r="CR1018">
        <v>1</v>
      </c>
      <c r="CS1018">
        <v>16</v>
      </c>
      <c r="CY1018" s="34"/>
    </row>
    <row r="1019" spans="1:103" x14ac:dyDescent="0.25">
      <c r="A1019">
        <v>1018</v>
      </c>
      <c r="B1019">
        <v>70</v>
      </c>
      <c r="C1019" s="25" t="s">
        <v>4026</v>
      </c>
      <c r="D1019" s="12">
        <v>28.9</v>
      </c>
      <c r="E1019" s="14">
        <f t="shared" si="249"/>
        <v>4.0211492973424239</v>
      </c>
      <c r="F1019" s="7">
        <v>7.1870000000000003</v>
      </c>
      <c r="G1019" s="7">
        <f t="shared" si="236"/>
        <v>24.878850702657573</v>
      </c>
      <c r="H1019" s="16">
        <f t="shared" si="237"/>
        <v>32.921149297342424</v>
      </c>
      <c r="I1019" s="11">
        <f t="shared" si="241"/>
        <v>0.27919302920971634</v>
      </c>
      <c r="J1019" s="33">
        <f t="shared" si="242"/>
        <v>3.8846949938738877E-2</v>
      </c>
      <c r="K1019" s="33">
        <f t="shared" si="243"/>
        <v>25.742046713499686</v>
      </c>
      <c r="L1019" s="8">
        <v>1</v>
      </c>
      <c r="M1019" s="9">
        <v>0</v>
      </c>
      <c r="N1019" s="8">
        <v>1</v>
      </c>
      <c r="O1019" s="9">
        <v>0</v>
      </c>
      <c r="P1019" s="9">
        <v>0</v>
      </c>
      <c r="Q1019" s="9">
        <v>0</v>
      </c>
      <c r="R1019" s="9">
        <v>0</v>
      </c>
      <c r="S1019" s="8">
        <v>628</v>
      </c>
      <c r="T1019" s="9">
        <v>16</v>
      </c>
      <c r="U1019" s="9">
        <f t="shared" si="238"/>
        <v>611</v>
      </c>
      <c r="V1019" s="9">
        <f t="shared" si="239"/>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47"/>
        <v>0.44750000000000001</v>
      </c>
      <c r="AS1019">
        <v>56.05</v>
      </c>
      <c r="AT1019" s="40">
        <v>43.05</v>
      </c>
      <c r="AU1019">
        <v>0</v>
      </c>
      <c r="AV1019" s="18">
        <v>1</v>
      </c>
      <c r="AW1019">
        <v>0</v>
      </c>
      <c r="AX1019" s="18">
        <v>1</v>
      </c>
      <c r="AY1019" s="18" t="s">
        <v>5</v>
      </c>
      <c r="AZ1019">
        <v>0</v>
      </c>
      <c r="BA1019">
        <v>1</v>
      </c>
      <c r="BB1019">
        <v>0</v>
      </c>
      <c r="BC1019">
        <v>0</v>
      </c>
      <c r="BD1019">
        <v>0</v>
      </c>
      <c r="BE1019">
        <v>0</v>
      </c>
      <c r="BF1019" s="18">
        <v>0</v>
      </c>
      <c r="BG1019">
        <v>0</v>
      </c>
      <c r="BH1019">
        <v>1</v>
      </c>
      <c r="BI1019" s="18">
        <v>0</v>
      </c>
      <c r="BJ1019">
        <v>1462</v>
      </c>
      <c r="BK1019">
        <v>176</v>
      </c>
      <c r="BL1019" s="93">
        <f t="shared" si="250"/>
        <v>33.730000000000004</v>
      </c>
      <c r="BM1019">
        <v>0</v>
      </c>
      <c r="BN1019">
        <v>0</v>
      </c>
      <c r="BO1019">
        <v>0</v>
      </c>
      <c r="BP1019">
        <v>0</v>
      </c>
      <c r="BQ1019">
        <v>1</v>
      </c>
      <c r="BR1019">
        <v>0</v>
      </c>
      <c r="BS1019">
        <v>0</v>
      </c>
      <c r="BT1019" s="18">
        <v>0</v>
      </c>
      <c r="BU1019">
        <v>0</v>
      </c>
      <c r="BV1019">
        <v>1</v>
      </c>
      <c r="BW1019">
        <v>0</v>
      </c>
      <c r="BX1019" s="18">
        <v>0</v>
      </c>
      <c r="BY1019">
        <v>0</v>
      </c>
      <c r="BZ1019">
        <v>0</v>
      </c>
      <c r="CA1019">
        <v>0</v>
      </c>
      <c r="CB1019">
        <v>0</v>
      </c>
      <c r="CC1019" s="18">
        <v>0</v>
      </c>
      <c r="CD1019">
        <v>0</v>
      </c>
      <c r="CE1019">
        <v>0</v>
      </c>
      <c r="CF1019">
        <v>1</v>
      </c>
      <c r="CG1019">
        <v>1</v>
      </c>
      <c r="CH1019">
        <v>0</v>
      </c>
      <c r="CI1019">
        <v>1</v>
      </c>
      <c r="CJ1019">
        <v>1</v>
      </c>
      <c r="CK1019">
        <v>0</v>
      </c>
      <c r="CL1019">
        <v>1</v>
      </c>
      <c r="CM1019">
        <v>1</v>
      </c>
      <c r="CN1019" s="18">
        <v>0</v>
      </c>
      <c r="CO1019">
        <v>0</v>
      </c>
      <c r="CP1019">
        <v>2</v>
      </c>
      <c r="CQ1019">
        <v>0</v>
      </c>
      <c r="CR1019">
        <v>1</v>
      </c>
      <c r="CS1019">
        <v>16</v>
      </c>
      <c r="CY1019" s="34"/>
    </row>
    <row r="1020" spans="1:103" x14ac:dyDescent="0.25">
      <c r="A1020">
        <v>1019</v>
      </c>
      <c r="B1020">
        <v>70</v>
      </c>
      <c r="C1020" s="25" t="s">
        <v>4026</v>
      </c>
      <c r="D1020" s="12">
        <v>26.8</v>
      </c>
      <c r="E1020" s="14">
        <f t="shared" si="249"/>
        <v>3.9592258827005464</v>
      </c>
      <c r="F1020" s="7">
        <v>6.7690000000000001</v>
      </c>
      <c r="G1020" s="7">
        <f t="shared" si="236"/>
        <v>22.840774117299453</v>
      </c>
      <c r="H1020" s="16">
        <f t="shared" si="237"/>
        <v>30.759225882700548</v>
      </c>
      <c r="I1020" s="11">
        <f t="shared" si="241"/>
        <v>0.26432144341011521</v>
      </c>
      <c r="J1020" s="33">
        <f t="shared" si="242"/>
        <v>3.9048817167988657E-2</v>
      </c>
      <c r="K1020" s="33">
        <f t="shared" si="243"/>
        <v>25.608970322916147</v>
      </c>
      <c r="L1020" s="8">
        <v>1</v>
      </c>
      <c r="M1020" s="9">
        <v>0</v>
      </c>
      <c r="N1020" s="8">
        <v>1</v>
      </c>
      <c r="O1020" s="9">
        <v>0</v>
      </c>
      <c r="P1020" s="9">
        <v>0</v>
      </c>
      <c r="Q1020" s="9">
        <v>0</v>
      </c>
      <c r="R1020" s="9">
        <v>0</v>
      </c>
      <c r="S1020" s="8">
        <v>628</v>
      </c>
      <c r="T1020" s="9">
        <v>17</v>
      </c>
      <c r="U1020" s="9">
        <f t="shared" si="238"/>
        <v>610</v>
      </c>
      <c r="V1020" s="9">
        <f t="shared" si="239"/>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47"/>
        <v>0.44750000000000001</v>
      </c>
      <c r="AS1020">
        <v>56.05</v>
      </c>
      <c r="AT1020" s="40">
        <v>43.05</v>
      </c>
      <c r="AU1020">
        <v>0</v>
      </c>
      <c r="AV1020" s="18">
        <v>1</v>
      </c>
      <c r="AW1020">
        <v>0</v>
      </c>
      <c r="AX1020" s="18">
        <v>1</v>
      </c>
      <c r="AY1020" s="18" t="s">
        <v>5</v>
      </c>
      <c r="AZ1020">
        <v>0</v>
      </c>
      <c r="BA1020">
        <v>1</v>
      </c>
      <c r="BB1020">
        <v>0</v>
      </c>
      <c r="BC1020">
        <v>0</v>
      </c>
      <c r="BD1020">
        <v>0</v>
      </c>
      <c r="BE1020">
        <v>0</v>
      </c>
      <c r="BF1020" s="18">
        <v>0</v>
      </c>
      <c r="BG1020">
        <v>0</v>
      </c>
      <c r="BH1020">
        <v>1</v>
      </c>
      <c r="BI1020" s="18">
        <v>0</v>
      </c>
      <c r="BJ1020">
        <v>1462</v>
      </c>
      <c r="BK1020">
        <v>176</v>
      </c>
      <c r="BL1020" s="93">
        <f t="shared" si="250"/>
        <v>33.730000000000004</v>
      </c>
      <c r="BM1020">
        <v>0</v>
      </c>
      <c r="BN1020">
        <v>0</v>
      </c>
      <c r="BO1020">
        <v>0</v>
      </c>
      <c r="BP1020">
        <v>0</v>
      </c>
      <c r="BQ1020">
        <v>1</v>
      </c>
      <c r="BR1020">
        <v>0</v>
      </c>
      <c r="BS1020">
        <v>0</v>
      </c>
      <c r="BT1020" s="18">
        <v>0</v>
      </c>
      <c r="BU1020">
        <v>0</v>
      </c>
      <c r="BV1020">
        <v>1</v>
      </c>
      <c r="BW1020">
        <v>0</v>
      </c>
      <c r="BX1020" s="18">
        <v>0</v>
      </c>
      <c r="BY1020">
        <v>0</v>
      </c>
      <c r="BZ1020">
        <v>0</v>
      </c>
      <c r="CA1020">
        <v>0</v>
      </c>
      <c r="CB1020">
        <v>0</v>
      </c>
      <c r="CC1020" s="18">
        <v>0</v>
      </c>
      <c r="CD1020">
        <v>0</v>
      </c>
      <c r="CE1020">
        <v>0</v>
      </c>
      <c r="CF1020">
        <v>1</v>
      </c>
      <c r="CG1020">
        <v>1</v>
      </c>
      <c r="CH1020">
        <v>0</v>
      </c>
      <c r="CI1020">
        <v>1</v>
      </c>
      <c r="CJ1020">
        <v>1</v>
      </c>
      <c r="CK1020">
        <v>1</v>
      </c>
      <c r="CL1020">
        <v>1</v>
      </c>
      <c r="CM1020">
        <v>1</v>
      </c>
      <c r="CN1020" s="18">
        <v>0</v>
      </c>
      <c r="CO1020">
        <v>0</v>
      </c>
      <c r="CP1020">
        <v>2</v>
      </c>
      <c r="CQ1020">
        <v>0</v>
      </c>
      <c r="CR1020">
        <v>1</v>
      </c>
      <c r="CS1020">
        <v>16</v>
      </c>
      <c r="CY1020" s="34"/>
    </row>
    <row r="1021" spans="1:103" x14ac:dyDescent="0.25">
      <c r="A1021">
        <v>1020</v>
      </c>
      <c r="B1021">
        <v>70</v>
      </c>
      <c r="C1021" s="25" t="s">
        <v>4026</v>
      </c>
      <c r="D1021" s="12">
        <v>30</v>
      </c>
      <c r="E1021" s="14">
        <f t="shared" si="249"/>
        <v>3.8510911424903722</v>
      </c>
      <c r="F1021" s="7">
        <v>7.79</v>
      </c>
      <c r="G1021" s="7">
        <f t="shared" si="236"/>
        <v>26.148908857509628</v>
      </c>
      <c r="H1021" s="16">
        <f t="shared" si="237"/>
        <v>33.851091142490375</v>
      </c>
      <c r="I1021" s="11">
        <f t="shared" si="241"/>
        <v>0.30080042974255133</v>
      </c>
      <c r="J1021" s="33">
        <f t="shared" si="242"/>
        <v>3.861366235462789E-2</v>
      </c>
      <c r="K1021" s="33">
        <f t="shared" si="243"/>
        <v>25.897569384017491</v>
      </c>
      <c r="L1021" s="8">
        <v>1</v>
      </c>
      <c r="M1021" s="9">
        <v>0</v>
      </c>
      <c r="N1021" s="8">
        <v>1</v>
      </c>
      <c r="O1021" s="9">
        <v>0</v>
      </c>
      <c r="P1021" s="9">
        <v>0</v>
      </c>
      <c r="Q1021" s="9">
        <v>0</v>
      </c>
      <c r="R1021" s="9">
        <v>0</v>
      </c>
      <c r="S1021" s="8">
        <v>628</v>
      </c>
      <c r="T1021" s="9">
        <v>17</v>
      </c>
      <c r="U1021" s="9">
        <f t="shared" si="238"/>
        <v>610</v>
      </c>
      <c r="V1021" s="9">
        <f t="shared" si="239"/>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47"/>
        <v>0.44750000000000001</v>
      </c>
      <c r="AS1021">
        <v>56.05</v>
      </c>
      <c r="AT1021" s="40">
        <v>43.05</v>
      </c>
      <c r="AU1021">
        <v>0</v>
      </c>
      <c r="AV1021" s="18">
        <v>1</v>
      </c>
      <c r="AW1021">
        <v>0</v>
      </c>
      <c r="AX1021" s="18">
        <v>1</v>
      </c>
      <c r="AY1021" s="18" t="s">
        <v>5</v>
      </c>
      <c r="AZ1021">
        <v>0</v>
      </c>
      <c r="BA1021">
        <v>1</v>
      </c>
      <c r="BB1021">
        <v>0</v>
      </c>
      <c r="BC1021">
        <v>0</v>
      </c>
      <c r="BD1021">
        <v>0</v>
      </c>
      <c r="BE1021">
        <v>0</v>
      </c>
      <c r="BF1021" s="18">
        <v>0</v>
      </c>
      <c r="BG1021">
        <v>0</v>
      </c>
      <c r="BH1021">
        <v>1</v>
      </c>
      <c r="BI1021" s="18">
        <v>0</v>
      </c>
      <c r="BJ1021">
        <v>1462</v>
      </c>
      <c r="BK1021">
        <v>176</v>
      </c>
      <c r="BL1021" s="93">
        <f t="shared" si="250"/>
        <v>33.730000000000004</v>
      </c>
      <c r="BM1021">
        <v>0</v>
      </c>
      <c r="BN1021">
        <v>0</v>
      </c>
      <c r="BO1021">
        <v>0</v>
      </c>
      <c r="BP1021">
        <v>0</v>
      </c>
      <c r="BQ1021">
        <v>1</v>
      </c>
      <c r="BR1021">
        <v>0</v>
      </c>
      <c r="BS1021">
        <v>0</v>
      </c>
      <c r="BT1021" s="18">
        <v>0</v>
      </c>
      <c r="BU1021">
        <v>0</v>
      </c>
      <c r="BV1021">
        <v>1</v>
      </c>
      <c r="BW1021">
        <v>0</v>
      </c>
      <c r="BX1021" s="18">
        <v>0</v>
      </c>
      <c r="BY1021">
        <v>0</v>
      </c>
      <c r="BZ1021">
        <v>0</v>
      </c>
      <c r="CA1021">
        <v>0</v>
      </c>
      <c r="CB1021">
        <v>0</v>
      </c>
      <c r="CC1021" s="18">
        <v>0</v>
      </c>
      <c r="CD1021">
        <v>0</v>
      </c>
      <c r="CE1021">
        <v>0</v>
      </c>
      <c r="CF1021">
        <v>1</v>
      </c>
      <c r="CG1021">
        <v>1</v>
      </c>
      <c r="CH1021">
        <v>0</v>
      </c>
      <c r="CI1021">
        <v>1</v>
      </c>
      <c r="CJ1021">
        <v>1</v>
      </c>
      <c r="CK1021">
        <v>1</v>
      </c>
      <c r="CL1021">
        <v>1</v>
      </c>
      <c r="CM1021">
        <v>1</v>
      </c>
      <c r="CN1021" s="18">
        <v>0</v>
      </c>
      <c r="CO1021">
        <v>0</v>
      </c>
      <c r="CP1021">
        <v>2</v>
      </c>
      <c r="CQ1021">
        <v>0</v>
      </c>
      <c r="CR1021">
        <v>1</v>
      </c>
      <c r="CS1021">
        <v>16</v>
      </c>
      <c r="CY1021" s="34"/>
    </row>
    <row r="1022" spans="1:103" x14ac:dyDescent="0.25">
      <c r="A1022">
        <v>1021</v>
      </c>
      <c r="B1022">
        <v>70</v>
      </c>
      <c r="C1022" s="25" t="s">
        <v>4026</v>
      </c>
      <c r="D1022" s="12">
        <v>22.6</v>
      </c>
      <c r="E1022" s="14">
        <f t="shared" si="249"/>
        <v>3.53125</v>
      </c>
      <c r="F1022" s="7">
        <v>6.4</v>
      </c>
      <c r="G1022" s="7">
        <f t="shared" si="236"/>
        <v>19.068750000000001</v>
      </c>
      <c r="H1022" s="16">
        <f t="shared" si="237"/>
        <v>26.131250000000001</v>
      </c>
      <c r="I1022" s="11">
        <f t="shared" si="241"/>
        <v>0.2510363772919374</v>
      </c>
      <c r="J1022" s="33">
        <f t="shared" si="242"/>
        <v>3.9224433951865215E-2</v>
      </c>
      <c r="K1022" s="33">
        <f t="shared" si="243"/>
        <v>25.494313091354314</v>
      </c>
      <c r="L1022" s="8">
        <v>1</v>
      </c>
      <c r="M1022" s="9">
        <v>0</v>
      </c>
      <c r="N1022" s="8">
        <v>1</v>
      </c>
      <c r="O1022" s="9">
        <v>0</v>
      </c>
      <c r="P1022" s="9">
        <v>0</v>
      </c>
      <c r="Q1022" s="9">
        <v>0</v>
      </c>
      <c r="R1022" s="9">
        <v>0</v>
      </c>
      <c r="S1022" s="8">
        <v>628</v>
      </c>
      <c r="T1022" s="9">
        <v>18</v>
      </c>
      <c r="U1022" s="9">
        <f t="shared" si="238"/>
        <v>609</v>
      </c>
      <c r="V1022" s="9">
        <f t="shared" si="239"/>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47"/>
        <v>0.44750000000000001</v>
      </c>
      <c r="AS1022">
        <v>56.05</v>
      </c>
      <c r="AT1022" s="40">
        <v>43.05</v>
      </c>
      <c r="AU1022">
        <v>0</v>
      </c>
      <c r="AV1022" s="18">
        <v>1</v>
      </c>
      <c r="AW1022">
        <v>0</v>
      </c>
      <c r="AX1022" s="18">
        <v>1</v>
      </c>
      <c r="AY1022" s="18" t="s">
        <v>5</v>
      </c>
      <c r="AZ1022">
        <v>0</v>
      </c>
      <c r="BA1022">
        <v>1</v>
      </c>
      <c r="BB1022">
        <v>0</v>
      </c>
      <c r="BC1022">
        <v>0</v>
      </c>
      <c r="BD1022">
        <v>0</v>
      </c>
      <c r="BE1022">
        <v>0</v>
      </c>
      <c r="BF1022" s="18">
        <v>0</v>
      </c>
      <c r="BG1022">
        <v>0</v>
      </c>
      <c r="BH1022">
        <v>1</v>
      </c>
      <c r="BI1022" s="18">
        <v>0</v>
      </c>
      <c r="BJ1022">
        <v>1462</v>
      </c>
      <c r="BK1022">
        <v>176</v>
      </c>
      <c r="BL1022" s="93">
        <f t="shared" si="250"/>
        <v>33.730000000000004</v>
      </c>
      <c r="BM1022">
        <v>0</v>
      </c>
      <c r="BN1022">
        <v>0</v>
      </c>
      <c r="BO1022">
        <v>0</v>
      </c>
      <c r="BP1022">
        <v>0</v>
      </c>
      <c r="BQ1022">
        <v>1</v>
      </c>
      <c r="BR1022">
        <v>0</v>
      </c>
      <c r="BS1022">
        <v>0</v>
      </c>
      <c r="BT1022" s="18">
        <v>0</v>
      </c>
      <c r="BU1022">
        <v>0</v>
      </c>
      <c r="BV1022">
        <v>1</v>
      </c>
      <c r="BW1022">
        <v>0</v>
      </c>
      <c r="BX1022" s="18">
        <v>0</v>
      </c>
      <c r="BY1022">
        <v>0</v>
      </c>
      <c r="BZ1022">
        <v>0</v>
      </c>
      <c r="CA1022">
        <v>0</v>
      </c>
      <c r="CB1022">
        <v>0</v>
      </c>
      <c r="CC1022" s="18">
        <v>0</v>
      </c>
      <c r="CD1022">
        <v>0</v>
      </c>
      <c r="CE1022">
        <v>0</v>
      </c>
      <c r="CF1022">
        <v>1</v>
      </c>
      <c r="CG1022">
        <v>1</v>
      </c>
      <c r="CH1022">
        <v>0</v>
      </c>
      <c r="CI1022">
        <v>1</v>
      </c>
      <c r="CJ1022">
        <v>1</v>
      </c>
      <c r="CK1022">
        <v>1</v>
      </c>
      <c r="CL1022">
        <v>1</v>
      </c>
      <c r="CM1022">
        <v>1</v>
      </c>
      <c r="CN1022" s="18">
        <v>0</v>
      </c>
      <c r="CO1022">
        <v>0</v>
      </c>
      <c r="CP1022">
        <v>2</v>
      </c>
      <c r="CQ1022">
        <v>0</v>
      </c>
      <c r="CR1022">
        <v>1</v>
      </c>
      <c r="CS1022">
        <v>16</v>
      </c>
      <c r="CY1022" s="34"/>
    </row>
    <row r="1023" spans="1:103" x14ac:dyDescent="0.25">
      <c r="A1023">
        <v>1022</v>
      </c>
      <c r="B1023">
        <v>70</v>
      </c>
      <c r="C1023" s="25" t="s">
        <v>4026</v>
      </c>
      <c r="D1023" s="12">
        <v>22.3</v>
      </c>
      <c r="E1023" s="14">
        <f t="shared" si="249"/>
        <v>3.8911184784505326</v>
      </c>
      <c r="F1023" s="7">
        <v>5.7309999999999999</v>
      </c>
      <c r="G1023" s="7">
        <f t="shared" si="236"/>
        <v>18.408881521549468</v>
      </c>
      <c r="H1023" s="16">
        <f t="shared" si="237"/>
        <v>26.191118478450534</v>
      </c>
      <c r="I1023" s="11">
        <f t="shared" si="241"/>
        <v>0.22621194998536645</v>
      </c>
      <c r="J1023" s="33">
        <f t="shared" si="242"/>
        <v>3.9471636710062201E-2</v>
      </c>
      <c r="K1023" s="33">
        <f t="shared" si="243"/>
        <v>25.334647441794012</v>
      </c>
      <c r="L1023" s="8">
        <v>1</v>
      </c>
      <c r="M1023" s="9">
        <v>0</v>
      </c>
      <c r="N1023" s="8">
        <v>1</v>
      </c>
      <c r="O1023" s="9">
        <v>0</v>
      </c>
      <c r="P1023" s="9">
        <v>0</v>
      </c>
      <c r="Q1023" s="9">
        <v>0</v>
      </c>
      <c r="R1023" s="9">
        <v>0</v>
      </c>
      <c r="S1023" s="8">
        <v>628</v>
      </c>
      <c r="T1023" s="9">
        <v>18</v>
      </c>
      <c r="U1023" s="9">
        <f t="shared" si="238"/>
        <v>609</v>
      </c>
      <c r="V1023" s="9">
        <f t="shared" si="239"/>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47"/>
        <v>0.44750000000000001</v>
      </c>
      <c r="AS1023">
        <v>56.05</v>
      </c>
      <c r="AT1023" s="40">
        <v>43.05</v>
      </c>
      <c r="AU1023">
        <v>0</v>
      </c>
      <c r="AV1023" s="18">
        <v>1</v>
      </c>
      <c r="AW1023">
        <v>0</v>
      </c>
      <c r="AX1023" s="18">
        <v>1</v>
      </c>
      <c r="AY1023" s="18" t="s">
        <v>5</v>
      </c>
      <c r="AZ1023">
        <v>0</v>
      </c>
      <c r="BA1023">
        <v>1</v>
      </c>
      <c r="BB1023">
        <v>0</v>
      </c>
      <c r="BC1023">
        <v>0</v>
      </c>
      <c r="BD1023">
        <v>0</v>
      </c>
      <c r="BE1023">
        <v>0</v>
      </c>
      <c r="BF1023" s="18">
        <v>0</v>
      </c>
      <c r="BG1023">
        <v>0</v>
      </c>
      <c r="BH1023">
        <v>1</v>
      </c>
      <c r="BI1023" s="18">
        <v>0</v>
      </c>
      <c r="BJ1023">
        <v>1462</v>
      </c>
      <c r="BK1023">
        <v>176</v>
      </c>
      <c r="BL1023" s="93">
        <f t="shared" si="250"/>
        <v>33.730000000000004</v>
      </c>
      <c r="BM1023">
        <v>0</v>
      </c>
      <c r="BN1023">
        <v>0</v>
      </c>
      <c r="BO1023">
        <v>0</v>
      </c>
      <c r="BP1023">
        <v>0</v>
      </c>
      <c r="BQ1023">
        <v>1</v>
      </c>
      <c r="BR1023">
        <v>0</v>
      </c>
      <c r="BS1023">
        <v>0</v>
      </c>
      <c r="BT1023" s="18">
        <v>0</v>
      </c>
      <c r="BU1023">
        <v>0</v>
      </c>
      <c r="BV1023">
        <v>1</v>
      </c>
      <c r="BW1023">
        <v>0</v>
      </c>
      <c r="BX1023" s="18">
        <v>0</v>
      </c>
      <c r="BY1023">
        <v>0</v>
      </c>
      <c r="BZ1023">
        <v>0</v>
      </c>
      <c r="CA1023">
        <v>0</v>
      </c>
      <c r="CB1023">
        <v>0</v>
      </c>
      <c r="CC1023" s="18">
        <v>0</v>
      </c>
      <c r="CD1023">
        <v>0</v>
      </c>
      <c r="CE1023">
        <v>0</v>
      </c>
      <c r="CF1023">
        <v>1</v>
      </c>
      <c r="CG1023">
        <v>1</v>
      </c>
      <c r="CH1023">
        <v>0</v>
      </c>
      <c r="CI1023">
        <v>1</v>
      </c>
      <c r="CJ1023">
        <v>1</v>
      </c>
      <c r="CK1023">
        <v>1</v>
      </c>
      <c r="CL1023">
        <v>1</v>
      </c>
      <c r="CM1023">
        <v>1</v>
      </c>
      <c r="CN1023" s="18">
        <v>0</v>
      </c>
      <c r="CO1023">
        <v>0</v>
      </c>
      <c r="CP1023">
        <v>2</v>
      </c>
      <c r="CQ1023">
        <v>0</v>
      </c>
      <c r="CR1023">
        <v>1</v>
      </c>
      <c r="CS1023">
        <v>16</v>
      </c>
      <c r="CY1023" s="34"/>
    </row>
    <row r="1024" spans="1:103" x14ac:dyDescent="0.25">
      <c r="A1024">
        <v>1023</v>
      </c>
      <c r="B1024">
        <v>70</v>
      </c>
      <c r="C1024" s="25" t="s">
        <v>4026</v>
      </c>
      <c r="D1024" s="12">
        <v>6.37</v>
      </c>
      <c r="E1024" s="14">
        <f t="shared" si="249"/>
        <v>1.1200984701951819</v>
      </c>
      <c r="F1024" s="7">
        <v>5.6870000000000003</v>
      </c>
      <c r="G1024" s="7">
        <f t="shared" si="236"/>
        <v>5.2499015298048182</v>
      </c>
      <c r="H1024" s="16">
        <f t="shared" si="237"/>
        <v>7.490098470195182</v>
      </c>
      <c r="I1024" s="11">
        <f t="shared" si="241"/>
        <v>0.29631772152133901</v>
      </c>
      <c r="J1024" s="33">
        <f t="shared" si="242"/>
        <v>5.2104399775160716E-2</v>
      </c>
      <c r="K1024" s="33">
        <f t="shared" si="243"/>
        <v>19.192237206745858</v>
      </c>
      <c r="L1024" s="8">
        <v>1</v>
      </c>
      <c r="M1024" s="9">
        <v>0</v>
      </c>
      <c r="N1024" s="8">
        <v>1</v>
      </c>
      <c r="O1024" s="9">
        <v>0</v>
      </c>
      <c r="P1024" s="9">
        <v>0</v>
      </c>
      <c r="Q1024" s="9">
        <v>0</v>
      </c>
      <c r="R1024" s="9">
        <v>0</v>
      </c>
      <c r="S1024" s="8">
        <v>347</v>
      </c>
      <c r="T1024" s="9">
        <v>10</v>
      </c>
      <c r="U1024" s="9">
        <f t="shared" si="238"/>
        <v>336</v>
      </c>
      <c r="V1024" s="9">
        <f t="shared" si="239"/>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v>0</v>
      </c>
      <c r="BF1024" s="18">
        <v>0</v>
      </c>
      <c r="BG1024">
        <v>0</v>
      </c>
      <c r="BH1024">
        <v>1</v>
      </c>
      <c r="BI1024" s="18">
        <v>0</v>
      </c>
      <c r="BJ1024">
        <v>1462</v>
      </c>
      <c r="BK1024">
        <v>176</v>
      </c>
      <c r="BL1024" s="93">
        <f t="shared" si="250"/>
        <v>33.730000000000004</v>
      </c>
      <c r="BM1024">
        <v>1</v>
      </c>
      <c r="BN1024">
        <v>0</v>
      </c>
      <c r="BO1024">
        <v>0</v>
      </c>
      <c r="BP1024">
        <v>0</v>
      </c>
      <c r="BQ1024">
        <v>0</v>
      </c>
      <c r="BR1024">
        <v>0</v>
      </c>
      <c r="BS1024">
        <v>0</v>
      </c>
      <c r="BT1024" s="18">
        <v>0</v>
      </c>
      <c r="BU1024">
        <v>0</v>
      </c>
      <c r="BV1024">
        <v>0</v>
      </c>
      <c r="BW1024">
        <v>1</v>
      </c>
      <c r="BX1024" s="18">
        <v>0</v>
      </c>
      <c r="BY1024">
        <v>0</v>
      </c>
      <c r="BZ1024">
        <v>0</v>
      </c>
      <c r="CA1024">
        <v>0</v>
      </c>
      <c r="CB1024">
        <v>0</v>
      </c>
      <c r="CC1024" s="18">
        <v>0</v>
      </c>
      <c r="CD1024">
        <v>0</v>
      </c>
      <c r="CE1024">
        <v>0</v>
      </c>
      <c r="CF1024">
        <v>1</v>
      </c>
      <c r="CG1024">
        <v>1</v>
      </c>
      <c r="CH1024">
        <v>0</v>
      </c>
      <c r="CI1024">
        <v>1</v>
      </c>
      <c r="CJ1024">
        <v>1</v>
      </c>
      <c r="CK1024">
        <v>0</v>
      </c>
      <c r="CL1024">
        <v>0</v>
      </c>
      <c r="CM1024">
        <v>1</v>
      </c>
      <c r="CN1024" s="18">
        <v>0</v>
      </c>
      <c r="CO1024">
        <v>0</v>
      </c>
      <c r="CP1024">
        <v>2</v>
      </c>
      <c r="CQ1024">
        <v>0</v>
      </c>
      <c r="CR1024">
        <v>1</v>
      </c>
      <c r="CS1024">
        <v>16</v>
      </c>
      <c r="CY1024" s="34"/>
    </row>
    <row r="1025" spans="1:103" x14ac:dyDescent="0.25">
      <c r="A1025">
        <v>1024</v>
      </c>
      <c r="B1025">
        <v>70</v>
      </c>
      <c r="C1025" s="25" t="s">
        <v>4026</v>
      </c>
      <c r="D1025" s="12">
        <v>8.89</v>
      </c>
      <c r="E1025" s="14">
        <f t="shared" si="249"/>
        <v>1.1154328732747805</v>
      </c>
      <c r="F1025" s="7">
        <v>7.97</v>
      </c>
      <c r="G1025" s="7">
        <f t="shared" si="236"/>
        <v>7.7745671267252199</v>
      </c>
      <c r="H1025" s="16">
        <f t="shared" si="237"/>
        <v>10.005432873274781</v>
      </c>
      <c r="I1025" s="11">
        <f t="shared" si="241"/>
        <v>0.43641211105203109</v>
      </c>
      <c r="J1025" s="33">
        <f t="shared" si="242"/>
        <v>5.4756852076791866E-2</v>
      </c>
      <c r="K1025" s="33">
        <f t="shared" si="243"/>
        <v>18.262554585818489</v>
      </c>
      <c r="L1025" s="8">
        <v>1</v>
      </c>
      <c r="M1025" s="9">
        <v>0</v>
      </c>
      <c r="N1025" s="8">
        <v>1</v>
      </c>
      <c r="O1025" s="9">
        <v>0</v>
      </c>
      <c r="P1025" s="9">
        <v>0</v>
      </c>
      <c r="Q1025" s="9">
        <v>0</v>
      </c>
      <c r="R1025" s="9">
        <v>0</v>
      </c>
      <c r="S1025" s="8">
        <v>281</v>
      </c>
      <c r="T1025" s="9">
        <v>10</v>
      </c>
      <c r="U1025" s="9">
        <f t="shared" si="238"/>
        <v>270</v>
      </c>
      <c r="V1025" s="9">
        <f t="shared" si="239"/>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v>0</v>
      </c>
      <c r="BF1025" s="18">
        <v>0</v>
      </c>
      <c r="BG1025">
        <v>0</v>
      </c>
      <c r="BH1025">
        <v>1</v>
      </c>
      <c r="BI1025" s="18">
        <v>0</v>
      </c>
      <c r="BJ1025">
        <v>1462</v>
      </c>
      <c r="BK1025">
        <v>176</v>
      </c>
      <c r="BL1025" s="93">
        <f t="shared" si="250"/>
        <v>33.730000000000004</v>
      </c>
      <c r="BM1025">
        <v>1</v>
      </c>
      <c r="BN1025">
        <v>0</v>
      </c>
      <c r="BO1025">
        <v>0</v>
      </c>
      <c r="BP1025">
        <v>0</v>
      </c>
      <c r="BQ1025">
        <v>0</v>
      </c>
      <c r="BR1025">
        <v>0</v>
      </c>
      <c r="BS1025">
        <v>0</v>
      </c>
      <c r="BT1025" s="18">
        <v>0</v>
      </c>
      <c r="BU1025">
        <v>0</v>
      </c>
      <c r="BV1025">
        <v>0</v>
      </c>
      <c r="BW1025">
        <v>1</v>
      </c>
      <c r="BX1025" s="18">
        <v>0</v>
      </c>
      <c r="BY1025">
        <v>0</v>
      </c>
      <c r="BZ1025">
        <v>0</v>
      </c>
      <c r="CA1025">
        <v>0</v>
      </c>
      <c r="CB1025">
        <v>0</v>
      </c>
      <c r="CC1025" s="18">
        <v>0</v>
      </c>
      <c r="CD1025">
        <v>0</v>
      </c>
      <c r="CE1025">
        <v>0</v>
      </c>
      <c r="CF1025">
        <v>1</v>
      </c>
      <c r="CG1025">
        <v>1</v>
      </c>
      <c r="CH1025">
        <v>0</v>
      </c>
      <c r="CI1025">
        <v>1</v>
      </c>
      <c r="CJ1025">
        <v>1</v>
      </c>
      <c r="CK1025">
        <v>0</v>
      </c>
      <c r="CL1025">
        <v>0</v>
      </c>
      <c r="CM1025">
        <v>1</v>
      </c>
      <c r="CN1025" s="18">
        <v>0</v>
      </c>
      <c r="CO1025">
        <v>0</v>
      </c>
      <c r="CP1025">
        <v>2</v>
      </c>
      <c r="CQ1025">
        <v>0</v>
      </c>
      <c r="CR1025">
        <v>1</v>
      </c>
      <c r="CS1025">
        <v>16</v>
      </c>
      <c r="CY1025" s="34"/>
    </row>
    <row r="1026" spans="1:103" x14ac:dyDescent="0.25">
      <c r="A1026">
        <v>1025</v>
      </c>
      <c r="B1026">
        <v>70</v>
      </c>
      <c r="C1026" s="25" t="s">
        <v>4026</v>
      </c>
      <c r="D1026" s="12">
        <v>16.399999999999999</v>
      </c>
      <c r="E1026" s="14">
        <f t="shared" si="249"/>
        <v>5.8217962371316991</v>
      </c>
      <c r="F1026" s="7">
        <v>2.8170000000000002</v>
      </c>
      <c r="G1026" s="7">
        <f t="shared" ref="G1026:G1089" si="251">D1026-E1026</f>
        <v>10.578203762868299</v>
      </c>
      <c r="H1026" s="16">
        <f t="shared" ref="H1026:H1089" si="252">D1026+E1026</f>
        <v>22.221796237131699</v>
      </c>
      <c r="I1026" s="11">
        <f t="shared" si="241"/>
        <v>0.1518967044694732</v>
      </c>
      <c r="J1026" s="33">
        <f t="shared" si="242"/>
        <v>5.3921442836163715E-2</v>
      </c>
      <c r="K1026" s="33">
        <f t="shared" si="243"/>
        <v>18.545497809441514</v>
      </c>
      <c r="L1026" s="8">
        <v>1</v>
      </c>
      <c r="M1026" s="9">
        <v>0</v>
      </c>
      <c r="N1026" s="8">
        <v>1</v>
      </c>
      <c r="O1026" s="9">
        <v>0</v>
      </c>
      <c r="P1026" s="9">
        <v>0</v>
      </c>
      <c r="Q1026" s="9">
        <v>0</v>
      </c>
      <c r="R1026" s="9">
        <v>0</v>
      </c>
      <c r="S1026" s="8">
        <v>347</v>
      </c>
      <c r="T1026" s="9">
        <v>10</v>
      </c>
      <c r="U1026" s="9">
        <f t="shared" ref="U1026:U1089" si="253">S1026-T1026-1</f>
        <v>336</v>
      </c>
      <c r="V1026" s="9">
        <f t="shared" ref="V1026:V1089" si="254">COUNTIF(B:B,B1026)</f>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v>0</v>
      </c>
      <c r="BF1026" s="18">
        <v>0</v>
      </c>
      <c r="BG1026">
        <v>0</v>
      </c>
      <c r="BH1026">
        <v>1</v>
      </c>
      <c r="BI1026" s="18">
        <v>0</v>
      </c>
      <c r="BJ1026">
        <v>1462</v>
      </c>
      <c r="BK1026">
        <v>176</v>
      </c>
      <c r="BL1026" s="93">
        <f t="shared" si="250"/>
        <v>33.730000000000004</v>
      </c>
      <c r="BM1026">
        <v>0</v>
      </c>
      <c r="BN1026">
        <v>0</v>
      </c>
      <c r="BO1026">
        <v>0</v>
      </c>
      <c r="BP1026">
        <v>0</v>
      </c>
      <c r="BQ1026">
        <v>1</v>
      </c>
      <c r="BR1026">
        <v>0</v>
      </c>
      <c r="BS1026">
        <v>0</v>
      </c>
      <c r="BT1026" s="18">
        <v>0</v>
      </c>
      <c r="BU1026">
        <v>0</v>
      </c>
      <c r="BV1026">
        <v>1</v>
      </c>
      <c r="BW1026">
        <v>0</v>
      </c>
      <c r="BX1026" s="18">
        <v>0</v>
      </c>
      <c r="BY1026">
        <v>0</v>
      </c>
      <c r="BZ1026">
        <v>0</v>
      </c>
      <c r="CA1026">
        <v>0</v>
      </c>
      <c r="CB1026">
        <v>0</v>
      </c>
      <c r="CC1026" s="18">
        <v>0</v>
      </c>
      <c r="CD1026">
        <v>0</v>
      </c>
      <c r="CE1026">
        <v>0</v>
      </c>
      <c r="CF1026">
        <v>1</v>
      </c>
      <c r="CG1026">
        <v>1</v>
      </c>
      <c r="CH1026">
        <v>0</v>
      </c>
      <c r="CI1026">
        <v>1</v>
      </c>
      <c r="CJ1026">
        <v>1</v>
      </c>
      <c r="CK1026">
        <v>0</v>
      </c>
      <c r="CL1026">
        <v>0</v>
      </c>
      <c r="CM1026">
        <v>1</v>
      </c>
      <c r="CN1026" s="18">
        <v>0</v>
      </c>
      <c r="CO1026">
        <v>0</v>
      </c>
      <c r="CP1026">
        <v>2</v>
      </c>
      <c r="CQ1026">
        <v>0</v>
      </c>
      <c r="CR1026">
        <v>1</v>
      </c>
      <c r="CS1026">
        <v>16</v>
      </c>
      <c r="CY1026" s="34"/>
    </row>
    <row r="1027" spans="1:103" x14ac:dyDescent="0.25">
      <c r="A1027">
        <v>1026</v>
      </c>
      <c r="B1027">
        <v>70</v>
      </c>
      <c r="C1027" s="25" t="s">
        <v>4026</v>
      </c>
      <c r="D1027" s="12">
        <v>27.5</v>
      </c>
      <c r="E1027" s="14">
        <f t="shared" si="249"/>
        <v>5.1162790697674421</v>
      </c>
      <c r="F1027" s="7">
        <v>5.375</v>
      </c>
      <c r="G1027" s="7">
        <f t="shared" si="251"/>
        <v>22.383720930232556</v>
      </c>
      <c r="H1027" s="16">
        <f t="shared" si="252"/>
        <v>32.616279069767444</v>
      </c>
      <c r="I1027" s="11">
        <f t="shared" si="241"/>
        <v>0.31090114536848695</v>
      </c>
      <c r="J1027" s="33">
        <f t="shared" si="242"/>
        <v>5.7842073556927817E-2</v>
      </c>
      <c r="K1027" s="33">
        <f t="shared" si="243"/>
        <v>17.288453516726126</v>
      </c>
      <c r="L1027" s="8">
        <v>1</v>
      </c>
      <c r="M1027" s="9">
        <v>0</v>
      </c>
      <c r="N1027" s="8">
        <v>1</v>
      </c>
      <c r="O1027" s="9">
        <v>0</v>
      </c>
      <c r="P1027" s="9">
        <v>0</v>
      </c>
      <c r="Q1027" s="9">
        <v>0</v>
      </c>
      <c r="R1027" s="9">
        <v>0</v>
      </c>
      <c r="S1027" s="8">
        <v>281</v>
      </c>
      <c r="T1027" s="9">
        <v>10</v>
      </c>
      <c r="U1027" s="9">
        <f t="shared" si="253"/>
        <v>270</v>
      </c>
      <c r="V1027" s="9">
        <f t="shared" si="254"/>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v>0</v>
      </c>
      <c r="BF1027" s="18">
        <v>0</v>
      </c>
      <c r="BG1027">
        <v>0</v>
      </c>
      <c r="BH1027">
        <v>1</v>
      </c>
      <c r="BI1027" s="18">
        <v>0</v>
      </c>
      <c r="BJ1027">
        <v>1462</v>
      </c>
      <c r="BK1027">
        <v>176</v>
      </c>
      <c r="BL1027" s="93">
        <f t="shared" si="250"/>
        <v>33.730000000000004</v>
      </c>
      <c r="BM1027">
        <v>0</v>
      </c>
      <c r="BN1027">
        <v>0</v>
      </c>
      <c r="BO1027">
        <v>0</v>
      </c>
      <c r="BP1027">
        <v>0</v>
      </c>
      <c r="BQ1027">
        <v>1</v>
      </c>
      <c r="BR1027">
        <v>0</v>
      </c>
      <c r="BS1027">
        <v>0</v>
      </c>
      <c r="BT1027" s="18">
        <v>0</v>
      </c>
      <c r="BU1027">
        <v>0</v>
      </c>
      <c r="BV1027">
        <v>1</v>
      </c>
      <c r="BW1027">
        <v>0</v>
      </c>
      <c r="BX1027" s="18">
        <v>0</v>
      </c>
      <c r="BY1027">
        <v>0</v>
      </c>
      <c r="BZ1027">
        <v>0</v>
      </c>
      <c r="CA1027">
        <v>0</v>
      </c>
      <c r="CB1027">
        <v>0</v>
      </c>
      <c r="CC1027" s="18">
        <v>0</v>
      </c>
      <c r="CD1027">
        <v>0</v>
      </c>
      <c r="CE1027">
        <v>0</v>
      </c>
      <c r="CF1027">
        <v>1</v>
      </c>
      <c r="CG1027">
        <v>1</v>
      </c>
      <c r="CH1027">
        <v>0</v>
      </c>
      <c r="CI1027">
        <v>1</v>
      </c>
      <c r="CJ1027">
        <v>1</v>
      </c>
      <c r="CK1027">
        <v>0</v>
      </c>
      <c r="CL1027">
        <v>0</v>
      </c>
      <c r="CM1027">
        <v>1</v>
      </c>
      <c r="CN1027" s="18">
        <v>0</v>
      </c>
      <c r="CO1027">
        <v>0</v>
      </c>
      <c r="CP1027">
        <v>2</v>
      </c>
      <c r="CQ1027">
        <v>0</v>
      </c>
      <c r="CR1027">
        <v>1</v>
      </c>
      <c r="CS1027">
        <v>16</v>
      </c>
      <c r="CY1027" s="34"/>
    </row>
    <row r="1028" spans="1:103" x14ac:dyDescent="0.25">
      <c r="A1028">
        <v>1027</v>
      </c>
      <c r="B1028">
        <v>70</v>
      </c>
      <c r="C1028" s="25" t="s">
        <v>4026</v>
      </c>
      <c r="D1028" s="12">
        <v>12.1</v>
      </c>
      <c r="E1028" s="14">
        <f t="shared" si="249"/>
        <v>11.329588014981272</v>
      </c>
      <c r="F1028" s="7">
        <v>1.0680000000000001</v>
      </c>
      <c r="G1028" s="7">
        <f t="shared" si="251"/>
        <v>0.77041198501872721</v>
      </c>
      <c r="H1028" s="16">
        <f t="shared" si="252"/>
        <v>23.42958801498127</v>
      </c>
      <c r="I1028" s="11">
        <f t="shared" si="241"/>
        <v>5.8165532656837944E-2</v>
      </c>
      <c r="J1028" s="33">
        <f t="shared" si="242"/>
        <v>5.4462109229249003E-2</v>
      </c>
      <c r="K1028" s="33">
        <f t="shared" si="243"/>
        <v>18.361389489905172</v>
      </c>
      <c r="L1028" s="8">
        <v>1</v>
      </c>
      <c r="M1028" s="9">
        <v>0</v>
      </c>
      <c r="N1028" s="8">
        <v>1</v>
      </c>
      <c r="O1028" s="9">
        <v>0</v>
      </c>
      <c r="P1028" s="9">
        <v>0</v>
      </c>
      <c r="Q1028" s="9">
        <v>0</v>
      </c>
      <c r="R1028" s="9">
        <v>0</v>
      </c>
      <c r="S1028" s="8">
        <v>347</v>
      </c>
      <c r="T1028" s="9">
        <v>10</v>
      </c>
      <c r="U1028" s="9">
        <f t="shared" si="253"/>
        <v>336</v>
      </c>
      <c r="V1028" s="9">
        <f t="shared" si="254"/>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v>0</v>
      </c>
      <c r="BF1028" s="18">
        <v>0</v>
      </c>
      <c r="BG1028">
        <v>0</v>
      </c>
      <c r="BH1028">
        <v>1</v>
      </c>
      <c r="BI1028" s="18">
        <v>0</v>
      </c>
      <c r="BJ1028">
        <v>1462</v>
      </c>
      <c r="BK1028">
        <v>176</v>
      </c>
      <c r="BL1028" s="93">
        <f t="shared" si="250"/>
        <v>33.730000000000004</v>
      </c>
      <c r="BM1028">
        <v>0</v>
      </c>
      <c r="BN1028">
        <v>0</v>
      </c>
      <c r="BO1028">
        <v>0</v>
      </c>
      <c r="BP1028">
        <v>0</v>
      </c>
      <c r="BQ1028">
        <v>1</v>
      </c>
      <c r="BR1028">
        <v>0</v>
      </c>
      <c r="BS1028">
        <v>0</v>
      </c>
      <c r="BT1028" s="18">
        <v>0</v>
      </c>
      <c r="BU1028">
        <v>0</v>
      </c>
      <c r="BV1028">
        <v>1</v>
      </c>
      <c r="BW1028">
        <v>0</v>
      </c>
      <c r="BX1028" s="18">
        <v>0</v>
      </c>
      <c r="BY1028">
        <v>0</v>
      </c>
      <c r="BZ1028">
        <v>0</v>
      </c>
      <c r="CA1028">
        <v>0</v>
      </c>
      <c r="CB1028">
        <v>0</v>
      </c>
      <c r="CC1028" s="18">
        <v>0</v>
      </c>
      <c r="CD1028">
        <v>0</v>
      </c>
      <c r="CE1028">
        <v>0</v>
      </c>
      <c r="CF1028">
        <v>1</v>
      </c>
      <c r="CG1028">
        <v>1</v>
      </c>
      <c r="CH1028">
        <v>0</v>
      </c>
      <c r="CI1028">
        <v>1</v>
      </c>
      <c r="CJ1028">
        <v>1</v>
      </c>
      <c r="CK1028">
        <v>0</v>
      </c>
      <c r="CL1028">
        <v>0</v>
      </c>
      <c r="CM1028">
        <v>1</v>
      </c>
      <c r="CN1028" s="18">
        <v>0</v>
      </c>
      <c r="CO1028">
        <v>0</v>
      </c>
      <c r="CP1028">
        <v>2</v>
      </c>
      <c r="CQ1028">
        <v>0</v>
      </c>
      <c r="CR1028">
        <v>1</v>
      </c>
      <c r="CS1028">
        <v>16</v>
      </c>
      <c r="CY1028" s="34"/>
    </row>
    <row r="1029" spans="1:103" x14ac:dyDescent="0.25">
      <c r="A1029">
        <v>1028</v>
      </c>
      <c r="B1029">
        <v>70</v>
      </c>
      <c r="C1029" s="25" t="s">
        <v>4026</v>
      </c>
      <c r="D1029" s="12">
        <v>31.6</v>
      </c>
      <c r="E1029" s="14">
        <f t="shared" si="249"/>
        <v>4.394381866221666</v>
      </c>
      <c r="F1029" s="7">
        <v>7.1909999999999998</v>
      </c>
      <c r="G1029" s="7">
        <f t="shared" si="251"/>
        <v>27.205618133778337</v>
      </c>
      <c r="H1029" s="16">
        <f t="shared" si="252"/>
        <v>35.994381866221666</v>
      </c>
      <c r="I1029" s="11">
        <f t="shared" si="241"/>
        <v>0.4009190418291817</v>
      </c>
      <c r="J1029" s="33">
        <f t="shared" si="242"/>
        <v>5.5752891368263349E-2</v>
      </c>
      <c r="K1029" s="33">
        <f t="shared" si="243"/>
        <v>17.936289499224749</v>
      </c>
      <c r="L1029" s="8">
        <v>1</v>
      </c>
      <c r="M1029" s="9">
        <v>0</v>
      </c>
      <c r="N1029" s="8">
        <v>1</v>
      </c>
      <c r="O1029" s="9">
        <v>0</v>
      </c>
      <c r="P1029" s="9">
        <v>0</v>
      </c>
      <c r="Q1029" s="9">
        <v>0</v>
      </c>
      <c r="R1029" s="9">
        <v>0</v>
      </c>
      <c r="S1029" s="8">
        <v>281</v>
      </c>
      <c r="T1029" s="9">
        <v>10</v>
      </c>
      <c r="U1029" s="9">
        <f t="shared" si="253"/>
        <v>270</v>
      </c>
      <c r="V1029" s="9">
        <f t="shared" si="254"/>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v>0</v>
      </c>
      <c r="BF1029" s="18">
        <v>0</v>
      </c>
      <c r="BG1029">
        <v>0</v>
      </c>
      <c r="BH1029">
        <v>1</v>
      </c>
      <c r="BI1029" s="18">
        <v>0</v>
      </c>
      <c r="BJ1029">
        <v>1462</v>
      </c>
      <c r="BK1029">
        <v>176</v>
      </c>
      <c r="BL1029" s="93">
        <f t="shared" si="250"/>
        <v>33.730000000000004</v>
      </c>
      <c r="BM1029">
        <v>0</v>
      </c>
      <c r="BN1029">
        <v>0</v>
      </c>
      <c r="BO1029">
        <v>0</v>
      </c>
      <c r="BP1029">
        <v>0</v>
      </c>
      <c r="BQ1029">
        <v>1</v>
      </c>
      <c r="BR1029">
        <v>0</v>
      </c>
      <c r="BS1029">
        <v>0</v>
      </c>
      <c r="BT1029" s="18">
        <v>0</v>
      </c>
      <c r="BU1029">
        <v>0</v>
      </c>
      <c r="BV1029">
        <v>1</v>
      </c>
      <c r="BW1029">
        <v>0</v>
      </c>
      <c r="BX1029" s="18">
        <v>0</v>
      </c>
      <c r="BY1029">
        <v>0</v>
      </c>
      <c r="BZ1029">
        <v>0</v>
      </c>
      <c r="CA1029">
        <v>0</v>
      </c>
      <c r="CB1029">
        <v>0</v>
      </c>
      <c r="CC1029" s="18">
        <v>0</v>
      </c>
      <c r="CD1029">
        <v>0</v>
      </c>
      <c r="CE1029">
        <v>0</v>
      </c>
      <c r="CF1029">
        <v>1</v>
      </c>
      <c r="CG1029">
        <v>1</v>
      </c>
      <c r="CH1029">
        <v>0</v>
      </c>
      <c r="CI1029">
        <v>1</v>
      </c>
      <c r="CJ1029">
        <v>1</v>
      </c>
      <c r="CK1029">
        <v>0</v>
      </c>
      <c r="CL1029">
        <v>0</v>
      </c>
      <c r="CM1029">
        <v>1</v>
      </c>
      <c r="CN1029" s="18">
        <v>0</v>
      </c>
      <c r="CO1029">
        <v>0</v>
      </c>
      <c r="CP1029">
        <v>2</v>
      </c>
      <c r="CQ1029">
        <v>0</v>
      </c>
      <c r="CR1029">
        <v>1</v>
      </c>
      <c r="CS1029">
        <v>16</v>
      </c>
      <c r="CY1029" s="34"/>
    </row>
    <row r="1030" spans="1:103" x14ac:dyDescent="0.25">
      <c r="A1030">
        <v>1029</v>
      </c>
      <c r="B1030">
        <v>70</v>
      </c>
      <c r="C1030" s="25" t="s">
        <v>4026</v>
      </c>
      <c r="D1030" s="12">
        <v>6.66</v>
      </c>
      <c r="E1030" s="14">
        <f t="shared" si="249"/>
        <v>1.1388508891928866</v>
      </c>
      <c r="F1030" s="7">
        <v>5.8479999999999999</v>
      </c>
      <c r="G1030" s="7">
        <f t="shared" si="251"/>
        <v>5.521149110807114</v>
      </c>
      <c r="H1030" s="16">
        <f t="shared" si="252"/>
        <v>7.7988508891928863</v>
      </c>
      <c r="I1030" s="11">
        <f t="shared" si="241"/>
        <v>0.30643468951102304</v>
      </c>
      <c r="J1030" s="33">
        <f t="shared" si="242"/>
        <v>5.2399912707083281E-2</v>
      </c>
      <c r="K1030" s="33">
        <f t="shared" si="243"/>
        <v>19.084001257597947</v>
      </c>
      <c r="L1030" s="8">
        <v>1</v>
      </c>
      <c r="M1030" s="9">
        <v>0</v>
      </c>
      <c r="N1030" s="8">
        <v>1</v>
      </c>
      <c r="O1030" s="9">
        <v>0</v>
      </c>
      <c r="P1030" s="9">
        <v>0</v>
      </c>
      <c r="Q1030" s="9">
        <v>0</v>
      </c>
      <c r="R1030" s="9">
        <v>0</v>
      </c>
      <c r="S1030" s="8">
        <v>347</v>
      </c>
      <c r="T1030" s="9">
        <v>16</v>
      </c>
      <c r="U1030" s="9">
        <f t="shared" si="253"/>
        <v>330</v>
      </c>
      <c r="V1030" s="9">
        <f t="shared" si="254"/>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v>0</v>
      </c>
      <c r="BF1030" s="18">
        <v>0</v>
      </c>
      <c r="BG1030">
        <v>0</v>
      </c>
      <c r="BH1030">
        <v>1</v>
      </c>
      <c r="BI1030" s="18">
        <v>0</v>
      </c>
      <c r="BJ1030">
        <v>1462</v>
      </c>
      <c r="BK1030">
        <v>176</v>
      </c>
      <c r="BL1030" s="93">
        <f t="shared" si="250"/>
        <v>33.730000000000004</v>
      </c>
      <c r="BM1030">
        <v>1</v>
      </c>
      <c r="BN1030">
        <v>0</v>
      </c>
      <c r="BO1030">
        <v>0</v>
      </c>
      <c r="BP1030">
        <v>0</v>
      </c>
      <c r="BQ1030">
        <v>0</v>
      </c>
      <c r="BR1030">
        <v>0</v>
      </c>
      <c r="BS1030">
        <v>0</v>
      </c>
      <c r="BT1030" s="18">
        <v>0</v>
      </c>
      <c r="BU1030">
        <v>0</v>
      </c>
      <c r="BV1030">
        <v>0</v>
      </c>
      <c r="BW1030">
        <v>1</v>
      </c>
      <c r="BX1030" s="18">
        <v>0</v>
      </c>
      <c r="BY1030">
        <v>0</v>
      </c>
      <c r="BZ1030">
        <v>0</v>
      </c>
      <c r="CA1030">
        <v>0</v>
      </c>
      <c r="CB1030">
        <v>0</v>
      </c>
      <c r="CC1030" s="18">
        <v>0</v>
      </c>
      <c r="CD1030">
        <v>0</v>
      </c>
      <c r="CE1030">
        <v>0</v>
      </c>
      <c r="CF1030">
        <v>1</v>
      </c>
      <c r="CG1030">
        <v>1</v>
      </c>
      <c r="CH1030">
        <v>0</v>
      </c>
      <c r="CI1030">
        <v>1</v>
      </c>
      <c r="CJ1030">
        <v>1</v>
      </c>
      <c r="CK1030">
        <v>0</v>
      </c>
      <c r="CL1030">
        <v>1</v>
      </c>
      <c r="CM1030">
        <v>1</v>
      </c>
      <c r="CN1030" s="18">
        <v>0</v>
      </c>
      <c r="CO1030">
        <v>0</v>
      </c>
      <c r="CP1030">
        <v>2</v>
      </c>
      <c r="CQ1030">
        <v>0</v>
      </c>
      <c r="CR1030">
        <v>1</v>
      </c>
      <c r="CS1030">
        <v>16</v>
      </c>
      <c r="CY1030" s="34"/>
    </row>
    <row r="1031" spans="1:103" x14ac:dyDescent="0.25">
      <c r="A1031">
        <v>1030</v>
      </c>
      <c r="B1031">
        <v>70</v>
      </c>
      <c r="C1031" s="25" t="s">
        <v>4026</v>
      </c>
      <c r="D1031" s="12">
        <v>9.08</v>
      </c>
      <c r="E1031" s="14">
        <f t="shared" si="249"/>
        <v>1.1167138113393187</v>
      </c>
      <c r="F1031" s="7">
        <v>8.1310000000000002</v>
      </c>
      <c r="G1031" s="7">
        <f t="shared" si="251"/>
        <v>7.9632861886606818</v>
      </c>
      <c r="H1031" s="16">
        <f t="shared" si="252"/>
        <v>10.196713811339318</v>
      </c>
      <c r="I1031" s="11">
        <f t="shared" si="241"/>
        <v>0.44752009525633424</v>
      </c>
      <c r="J1031" s="33">
        <f t="shared" si="242"/>
        <v>5.5038752337514964E-2</v>
      </c>
      <c r="K1031" s="33">
        <f t="shared" si="243"/>
        <v>18.169016511633206</v>
      </c>
      <c r="L1031" s="8">
        <v>1</v>
      </c>
      <c r="M1031" s="9">
        <v>0</v>
      </c>
      <c r="N1031" s="8">
        <v>1</v>
      </c>
      <c r="O1031" s="9">
        <v>0</v>
      </c>
      <c r="P1031" s="9">
        <v>0</v>
      </c>
      <c r="Q1031" s="9">
        <v>0</v>
      </c>
      <c r="R1031" s="9">
        <v>0</v>
      </c>
      <c r="S1031" s="8">
        <v>281</v>
      </c>
      <c r="T1031" s="9">
        <v>16</v>
      </c>
      <c r="U1031" s="9">
        <f t="shared" si="253"/>
        <v>264</v>
      </c>
      <c r="V1031" s="9">
        <f t="shared" si="254"/>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v>0</v>
      </c>
      <c r="BF1031" s="18">
        <v>0</v>
      </c>
      <c r="BG1031">
        <v>0</v>
      </c>
      <c r="BH1031">
        <v>1</v>
      </c>
      <c r="BI1031" s="18">
        <v>0</v>
      </c>
      <c r="BJ1031">
        <v>1462</v>
      </c>
      <c r="BK1031">
        <v>176</v>
      </c>
      <c r="BL1031" s="93">
        <f t="shared" si="250"/>
        <v>33.730000000000004</v>
      </c>
      <c r="BM1031">
        <v>1</v>
      </c>
      <c r="BN1031">
        <v>0</v>
      </c>
      <c r="BO1031">
        <v>0</v>
      </c>
      <c r="BP1031">
        <v>0</v>
      </c>
      <c r="BQ1031">
        <v>0</v>
      </c>
      <c r="BR1031">
        <v>0</v>
      </c>
      <c r="BS1031">
        <v>0</v>
      </c>
      <c r="BT1031" s="18">
        <v>0</v>
      </c>
      <c r="BU1031">
        <v>0</v>
      </c>
      <c r="BV1031">
        <v>0</v>
      </c>
      <c r="BW1031">
        <v>1</v>
      </c>
      <c r="BX1031" s="18">
        <v>0</v>
      </c>
      <c r="BY1031">
        <v>0</v>
      </c>
      <c r="BZ1031">
        <v>0</v>
      </c>
      <c r="CA1031">
        <v>0</v>
      </c>
      <c r="CB1031">
        <v>0</v>
      </c>
      <c r="CC1031" s="18">
        <v>0</v>
      </c>
      <c r="CD1031">
        <v>0</v>
      </c>
      <c r="CE1031">
        <v>0</v>
      </c>
      <c r="CF1031">
        <v>1</v>
      </c>
      <c r="CG1031">
        <v>1</v>
      </c>
      <c r="CH1031">
        <v>0</v>
      </c>
      <c r="CI1031">
        <v>1</v>
      </c>
      <c r="CJ1031">
        <v>1</v>
      </c>
      <c r="CK1031">
        <v>0</v>
      </c>
      <c r="CL1031">
        <v>1</v>
      </c>
      <c r="CM1031">
        <v>1</v>
      </c>
      <c r="CN1031" s="18">
        <v>0</v>
      </c>
      <c r="CO1031">
        <v>0</v>
      </c>
      <c r="CP1031">
        <v>2</v>
      </c>
      <c r="CQ1031">
        <v>0</v>
      </c>
      <c r="CR1031">
        <v>1</v>
      </c>
      <c r="CS1031">
        <v>16</v>
      </c>
      <c r="CY1031" s="34"/>
    </row>
    <row r="1032" spans="1:103" x14ac:dyDescent="0.25">
      <c r="A1032">
        <v>1031</v>
      </c>
      <c r="B1032">
        <v>70</v>
      </c>
      <c r="C1032" s="25" t="s">
        <v>4026</v>
      </c>
      <c r="D1032" s="12">
        <v>18.7</v>
      </c>
      <c r="E1032" s="14">
        <f t="shared" si="249"/>
        <v>5.3125</v>
      </c>
      <c r="F1032" s="7">
        <v>3.52</v>
      </c>
      <c r="G1032" s="7">
        <f t="shared" si="251"/>
        <v>13.387499999999999</v>
      </c>
      <c r="H1032" s="16">
        <f t="shared" si="252"/>
        <v>24.012499999999999</v>
      </c>
      <c r="I1032" s="11">
        <f t="shared" ref="I1032:I1095" si="255">IFERROR(F1032/SQRT(F1032^2+U1032), "X")</f>
        <v>0.19023125532552315</v>
      </c>
      <c r="J1032" s="33">
        <f t="shared" ref="J1032:J1095" si="256">IFERROR(SQRT((1-I1032^2)/U1032), "X")</f>
        <v>5.4042970262932713E-2</v>
      </c>
      <c r="K1032" s="33">
        <f t="shared" ref="K1032:K1095" si="257">IFERROR(1/J1032, "X")</f>
        <v>18.503794205513636</v>
      </c>
      <c r="L1032" s="8">
        <v>1</v>
      </c>
      <c r="M1032" s="9">
        <v>0</v>
      </c>
      <c r="N1032" s="8">
        <v>1</v>
      </c>
      <c r="O1032" s="9">
        <v>0</v>
      </c>
      <c r="P1032" s="9">
        <v>0</v>
      </c>
      <c r="Q1032" s="9">
        <v>0</v>
      </c>
      <c r="R1032" s="9">
        <v>0</v>
      </c>
      <c r="S1032" s="8">
        <v>347</v>
      </c>
      <c r="T1032" s="9">
        <v>16</v>
      </c>
      <c r="U1032" s="9">
        <f t="shared" si="253"/>
        <v>330</v>
      </c>
      <c r="V1032" s="9">
        <f t="shared" si="254"/>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v>0</v>
      </c>
      <c r="BF1032" s="18">
        <v>0</v>
      </c>
      <c r="BG1032">
        <v>0</v>
      </c>
      <c r="BH1032">
        <v>1</v>
      </c>
      <c r="BI1032" s="18">
        <v>0</v>
      </c>
      <c r="BJ1032">
        <v>1462</v>
      </c>
      <c r="BK1032">
        <v>176</v>
      </c>
      <c r="BL1032" s="93">
        <f t="shared" si="250"/>
        <v>33.730000000000004</v>
      </c>
      <c r="BM1032">
        <v>0</v>
      </c>
      <c r="BN1032">
        <v>0</v>
      </c>
      <c r="BO1032">
        <v>0</v>
      </c>
      <c r="BP1032">
        <v>0</v>
      </c>
      <c r="BQ1032">
        <v>1</v>
      </c>
      <c r="BR1032">
        <v>0</v>
      </c>
      <c r="BS1032">
        <v>0</v>
      </c>
      <c r="BT1032" s="18">
        <v>0</v>
      </c>
      <c r="BU1032">
        <v>0</v>
      </c>
      <c r="BV1032">
        <v>1</v>
      </c>
      <c r="BW1032">
        <v>0</v>
      </c>
      <c r="BX1032" s="18">
        <v>0</v>
      </c>
      <c r="BY1032">
        <v>0</v>
      </c>
      <c r="BZ1032">
        <v>0</v>
      </c>
      <c r="CA1032">
        <v>0</v>
      </c>
      <c r="CB1032">
        <v>0</v>
      </c>
      <c r="CC1032" s="18">
        <v>0</v>
      </c>
      <c r="CD1032">
        <v>0</v>
      </c>
      <c r="CE1032">
        <v>0</v>
      </c>
      <c r="CF1032">
        <v>1</v>
      </c>
      <c r="CG1032">
        <v>1</v>
      </c>
      <c r="CH1032">
        <v>0</v>
      </c>
      <c r="CI1032">
        <v>1</v>
      </c>
      <c r="CJ1032">
        <v>1</v>
      </c>
      <c r="CK1032">
        <v>0</v>
      </c>
      <c r="CL1032">
        <v>1</v>
      </c>
      <c r="CM1032">
        <v>1</v>
      </c>
      <c r="CN1032" s="18">
        <v>0</v>
      </c>
      <c r="CO1032">
        <v>0</v>
      </c>
      <c r="CP1032">
        <v>2</v>
      </c>
      <c r="CQ1032">
        <v>0</v>
      </c>
      <c r="CR1032">
        <v>1</v>
      </c>
      <c r="CS1032">
        <v>16</v>
      </c>
      <c r="CY1032" s="34"/>
    </row>
    <row r="1033" spans="1:103" x14ac:dyDescent="0.25">
      <c r="A1033">
        <v>1032</v>
      </c>
      <c r="B1033">
        <v>70</v>
      </c>
      <c r="C1033" s="25" t="s">
        <v>4026</v>
      </c>
      <c r="D1033" s="12">
        <v>24.4</v>
      </c>
      <c r="E1033" s="14">
        <f t="shared" si="249"/>
        <v>3.8607594936708858</v>
      </c>
      <c r="F1033" s="7">
        <v>6.32</v>
      </c>
      <c r="G1033" s="7">
        <f t="shared" si="251"/>
        <v>20.539240506329111</v>
      </c>
      <c r="H1033" s="16">
        <f t="shared" si="252"/>
        <v>28.260759493670886</v>
      </c>
      <c r="I1033" s="11">
        <f t="shared" si="255"/>
        <v>0.36251120430914735</v>
      </c>
      <c r="J1033" s="33">
        <f t="shared" si="256"/>
        <v>5.7359367770434704E-2</v>
      </c>
      <c r="K1033" s="33">
        <f t="shared" si="257"/>
        <v>17.433943902628574</v>
      </c>
      <c r="L1033" s="8">
        <v>1</v>
      </c>
      <c r="M1033" s="9">
        <v>0</v>
      </c>
      <c r="N1033" s="8">
        <v>1</v>
      </c>
      <c r="O1033" s="9">
        <v>0</v>
      </c>
      <c r="P1033" s="9">
        <v>0</v>
      </c>
      <c r="Q1033" s="9">
        <v>0</v>
      </c>
      <c r="R1033" s="9">
        <v>0</v>
      </c>
      <c r="S1033" s="8">
        <v>281</v>
      </c>
      <c r="T1033" s="9">
        <v>16</v>
      </c>
      <c r="U1033" s="9">
        <f t="shared" si="253"/>
        <v>264</v>
      </c>
      <c r="V1033" s="9">
        <f t="shared" si="254"/>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v>0</v>
      </c>
      <c r="BF1033" s="18">
        <v>0</v>
      </c>
      <c r="BG1033">
        <v>0</v>
      </c>
      <c r="BH1033">
        <v>1</v>
      </c>
      <c r="BI1033" s="18">
        <v>0</v>
      </c>
      <c r="BJ1033">
        <v>1462</v>
      </c>
      <c r="BK1033">
        <v>176</v>
      </c>
      <c r="BL1033" s="93">
        <f t="shared" si="250"/>
        <v>33.730000000000004</v>
      </c>
      <c r="BM1033">
        <v>0</v>
      </c>
      <c r="BN1033">
        <v>0</v>
      </c>
      <c r="BO1033">
        <v>0</v>
      </c>
      <c r="BP1033">
        <v>0</v>
      </c>
      <c r="BQ1033">
        <v>1</v>
      </c>
      <c r="BR1033">
        <v>0</v>
      </c>
      <c r="BS1033">
        <v>0</v>
      </c>
      <c r="BT1033" s="18">
        <v>0</v>
      </c>
      <c r="BU1033">
        <v>0</v>
      </c>
      <c r="BV1033">
        <v>1</v>
      </c>
      <c r="BW1033">
        <v>0</v>
      </c>
      <c r="BX1033" s="18">
        <v>0</v>
      </c>
      <c r="BY1033">
        <v>0</v>
      </c>
      <c r="BZ1033">
        <v>0</v>
      </c>
      <c r="CA1033">
        <v>0</v>
      </c>
      <c r="CB1033">
        <v>0</v>
      </c>
      <c r="CC1033" s="18">
        <v>0</v>
      </c>
      <c r="CD1033">
        <v>0</v>
      </c>
      <c r="CE1033">
        <v>0</v>
      </c>
      <c r="CF1033">
        <v>1</v>
      </c>
      <c r="CG1033">
        <v>1</v>
      </c>
      <c r="CH1033">
        <v>0</v>
      </c>
      <c r="CI1033">
        <v>1</v>
      </c>
      <c r="CJ1033">
        <v>1</v>
      </c>
      <c r="CK1033">
        <v>0</v>
      </c>
      <c r="CL1033">
        <v>1</v>
      </c>
      <c r="CM1033">
        <v>1</v>
      </c>
      <c r="CN1033" s="18">
        <v>0</v>
      </c>
      <c r="CO1033">
        <v>0</v>
      </c>
      <c r="CP1033">
        <v>2</v>
      </c>
      <c r="CQ1033">
        <v>0</v>
      </c>
      <c r="CR1033">
        <v>1</v>
      </c>
      <c r="CS1033">
        <v>16</v>
      </c>
      <c r="CY1033" s="34"/>
    </row>
    <row r="1034" spans="1:103" x14ac:dyDescent="0.25">
      <c r="A1034">
        <v>1033</v>
      </c>
      <c r="B1034">
        <v>70</v>
      </c>
      <c r="C1034" s="25" t="s">
        <v>4026</v>
      </c>
      <c r="D1034" s="12">
        <v>26.2</v>
      </c>
      <c r="E1034" s="14">
        <f t="shared" si="249"/>
        <v>7.3512906846240176</v>
      </c>
      <c r="F1034" s="7">
        <v>3.5640000000000001</v>
      </c>
      <c r="G1034" s="7">
        <f t="shared" si="251"/>
        <v>18.848709315375981</v>
      </c>
      <c r="H1034" s="16">
        <f t="shared" si="252"/>
        <v>33.551290684624014</v>
      </c>
      <c r="I1034" s="11">
        <f t="shared" si="255"/>
        <v>0.19252153470944192</v>
      </c>
      <c r="J1034" s="33">
        <f t="shared" si="256"/>
        <v>5.4018387965612202E-2</v>
      </c>
      <c r="K1034" s="33">
        <f t="shared" si="257"/>
        <v>18.51221477835648</v>
      </c>
      <c r="L1034" s="8">
        <v>1</v>
      </c>
      <c r="M1034" s="9">
        <v>0</v>
      </c>
      <c r="N1034" s="8">
        <v>1</v>
      </c>
      <c r="O1034" s="9">
        <v>0</v>
      </c>
      <c r="P1034" s="9">
        <v>0</v>
      </c>
      <c r="Q1034" s="9">
        <v>0</v>
      </c>
      <c r="R1034" s="9">
        <v>0</v>
      </c>
      <c r="S1034" s="8">
        <v>347</v>
      </c>
      <c r="T1034" s="9">
        <v>16</v>
      </c>
      <c r="U1034" s="9">
        <f t="shared" si="253"/>
        <v>330</v>
      </c>
      <c r="V1034" s="9">
        <f t="shared" si="254"/>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v>0</v>
      </c>
      <c r="BF1034" s="18">
        <v>0</v>
      </c>
      <c r="BG1034">
        <v>0</v>
      </c>
      <c r="BH1034">
        <v>1</v>
      </c>
      <c r="BI1034" s="18">
        <v>0</v>
      </c>
      <c r="BJ1034">
        <v>1462</v>
      </c>
      <c r="BK1034">
        <v>176</v>
      </c>
      <c r="BL1034" s="93">
        <f t="shared" si="250"/>
        <v>33.730000000000004</v>
      </c>
      <c r="BM1034">
        <v>0</v>
      </c>
      <c r="BN1034">
        <v>0</v>
      </c>
      <c r="BO1034">
        <v>0</v>
      </c>
      <c r="BP1034">
        <v>0</v>
      </c>
      <c r="BQ1034">
        <v>1</v>
      </c>
      <c r="BR1034">
        <v>0</v>
      </c>
      <c r="BS1034">
        <v>0</v>
      </c>
      <c r="BT1034" s="18">
        <v>0</v>
      </c>
      <c r="BU1034">
        <v>0</v>
      </c>
      <c r="BV1034">
        <v>1</v>
      </c>
      <c r="BW1034">
        <v>0</v>
      </c>
      <c r="BX1034" s="18">
        <v>0</v>
      </c>
      <c r="BY1034">
        <v>0</v>
      </c>
      <c r="BZ1034">
        <v>0</v>
      </c>
      <c r="CA1034">
        <v>0</v>
      </c>
      <c r="CB1034">
        <v>0</v>
      </c>
      <c r="CC1034" s="18">
        <v>0</v>
      </c>
      <c r="CD1034">
        <v>0</v>
      </c>
      <c r="CE1034">
        <v>0</v>
      </c>
      <c r="CF1034">
        <v>1</v>
      </c>
      <c r="CG1034">
        <v>1</v>
      </c>
      <c r="CH1034">
        <v>0</v>
      </c>
      <c r="CI1034">
        <v>1</v>
      </c>
      <c r="CJ1034">
        <v>1</v>
      </c>
      <c r="CK1034">
        <v>0</v>
      </c>
      <c r="CL1034">
        <v>1</v>
      </c>
      <c r="CM1034">
        <v>1</v>
      </c>
      <c r="CN1034" s="18">
        <v>0</v>
      </c>
      <c r="CO1034">
        <v>0</v>
      </c>
      <c r="CP1034">
        <v>2</v>
      </c>
      <c r="CQ1034">
        <v>0</v>
      </c>
      <c r="CR1034">
        <v>1</v>
      </c>
      <c r="CS1034">
        <v>16</v>
      </c>
      <c r="CY1034" s="34"/>
    </row>
    <row r="1035" spans="1:103" x14ac:dyDescent="0.25">
      <c r="A1035">
        <v>1034</v>
      </c>
      <c r="B1035">
        <v>70</v>
      </c>
      <c r="C1035" s="25" t="s">
        <v>4026</v>
      </c>
      <c r="D1035" s="12">
        <v>28.6</v>
      </c>
      <c r="E1035" s="14">
        <f t="shared" si="249"/>
        <v>3.232368896925859</v>
      </c>
      <c r="F1035" s="7">
        <v>8.8480000000000008</v>
      </c>
      <c r="G1035" s="7">
        <f t="shared" si="251"/>
        <v>25.367631103074142</v>
      </c>
      <c r="H1035" s="16">
        <f t="shared" si="252"/>
        <v>31.83236889692586</v>
      </c>
      <c r="I1035" s="11">
        <f t="shared" si="255"/>
        <v>0.47824434726464526</v>
      </c>
      <c r="J1035" s="33">
        <f t="shared" si="256"/>
        <v>5.4051124238770933E-2</v>
      </c>
      <c r="K1035" s="33">
        <f t="shared" si="257"/>
        <v>18.501002783633108</v>
      </c>
      <c r="L1035" s="8">
        <v>1</v>
      </c>
      <c r="M1035" s="9">
        <v>0</v>
      </c>
      <c r="N1035" s="8">
        <v>1</v>
      </c>
      <c r="O1035" s="9">
        <v>0</v>
      </c>
      <c r="P1035" s="9">
        <v>0</v>
      </c>
      <c r="Q1035" s="9">
        <v>0</v>
      </c>
      <c r="R1035" s="9">
        <v>0</v>
      </c>
      <c r="S1035" s="8">
        <v>281</v>
      </c>
      <c r="T1035" s="9">
        <v>16</v>
      </c>
      <c r="U1035" s="9">
        <f t="shared" si="253"/>
        <v>264</v>
      </c>
      <c r="V1035" s="9">
        <f t="shared" si="254"/>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v>0</v>
      </c>
      <c r="BF1035" s="18">
        <v>0</v>
      </c>
      <c r="BG1035">
        <v>0</v>
      </c>
      <c r="BH1035">
        <v>1</v>
      </c>
      <c r="BI1035" s="18">
        <v>0</v>
      </c>
      <c r="BJ1035">
        <v>1462</v>
      </c>
      <c r="BK1035">
        <v>176</v>
      </c>
      <c r="BL1035" s="93">
        <f t="shared" si="250"/>
        <v>33.730000000000004</v>
      </c>
      <c r="BM1035">
        <v>0</v>
      </c>
      <c r="BN1035">
        <v>0</v>
      </c>
      <c r="BO1035">
        <v>0</v>
      </c>
      <c r="BP1035">
        <v>0</v>
      </c>
      <c r="BQ1035">
        <v>1</v>
      </c>
      <c r="BR1035">
        <v>0</v>
      </c>
      <c r="BS1035">
        <v>0</v>
      </c>
      <c r="BT1035" s="18">
        <v>0</v>
      </c>
      <c r="BU1035">
        <v>0</v>
      </c>
      <c r="BV1035">
        <v>1</v>
      </c>
      <c r="BW1035">
        <v>0</v>
      </c>
      <c r="BX1035" s="18">
        <v>0</v>
      </c>
      <c r="BY1035">
        <v>0</v>
      </c>
      <c r="BZ1035">
        <v>0</v>
      </c>
      <c r="CA1035">
        <v>0</v>
      </c>
      <c r="CB1035">
        <v>0</v>
      </c>
      <c r="CC1035" s="18">
        <v>0</v>
      </c>
      <c r="CD1035">
        <v>0</v>
      </c>
      <c r="CE1035">
        <v>0</v>
      </c>
      <c r="CF1035">
        <v>1</v>
      </c>
      <c r="CG1035">
        <v>1</v>
      </c>
      <c r="CH1035">
        <v>0</v>
      </c>
      <c r="CI1035">
        <v>1</v>
      </c>
      <c r="CJ1035">
        <v>1</v>
      </c>
      <c r="CK1035">
        <v>0</v>
      </c>
      <c r="CL1035">
        <v>1</v>
      </c>
      <c r="CM1035">
        <v>1</v>
      </c>
      <c r="CN1035" s="18">
        <v>0</v>
      </c>
      <c r="CO1035">
        <v>0</v>
      </c>
      <c r="CP1035">
        <v>2</v>
      </c>
      <c r="CQ1035">
        <v>0</v>
      </c>
      <c r="CR1035">
        <v>1</v>
      </c>
      <c r="CS1035">
        <v>16</v>
      </c>
      <c r="CY1035" s="34"/>
    </row>
    <row r="1036" spans="1:103" x14ac:dyDescent="0.25">
      <c r="A1036">
        <v>1035</v>
      </c>
      <c r="B1036">
        <v>70</v>
      </c>
      <c r="C1036" s="25" t="s">
        <v>4026</v>
      </c>
      <c r="D1036" s="12">
        <v>6.67</v>
      </c>
      <c r="E1036" s="14">
        <f t="shared" si="249"/>
        <v>1.1575841721624436</v>
      </c>
      <c r="F1036" s="7">
        <v>5.7619999999999996</v>
      </c>
      <c r="G1036" s="7">
        <f t="shared" si="251"/>
        <v>5.5124158278375566</v>
      </c>
      <c r="H1036" s="16">
        <f t="shared" si="252"/>
        <v>7.8275841721624433</v>
      </c>
      <c r="I1036" s="11">
        <f t="shared" si="255"/>
        <v>0.30276010338288295</v>
      </c>
      <c r="J1036" s="33">
        <f t="shared" si="256"/>
        <v>5.2544273409039055E-2</v>
      </c>
      <c r="K1036" s="33">
        <f t="shared" si="257"/>
        <v>19.031569667266016</v>
      </c>
      <c r="L1036" s="8">
        <v>1</v>
      </c>
      <c r="M1036" s="9">
        <v>0</v>
      </c>
      <c r="N1036" s="8">
        <v>1</v>
      </c>
      <c r="O1036" s="9">
        <v>0</v>
      </c>
      <c r="P1036" s="9">
        <v>0</v>
      </c>
      <c r="Q1036" s="9">
        <v>0</v>
      </c>
      <c r="R1036" s="9">
        <v>0</v>
      </c>
      <c r="S1036" s="8">
        <v>347</v>
      </c>
      <c r="T1036" s="9">
        <v>17</v>
      </c>
      <c r="U1036" s="9">
        <f t="shared" si="253"/>
        <v>329</v>
      </c>
      <c r="V1036" s="9">
        <f t="shared" si="254"/>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v>0</v>
      </c>
      <c r="BF1036" s="18">
        <v>0</v>
      </c>
      <c r="BG1036">
        <v>0</v>
      </c>
      <c r="BH1036">
        <v>1</v>
      </c>
      <c r="BI1036" s="18">
        <v>0</v>
      </c>
      <c r="BJ1036">
        <v>1462</v>
      </c>
      <c r="BK1036">
        <v>176</v>
      </c>
      <c r="BL1036" s="93">
        <f t="shared" si="250"/>
        <v>33.730000000000004</v>
      </c>
      <c r="BM1036">
        <v>1</v>
      </c>
      <c r="BN1036">
        <v>0</v>
      </c>
      <c r="BO1036">
        <v>0</v>
      </c>
      <c r="BP1036">
        <v>0</v>
      </c>
      <c r="BQ1036">
        <v>0</v>
      </c>
      <c r="BR1036">
        <v>0</v>
      </c>
      <c r="BS1036">
        <v>0</v>
      </c>
      <c r="BT1036" s="18">
        <v>0</v>
      </c>
      <c r="BU1036">
        <v>0</v>
      </c>
      <c r="BV1036">
        <v>0</v>
      </c>
      <c r="BW1036">
        <v>1</v>
      </c>
      <c r="BX1036" s="18">
        <v>0</v>
      </c>
      <c r="BY1036">
        <v>0</v>
      </c>
      <c r="BZ1036">
        <v>0</v>
      </c>
      <c r="CA1036">
        <v>0</v>
      </c>
      <c r="CB1036">
        <v>0</v>
      </c>
      <c r="CC1036" s="18">
        <v>0</v>
      </c>
      <c r="CD1036">
        <v>0</v>
      </c>
      <c r="CE1036">
        <v>0</v>
      </c>
      <c r="CF1036">
        <v>1</v>
      </c>
      <c r="CG1036">
        <v>1</v>
      </c>
      <c r="CH1036">
        <v>0</v>
      </c>
      <c r="CI1036">
        <v>1</v>
      </c>
      <c r="CJ1036">
        <v>1</v>
      </c>
      <c r="CK1036">
        <v>1</v>
      </c>
      <c r="CL1036">
        <v>1</v>
      </c>
      <c r="CM1036">
        <v>1</v>
      </c>
      <c r="CN1036" s="18">
        <v>0</v>
      </c>
      <c r="CO1036">
        <v>0</v>
      </c>
      <c r="CP1036">
        <v>2</v>
      </c>
      <c r="CQ1036">
        <v>0</v>
      </c>
      <c r="CR1036">
        <v>1</v>
      </c>
      <c r="CS1036">
        <v>16</v>
      </c>
      <c r="CY1036" s="34"/>
    </row>
    <row r="1037" spans="1:103" x14ac:dyDescent="0.25">
      <c r="A1037">
        <v>1036</v>
      </c>
      <c r="B1037">
        <v>70</v>
      </c>
      <c r="C1037" s="25" t="s">
        <v>4026</v>
      </c>
      <c r="D1037" s="12">
        <v>9.07</v>
      </c>
      <c r="E1037" s="14">
        <f t="shared" si="249"/>
        <v>1.1211372064276885</v>
      </c>
      <c r="F1037" s="7">
        <v>8.09</v>
      </c>
      <c r="G1037" s="7">
        <f t="shared" si="251"/>
        <v>7.948862793572312</v>
      </c>
      <c r="H1037" s="16">
        <f t="shared" si="252"/>
        <v>10.191137206427689</v>
      </c>
      <c r="I1037" s="11">
        <f t="shared" si="255"/>
        <v>0.44639070680664567</v>
      </c>
      <c r="J1037" s="33">
        <f t="shared" si="256"/>
        <v>5.5178084895753481E-2</v>
      </c>
      <c r="K1037" s="33">
        <f t="shared" si="257"/>
        <v>18.123137145648929</v>
      </c>
      <c r="L1037" s="8">
        <v>1</v>
      </c>
      <c r="M1037" s="9">
        <v>0</v>
      </c>
      <c r="N1037" s="8">
        <v>1</v>
      </c>
      <c r="O1037" s="9">
        <v>0</v>
      </c>
      <c r="P1037" s="9">
        <v>0</v>
      </c>
      <c r="Q1037" s="9">
        <v>0</v>
      </c>
      <c r="R1037" s="9">
        <v>0</v>
      </c>
      <c r="S1037" s="8">
        <v>281</v>
      </c>
      <c r="T1037" s="9">
        <v>17</v>
      </c>
      <c r="U1037" s="9">
        <f t="shared" si="253"/>
        <v>263</v>
      </c>
      <c r="V1037" s="9">
        <f t="shared" si="254"/>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v>0</v>
      </c>
      <c r="BF1037" s="18">
        <v>0</v>
      </c>
      <c r="BG1037">
        <v>0</v>
      </c>
      <c r="BH1037">
        <v>1</v>
      </c>
      <c r="BI1037" s="18">
        <v>0</v>
      </c>
      <c r="BJ1037">
        <v>1462</v>
      </c>
      <c r="BK1037">
        <v>176</v>
      </c>
      <c r="BL1037" s="93">
        <f t="shared" si="250"/>
        <v>33.730000000000004</v>
      </c>
      <c r="BM1037">
        <v>1</v>
      </c>
      <c r="BN1037">
        <v>0</v>
      </c>
      <c r="BO1037">
        <v>0</v>
      </c>
      <c r="BP1037">
        <v>0</v>
      </c>
      <c r="BQ1037">
        <v>0</v>
      </c>
      <c r="BR1037">
        <v>0</v>
      </c>
      <c r="BS1037">
        <v>0</v>
      </c>
      <c r="BT1037" s="18">
        <v>0</v>
      </c>
      <c r="BU1037">
        <v>0</v>
      </c>
      <c r="BV1037">
        <v>0</v>
      </c>
      <c r="BW1037">
        <v>1</v>
      </c>
      <c r="BX1037" s="18">
        <v>0</v>
      </c>
      <c r="BY1037">
        <v>0</v>
      </c>
      <c r="BZ1037">
        <v>0</v>
      </c>
      <c r="CA1037">
        <v>0</v>
      </c>
      <c r="CB1037">
        <v>0</v>
      </c>
      <c r="CC1037" s="18">
        <v>0</v>
      </c>
      <c r="CD1037">
        <v>0</v>
      </c>
      <c r="CE1037">
        <v>0</v>
      </c>
      <c r="CF1037">
        <v>1</v>
      </c>
      <c r="CG1037">
        <v>1</v>
      </c>
      <c r="CH1037">
        <v>0</v>
      </c>
      <c r="CI1037">
        <v>1</v>
      </c>
      <c r="CJ1037">
        <v>1</v>
      </c>
      <c r="CK1037">
        <v>1</v>
      </c>
      <c r="CL1037">
        <v>1</v>
      </c>
      <c r="CM1037">
        <v>1</v>
      </c>
      <c r="CN1037" s="18">
        <v>0</v>
      </c>
      <c r="CO1037">
        <v>0</v>
      </c>
      <c r="CP1037">
        <v>2</v>
      </c>
      <c r="CQ1037">
        <v>0</v>
      </c>
      <c r="CR1037">
        <v>1</v>
      </c>
      <c r="CS1037">
        <v>16</v>
      </c>
      <c r="CY1037" s="34"/>
    </row>
    <row r="1038" spans="1:103" x14ac:dyDescent="0.25">
      <c r="A1038">
        <v>1037</v>
      </c>
      <c r="B1038">
        <v>70</v>
      </c>
      <c r="C1038" s="25" t="s">
        <v>4026</v>
      </c>
      <c r="D1038" s="12">
        <v>14.4</v>
      </c>
      <c r="E1038" s="14">
        <f t="shared" si="249"/>
        <v>4.6346958480849691</v>
      </c>
      <c r="F1038" s="7">
        <v>3.1070000000000002</v>
      </c>
      <c r="G1038" s="7">
        <f t="shared" si="251"/>
        <v>9.7653041519150321</v>
      </c>
      <c r="H1038" s="16">
        <f t="shared" si="252"/>
        <v>19.034695848084969</v>
      </c>
      <c r="I1038" s="11">
        <f t="shared" si="255"/>
        <v>0.16883539636935391</v>
      </c>
      <c r="J1038" s="33">
        <f t="shared" si="256"/>
        <v>5.4340327122418375E-2</v>
      </c>
      <c r="K1038" s="33">
        <f t="shared" si="257"/>
        <v>18.402539199795228</v>
      </c>
      <c r="L1038" s="8">
        <v>1</v>
      </c>
      <c r="M1038" s="9">
        <v>0</v>
      </c>
      <c r="N1038" s="8">
        <v>1</v>
      </c>
      <c r="O1038" s="9">
        <v>0</v>
      </c>
      <c r="P1038" s="9">
        <v>0</v>
      </c>
      <c r="Q1038" s="9">
        <v>0</v>
      </c>
      <c r="R1038" s="9">
        <v>0</v>
      </c>
      <c r="S1038" s="8">
        <v>347</v>
      </c>
      <c r="T1038" s="9">
        <v>17</v>
      </c>
      <c r="U1038" s="9">
        <f t="shared" si="253"/>
        <v>329</v>
      </c>
      <c r="V1038" s="9">
        <f t="shared" si="254"/>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v>0</v>
      </c>
      <c r="BF1038" s="18">
        <v>0</v>
      </c>
      <c r="BG1038">
        <v>0</v>
      </c>
      <c r="BH1038">
        <v>1</v>
      </c>
      <c r="BI1038" s="18">
        <v>0</v>
      </c>
      <c r="BJ1038">
        <v>1462</v>
      </c>
      <c r="BK1038">
        <v>176</v>
      </c>
      <c r="BL1038" s="93">
        <f t="shared" si="250"/>
        <v>33.730000000000004</v>
      </c>
      <c r="BM1038">
        <v>0</v>
      </c>
      <c r="BN1038">
        <v>0</v>
      </c>
      <c r="BO1038">
        <v>0</v>
      </c>
      <c r="BP1038">
        <v>0</v>
      </c>
      <c r="BQ1038">
        <v>1</v>
      </c>
      <c r="BR1038">
        <v>0</v>
      </c>
      <c r="BS1038">
        <v>0</v>
      </c>
      <c r="BT1038" s="18">
        <v>0</v>
      </c>
      <c r="BU1038">
        <v>0</v>
      </c>
      <c r="BV1038">
        <v>1</v>
      </c>
      <c r="BW1038">
        <v>0</v>
      </c>
      <c r="BX1038" s="18">
        <v>0</v>
      </c>
      <c r="BY1038">
        <v>0</v>
      </c>
      <c r="BZ1038">
        <v>0</v>
      </c>
      <c r="CA1038">
        <v>0</v>
      </c>
      <c r="CB1038">
        <v>0</v>
      </c>
      <c r="CC1038" s="18">
        <v>0</v>
      </c>
      <c r="CD1038">
        <v>0</v>
      </c>
      <c r="CE1038">
        <v>0</v>
      </c>
      <c r="CF1038">
        <v>1</v>
      </c>
      <c r="CG1038">
        <v>1</v>
      </c>
      <c r="CH1038">
        <v>0</v>
      </c>
      <c r="CI1038">
        <v>1</v>
      </c>
      <c r="CJ1038">
        <v>1</v>
      </c>
      <c r="CK1038">
        <v>1</v>
      </c>
      <c r="CL1038">
        <v>1</v>
      </c>
      <c r="CM1038">
        <v>1</v>
      </c>
      <c r="CN1038" s="18">
        <v>0</v>
      </c>
      <c r="CO1038">
        <v>0</v>
      </c>
      <c r="CP1038">
        <v>2</v>
      </c>
      <c r="CQ1038">
        <v>0</v>
      </c>
      <c r="CR1038">
        <v>1</v>
      </c>
      <c r="CS1038">
        <v>16</v>
      </c>
      <c r="CY1038" s="34"/>
    </row>
    <row r="1039" spans="1:103" x14ac:dyDescent="0.25">
      <c r="A1039">
        <v>1038</v>
      </c>
      <c r="B1039">
        <v>70</v>
      </c>
      <c r="C1039" s="25" t="s">
        <v>4026</v>
      </c>
      <c r="D1039" s="12">
        <v>24.5</v>
      </c>
      <c r="E1039" s="14">
        <f t="shared" si="249"/>
        <v>3.7251026303785921</v>
      </c>
      <c r="F1039" s="7">
        <v>6.577</v>
      </c>
      <c r="G1039" s="7">
        <f t="shared" si="251"/>
        <v>20.774897369621407</v>
      </c>
      <c r="H1039" s="16">
        <f t="shared" si="252"/>
        <v>28.225102630378593</v>
      </c>
      <c r="I1039" s="11">
        <f t="shared" si="255"/>
        <v>0.37582431988247661</v>
      </c>
      <c r="J1039" s="33">
        <f t="shared" si="256"/>
        <v>5.7142210716508539E-2</v>
      </c>
      <c r="K1039" s="33">
        <f t="shared" si="257"/>
        <v>17.50019797030879</v>
      </c>
      <c r="L1039" s="8">
        <v>1</v>
      </c>
      <c r="M1039" s="9">
        <v>0</v>
      </c>
      <c r="N1039" s="8">
        <v>1</v>
      </c>
      <c r="O1039" s="9">
        <v>0</v>
      </c>
      <c r="P1039" s="9">
        <v>0</v>
      </c>
      <c r="Q1039" s="9">
        <v>0</v>
      </c>
      <c r="R1039" s="9">
        <v>0</v>
      </c>
      <c r="S1039" s="8">
        <v>281</v>
      </c>
      <c r="T1039" s="9">
        <v>17</v>
      </c>
      <c r="U1039" s="9">
        <f t="shared" si="253"/>
        <v>263</v>
      </c>
      <c r="V1039" s="9">
        <f t="shared" si="254"/>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v>0</v>
      </c>
      <c r="BF1039" s="18">
        <v>0</v>
      </c>
      <c r="BG1039">
        <v>0</v>
      </c>
      <c r="BH1039">
        <v>1</v>
      </c>
      <c r="BI1039" s="18">
        <v>0</v>
      </c>
      <c r="BJ1039">
        <v>1462</v>
      </c>
      <c r="BK1039">
        <v>176</v>
      </c>
      <c r="BL1039" s="93">
        <f t="shared" si="250"/>
        <v>33.730000000000004</v>
      </c>
      <c r="BM1039">
        <v>0</v>
      </c>
      <c r="BN1039">
        <v>0</v>
      </c>
      <c r="BO1039">
        <v>0</v>
      </c>
      <c r="BP1039">
        <v>0</v>
      </c>
      <c r="BQ1039">
        <v>1</v>
      </c>
      <c r="BR1039">
        <v>0</v>
      </c>
      <c r="BS1039">
        <v>0</v>
      </c>
      <c r="BT1039" s="18">
        <v>0</v>
      </c>
      <c r="BU1039">
        <v>0</v>
      </c>
      <c r="BV1039">
        <v>1</v>
      </c>
      <c r="BW1039">
        <v>0</v>
      </c>
      <c r="BX1039" s="18">
        <v>0</v>
      </c>
      <c r="BY1039">
        <v>0</v>
      </c>
      <c r="BZ1039">
        <v>0</v>
      </c>
      <c r="CA1039">
        <v>0</v>
      </c>
      <c r="CB1039">
        <v>0</v>
      </c>
      <c r="CC1039" s="18">
        <v>0</v>
      </c>
      <c r="CD1039">
        <v>0</v>
      </c>
      <c r="CE1039">
        <v>0</v>
      </c>
      <c r="CF1039">
        <v>1</v>
      </c>
      <c r="CG1039">
        <v>1</v>
      </c>
      <c r="CH1039">
        <v>0</v>
      </c>
      <c r="CI1039">
        <v>1</v>
      </c>
      <c r="CJ1039">
        <v>1</v>
      </c>
      <c r="CK1039">
        <v>1</v>
      </c>
      <c r="CL1039">
        <v>1</v>
      </c>
      <c r="CM1039">
        <v>1</v>
      </c>
      <c r="CN1039" s="18">
        <v>0</v>
      </c>
      <c r="CO1039">
        <v>0</v>
      </c>
      <c r="CP1039">
        <v>2</v>
      </c>
      <c r="CQ1039">
        <v>0</v>
      </c>
      <c r="CR1039">
        <v>1</v>
      </c>
      <c r="CS1039">
        <v>16</v>
      </c>
      <c r="CY1039" s="34"/>
    </row>
    <row r="1040" spans="1:103" x14ac:dyDescent="0.25">
      <c r="A1040">
        <v>1039</v>
      </c>
      <c r="B1040">
        <v>70</v>
      </c>
      <c r="C1040" s="25" t="s">
        <v>4026</v>
      </c>
      <c r="D1040" s="12">
        <v>20.7</v>
      </c>
      <c r="E1040" s="14">
        <f t="shared" si="249"/>
        <v>7.2478991596638656</v>
      </c>
      <c r="F1040" s="7">
        <v>2.8559999999999999</v>
      </c>
      <c r="G1040" s="7">
        <f t="shared" si="251"/>
        <v>13.452100840336133</v>
      </c>
      <c r="H1040" s="16">
        <f t="shared" si="252"/>
        <v>27.947899159663866</v>
      </c>
      <c r="I1040" s="11">
        <f t="shared" si="255"/>
        <v>0.15554006736179252</v>
      </c>
      <c r="J1040" s="33">
        <f t="shared" si="256"/>
        <v>5.44608078997873E-2</v>
      </c>
      <c r="K1040" s="33">
        <f t="shared" si="257"/>
        <v>18.361828231415302</v>
      </c>
      <c r="L1040" s="8">
        <v>1</v>
      </c>
      <c r="M1040" s="9">
        <v>0</v>
      </c>
      <c r="N1040" s="8">
        <v>1</v>
      </c>
      <c r="O1040" s="9">
        <v>0</v>
      </c>
      <c r="P1040" s="9">
        <v>0</v>
      </c>
      <c r="Q1040" s="9">
        <v>0</v>
      </c>
      <c r="R1040" s="9">
        <v>0</v>
      </c>
      <c r="S1040" s="8">
        <v>347</v>
      </c>
      <c r="T1040" s="9">
        <v>17</v>
      </c>
      <c r="U1040" s="9">
        <f t="shared" si="253"/>
        <v>329</v>
      </c>
      <c r="V1040" s="9">
        <f t="shared" si="254"/>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v>0</v>
      </c>
      <c r="BF1040" s="18">
        <v>0</v>
      </c>
      <c r="BG1040">
        <v>0</v>
      </c>
      <c r="BH1040">
        <v>1</v>
      </c>
      <c r="BI1040" s="18">
        <v>0</v>
      </c>
      <c r="BJ1040">
        <v>1462</v>
      </c>
      <c r="BK1040">
        <v>176</v>
      </c>
      <c r="BL1040" s="93">
        <f t="shared" si="250"/>
        <v>33.730000000000004</v>
      </c>
      <c r="BM1040">
        <v>0</v>
      </c>
      <c r="BN1040">
        <v>0</v>
      </c>
      <c r="BO1040">
        <v>0</v>
      </c>
      <c r="BP1040">
        <v>0</v>
      </c>
      <c r="BQ1040">
        <v>1</v>
      </c>
      <c r="BR1040">
        <v>0</v>
      </c>
      <c r="BS1040">
        <v>0</v>
      </c>
      <c r="BT1040" s="18">
        <v>0</v>
      </c>
      <c r="BU1040">
        <v>0</v>
      </c>
      <c r="BV1040">
        <v>1</v>
      </c>
      <c r="BW1040">
        <v>0</v>
      </c>
      <c r="BX1040" s="18">
        <v>0</v>
      </c>
      <c r="BY1040">
        <v>0</v>
      </c>
      <c r="BZ1040">
        <v>0</v>
      </c>
      <c r="CA1040">
        <v>0</v>
      </c>
      <c r="CB1040">
        <v>0</v>
      </c>
      <c r="CC1040" s="18">
        <v>0</v>
      </c>
      <c r="CD1040">
        <v>0</v>
      </c>
      <c r="CE1040">
        <v>0</v>
      </c>
      <c r="CF1040">
        <v>1</v>
      </c>
      <c r="CG1040">
        <v>1</v>
      </c>
      <c r="CH1040">
        <v>0</v>
      </c>
      <c r="CI1040">
        <v>1</v>
      </c>
      <c r="CJ1040">
        <v>1</v>
      </c>
      <c r="CK1040">
        <v>1</v>
      </c>
      <c r="CL1040">
        <v>1</v>
      </c>
      <c r="CM1040">
        <v>1</v>
      </c>
      <c r="CN1040" s="18">
        <v>0</v>
      </c>
      <c r="CO1040">
        <v>0</v>
      </c>
      <c r="CP1040">
        <v>2</v>
      </c>
      <c r="CQ1040">
        <v>0</v>
      </c>
      <c r="CR1040">
        <v>1</v>
      </c>
      <c r="CS1040">
        <v>16</v>
      </c>
      <c r="CY1040" s="34"/>
    </row>
    <row r="1041" spans="1:103" x14ac:dyDescent="0.25">
      <c r="A1041">
        <v>1040</v>
      </c>
      <c r="B1041">
        <v>70</v>
      </c>
      <c r="C1041" s="25" t="s">
        <v>4026</v>
      </c>
      <c r="D1041" s="12">
        <v>28</v>
      </c>
      <c r="E1041" s="14">
        <f t="shared" si="249"/>
        <v>3.1069684864624945</v>
      </c>
      <c r="F1041" s="7">
        <v>9.0120000000000005</v>
      </c>
      <c r="G1041" s="7">
        <f t="shared" si="251"/>
        <v>24.893031513537505</v>
      </c>
      <c r="H1041" s="16">
        <f t="shared" si="252"/>
        <v>31.106968486462495</v>
      </c>
      <c r="I1041" s="11">
        <f t="shared" si="255"/>
        <v>0.48574189798787487</v>
      </c>
      <c r="J1041" s="33">
        <f t="shared" si="256"/>
        <v>5.3899456057243104E-2</v>
      </c>
      <c r="K1041" s="33">
        <f t="shared" si="257"/>
        <v>18.553062927721665</v>
      </c>
      <c r="L1041" s="8">
        <v>1</v>
      </c>
      <c r="M1041" s="9">
        <v>0</v>
      </c>
      <c r="N1041" s="8">
        <v>1</v>
      </c>
      <c r="O1041" s="9">
        <v>0</v>
      </c>
      <c r="P1041" s="9">
        <v>0</v>
      </c>
      <c r="Q1041" s="9">
        <v>0</v>
      </c>
      <c r="R1041" s="9">
        <v>0</v>
      </c>
      <c r="S1041" s="8">
        <v>281</v>
      </c>
      <c r="T1041" s="9">
        <v>17</v>
      </c>
      <c r="U1041" s="9">
        <f t="shared" si="253"/>
        <v>263</v>
      </c>
      <c r="V1041" s="9">
        <f t="shared" si="254"/>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v>0</v>
      </c>
      <c r="BF1041" s="18">
        <v>0</v>
      </c>
      <c r="BG1041">
        <v>0</v>
      </c>
      <c r="BH1041">
        <v>1</v>
      </c>
      <c r="BI1041" s="18">
        <v>0</v>
      </c>
      <c r="BJ1041">
        <v>1462</v>
      </c>
      <c r="BK1041">
        <v>176</v>
      </c>
      <c r="BL1041" s="93">
        <f t="shared" si="250"/>
        <v>33.730000000000004</v>
      </c>
      <c r="BM1041">
        <v>0</v>
      </c>
      <c r="BN1041">
        <v>0</v>
      </c>
      <c r="BO1041">
        <v>0</v>
      </c>
      <c r="BP1041">
        <v>0</v>
      </c>
      <c r="BQ1041">
        <v>1</v>
      </c>
      <c r="BR1041">
        <v>0</v>
      </c>
      <c r="BS1041">
        <v>0</v>
      </c>
      <c r="BT1041" s="18">
        <v>0</v>
      </c>
      <c r="BU1041">
        <v>0</v>
      </c>
      <c r="BV1041">
        <v>1</v>
      </c>
      <c r="BW1041">
        <v>0</v>
      </c>
      <c r="BX1041" s="18">
        <v>0</v>
      </c>
      <c r="BY1041">
        <v>0</v>
      </c>
      <c r="BZ1041">
        <v>0</v>
      </c>
      <c r="CA1041">
        <v>0</v>
      </c>
      <c r="CB1041">
        <v>0</v>
      </c>
      <c r="CC1041" s="18">
        <v>0</v>
      </c>
      <c r="CD1041">
        <v>0</v>
      </c>
      <c r="CE1041">
        <v>0</v>
      </c>
      <c r="CF1041">
        <v>1</v>
      </c>
      <c r="CG1041">
        <v>1</v>
      </c>
      <c r="CH1041">
        <v>0</v>
      </c>
      <c r="CI1041">
        <v>1</v>
      </c>
      <c r="CJ1041">
        <v>1</v>
      </c>
      <c r="CK1041">
        <v>1</v>
      </c>
      <c r="CL1041">
        <v>1</v>
      </c>
      <c r="CM1041">
        <v>1</v>
      </c>
      <c r="CN1041" s="18">
        <v>0</v>
      </c>
      <c r="CO1041">
        <v>0</v>
      </c>
      <c r="CP1041">
        <v>2</v>
      </c>
      <c r="CQ1041">
        <v>0</v>
      </c>
      <c r="CR1041">
        <v>1</v>
      </c>
      <c r="CS1041">
        <v>16</v>
      </c>
      <c r="CY1041" s="34"/>
    </row>
    <row r="1042" spans="1:103" x14ac:dyDescent="0.25">
      <c r="A1042">
        <v>1041</v>
      </c>
      <c r="B1042">
        <v>70</v>
      </c>
      <c r="C1042" s="25" t="s">
        <v>4026</v>
      </c>
      <c r="D1042" s="12">
        <v>6.61</v>
      </c>
      <c r="E1042" s="14">
        <f t="shared" si="249"/>
        <v>1.1598526057203018</v>
      </c>
      <c r="F1042" s="7">
        <v>5.6989999999999998</v>
      </c>
      <c r="G1042" s="7">
        <f t="shared" si="251"/>
        <v>5.4501473942796981</v>
      </c>
      <c r="H1042" s="16">
        <f t="shared" si="252"/>
        <v>7.7698526057203026</v>
      </c>
      <c r="I1042" s="11">
        <f t="shared" si="255"/>
        <v>0.30016421311951225</v>
      </c>
      <c r="J1042" s="33">
        <f t="shared" si="256"/>
        <v>5.2669628552292021E-2</v>
      </c>
      <c r="K1042" s="33">
        <f t="shared" si="257"/>
        <v>18.986274015719882</v>
      </c>
      <c r="L1042" s="8">
        <v>1</v>
      </c>
      <c r="M1042" s="9">
        <v>0</v>
      </c>
      <c r="N1042" s="8">
        <v>1</v>
      </c>
      <c r="O1042" s="9">
        <v>0</v>
      </c>
      <c r="P1042" s="9">
        <v>0</v>
      </c>
      <c r="Q1042" s="9">
        <v>0</v>
      </c>
      <c r="R1042" s="9">
        <v>0</v>
      </c>
      <c r="S1042" s="8">
        <v>347</v>
      </c>
      <c r="T1042" s="9">
        <v>18</v>
      </c>
      <c r="U1042" s="9">
        <f t="shared" si="253"/>
        <v>328</v>
      </c>
      <c r="V1042" s="9">
        <f t="shared" si="254"/>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v>0</v>
      </c>
      <c r="BF1042" s="18">
        <v>0</v>
      </c>
      <c r="BG1042">
        <v>0</v>
      </c>
      <c r="BH1042">
        <v>1</v>
      </c>
      <c r="BI1042" s="18">
        <v>0</v>
      </c>
      <c r="BJ1042">
        <v>1462</v>
      </c>
      <c r="BK1042">
        <v>176</v>
      </c>
      <c r="BL1042" s="93">
        <f t="shared" si="250"/>
        <v>33.730000000000004</v>
      </c>
      <c r="BM1042">
        <v>1</v>
      </c>
      <c r="BN1042">
        <v>0</v>
      </c>
      <c r="BO1042">
        <v>0</v>
      </c>
      <c r="BP1042">
        <v>0</v>
      </c>
      <c r="BQ1042">
        <v>0</v>
      </c>
      <c r="BR1042">
        <v>0</v>
      </c>
      <c r="BS1042">
        <v>0</v>
      </c>
      <c r="BT1042" s="18">
        <v>0</v>
      </c>
      <c r="BU1042">
        <v>0</v>
      </c>
      <c r="BV1042">
        <v>0</v>
      </c>
      <c r="BW1042">
        <v>1</v>
      </c>
      <c r="BX1042" s="18">
        <v>0</v>
      </c>
      <c r="BY1042">
        <v>0</v>
      </c>
      <c r="BZ1042">
        <v>0</v>
      </c>
      <c r="CA1042">
        <v>0</v>
      </c>
      <c r="CB1042">
        <v>0</v>
      </c>
      <c r="CC1042" s="18">
        <v>0</v>
      </c>
      <c r="CD1042">
        <v>0</v>
      </c>
      <c r="CE1042">
        <v>0</v>
      </c>
      <c r="CF1042">
        <v>1</v>
      </c>
      <c r="CG1042">
        <v>1</v>
      </c>
      <c r="CH1042">
        <v>0</v>
      </c>
      <c r="CI1042">
        <v>1</v>
      </c>
      <c r="CJ1042">
        <v>1</v>
      </c>
      <c r="CK1042">
        <v>1</v>
      </c>
      <c r="CL1042">
        <v>1</v>
      </c>
      <c r="CM1042">
        <v>1</v>
      </c>
      <c r="CN1042" s="18">
        <v>0</v>
      </c>
      <c r="CO1042">
        <v>0</v>
      </c>
      <c r="CP1042">
        <v>2</v>
      </c>
      <c r="CQ1042">
        <v>0</v>
      </c>
      <c r="CR1042">
        <v>1</v>
      </c>
      <c r="CS1042">
        <v>16</v>
      </c>
      <c r="CY1042" s="34"/>
    </row>
    <row r="1043" spans="1:103" x14ac:dyDescent="0.25">
      <c r="A1043">
        <v>1042</v>
      </c>
      <c r="B1043">
        <v>70</v>
      </c>
      <c r="C1043" s="25" t="s">
        <v>4026</v>
      </c>
      <c r="D1043" s="12">
        <v>8.76</v>
      </c>
      <c r="E1043" s="14">
        <f t="shared" si="249"/>
        <v>1.1546065638592329</v>
      </c>
      <c r="F1043" s="7">
        <v>7.5869999999999997</v>
      </c>
      <c r="G1043" s="7">
        <f t="shared" si="251"/>
        <v>7.6053934361407673</v>
      </c>
      <c r="H1043" s="16">
        <f t="shared" si="252"/>
        <v>9.9146065638592322</v>
      </c>
      <c r="I1043" s="11">
        <f t="shared" si="255"/>
        <v>0.42441637545805455</v>
      </c>
      <c r="J1043" s="33">
        <f t="shared" si="256"/>
        <v>5.5939946679590687E-2</v>
      </c>
      <c r="K1043" s="33">
        <f t="shared" si="257"/>
        <v>17.876313070653019</v>
      </c>
      <c r="L1043" s="8">
        <v>1</v>
      </c>
      <c r="M1043" s="9">
        <v>0</v>
      </c>
      <c r="N1043" s="8">
        <v>1</v>
      </c>
      <c r="O1043" s="9">
        <v>0</v>
      </c>
      <c r="P1043" s="9">
        <v>0</v>
      </c>
      <c r="Q1043" s="9">
        <v>0</v>
      </c>
      <c r="R1043" s="9">
        <v>0</v>
      </c>
      <c r="S1043" s="8">
        <v>281</v>
      </c>
      <c r="T1043" s="9">
        <v>18</v>
      </c>
      <c r="U1043" s="9">
        <f t="shared" si="253"/>
        <v>262</v>
      </c>
      <c r="V1043" s="9">
        <f t="shared" si="254"/>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v>0</v>
      </c>
      <c r="BF1043" s="18">
        <v>0</v>
      </c>
      <c r="BG1043">
        <v>0</v>
      </c>
      <c r="BH1043">
        <v>1</v>
      </c>
      <c r="BI1043" s="18">
        <v>0</v>
      </c>
      <c r="BJ1043">
        <v>1462</v>
      </c>
      <c r="BK1043">
        <v>176</v>
      </c>
      <c r="BL1043" s="93">
        <f t="shared" si="250"/>
        <v>33.730000000000004</v>
      </c>
      <c r="BM1043">
        <v>1</v>
      </c>
      <c r="BN1043">
        <v>0</v>
      </c>
      <c r="BO1043">
        <v>0</v>
      </c>
      <c r="BP1043">
        <v>0</v>
      </c>
      <c r="BQ1043">
        <v>0</v>
      </c>
      <c r="BR1043">
        <v>0</v>
      </c>
      <c r="BS1043">
        <v>0</v>
      </c>
      <c r="BT1043" s="18">
        <v>0</v>
      </c>
      <c r="BU1043">
        <v>0</v>
      </c>
      <c r="BV1043">
        <v>0</v>
      </c>
      <c r="BW1043">
        <v>1</v>
      </c>
      <c r="BX1043" s="18">
        <v>0</v>
      </c>
      <c r="BY1043">
        <v>0</v>
      </c>
      <c r="BZ1043">
        <v>0</v>
      </c>
      <c r="CA1043">
        <v>0</v>
      </c>
      <c r="CB1043">
        <v>0</v>
      </c>
      <c r="CC1043" s="18">
        <v>0</v>
      </c>
      <c r="CD1043">
        <v>0</v>
      </c>
      <c r="CE1043">
        <v>0</v>
      </c>
      <c r="CF1043">
        <v>1</v>
      </c>
      <c r="CG1043">
        <v>1</v>
      </c>
      <c r="CH1043">
        <v>0</v>
      </c>
      <c r="CI1043">
        <v>1</v>
      </c>
      <c r="CJ1043">
        <v>1</v>
      </c>
      <c r="CK1043">
        <v>1</v>
      </c>
      <c r="CL1043">
        <v>1</v>
      </c>
      <c r="CM1043">
        <v>1</v>
      </c>
      <c r="CN1043" s="18">
        <v>0</v>
      </c>
      <c r="CO1043">
        <v>0</v>
      </c>
      <c r="CP1043">
        <v>2</v>
      </c>
      <c r="CQ1043">
        <v>0</v>
      </c>
      <c r="CR1043">
        <v>1</v>
      </c>
      <c r="CS1043">
        <v>16</v>
      </c>
      <c r="CY1043" s="34"/>
    </row>
    <row r="1044" spans="1:103" x14ac:dyDescent="0.25">
      <c r="A1044">
        <v>1043</v>
      </c>
      <c r="B1044">
        <v>70</v>
      </c>
      <c r="C1044" s="25" t="s">
        <v>4026</v>
      </c>
      <c r="D1044" s="12">
        <v>17.899999999999999</v>
      </c>
      <c r="E1044" s="14">
        <f t="shared" si="249"/>
        <v>3.9306104523495824</v>
      </c>
      <c r="F1044" s="7">
        <v>4.5540000000000003</v>
      </c>
      <c r="G1044" s="7">
        <f t="shared" si="251"/>
        <v>13.969389547650415</v>
      </c>
      <c r="H1044" s="16">
        <f t="shared" si="252"/>
        <v>21.830610452349582</v>
      </c>
      <c r="I1044" s="11">
        <f t="shared" si="255"/>
        <v>0.24386126349454249</v>
      </c>
      <c r="J1044" s="33">
        <f t="shared" si="256"/>
        <v>5.3548806213118687E-2</v>
      </c>
      <c r="K1044" s="33">
        <f t="shared" si="257"/>
        <v>18.674552631857075</v>
      </c>
      <c r="L1044" s="8">
        <v>1</v>
      </c>
      <c r="M1044" s="9">
        <v>0</v>
      </c>
      <c r="N1044" s="8">
        <v>1</v>
      </c>
      <c r="O1044" s="9">
        <v>0</v>
      </c>
      <c r="P1044" s="9">
        <v>0</v>
      </c>
      <c r="Q1044" s="9">
        <v>0</v>
      </c>
      <c r="R1044" s="9">
        <v>0</v>
      </c>
      <c r="S1044" s="8">
        <v>347</v>
      </c>
      <c r="T1044" s="9">
        <v>18</v>
      </c>
      <c r="U1044" s="9">
        <f t="shared" si="253"/>
        <v>328</v>
      </c>
      <c r="V1044" s="9">
        <f t="shared" si="254"/>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v>0</v>
      </c>
      <c r="BF1044" s="18">
        <v>0</v>
      </c>
      <c r="BG1044">
        <v>0</v>
      </c>
      <c r="BH1044">
        <v>1</v>
      </c>
      <c r="BI1044" s="18">
        <v>0</v>
      </c>
      <c r="BJ1044">
        <v>1462</v>
      </c>
      <c r="BK1044">
        <v>176</v>
      </c>
      <c r="BL1044" s="93">
        <f t="shared" si="250"/>
        <v>33.730000000000004</v>
      </c>
      <c r="BM1044">
        <v>0</v>
      </c>
      <c r="BN1044">
        <v>0</v>
      </c>
      <c r="BO1044">
        <v>0</v>
      </c>
      <c r="BP1044">
        <v>0</v>
      </c>
      <c r="BQ1044">
        <v>1</v>
      </c>
      <c r="BR1044">
        <v>0</v>
      </c>
      <c r="BS1044">
        <v>0</v>
      </c>
      <c r="BT1044" s="18">
        <v>0</v>
      </c>
      <c r="BU1044">
        <v>0</v>
      </c>
      <c r="BV1044">
        <v>1</v>
      </c>
      <c r="BW1044">
        <v>0</v>
      </c>
      <c r="BX1044" s="18">
        <v>0</v>
      </c>
      <c r="BY1044">
        <v>0</v>
      </c>
      <c r="BZ1044">
        <v>0</v>
      </c>
      <c r="CA1044">
        <v>0</v>
      </c>
      <c r="CB1044">
        <v>0</v>
      </c>
      <c r="CC1044" s="18">
        <v>0</v>
      </c>
      <c r="CD1044">
        <v>0</v>
      </c>
      <c r="CE1044">
        <v>0</v>
      </c>
      <c r="CF1044">
        <v>1</v>
      </c>
      <c r="CG1044">
        <v>1</v>
      </c>
      <c r="CH1044">
        <v>0</v>
      </c>
      <c r="CI1044">
        <v>1</v>
      </c>
      <c r="CJ1044">
        <v>1</v>
      </c>
      <c r="CK1044">
        <v>1</v>
      </c>
      <c r="CL1044">
        <v>1</v>
      </c>
      <c r="CM1044">
        <v>1</v>
      </c>
      <c r="CN1044" s="18">
        <v>0</v>
      </c>
      <c r="CO1044">
        <v>0</v>
      </c>
      <c r="CP1044">
        <v>2</v>
      </c>
      <c r="CQ1044">
        <v>0</v>
      </c>
      <c r="CR1044">
        <v>1</v>
      </c>
      <c r="CS1044">
        <v>16</v>
      </c>
      <c r="CY1044" s="34"/>
    </row>
    <row r="1045" spans="1:103" x14ac:dyDescent="0.25">
      <c r="A1045">
        <v>1044</v>
      </c>
      <c r="B1045">
        <v>70</v>
      </c>
      <c r="C1045" s="25" t="s">
        <v>4026</v>
      </c>
      <c r="D1045" s="12">
        <v>20.8</v>
      </c>
      <c r="E1045" s="14">
        <f t="shared" si="249"/>
        <v>3.3317315393240428</v>
      </c>
      <c r="F1045" s="7">
        <v>6.2430000000000003</v>
      </c>
      <c r="G1045" s="7">
        <f t="shared" si="251"/>
        <v>17.468268460675958</v>
      </c>
      <c r="H1045" s="16">
        <f t="shared" si="252"/>
        <v>24.131731539324043</v>
      </c>
      <c r="I1045" s="11">
        <f t="shared" si="255"/>
        <v>0.35985545295462251</v>
      </c>
      <c r="J1045" s="33">
        <f t="shared" si="256"/>
        <v>5.7641430875319949E-2</v>
      </c>
      <c r="K1045" s="33">
        <f t="shared" si="257"/>
        <v>17.348632482129535</v>
      </c>
      <c r="L1045" s="8">
        <v>1</v>
      </c>
      <c r="M1045" s="9">
        <v>0</v>
      </c>
      <c r="N1045" s="8">
        <v>1</v>
      </c>
      <c r="O1045" s="9">
        <v>0</v>
      </c>
      <c r="P1045" s="9">
        <v>0</v>
      </c>
      <c r="Q1045" s="9">
        <v>0</v>
      </c>
      <c r="R1045" s="9">
        <v>0</v>
      </c>
      <c r="S1045" s="8">
        <v>281</v>
      </c>
      <c r="T1045" s="9">
        <v>18</v>
      </c>
      <c r="U1045" s="9">
        <f t="shared" si="253"/>
        <v>262</v>
      </c>
      <c r="V1045" s="9">
        <f t="shared" si="254"/>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v>0</v>
      </c>
      <c r="BF1045" s="18">
        <v>0</v>
      </c>
      <c r="BG1045">
        <v>0</v>
      </c>
      <c r="BH1045">
        <v>1</v>
      </c>
      <c r="BI1045" s="18">
        <v>0</v>
      </c>
      <c r="BJ1045">
        <v>1462</v>
      </c>
      <c r="BK1045">
        <v>176</v>
      </c>
      <c r="BL1045" s="93">
        <f t="shared" si="250"/>
        <v>33.730000000000004</v>
      </c>
      <c r="BM1045">
        <v>0</v>
      </c>
      <c r="BN1045">
        <v>0</v>
      </c>
      <c r="BO1045">
        <v>0</v>
      </c>
      <c r="BP1045">
        <v>0</v>
      </c>
      <c r="BQ1045">
        <v>1</v>
      </c>
      <c r="BR1045">
        <v>0</v>
      </c>
      <c r="BS1045">
        <v>0</v>
      </c>
      <c r="BT1045" s="18">
        <v>0</v>
      </c>
      <c r="BU1045">
        <v>0</v>
      </c>
      <c r="BV1045">
        <v>1</v>
      </c>
      <c r="BW1045">
        <v>0</v>
      </c>
      <c r="BX1045" s="18">
        <v>0</v>
      </c>
      <c r="BY1045">
        <v>0</v>
      </c>
      <c r="BZ1045">
        <v>0</v>
      </c>
      <c r="CA1045">
        <v>0</v>
      </c>
      <c r="CB1045">
        <v>0</v>
      </c>
      <c r="CC1045" s="18">
        <v>0</v>
      </c>
      <c r="CD1045">
        <v>0</v>
      </c>
      <c r="CE1045">
        <v>0</v>
      </c>
      <c r="CF1045">
        <v>1</v>
      </c>
      <c r="CG1045">
        <v>1</v>
      </c>
      <c r="CH1045">
        <v>0</v>
      </c>
      <c r="CI1045">
        <v>1</v>
      </c>
      <c r="CJ1045">
        <v>1</v>
      </c>
      <c r="CK1045">
        <v>1</v>
      </c>
      <c r="CL1045">
        <v>1</v>
      </c>
      <c r="CM1045">
        <v>1</v>
      </c>
      <c r="CN1045" s="18">
        <v>0</v>
      </c>
      <c r="CO1045">
        <v>0</v>
      </c>
      <c r="CP1045">
        <v>2</v>
      </c>
      <c r="CQ1045">
        <v>0</v>
      </c>
      <c r="CR1045">
        <v>1</v>
      </c>
      <c r="CS1045">
        <v>16</v>
      </c>
      <c r="CY1045" s="34"/>
    </row>
    <row r="1046" spans="1:103" x14ac:dyDescent="0.25">
      <c r="A1046">
        <v>1045</v>
      </c>
      <c r="B1046">
        <v>70</v>
      </c>
      <c r="C1046" s="25" t="s">
        <v>4026</v>
      </c>
      <c r="D1046" s="12">
        <v>14.2</v>
      </c>
      <c r="E1046" s="14">
        <f t="shared" si="249"/>
        <v>4.3881334981458586</v>
      </c>
      <c r="F1046" s="7">
        <v>3.2360000000000002</v>
      </c>
      <c r="G1046" s="7">
        <f t="shared" si="251"/>
        <v>9.8118665018541407</v>
      </c>
      <c r="H1046" s="16">
        <f t="shared" si="252"/>
        <v>18.588133498145858</v>
      </c>
      <c r="I1046" s="11">
        <f t="shared" si="255"/>
        <v>0.17589250505770393</v>
      </c>
      <c r="J1046" s="33">
        <f t="shared" si="256"/>
        <v>5.4354915036373283E-2</v>
      </c>
      <c r="K1046" s="33">
        <f t="shared" si="257"/>
        <v>18.397600278297169</v>
      </c>
      <c r="L1046" s="8">
        <v>1</v>
      </c>
      <c r="M1046" s="9">
        <v>0</v>
      </c>
      <c r="N1046" s="8">
        <v>1</v>
      </c>
      <c r="O1046" s="9">
        <v>0</v>
      </c>
      <c r="P1046" s="9">
        <v>0</v>
      </c>
      <c r="Q1046" s="9">
        <v>0</v>
      </c>
      <c r="R1046" s="9">
        <v>0</v>
      </c>
      <c r="S1046" s="8">
        <v>347</v>
      </c>
      <c r="T1046" s="9">
        <v>18</v>
      </c>
      <c r="U1046" s="9">
        <f t="shared" si="253"/>
        <v>328</v>
      </c>
      <c r="V1046" s="9">
        <f t="shared" si="254"/>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v>0</v>
      </c>
      <c r="BF1046" s="18">
        <v>0</v>
      </c>
      <c r="BG1046">
        <v>0</v>
      </c>
      <c r="BH1046">
        <v>1</v>
      </c>
      <c r="BI1046" s="18">
        <v>0</v>
      </c>
      <c r="BJ1046">
        <v>1462</v>
      </c>
      <c r="BK1046">
        <v>176</v>
      </c>
      <c r="BL1046" s="93">
        <f t="shared" si="250"/>
        <v>33.730000000000004</v>
      </c>
      <c r="BM1046">
        <v>0</v>
      </c>
      <c r="BN1046">
        <v>0</v>
      </c>
      <c r="BO1046">
        <v>0</v>
      </c>
      <c r="BP1046">
        <v>0</v>
      </c>
      <c r="BQ1046">
        <v>1</v>
      </c>
      <c r="BR1046">
        <v>0</v>
      </c>
      <c r="BS1046">
        <v>0</v>
      </c>
      <c r="BT1046" s="18">
        <v>0</v>
      </c>
      <c r="BU1046">
        <v>0</v>
      </c>
      <c r="BV1046">
        <v>1</v>
      </c>
      <c r="BW1046">
        <v>0</v>
      </c>
      <c r="BX1046" s="18">
        <v>0</v>
      </c>
      <c r="BY1046">
        <v>0</v>
      </c>
      <c r="BZ1046">
        <v>0</v>
      </c>
      <c r="CA1046">
        <v>0</v>
      </c>
      <c r="CB1046">
        <v>0</v>
      </c>
      <c r="CC1046" s="18">
        <v>0</v>
      </c>
      <c r="CD1046">
        <v>0</v>
      </c>
      <c r="CE1046">
        <v>0</v>
      </c>
      <c r="CF1046">
        <v>1</v>
      </c>
      <c r="CG1046">
        <v>1</v>
      </c>
      <c r="CH1046">
        <v>0</v>
      </c>
      <c r="CI1046">
        <v>1</v>
      </c>
      <c r="CJ1046">
        <v>1</v>
      </c>
      <c r="CK1046">
        <v>1</v>
      </c>
      <c r="CL1046">
        <v>1</v>
      </c>
      <c r="CM1046">
        <v>1</v>
      </c>
      <c r="CN1046" s="18">
        <v>0</v>
      </c>
      <c r="CO1046">
        <v>0</v>
      </c>
      <c r="CP1046">
        <v>2</v>
      </c>
      <c r="CQ1046">
        <v>0</v>
      </c>
      <c r="CR1046">
        <v>1</v>
      </c>
      <c r="CS1046">
        <v>16</v>
      </c>
      <c r="CY1046" s="34"/>
    </row>
    <row r="1047" spans="1:103" x14ac:dyDescent="0.25">
      <c r="A1047">
        <v>1046</v>
      </c>
      <c r="B1047">
        <v>70</v>
      </c>
      <c r="C1047" s="25" t="s">
        <v>4026</v>
      </c>
      <c r="D1047" s="12">
        <v>23.5</v>
      </c>
      <c r="E1047" s="14">
        <f t="shared" si="249"/>
        <v>3.2525951557093427</v>
      </c>
      <c r="F1047" s="7">
        <v>7.2249999999999996</v>
      </c>
      <c r="G1047" s="7">
        <f t="shared" si="251"/>
        <v>20.247404844290656</v>
      </c>
      <c r="H1047" s="16">
        <f t="shared" si="252"/>
        <v>26.752595155709344</v>
      </c>
      <c r="I1047" s="11">
        <f t="shared" si="255"/>
        <v>0.40760014434457864</v>
      </c>
      <c r="J1047" s="33">
        <f t="shared" si="256"/>
        <v>5.6415244891983213E-2</v>
      </c>
      <c r="K1047" s="33">
        <f t="shared" si="257"/>
        <v>17.725705204589179</v>
      </c>
      <c r="L1047" s="8">
        <v>1</v>
      </c>
      <c r="M1047" s="9">
        <v>0</v>
      </c>
      <c r="N1047" s="8">
        <v>1</v>
      </c>
      <c r="O1047" s="9">
        <v>0</v>
      </c>
      <c r="P1047" s="9">
        <v>0</v>
      </c>
      <c r="Q1047" s="9">
        <v>0</v>
      </c>
      <c r="R1047" s="9">
        <v>0</v>
      </c>
      <c r="S1047" s="8">
        <v>281</v>
      </c>
      <c r="T1047" s="9">
        <v>18</v>
      </c>
      <c r="U1047" s="9">
        <f t="shared" si="253"/>
        <v>262</v>
      </c>
      <c r="V1047" s="9">
        <f t="shared" si="254"/>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v>0</v>
      </c>
      <c r="BF1047" s="18">
        <v>0</v>
      </c>
      <c r="BG1047">
        <v>0</v>
      </c>
      <c r="BH1047">
        <v>1</v>
      </c>
      <c r="BI1047" s="18">
        <v>0</v>
      </c>
      <c r="BJ1047">
        <v>1462</v>
      </c>
      <c r="BK1047">
        <v>176</v>
      </c>
      <c r="BL1047" s="93">
        <f t="shared" si="250"/>
        <v>33.730000000000004</v>
      </c>
      <c r="BM1047">
        <v>0</v>
      </c>
      <c r="BN1047">
        <v>0</v>
      </c>
      <c r="BO1047">
        <v>0</v>
      </c>
      <c r="BP1047">
        <v>0</v>
      </c>
      <c r="BQ1047">
        <v>1</v>
      </c>
      <c r="BR1047">
        <v>0</v>
      </c>
      <c r="BS1047">
        <v>0</v>
      </c>
      <c r="BT1047" s="18">
        <v>0</v>
      </c>
      <c r="BU1047">
        <v>0</v>
      </c>
      <c r="BV1047">
        <v>1</v>
      </c>
      <c r="BW1047">
        <v>0</v>
      </c>
      <c r="BX1047" s="18">
        <v>0</v>
      </c>
      <c r="BY1047">
        <v>0</v>
      </c>
      <c r="BZ1047">
        <v>0</v>
      </c>
      <c r="CA1047">
        <v>0</v>
      </c>
      <c r="CB1047">
        <v>0</v>
      </c>
      <c r="CC1047" s="18">
        <v>0</v>
      </c>
      <c r="CD1047">
        <v>0</v>
      </c>
      <c r="CE1047">
        <v>0</v>
      </c>
      <c r="CF1047">
        <v>1</v>
      </c>
      <c r="CG1047">
        <v>1</v>
      </c>
      <c r="CH1047">
        <v>0</v>
      </c>
      <c r="CI1047">
        <v>1</v>
      </c>
      <c r="CJ1047">
        <v>1</v>
      </c>
      <c r="CK1047">
        <v>1</v>
      </c>
      <c r="CL1047">
        <v>1</v>
      </c>
      <c r="CM1047">
        <v>1</v>
      </c>
      <c r="CN1047" s="18">
        <v>0</v>
      </c>
      <c r="CO1047">
        <v>0</v>
      </c>
      <c r="CP1047">
        <v>2</v>
      </c>
      <c r="CQ1047">
        <v>0</v>
      </c>
      <c r="CR1047">
        <v>1</v>
      </c>
      <c r="CS1047">
        <v>16</v>
      </c>
      <c r="CY1047" s="34"/>
    </row>
    <row r="1048" spans="1:103" x14ac:dyDescent="0.25">
      <c r="A1048">
        <v>1047</v>
      </c>
      <c r="B1048">
        <v>71</v>
      </c>
      <c r="C1048" s="25" t="s">
        <v>4032</v>
      </c>
      <c r="D1048" s="12">
        <v>4.5999999999999996</v>
      </c>
      <c r="E1048" s="14">
        <v>0.2</v>
      </c>
      <c r="F1048" s="7">
        <f>D1048/E1048</f>
        <v>22.999999999999996</v>
      </c>
      <c r="G1048" s="7">
        <f t="shared" si="251"/>
        <v>4.3999999999999995</v>
      </c>
      <c r="H1048" s="16">
        <f t="shared" si="252"/>
        <v>4.8</v>
      </c>
      <c r="I1048" s="11">
        <f t="shared" si="255"/>
        <v>0.23435250445752639</v>
      </c>
      <c r="J1048" s="33">
        <f t="shared" si="256"/>
        <v>1.018923932424028E-2</v>
      </c>
      <c r="K1048" s="33">
        <f t="shared" si="257"/>
        <v>98.142753171082376</v>
      </c>
      <c r="L1048" s="8">
        <v>1</v>
      </c>
      <c r="M1048" s="9">
        <v>0</v>
      </c>
      <c r="N1048" s="8">
        <v>0</v>
      </c>
      <c r="O1048" s="9">
        <v>0</v>
      </c>
      <c r="P1048" s="9">
        <v>0</v>
      </c>
      <c r="Q1048" s="9">
        <v>0</v>
      </c>
      <c r="R1048" s="9">
        <v>1</v>
      </c>
      <c r="S1048" s="8">
        <v>9107</v>
      </c>
      <c r="T1048" s="9">
        <v>3</v>
      </c>
      <c r="U1048" s="9">
        <f t="shared" si="253"/>
        <v>9103</v>
      </c>
      <c r="V1048" s="9">
        <f t="shared" si="254"/>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0</v>
      </c>
      <c r="BD1048">
        <v>1</v>
      </c>
      <c r="BE1048">
        <v>0</v>
      </c>
      <c r="BF1048" s="18">
        <v>0</v>
      </c>
      <c r="BG1048">
        <v>0</v>
      </c>
      <c r="BH1048">
        <v>1</v>
      </c>
      <c r="BI1048" s="18">
        <v>0</v>
      </c>
      <c r="BJ1048">
        <v>2675</v>
      </c>
      <c r="BK1048">
        <v>153</v>
      </c>
      <c r="BL1048" s="25">
        <v>35.6</v>
      </c>
      <c r="BM1048">
        <v>1</v>
      </c>
      <c r="BN1048">
        <v>0</v>
      </c>
      <c r="BO1048">
        <v>0</v>
      </c>
      <c r="BP1048">
        <v>0</v>
      </c>
      <c r="BQ1048">
        <v>0</v>
      </c>
      <c r="BR1048">
        <v>0</v>
      </c>
      <c r="BS1048">
        <v>0</v>
      </c>
      <c r="BT1048" s="18">
        <v>0</v>
      </c>
      <c r="BU1048">
        <v>0</v>
      </c>
      <c r="BV1048">
        <v>0</v>
      </c>
      <c r="BW1048">
        <v>1</v>
      </c>
      <c r="BX1048" s="18">
        <v>0</v>
      </c>
      <c r="BY1048">
        <v>0</v>
      </c>
      <c r="BZ1048">
        <v>0</v>
      </c>
      <c r="CA1048">
        <v>0</v>
      </c>
      <c r="CB1048">
        <v>0</v>
      </c>
      <c r="CC1048" s="18">
        <v>0</v>
      </c>
      <c r="CD1048">
        <v>0</v>
      </c>
      <c r="CE1048">
        <v>0</v>
      </c>
      <c r="CF1048">
        <v>1</v>
      </c>
      <c r="CG1048">
        <v>1</v>
      </c>
      <c r="CH1048">
        <v>0</v>
      </c>
      <c r="CI1048">
        <v>0</v>
      </c>
      <c r="CJ1048">
        <v>0</v>
      </c>
      <c r="CK1048">
        <v>0</v>
      </c>
      <c r="CL1048">
        <v>0</v>
      </c>
      <c r="CM1048">
        <v>0</v>
      </c>
      <c r="CN1048" s="18">
        <v>0</v>
      </c>
      <c r="CO1048">
        <v>0.14599999999999999</v>
      </c>
      <c r="CP1048">
        <v>15</v>
      </c>
      <c r="CQ1048">
        <v>1</v>
      </c>
      <c r="CR1048">
        <v>0</v>
      </c>
      <c r="CS1048">
        <v>23</v>
      </c>
      <c r="CY1048" s="34"/>
    </row>
    <row r="1049" spans="1:103" x14ac:dyDescent="0.25">
      <c r="A1049">
        <v>1048</v>
      </c>
      <c r="B1049">
        <v>71</v>
      </c>
      <c r="C1049" s="25" t="s">
        <v>4032</v>
      </c>
      <c r="D1049" s="12">
        <v>7.7</v>
      </c>
      <c r="E1049" s="14">
        <v>0.3</v>
      </c>
      <c r="F1049" s="7">
        <f>D1049/E1049</f>
        <v>25.666666666666668</v>
      </c>
      <c r="G1049" s="7">
        <f t="shared" si="251"/>
        <v>7.4</v>
      </c>
      <c r="H1049" s="16">
        <f t="shared" si="252"/>
        <v>8</v>
      </c>
      <c r="I1049" s="11">
        <f t="shared" si="255"/>
        <v>0.3578029829487358</v>
      </c>
      <c r="J1049" s="33">
        <f t="shared" si="256"/>
        <v>1.3940375959041653E-2</v>
      </c>
      <c r="K1049" s="33">
        <f t="shared" si="257"/>
        <v>71.734076823904118</v>
      </c>
      <c r="L1049" s="8">
        <v>1</v>
      </c>
      <c r="M1049" s="9">
        <v>0</v>
      </c>
      <c r="N1049" s="8">
        <v>0</v>
      </c>
      <c r="O1049" s="9">
        <v>0</v>
      </c>
      <c r="P1049" s="9">
        <v>0</v>
      </c>
      <c r="Q1049" s="9">
        <v>0</v>
      </c>
      <c r="R1049" s="9">
        <v>1</v>
      </c>
      <c r="S1049" s="8">
        <v>4491</v>
      </c>
      <c r="T1049" s="9">
        <v>3</v>
      </c>
      <c r="U1049" s="9">
        <f t="shared" si="253"/>
        <v>4487</v>
      </c>
      <c r="V1049" s="9">
        <f t="shared" si="254"/>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0</v>
      </c>
      <c r="BD1049">
        <v>1</v>
      </c>
      <c r="BE1049">
        <v>0</v>
      </c>
      <c r="BF1049" s="18">
        <v>0</v>
      </c>
      <c r="BG1049">
        <v>0</v>
      </c>
      <c r="BH1049">
        <v>1</v>
      </c>
      <c r="BI1049" s="18">
        <v>0</v>
      </c>
      <c r="BJ1049">
        <v>3067</v>
      </c>
      <c r="BK1049">
        <v>155</v>
      </c>
      <c r="BL1049" s="25">
        <v>37.4</v>
      </c>
      <c r="BM1049">
        <v>1</v>
      </c>
      <c r="BN1049">
        <v>0</v>
      </c>
      <c r="BO1049">
        <v>0</v>
      </c>
      <c r="BP1049">
        <v>0</v>
      </c>
      <c r="BQ1049">
        <v>0</v>
      </c>
      <c r="BR1049">
        <v>0</v>
      </c>
      <c r="BS1049">
        <v>0</v>
      </c>
      <c r="BT1049" s="18">
        <v>0</v>
      </c>
      <c r="BU1049">
        <v>0</v>
      </c>
      <c r="BV1049">
        <v>0</v>
      </c>
      <c r="BW1049">
        <v>1</v>
      </c>
      <c r="BX1049" s="18">
        <v>0</v>
      </c>
      <c r="BY1049">
        <v>0</v>
      </c>
      <c r="BZ1049">
        <v>0</v>
      </c>
      <c r="CA1049">
        <v>0</v>
      </c>
      <c r="CB1049">
        <v>0</v>
      </c>
      <c r="CC1049" s="18">
        <v>0</v>
      </c>
      <c r="CD1049">
        <v>0</v>
      </c>
      <c r="CE1049">
        <v>0</v>
      </c>
      <c r="CF1049">
        <v>1</v>
      </c>
      <c r="CG1049">
        <v>1</v>
      </c>
      <c r="CH1049">
        <v>0</v>
      </c>
      <c r="CI1049">
        <v>0</v>
      </c>
      <c r="CJ1049">
        <v>0</v>
      </c>
      <c r="CK1049">
        <v>0</v>
      </c>
      <c r="CL1049">
        <v>0</v>
      </c>
      <c r="CM1049">
        <v>0</v>
      </c>
      <c r="CN1049" s="18">
        <v>0</v>
      </c>
      <c r="CO1049">
        <v>0.14599999999999999</v>
      </c>
      <c r="CP1049">
        <v>15</v>
      </c>
      <c r="CQ1049">
        <v>1</v>
      </c>
      <c r="CR1049">
        <v>0</v>
      </c>
      <c r="CS1049">
        <v>23</v>
      </c>
      <c r="CY1049" s="34"/>
    </row>
    <row r="1050" spans="1:103" x14ac:dyDescent="0.25">
      <c r="A1050">
        <v>1049</v>
      </c>
      <c r="B1050">
        <v>71</v>
      </c>
      <c r="C1050" s="25" t="s">
        <v>4032</v>
      </c>
      <c r="D1050" s="12">
        <v>8.1</v>
      </c>
      <c r="E1050" s="14">
        <v>0.5</v>
      </c>
      <c r="F1050" s="7">
        <f>D1050/E1050</f>
        <v>16.2</v>
      </c>
      <c r="G1050" s="7">
        <f t="shared" si="251"/>
        <v>7.6</v>
      </c>
      <c r="H1050" s="16">
        <f t="shared" si="252"/>
        <v>8.6</v>
      </c>
      <c r="I1050" s="11">
        <f t="shared" si="255"/>
        <v>0.40659904556362153</v>
      </c>
      <c r="J1050" s="33">
        <f t="shared" si="256"/>
        <v>2.5098706516272936E-2</v>
      </c>
      <c r="K1050" s="33">
        <f t="shared" si="257"/>
        <v>39.842690672192305</v>
      </c>
      <c r="L1050" s="8">
        <v>1</v>
      </c>
      <c r="M1050" s="9">
        <v>0</v>
      </c>
      <c r="N1050" s="8">
        <v>0</v>
      </c>
      <c r="O1050" s="9">
        <v>0</v>
      </c>
      <c r="P1050" s="9">
        <v>0</v>
      </c>
      <c r="Q1050" s="9">
        <v>0</v>
      </c>
      <c r="R1050" s="9">
        <v>1</v>
      </c>
      <c r="S1050" s="8">
        <v>1329</v>
      </c>
      <c r="T1050" s="9">
        <v>3</v>
      </c>
      <c r="U1050" s="9">
        <f t="shared" si="253"/>
        <v>1325</v>
      </c>
      <c r="V1050" s="9">
        <f t="shared" si="254"/>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0</v>
      </c>
      <c r="BD1050">
        <v>1</v>
      </c>
      <c r="BE1050">
        <v>0</v>
      </c>
      <c r="BF1050" s="18">
        <v>0</v>
      </c>
      <c r="BG1050">
        <v>0</v>
      </c>
      <c r="BH1050">
        <v>1</v>
      </c>
      <c r="BI1050" s="18">
        <v>0</v>
      </c>
      <c r="BJ1050">
        <v>2614</v>
      </c>
      <c r="BK1050">
        <v>63</v>
      </c>
      <c r="BL1050" s="25">
        <v>37.200000000000003</v>
      </c>
      <c r="BM1050">
        <v>1</v>
      </c>
      <c r="BN1050">
        <v>0</v>
      </c>
      <c r="BO1050">
        <v>0</v>
      </c>
      <c r="BP1050">
        <v>0</v>
      </c>
      <c r="BQ1050">
        <v>0</v>
      </c>
      <c r="BR1050">
        <v>0</v>
      </c>
      <c r="BS1050">
        <v>0</v>
      </c>
      <c r="BT1050" s="18">
        <v>0</v>
      </c>
      <c r="BU1050">
        <v>0</v>
      </c>
      <c r="BV1050">
        <v>0</v>
      </c>
      <c r="BW1050">
        <v>1</v>
      </c>
      <c r="BX1050" s="18">
        <v>0</v>
      </c>
      <c r="BY1050">
        <v>0</v>
      </c>
      <c r="BZ1050">
        <v>0</v>
      </c>
      <c r="CA1050">
        <v>0</v>
      </c>
      <c r="CB1050">
        <v>0</v>
      </c>
      <c r="CC1050" s="18">
        <v>0</v>
      </c>
      <c r="CD1050">
        <v>0</v>
      </c>
      <c r="CE1050">
        <v>0</v>
      </c>
      <c r="CF1050">
        <v>1</v>
      </c>
      <c r="CG1050">
        <v>1</v>
      </c>
      <c r="CH1050">
        <v>0</v>
      </c>
      <c r="CI1050">
        <v>0</v>
      </c>
      <c r="CJ1050">
        <v>0</v>
      </c>
      <c r="CK1050">
        <v>0</v>
      </c>
      <c r="CL1050">
        <v>0</v>
      </c>
      <c r="CM1050">
        <v>0</v>
      </c>
      <c r="CN1050" s="18">
        <v>0</v>
      </c>
      <c r="CO1050">
        <v>0.14599999999999999</v>
      </c>
      <c r="CP1050">
        <v>15</v>
      </c>
      <c r="CQ1050">
        <v>1</v>
      </c>
      <c r="CR1050">
        <v>0</v>
      </c>
      <c r="CS1050">
        <v>23</v>
      </c>
      <c r="CY1050" s="34"/>
    </row>
    <row r="1051" spans="1:103" x14ac:dyDescent="0.25">
      <c r="A1051">
        <v>1050</v>
      </c>
      <c r="B1051">
        <v>71</v>
      </c>
      <c r="C1051" s="25" t="s">
        <v>4032</v>
      </c>
      <c r="D1051" s="12">
        <v>0.6</v>
      </c>
      <c r="E1051" s="14">
        <f t="shared" ref="E1051:E1080" si="258">D1051/F1051</f>
        <v>0.82499999999999996</v>
      </c>
      <c r="F1051" s="7">
        <v>0.72727272727272729</v>
      </c>
      <c r="G1051" s="7">
        <f t="shared" si="251"/>
        <v>-0.22499999999999998</v>
      </c>
      <c r="H1051" s="16">
        <f t="shared" si="252"/>
        <v>1.4249999999999998</v>
      </c>
      <c r="I1051" s="11">
        <f t="shared" si="255"/>
        <v>7.624506022097511E-3</v>
      </c>
      <c r="J1051" s="33">
        <f t="shared" si="256"/>
        <v>1.0483695780384076E-2</v>
      </c>
      <c r="K1051" s="33">
        <f t="shared" si="257"/>
        <v>95.386209305223133</v>
      </c>
      <c r="L1051" s="8">
        <v>1</v>
      </c>
      <c r="M1051" s="9">
        <v>0</v>
      </c>
      <c r="N1051" s="8">
        <v>0</v>
      </c>
      <c r="O1051" s="9">
        <v>0</v>
      </c>
      <c r="P1051" s="9">
        <v>0</v>
      </c>
      <c r="Q1051" s="9">
        <v>0</v>
      </c>
      <c r="R1051" s="9">
        <v>1</v>
      </c>
      <c r="S1051" s="8">
        <v>9106</v>
      </c>
      <c r="T1051" s="9">
        <v>7</v>
      </c>
      <c r="U1051" s="9">
        <f t="shared" si="253"/>
        <v>9098</v>
      </c>
      <c r="V1051" s="9">
        <f t="shared" si="254"/>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0</v>
      </c>
      <c r="BD1051">
        <v>1</v>
      </c>
      <c r="BE1051">
        <v>0</v>
      </c>
      <c r="BF1051" s="18">
        <v>0</v>
      </c>
      <c r="BG1051">
        <v>0</v>
      </c>
      <c r="BH1051">
        <v>1</v>
      </c>
      <c r="BI1051" s="18">
        <v>0</v>
      </c>
      <c r="BJ1051">
        <v>2675</v>
      </c>
      <c r="BK1051">
        <v>153</v>
      </c>
      <c r="BL1051" s="25">
        <v>35.6</v>
      </c>
      <c r="BM1051">
        <v>1</v>
      </c>
      <c r="BN1051">
        <v>0</v>
      </c>
      <c r="BO1051">
        <v>0</v>
      </c>
      <c r="BP1051">
        <v>0</v>
      </c>
      <c r="BQ1051">
        <v>0</v>
      </c>
      <c r="BR1051">
        <v>0</v>
      </c>
      <c r="BS1051">
        <v>0</v>
      </c>
      <c r="BT1051" s="18">
        <v>0</v>
      </c>
      <c r="BU1051">
        <v>0</v>
      </c>
      <c r="BV1051">
        <v>0</v>
      </c>
      <c r="BW1051">
        <v>1</v>
      </c>
      <c r="BX1051" s="18">
        <v>0</v>
      </c>
      <c r="BY1051">
        <v>0</v>
      </c>
      <c r="BZ1051">
        <v>0</v>
      </c>
      <c r="CA1051">
        <v>0</v>
      </c>
      <c r="CB1051">
        <v>0</v>
      </c>
      <c r="CC1051" s="18">
        <v>0</v>
      </c>
      <c r="CD1051">
        <v>0</v>
      </c>
      <c r="CE1051">
        <v>0</v>
      </c>
      <c r="CF1051">
        <v>1</v>
      </c>
      <c r="CG1051">
        <v>1</v>
      </c>
      <c r="CH1051">
        <v>0</v>
      </c>
      <c r="CI1051">
        <v>0</v>
      </c>
      <c r="CJ1051">
        <v>0</v>
      </c>
      <c r="CK1051">
        <v>0</v>
      </c>
      <c r="CL1051">
        <v>0</v>
      </c>
      <c r="CM1051">
        <v>0</v>
      </c>
      <c r="CN1051" s="18">
        <v>0</v>
      </c>
      <c r="CO1051">
        <v>0.14599999999999999</v>
      </c>
      <c r="CP1051">
        <v>15</v>
      </c>
      <c r="CQ1051">
        <v>1</v>
      </c>
      <c r="CR1051">
        <v>0</v>
      </c>
      <c r="CS1051">
        <v>23</v>
      </c>
      <c r="CY1051" s="34"/>
    </row>
    <row r="1052" spans="1:103" x14ac:dyDescent="0.25">
      <c r="A1052">
        <v>1051</v>
      </c>
      <c r="B1052">
        <v>71</v>
      </c>
      <c r="C1052" s="25" t="s">
        <v>4032</v>
      </c>
      <c r="D1052" s="12">
        <v>3.1</v>
      </c>
      <c r="E1052" s="14">
        <f t="shared" si="258"/>
        <v>0.71185185185185196</v>
      </c>
      <c r="F1052" s="7">
        <v>4.354838709677419</v>
      </c>
      <c r="G1052" s="7">
        <f t="shared" si="251"/>
        <v>2.3881481481481481</v>
      </c>
      <c r="H1052" s="16">
        <f t="shared" si="252"/>
        <v>3.811851851851852</v>
      </c>
      <c r="I1052" s="11">
        <f t="shared" si="255"/>
        <v>4.5608620854000068E-2</v>
      </c>
      <c r="J1052" s="33">
        <f t="shared" si="256"/>
        <v>1.0473090714622237E-2</v>
      </c>
      <c r="K1052" s="33">
        <f t="shared" si="257"/>
        <v>95.482797509223133</v>
      </c>
      <c r="L1052" s="8">
        <v>1</v>
      </c>
      <c r="M1052" s="9">
        <v>0</v>
      </c>
      <c r="N1052" s="8">
        <v>0</v>
      </c>
      <c r="O1052" s="9">
        <v>0</v>
      </c>
      <c r="P1052" s="9">
        <v>0</v>
      </c>
      <c r="Q1052" s="9">
        <v>0</v>
      </c>
      <c r="R1052" s="9">
        <v>1</v>
      </c>
      <c r="S1052" s="8">
        <v>9106</v>
      </c>
      <c r="T1052" s="9">
        <v>7</v>
      </c>
      <c r="U1052" s="9">
        <f t="shared" si="253"/>
        <v>9098</v>
      </c>
      <c r="V1052" s="9">
        <f t="shared" si="254"/>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0</v>
      </c>
      <c r="BD1052">
        <v>1</v>
      </c>
      <c r="BE1052">
        <v>0</v>
      </c>
      <c r="BF1052" s="18">
        <v>0</v>
      </c>
      <c r="BG1052">
        <v>0</v>
      </c>
      <c r="BH1052">
        <v>1</v>
      </c>
      <c r="BI1052" s="18">
        <v>0</v>
      </c>
      <c r="BJ1052">
        <v>2675</v>
      </c>
      <c r="BK1052">
        <v>153</v>
      </c>
      <c r="BL1052" s="25">
        <v>35.6</v>
      </c>
      <c r="BM1052">
        <v>1</v>
      </c>
      <c r="BN1052">
        <v>0</v>
      </c>
      <c r="BO1052">
        <v>0</v>
      </c>
      <c r="BP1052">
        <v>0</v>
      </c>
      <c r="BQ1052">
        <v>0</v>
      </c>
      <c r="BR1052">
        <v>0</v>
      </c>
      <c r="BS1052">
        <v>0</v>
      </c>
      <c r="BT1052" s="18">
        <v>0</v>
      </c>
      <c r="BU1052">
        <v>0</v>
      </c>
      <c r="BV1052">
        <v>0</v>
      </c>
      <c r="BW1052">
        <v>1</v>
      </c>
      <c r="BX1052" s="18">
        <v>0</v>
      </c>
      <c r="BY1052">
        <v>0</v>
      </c>
      <c r="BZ1052">
        <v>0</v>
      </c>
      <c r="CA1052">
        <v>0</v>
      </c>
      <c r="CB1052">
        <v>0</v>
      </c>
      <c r="CC1052" s="18">
        <v>0</v>
      </c>
      <c r="CD1052">
        <v>0</v>
      </c>
      <c r="CE1052">
        <v>0</v>
      </c>
      <c r="CF1052">
        <v>1</v>
      </c>
      <c r="CG1052">
        <v>1</v>
      </c>
      <c r="CH1052">
        <v>0</v>
      </c>
      <c r="CI1052">
        <v>0</v>
      </c>
      <c r="CJ1052">
        <v>0</v>
      </c>
      <c r="CK1052">
        <v>0</v>
      </c>
      <c r="CL1052">
        <v>0</v>
      </c>
      <c r="CM1052">
        <v>0</v>
      </c>
      <c r="CN1052" s="18">
        <v>0</v>
      </c>
      <c r="CO1052">
        <v>0.14599999999999999</v>
      </c>
      <c r="CP1052">
        <v>15</v>
      </c>
      <c r="CQ1052">
        <v>1</v>
      </c>
      <c r="CR1052">
        <v>0</v>
      </c>
      <c r="CS1052">
        <v>23</v>
      </c>
      <c r="CY1052" s="34"/>
    </row>
    <row r="1053" spans="1:103" x14ac:dyDescent="0.25">
      <c r="A1053">
        <v>1052</v>
      </c>
      <c r="B1053">
        <v>71</v>
      </c>
      <c r="C1053" s="25" t="s">
        <v>4032</v>
      </c>
      <c r="D1053" s="12">
        <v>4.0999999999999996</v>
      </c>
      <c r="E1053" s="14">
        <f t="shared" si="258"/>
        <v>0.37639344262295088</v>
      </c>
      <c r="F1053" s="7">
        <v>10.892857142857141</v>
      </c>
      <c r="G1053" s="7">
        <f t="shared" si="251"/>
        <v>3.7236065573770487</v>
      </c>
      <c r="H1053" s="16">
        <f t="shared" si="252"/>
        <v>4.4763934426229506</v>
      </c>
      <c r="I1053" s="11">
        <f t="shared" si="255"/>
        <v>0.11346323402692496</v>
      </c>
      <c r="J1053" s="33">
        <f t="shared" si="256"/>
        <v>1.041629689427508E-2</v>
      </c>
      <c r="K1053" s="33">
        <f t="shared" si="257"/>
        <v>96.003407943336555</v>
      </c>
      <c r="L1053" s="8">
        <v>1</v>
      </c>
      <c r="M1053" s="9">
        <v>0</v>
      </c>
      <c r="N1053" s="8">
        <v>0</v>
      </c>
      <c r="O1053" s="9">
        <v>0</v>
      </c>
      <c r="P1053" s="9">
        <v>0</v>
      </c>
      <c r="Q1053" s="9">
        <v>0</v>
      </c>
      <c r="R1053" s="9">
        <v>1</v>
      </c>
      <c r="S1053" s="8">
        <v>9106</v>
      </c>
      <c r="T1053" s="9">
        <v>7</v>
      </c>
      <c r="U1053" s="9">
        <f t="shared" si="253"/>
        <v>9098</v>
      </c>
      <c r="V1053" s="9">
        <f t="shared" si="254"/>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0</v>
      </c>
      <c r="BD1053">
        <v>1</v>
      </c>
      <c r="BE1053">
        <v>0</v>
      </c>
      <c r="BF1053" s="18">
        <v>0</v>
      </c>
      <c r="BG1053">
        <v>0</v>
      </c>
      <c r="BH1053">
        <v>1</v>
      </c>
      <c r="BI1053" s="18">
        <v>0</v>
      </c>
      <c r="BJ1053">
        <v>2675</v>
      </c>
      <c r="BK1053">
        <v>153</v>
      </c>
      <c r="BL1053" s="25">
        <v>35.6</v>
      </c>
      <c r="BM1053">
        <v>1</v>
      </c>
      <c r="BN1053">
        <v>0</v>
      </c>
      <c r="BO1053">
        <v>0</v>
      </c>
      <c r="BP1053">
        <v>0</v>
      </c>
      <c r="BQ1053">
        <v>0</v>
      </c>
      <c r="BR1053">
        <v>0</v>
      </c>
      <c r="BS1053">
        <v>0</v>
      </c>
      <c r="BT1053" s="18">
        <v>0</v>
      </c>
      <c r="BU1053">
        <v>0</v>
      </c>
      <c r="BV1053">
        <v>0</v>
      </c>
      <c r="BW1053">
        <v>1</v>
      </c>
      <c r="BX1053" s="18">
        <v>0</v>
      </c>
      <c r="BY1053">
        <v>0</v>
      </c>
      <c r="BZ1053">
        <v>0</v>
      </c>
      <c r="CA1053">
        <v>0</v>
      </c>
      <c r="CB1053">
        <v>0</v>
      </c>
      <c r="CC1053" s="18">
        <v>0</v>
      </c>
      <c r="CD1053">
        <v>0</v>
      </c>
      <c r="CE1053">
        <v>0</v>
      </c>
      <c r="CF1053">
        <v>1</v>
      </c>
      <c r="CG1053">
        <v>1</v>
      </c>
      <c r="CH1053">
        <v>0</v>
      </c>
      <c r="CI1053">
        <v>0</v>
      </c>
      <c r="CJ1053">
        <v>0</v>
      </c>
      <c r="CK1053">
        <v>0</v>
      </c>
      <c r="CL1053">
        <v>0</v>
      </c>
      <c r="CM1053">
        <v>0</v>
      </c>
      <c r="CN1053" s="18">
        <v>0</v>
      </c>
      <c r="CO1053">
        <v>0.14599999999999999</v>
      </c>
      <c r="CP1053">
        <v>15</v>
      </c>
      <c r="CQ1053">
        <v>1</v>
      </c>
      <c r="CR1053">
        <v>0</v>
      </c>
      <c r="CS1053">
        <v>23</v>
      </c>
      <c r="CY1053" s="34"/>
    </row>
    <row r="1054" spans="1:103" x14ac:dyDescent="0.25">
      <c r="A1054">
        <v>1053</v>
      </c>
      <c r="B1054">
        <v>71</v>
      </c>
      <c r="C1054" s="25" t="s">
        <v>4032</v>
      </c>
      <c r="D1054" s="12">
        <v>6.6</v>
      </c>
      <c r="E1054" s="14">
        <f t="shared" si="258"/>
        <v>0.61971830985915488</v>
      </c>
      <c r="F1054" s="7">
        <v>10.65</v>
      </c>
      <c r="G1054" s="7">
        <f t="shared" si="251"/>
        <v>5.9802816901408447</v>
      </c>
      <c r="H1054" s="16">
        <f t="shared" si="252"/>
        <v>7.2197183098591546</v>
      </c>
      <c r="I1054" s="11">
        <f t="shared" si="255"/>
        <v>0.11096506107070783</v>
      </c>
      <c r="J1054" s="33">
        <f t="shared" si="256"/>
        <v>1.0419254560629842E-2</v>
      </c>
      <c r="K1054" s="33">
        <f t="shared" si="257"/>
        <v>95.976155893013342</v>
      </c>
      <c r="L1054" s="8">
        <v>1</v>
      </c>
      <c r="M1054" s="9">
        <v>0</v>
      </c>
      <c r="N1054" s="8">
        <v>0</v>
      </c>
      <c r="O1054" s="9">
        <v>0</v>
      </c>
      <c r="P1054" s="9">
        <v>0</v>
      </c>
      <c r="Q1054" s="9">
        <v>0</v>
      </c>
      <c r="R1054" s="9">
        <v>1</v>
      </c>
      <c r="S1054" s="8">
        <v>9106</v>
      </c>
      <c r="T1054" s="9">
        <v>7</v>
      </c>
      <c r="U1054" s="9">
        <f t="shared" si="253"/>
        <v>9098</v>
      </c>
      <c r="V1054" s="9">
        <f t="shared" si="254"/>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0</v>
      </c>
      <c r="BD1054">
        <v>1</v>
      </c>
      <c r="BE1054">
        <v>0</v>
      </c>
      <c r="BF1054" s="18">
        <v>0</v>
      </c>
      <c r="BG1054">
        <v>0</v>
      </c>
      <c r="BH1054">
        <v>1</v>
      </c>
      <c r="BI1054" s="18">
        <v>0</v>
      </c>
      <c r="BJ1054">
        <v>2675</v>
      </c>
      <c r="BK1054">
        <v>153</v>
      </c>
      <c r="BL1054" s="25">
        <v>35.6</v>
      </c>
      <c r="BM1054">
        <v>1</v>
      </c>
      <c r="BN1054">
        <v>0</v>
      </c>
      <c r="BO1054">
        <v>0</v>
      </c>
      <c r="BP1054">
        <v>0</v>
      </c>
      <c r="BQ1054">
        <v>0</v>
      </c>
      <c r="BR1054">
        <v>0</v>
      </c>
      <c r="BS1054">
        <v>0</v>
      </c>
      <c r="BT1054" s="18">
        <v>0</v>
      </c>
      <c r="BU1054">
        <v>0</v>
      </c>
      <c r="BV1054">
        <v>0</v>
      </c>
      <c r="BW1054">
        <v>1</v>
      </c>
      <c r="BX1054" s="18">
        <v>0</v>
      </c>
      <c r="BY1054">
        <v>0</v>
      </c>
      <c r="BZ1054">
        <v>0</v>
      </c>
      <c r="CA1054">
        <v>0</v>
      </c>
      <c r="CB1054">
        <v>0</v>
      </c>
      <c r="CC1054" s="18">
        <v>0</v>
      </c>
      <c r="CD1054">
        <v>0</v>
      </c>
      <c r="CE1054">
        <v>0</v>
      </c>
      <c r="CF1054">
        <v>1</v>
      </c>
      <c r="CG1054">
        <v>1</v>
      </c>
      <c r="CH1054">
        <v>0</v>
      </c>
      <c r="CI1054">
        <v>0</v>
      </c>
      <c r="CJ1054">
        <v>0</v>
      </c>
      <c r="CK1054">
        <v>0</v>
      </c>
      <c r="CL1054">
        <v>0</v>
      </c>
      <c r="CM1054">
        <v>0</v>
      </c>
      <c r="CN1054" s="18">
        <v>0</v>
      </c>
      <c r="CO1054">
        <v>0.14599999999999999</v>
      </c>
      <c r="CP1054">
        <v>15</v>
      </c>
      <c r="CQ1054">
        <v>1</v>
      </c>
      <c r="CR1054">
        <v>0</v>
      </c>
      <c r="CS1054">
        <v>23</v>
      </c>
      <c r="CY1054" s="34"/>
    </row>
    <row r="1055" spans="1:103" x14ac:dyDescent="0.25">
      <c r="A1055">
        <v>1054</v>
      </c>
      <c r="B1055">
        <v>71</v>
      </c>
      <c r="C1055" s="25" t="s">
        <v>4032</v>
      </c>
      <c r="D1055" s="12">
        <v>9.1999999999999993</v>
      </c>
      <c r="E1055" s="14">
        <f t="shared" si="258"/>
        <v>0.41255605381165916</v>
      </c>
      <c r="F1055" s="7">
        <v>22.3</v>
      </c>
      <c r="G1055" s="7">
        <f t="shared" si="251"/>
        <v>8.7874439461883398</v>
      </c>
      <c r="H1055" s="16">
        <f t="shared" si="252"/>
        <v>9.6125560538116588</v>
      </c>
      <c r="I1055" s="11">
        <f t="shared" si="255"/>
        <v>0.22765427522459039</v>
      </c>
      <c r="J1055" s="33">
        <f t="shared" si="256"/>
        <v>1.0208711893479388E-2</v>
      </c>
      <c r="K1055" s="33">
        <f t="shared" si="257"/>
        <v>97.955551144383861</v>
      </c>
      <c r="L1055" s="8">
        <v>1</v>
      </c>
      <c r="M1055" s="9">
        <v>0</v>
      </c>
      <c r="N1055" s="8">
        <v>0</v>
      </c>
      <c r="O1055" s="9">
        <v>0</v>
      </c>
      <c r="P1055" s="9">
        <v>0</v>
      </c>
      <c r="Q1055" s="9">
        <v>0</v>
      </c>
      <c r="R1055" s="9">
        <v>1</v>
      </c>
      <c r="S1055" s="8">
        <v>9106</v>
      </c>
      <c r="T1055" s="9">
        <v>7</v>
      </c>
      <c r="U1055" s="9">
        <f t="shared" si="253"/>
        <v>9098</v>
      </c>
      <c r="V1055" s="9">
        <f t="shared" si="254"/>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0</v>
      </c>
      <c r="BD1055">
        <v>1</v>
      </c>
      <c r="BE1055">
        <v>0</v>
      </c>
      <c r="BF1055" s="18">
        <v>0</v>
      </c>
      <c r="BG1055">
        <v>0</v>
      </c>
      <c r="BH1055">
        <v>1</v>
      </c>
      <c r="BI1055" s="18">
        <v>0</v>
      </c>
      <c r="BJ1055">
        <v>2675</v>
      </c>
      <c r="BK1055">
        <v>153</v>
      </c>
      <c r="BL1055" s="25">
        <v>35.6</v>
      </c>
      <c r="BM1055">
        <v>1</v>
      </c>
      <c r="BN1055">
        <v>0</v>
      </c>
      <c r="BO1055">
        <v>0</v>
      </c>
      <c r="BP1055">
        <v>0</v>
      </c>
      <c r="BQ1055">
        <v>0</v>
      </c>
      <c r="BR1055">
        <v>0</v>
      </c>
      <c r="BS1055">
        <v>0</v>
      </c>
      <c r="BT1055" s="18">
        <v>0</v>
      </c>
      <c r="BU1055">
        <v>0</v>
      </c>
      <c r="BV1055">
        <v>0</v>
      </c>
      <c r="BW1055">
        <v>1</v>
      </c>
      <c r="BX1055" s="18">
        <v>0</v>
      </c>
      <c r="BY1055">
        <v>0</v>
      </c>
      <c r="BZ1055">
        <v>0</v>
      </c>
      <c r="CA1055">
        <v>0</v>
      </c>
      <c r="CB1055">
        <v>0</v>
      </c>
      <c r="CC1055" s="18">
        <v>0</v>
      </c>
      <c r="CD1055">
        <v>0</v>
      </c>
      <c r="CE1055">
        <v>0</v>
      </c>
      <c r="CF1055">
        <v>1</v>
      </c>
      <c r="CG1055">
        <v>1</v>
      </c>
      <c r="CH1055">
        <v>0</v>
      </c>
      <c r="CI1055">
        <v>0</v>
      </c>
      <c r="CJ1055">
        <v>0</v>
      </c>
      <c r="CK1055">
        <v>0</v>
      </c>
      <c r="CL1055">
        <v>0</v>
      </c>
      <c r="CM1055">
        <v>0</v>
      </c>
      <c r="CN1055" s="18">
        <v>0</v>
      </c>
      <c r="CO1055">
        <v>0.14599999999999999</v>
      </c>
      <c r="CP1055">
        <v>15</v>
      </c>
      <c r="CQ1055">
        <v>1</v>
      </c>
      <c r="CR1055">
        <v>0</v>
      </c>
      <c r="CS1055">
        <v>23</v>
      </c>
      <c r="CY1055" s="34"/>
    </row>
    <row r="1056" spans="1:103" x14ac:dyDescent="0.25">
      <c r="A1056">
        <v>1055</v>
      </c>
      <c r="B1056">
        <v>71</v>
      </c>
      <c r="C1056" s="25" t="s">
        <v>4032</v>
      </c>
      <c r="D1056" s="12">
        <v>0.4</v>
      </c>
      <c r="E1056" s="14">
        <f t="shared" si="258"/>
        <v>1.2749999999999999</v>
      </c>
      <c r="F1056" s="7">
        <v>0.31372549019607848</v>
      </c>
      <c r="G1056" s="7">
        <f t="shared" si="251"/>
        <v>-0.87499999999999989</v>
      </c>
      <c r="H1056" s="16">
        <f t="shared" si="252"/>
        <v>1.6749999999999998</v>
      </c>
      <c r="I1056" s="11">
        <f t="shared" si="255"/>
        <v>3.2923388633552871E-3</v>
      </c>
      <c r="J1056" s="33">
        <f t="shared" si="256"/>
        <v>1.0494330126944975E-2</v>
      </c>
      <c r="K1056" s="33">
        <f t="shared" si="257"/>
        <v>95.28955044328417</v>
      </c>
      <c r="L1056" s="8">
        <v>1</v>
      </c>
      <c r="M1056" s="9">
        <v>0</v>
      </c>
      <c r="N1056" s="8">
        <v>0</v>
      </c>
      <c r="O1056" s="9">
        <v>0</v>
      </c>
      <c r="P1056" s="9">
        <v>0</v>
      </c>
      <c r="Q1056" s="9">
        <v>0</v>
      </c>
      <c r="R1056" s="9">
        <v>1</v>
      </c>
      <c r="S1056" s="8">
        <v>9106</v>
      </c>
      <c r="T1056" s="9">
        <v>25</v>
      </c>
      <c r="U1056" s="9">
        <f t="shared" si="253"/>
        <v>9080</v>
      </c>
      <c r="V1056" s="9">
        <f t="shared" si="254"/>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0</v>
      </c>
      <c r="BD1056">
        <v>1</v>
      </c>
      <c r="BE1056">
        <v>0</v>
      </c>
      <c r="BF1056" s="18">
        <v>0</v>
      </c>
      <c r="BG1056">
        <v>0</v>
      </c>
      <c r="BH1056">
        <v>1</v>
      </c>
      <c r="BI1056" s="18">
        <v>0</v>
      </c>
      <c r="BJ1056">
        <v>2675</v>
      </c>
      <c r="BK1056">
        <v>153</v>
      </c>
      <c r="BL1056" s="25">
        <v>35.6</v>
      </c>
      <c r="BM1056">
        <v>1</v>
      </c>
      <c r="BN1056">
        <v>0</v>
      </c>
      <c r="BO1056">
        <v>0</v>
      </c>
      <c r="BP1056">
        <v>0</v>
      </c>
      <c r="BQ1056">
        <v>0</v>
      </c>
      <c r="BR1056">
        <v>0</v>
      </c>
      <c r="BS1056">
        <v>0</v>
      </c>
      <c r="BT1056" s="18">
        <v>0</v>
      </c>
      <c r="BU1056">
        <v>0</v>
      </c>
      <c r="BV1056">
        <v>0</v>
      </c>
      <c r="BW1056">
        <v>1</v>
      </c>
      <c r="BX1056" s="18">
        <v>0</v>
      </c>
      <c r="BY1056">
        <v>0</v>
      </c>
      <c r="BZ1056">
        <v>0</v>
      </c>
      <c r="CA1056">
        <v>0</v>
      </c>
      <c r="CB1056">
        <v>0</v>
      </c>
      <c r="CC1056" s="18">
        <v>0</v>
      </c>
      <c r="CD1056">
        <v>1</v>
      </c>
      <c r="CE1056">
        <v>0</v>
      </c>
      <c r="CF1056">
        <v>1</v>
      </c>
      <c r="CG1056">
        <v>1</v>
      </c>
      <c r="CH1056">
        <v>0</v>
      </c>
      <c r="CI1056">
        <v>0</v>
      </c>
      <c r="CJ1056">
        <v>1</v>
      </c>
      <c r="CK1056">
        <v>0</v>
      </c>
      <c r="CL1056">
        <v>0</v>
      </c>
      <c r="CM1056">
        <v>0</v>
      </c>
      <c r="CN1056" s="18">
        <v>1</v>
      </c>
      <c r="CO1056">
        <v>0.14599999999999999</v>
      </c>
      <c r="CP1056">
        <v>15</v>
      </c>
      <c r="CQ1056">
        <v>1</v>
      </c>
      <c r="CR1056">
        <v>0</v>
      </c>
      <c r="CS1056">
        <v>23</v>
      </c>
      <c r="CY1056" s="34"/>
    </row>
    <row r="1057" spans="1:103" x14ac:dyDescent="0.25">
      <c r="A1057">
        <v>1056</v>
      </c>
      <c r="B1057">
        <v>71</v>
      </c>
      <c r="C1057" s="25" t="s">
        <v>4032</v>
      </c>
      <c r="D1057" s="12">
        <v>2.8</v>
      </c>
      <c r="E1057" s="14">
        <f t="shared" si="258"/>
        <v>1.3517241379310341</v>
      </c>
      <c r="F1057" s="7">
        <v>2.0714285714285721</v>
      </c>
      <c r="G1057" s="7">
        <f t="shared" si="251"/>
        <v>1.4482758620689657</v>
      </c>
      <c r="H1057" s="16">
        <f t="shared" si="252"/>
        <v>4.1517241379310335</v>
      </c>
      <c r="I1057" s="11">
        <f t="shared" si="255"/>
        <v>2.1733238590746627E-2</v>
      </c>
      <c r="J1057" s="33">
        <f t="shared" si="256"/>
        <v>1.0491908285188024E-2</v>
      </c>
      <c r="K1057" s="33">
        <f t="shared" si="257"/>
        <v>95.311546080873811</v>
      </c>
      <c r="L1057" s="8">
        <v>1</v>
      </c>
      <c r="M1057" s="9">
        <v>0</v>
      </c>
      <c r="N1057" s="8">
        <v>0</v>
      </c>
      <c r="O1057" s="9">
        <v>0</v>
      </c>
      <c r="P1057" s="9">
        <v>0</v>
      </c>
      <c r="Q1057" s="9">
        <v>0</v>
      </c>
      <c r="R1057" s="9">
        <v>1</v>
      </c>
      <c r="S1057" s="8">
        <v>9106</v>
      </c>
      <c r="T1057" s="9">
        <v>25</v>
      </c>
      <c r="U1057" s="9">
        <f t="shared" si="253"/>
        <v>9080</v>
      </c>
      <c r="V1057" s="9">
        <f t="shared" si="254"/>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0</v>
      </c>
      <c r="BD1057">
        <v>1</v>
      </c>
      <c r="BE1057">
        <v>0</v>
      </c>
      <c r="BF1057" s="18">
        <v>0</v>
      </c>
      <c r="BG1057">
        <v>0</v>
      </c>
      <c r="BH1057">
        <v>1</v>
      </c>
      <c r="BI1057" s="18">
        <v>0</v>
      </c>
      <c r="BJ1057">
        <v>2675</v>
      </c>
      <c r="BK1057">
        <v>153</v>
      </c>
      <c r="BL1057" s="25">
        <v>35.6</v>
      </c>
      <c r="BM1057">
        <v>1</v>
      </c>
      <c r="BN1057">
        <v>0</v>
      </c>
      <c r="BO1057">
        <v>0</v>
      </c>
      <c r="BP1057">
        <v>0</v>
      </c>
      <c r="BQ1057">
        <v>0</v>
      </c>
      <c r="BR1057">
        <v>0</v>
      </c>
      <c r="BS1057">
        <v>0</v>
      </c>
      <c r="BT1057" s="18">
        <v>0</v>
      </c>
      <c r="BU1057">
        <v>0</v>
      </c>
      <c r="BV1057">
        <v>0</v>
      </c>
      <c r="BW1057">
        <v>1</v>
      </c>
      <c r="BX1057" s="18">
        <v>0</v>
      </c>
      <c r="BY1057">
        <v>0</v>
      </c>
      <c r="BZ1057">
        <v>0</v>
      </c>
      <c r="CA1057">
        <v>0</v>
      </c>
      <c r="CB1057">
        <v>0</v>
      </c>
      <c r="CC1057" s="18">
        <v>0</v>
      </c>
      <c r="CD1057">
        <v>1</v>
      </c>
      <c r="CE1057">
        <v>0</v>
      </c>
      <c r="CF1057">
        <v>1</v>
      </c>
      <c r="CG1057">
        <v>1</v>
      </c>
      <c r="CH1057">
        <v>0</v>
      </c>
      <c r="CI1057">
        <v>0</v>
      </c>
      <c r="CJ1057">
        <v>1</v>
      </c>
      <c r="CK1057">
        <v>0</v>
      </c>
      <c r="CL1057">
        <v>0</v>
      </c>
      <c r="CM1057">
        <v>0</v>
      </c>
      <c r="CN1057" s="18">
        <v>1</v>
      </c>
      <c r="CO1057">
        <v>0.14599999999999999</v>
      </c>
      <c r="CP1057">
        <v>15</v>
      </c>
      <c r="CQ1057">
        <v>1</v>
      </c>
      <c r="CR1057">
        <v>0</v>
      </c>
      <c r="CS1057">
        <v>23</v>
      </c>
      <c r="CY1057" s="34"/>
    </row>
    <row r="1058" spans="1:103" x14ac:dyDescent="0.25">
      <c r="A1058">
        <v>1057</v>
      </c>
      <c r="B1058">
        <v>71</v>
      </c>
      <c r="C1058" s="25" t="s">
        <v>4032</v>
      </c>
      <c r="D1058" s="12">
        <v>6.5</v>
      </c>
      <c r="E1058" s="14">
        <f t="shared" si="258"/>
        <v>0.85880829015544036</v>
      </c>
      <c r="F1058" s="7">
        <v>7.5686274509803928</v>
      </c>
      <c r="G1058" s="7">
        <f t="shared" si="251"/>
        <v>5.6411917098445592</v>
      </c>
      <c r="H1058" s="16">
        <f t="shared" si="252"/>
        <v>7.3588082901554408</v>
      </c>
      <c r="I1058" s="11">
        <f t="shared" si="255"/>
        <v>7.917873589605838E-2</v>
      </c>
      <c r="J1058" s="33">
        <f t="shared" si="256"/>
        <v>1.0461439198702013E-2</v>
      </c>
      <c r="K1058" s="33">
        <f t="shared" si="257"/>
        <v>95.589142278251117</v>
      </c>
      <c r="L1058" s="8">
        <v>1</v>
      </c>
      <c r="M1058" s="9">
        <v>0</v>
      </c>
      <c r="N1058" s="8">
        <v>0</v>
      </c>
      <c r="O1058" s="9">
        <v>0</v>
      </c>
      <c r="P1058" s="9">
        <v>0</v>
      </c>
      <c r="Q1058" s="9">
        <v>0</v>
      </c>
      <c r="R1058" s="9">
        <v>1</v>
      </c>
      <c r="S1058" s="8">
        <v>9106</v>
      </c>
      <c r="T1058" s="9">
        <v>25</v>
      </c>
      <c r="U1058" s="9">
        <f t="shared" si="253"/>
        <v>9080</v>
      </c>
      <c r="V1058" s="9">
        <f t="shared" si="254"/>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0</v>
      </c>
      <c r="BD1058">
        <v>1</v>
      </c>
      <c r="BE1058">
        <v>0</v>
      </c>
      <c r="BF1058" s="18">
        <v>0</v>
      </c>
      <c r="BG1058">
        <v>0</v>
      </c>
      <c r="BH1058">
        <v>1</v>
      </c>
      <c r="BI1058" s="18">
        <v>0</v>
      </c>
      <c r="BJ1058">
        <v>2675</v>
      </c>
      <c r="BK1058">
        <v>153</v>
      </c>
      <c r="BL1058" s="25">
        <v>35.6</v>
      </c>
      <c r="BM1058">
        <v>1</v>
      </c>
      <c r="BN1058">
        <v>0</v>
      </c>
      <c r="BO1058">
        <v>0</v>
      </c>
      <c r="BP1058">
        <v>0</v>
      </c>
      <c r="BQ1058">
        <v>0</v>
      </c>
      <c r="BR1058">
        <v>0</v>
      </c>
      <c r="BS1058">
        <v>0</v>
      </c>
      <c r="BT1058" s="18">
        <v>0</v>
      </c>
      <c r="BU1058">
        <v>0</v>
      </c>
      <c r="BV1058">
        <v>0</v>
      </c>
      <c r="BW1058">
        <v>1</v>
      </c>
      <c r="BX1058" s="18">
        <v>0</v>
      </c>
      <c r="BY1058">
        <v>0</v>
      </c>
      <c r="BZ1058">
        <v>0</v>
      </c>
      <c r="CA1058">
        <v>0</v>
      </c>
      <c r="CB1058">
        <v>0</v>
      </c>
      <c r="CC1058" s="18">
        <v>0</v>
      </c>
      <c r="CD1058">
        <v>1</v>
      </c>
      <c r="CE1058">
        <v>0</v>
      </c>
      <c r="CF1058">
        <v>1</v>
      </c>
      <c r="CG1058">
        <v>1</v>
      </c>
      <c r="CH1058">
        <v>0</v>
      </c>
      <c r="CI1058">
        <v>0</v>
      </c>
      <c r="CJ1058">
        <v>1</v>
      </c>
      <c r="CK1058">
        <v>0</v>
      </c>
      <c r="CL1058">
        <v>0</v>
      </c>
      <c r="CM1058">
        <v>0</v>
      </c>
      <c r="CN1058" s="18">
        <v>1</v>
      </c>
      <c r="CO1058">
        <v>0.14599999999999999</v>
      </c>
      <c r="CP1058">
        <v>15</v>
      </c>
      <c r="CQ1058">
        <v>1</v>
      </c>
      <c r="CR1058">
        <v>0</v>
      </c>
      <c r="CS1058">
        <v>23</v>
      </c>
      <c r="CY1058" s="34"/>
    </row>
    <row r="1059" spans="1:103" x14ac:dyDescent="0.25">
      <c r="A1059">
        <v>1058</v>
      </c>
      <c r="B1059">
        <v>71</v>
      </c>
      <c r="C1059" s="25" t="s">
        <v>4032</v>
      </c>
      <c r="D1059" s="12">
        <v>2.5</v>
      </c>
      <c r="E1059" s="14">
        <f t="shared" si="258"/>
        <v>0.48032407407407407</v>
      </c>
      <c r="F1059" s="7">
        <v>5.2048192771084336</v>
      </c>
      <c r="G1059" s="7">
        <f t="shared" si="251"/>
        <v>2.019675925925926</v>
      </c>
      <c r="H1059" s="16">
        <f t="shared" si="252"/>
        <v>2.980324074074074</v>
      </c>
      <c r="I1059" s="11">
        <f t="shared" si="255"/>
        <v>5.4540088306269344E-2</v>
      </c>
      <c r="J1059" s="33">
        <f t="shared" si="256"/>
        <v>1.0478766966250823E-2</v>
      </c>
      <c r="K1059" s="33">
        <f t="shared" si="257"/>
        <v>95.43107535654913</v>
      </c>
      <c r="L1059" s="8">
        <v>1</v>
      </c>
      <c r="M1059" s="9">
        <v>0</v>
      </c>
      <c r="N1059" s="8">
        <v>0</v>
      </c>
      <c r="O1059" s="9">
        <v>0</v>
      </c>
      <c r="P1059" s="9">
        <v>0</v>
      </c>
      <c r="Q1059" s="9">
        <v>0</v>
      </c>
      <c r="R1059" s="9">
        <v>1</v>
      </c>
      <c r="S1059" s="8">
        <v>9106</v>
      </c>
      <c r="T1059" s="9">
        <v>25</v>
      </c>
      <c r="U1059" s="9">
        <f t="shared" si="253"/>
        <v>9080</v>
      </c>
      <c r="V1059" s="9">
        <f t="shared" si="254"/>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0</v>
      </c>
      <c r="BD1059">
        <v>1</v>
      </c>
      <c r="BE1059">
        <v>0</v>
      </c>
      <c r="BF1059" s="18">
        <v>0</v>
      </c>
      <c r="BG1059">
        <v>0</v>
      </c>
      <c r="BH1059">
        <v>1</v>
      </c>
      <c r="BI1059" s="18">
        <v>0</v>
      </c>
      <c r="BJ1059">
        <v>2675</v>
      </c>
      <c r="BK1059">
        <v>153</v>
      </c>
      <c r="BL1059" s="25">
        <v>35.6</v>
      </c>
      <c r="BM1059">
        <v>1</v>
      </c>
      <c r="BN1059">
        <v>0</v>
      </c>
      <c r="BO1059">
        <v>0</v>
      </c>
      <c r="BP1059">
        <v>0</v>
      </c>
      <c r="BQ1059">
        <v>0</v>
      </c>
      <c r="BR1059">
        <v>0</v>
      </c>
      <c r="BS1059">
        <v>0</v>
      </c>
      <c r="BT1059" s="18">
        <v>0</v>
      </c>
      <c r="BU1059">
        <v>0</v>
      </c>
      <c r="BV1059">
        <v>0</v>
      </c>
      <c r="BW1059">
        <v>1</v>
      </c>
      <c r="BX1059" s="18">
        <v>0</v>
      </c>
      <c r="BY1059">
        <v>0</v>
      </c>
      <c r="BZ1059">
        <v>0</v>
      </c>
      <c r="CA1059">
        <v>0</v>
      </c>
      <c r="CB1059">
        <v>0</v>
      </c>
      <c r="CC1059" s="18">
        <v>0</v>
      </c>
      <c r="CD1059">
        <v>1</v>
      </c>
      <c r="CE1059">
        <v>0</v>
      </c>
      <c r="CF1059">
        <v>1</v>
      </c>
      <c r="CG1059">
        <v>1</v>
      </c>
      <c r="CH1059">
        <v>0</v>
      </c>
      <c r="CI1059">
        <v>0</v>
      </c>
      <c r="CJ1059">
        <v>1</v>
      </c>
      <c r="CK1059">
        <v>0</v>
      </c>
      <c r="CL1059">
        <v>0</v>
      </c>
      <c r="CM1059">
        <v>0</v>
      </c>
      <c r="CN1059" s="18">
        <v>1</v>
      </c>
      <c r="CO1059">
        <v>0.14599999999999999</v>
      </c>
      <c r="CP1059">
        <v>15</v>
      </c>
      <c r="CQ1059">
        <v>1</v>
      </c>
      <c r="CR1059">
        <v>0</v>
      </c>
      <c r="CS1059">
        <v>23</v>
      </c>
      <c r="CY1059" s="34"/>
    </row>
    <row r="1060" spans="1:103" x14ac:dyDescent="0.25">
      <c r="A1060">
        <v>1059</v>
      </c>
      <c r="B1060">
        <v>71</v>
      </c>
      <c r="C1060" s="25" t="s">
        <v>4032</v>
      </c>
      <c r="D1060" s="12">
        <v>10.5</v>
      </c>
      <c r="E1060" s="14">
        <f t="shared" si="258"/>
        <v>0.7865168539325843</v>
      </c>
      <c r="F1060" s="7">
        <v>13.35</v>
      </c>
      <c r="G1060" s="7">
        <f t="shared" si="251"/>
        <v>9.713483146067416</v>
      </c>
      <c r="H1060" s="16">
        <f t="shared" si="252"/>
        <v>11.286516853932584</v>
      </c>
      <c r="I1060" s="11">
        <f t="shared" si="255"/>
        <v>0.13874503754464187</v>
      </c>
      <c r="J1060" s="33">
        <f t="shared" si="256"/>
        <v>1.039288670746381E-2</v>
      </c>
      <c r="K1060" s="33">
        <f t="shared" si="257"/>
        <v>96.219657554992366</v>
      </c>
      <c r="L1060" s="8">
        <v>1</v>
      </c>
      <c r="M1060" s="9">
        <v>0</v>
      </c>
      <c r="N1060" s="8">
        <v>0</v>
      </c>
      <c r="O1060" s="9">
        <v>0</v>
      </c>
      <c r="P1060" s="9">
        <v>0</v>
      </c>
      <c r="Q1060" s="9">
        <v>0</v>
      </c>
      <c r="R1060" s="9">
        <v>1</v>
      </c>
      <c r="S1060" s="8">
        <v>9106</v>
      </c>
      <c r="T1060" s="9">
        <v>25</v>
      </c>
      <c r="U1060" s="9">
        <f t="shared" si="253"/>
        <v>9080</v>
      </c>
      <c r="V1060" s="9">
        <f t="shared" si="254"/>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0</v>
      </c>
      <c r="BD1060">
        <v>1</v>
      </c>
      <c r="BE1060">
        <v>0</v>
      </c>
      <c r="BF1060" s="18">
        <v>0</v>
      </c>
      <c r="BG1060">
        <v>0</v>
      </c>
      <c r="BH1060">
        <v>1</v>
      </c>
      <c r="BI1060" s="18">
        <v>0</v>
      </c>
      <c r="BJ1060">
        <v>2675</v>
      </c>
      <c r="BK1060">
        <v>153</v>
      </c>
      <c r="BL1060" s="25">
        <v>35.6</v>
      </c>
      <c r="BM1060">
        <v>1</v>
      </c>
      <c r="BN1060">
        <v>0</v>
      </c>
      <c r="BO1060">
        <v>0</v>
      </c>
      <c r="BP1060">
        <v>0</v>
      </c>
      <c r="BQ1060">
        <v>0</v>
      </c>
      <c r="BR1060">
        <v>0</v>
      </c>
      <c r="BS1060">
        <v>0</v>
      </c>
      <c r="BT1060" s="18">
        <v>0</v>
      </c>
      <c r="BU1060">
        <v>0</v>
      </c>
      <c r="BV1060">
        <v>0</v>
      </c>
      <c r="BW1060">
        <v>1</v>
      </c>
      <c r="BX1060" s="18">
        <v>0</v>
      </c>
      <c r="BY1060">
        <v>0</v>
      </c>
      <c r="BZ1060">
        <v>0</v>
      </c>
      <c r="CA1060">
        <v>0</v>
      </c>
      <c r="CB1060">
        <v>0</v>
      </c>
      <c r="CC1060" s="18">
        <v>0</v>
      </c>
      <c r="CD1060">
        <v>1</v>
      </c>
      <c r="CE1060">
        <v>0</v>
      </c>
      <c r="CF1060">
        <v>1</v>
      </c>
      <c r="CG1060">
        <v>1</v>
      </c>
      <c r="CH1060">
        <v>0</v>
      </c>
      <c r="CI1060">
        <v>0</v>
      </c>
      <c r="CJ1060">
        <v>1</v>
      </c>
      <c r="CK1060">
        <v>0</v>
      </c>
      <c r="CL1060">
        <v>0</v>
      </c>
      <c r="CM1060">
        <v>0</v>
      </c>
      <c r="CN1060" s="18">
        <v>1</v>
      </c>
      <c r="CO1060">
        <v>0.14599999999999999</v>
      </c>
      <c r="CP1060">
        <v>15</v>
      </c>
      <c r="CQ1060">
        <v>1</v>
      </c>
      <c r="CR1060">
        <v>0</v>
      </c>
      <c r="CS1060">
        <v>23</v>
      </c>
      <c r="CY1060" s="34"/>
    </row>
    <row r="1061" spans="1:103" x14ac:dyDescent="0.25">
      <c r="A1061">
        <v>1060</v>
      </c>
      <c r="B1061">
        <v>71</v>
      </c>
      <c r="C1061" s="25" t="s">
        <v>4032</v>
      </c>
      <c r="D1061" s="12">
        <v>3</v>
      </c>
      <c r="E1061" s="14">
        <f t="shared" si="258"/>
        <v>1.6046511627906981</v>
      </c>
      <c r="F1061" s="7">
        <v>1.869565217391304</v>
      </c>
      <c r="G1061" s="7">
        <f t="shared" si="251"/>
        <v>1.3953488372093019</v>
      </c>
      <c r="H1061" s="16">
        <f t="shared" si="252"/>
        <v>4.6046511627906979</v>
      </c>
      <c r="I1061" s="11">
        <f t="shared" si="255"/>
        <v>2.7911746509198823E-2</v>
      </c>
      <c r="J1061" s="33">
        <f t="shared" si="256"/>
        <v>1.4929538830501698E-2</v>
      </c>
      <c r="K1061" s="33">
        <f t="shared" si="257"/>
        <v>66.981305407569351</v>
      </c>
      <c r="L1061" s="8">
        <v>1</v>
      </c>
      <c r="M1061" s="9">
        <v>0</v>
      </c>
      <c r="N1061" s="8">
        <v>0</v>
      </c>
      <c r="O1061" s="9">
        <v>0</v>
      </c>
      <c r="P1061" s="9">
        <v>0</v>
      </c>
      <c r="Q1061" s="9">
        <v>0</v>
      </c>
      <c r="R1061" s="9">
        <v>1</v>
      </c>
      <c r="S1061" s="8">
        <v>4491</v>
      </c>
      <c r="T1061" s="9">
        <v>7</v>
      </c>
      <c r="U1061" s="9">
        <f t="shared" si="253"/>
        <v>4483</v>
      </c>
      <c r="V1061" s="9">
        <f t="shared" si="254"/>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0</v>
      </c>
      <c r="BD1061">
        <v>1</v>
      </c>
      <c r="BE1061">
        <v>0</v>
      </c>
      <c r="BF1061" s="18">
        <v>0</v>
      </c>
      <c r="BG1061">
        <v>0</v>
      </c>
      <c r="BH1061">
        <v>1</v>
      </c>
      <c r="BI1061" s="18">
        <v>0</v>
      </c>
      <c r="BJ1061">
        <v>3067</v>
      </c>
      <c r="BK1061">
        <v>155</v>
      </c>
      <c r="BL1061" s="25">
        <v>37.4</v>
      </c>
      <c r="BM1061">
        <v>1</v>
      </c>
      <c r="BN1061">
        <v>0</v>
      </c>
      <c r="BO1061">
        <v>0</v>
      </c>
      <c r="BP1061">
        <v>0</v>
      </c>
      <c r="BQ1061">
        <v>0</v>
      </c>
      <c r="BR1061">
        <v>0</v>
      </c>
      <c r="BS1061">
        <v>0</v>
      </c>
      <c r="BT1061" s="18">
        <v>0</v>
      </c>
      <c r="BU1061">
        <v>0</v>
      </c>
      <c r="BV1061">
        <v>0</v>
      </c>
      <c r="BW1061">
        <v>1</v>
      </c>
      <c r="BX1061" s="18">
        <v>0</v>
      </c>
      <c r="BY1061">
        <v>0</v>
      </c>
      <c r="BZ1061">
        <v>0</v>
      </c>
      <c r="CA1061">
        <v>0</v>
      </c>
      <c r="CB1061">
        <v>0</v>
      </c>
      <c r="CC1061" s="18">
        <v>0</v>
      </c>
      <c r="CD1061">
        <v>0</v>
      </c>
      <c r="CE1061">
        <v>0</v>
      </c>
      <c r="CF1061">
        <v>1</v>
      </c>
      <c r="CG1061">
        <v>1</v>
      </c>
      <c r="CH1061">
        <v>0</v>
      </c>
      <c r="CI1061">
        <v>0</v>
      </c>
      <c r="CJ1061">
        <v>0</v>
      </c>
      <c r="CK1061">
        <v>0</v>
      </c>
      <c r="CL1061">
        <v>0</v>
      </c>
      <c r="CM1061">
        <v>0</v>
      </c>
      <c r="CN1061" s="18">
        <v>0</v>
      </c>
      <c r="CO1061">
        <v>0.14599999999999999</v>
      </c>
      <c r="CP1061">
        <v>15</v>
      </c>
      <c r="CQ1061">
        <v>1</v>
      </c>
      <c r="CR1061">
        <v>0</v>
      </c>
      <c r="CS1061">
        <v>23</v>
      </c>
      <c r="CY1061" s="34"/>
    </row>
    <row r="1062" spans="1:103" x14ac:dyDescent="0.25">
      <c r="A1062">
        <v>1061</v>
      </c>
      <c r="B1062">
        <v>71</v>
      </c>
      <c r="C1062" s="25" t="s">
        <v>4032</v>
      </c>
      <c r="D1062" s="12">
        <v>3.7</v>
      </c>
      <c r="E1062" s="14">
        <f t="shared" si="258"/>
        <v>1.0060422960725075</v>
      </c>
      <c r="F1062" s="7">
        <v>3.677777777777778</v>
      </c>
      <c r="G1062" s="7">
        <f t="shared" si="251"/>
        <v>2.6939577039274925</v>
      </c>
      <c r="H1062" s="16">
        <f t="shared" si="252"/>
        <v>4.7060422960725079</v>
      </c>
      <c r="I1062" s="11">
        <f t="shared" si="255"/>
        <v>5.4846248553394351E-2</v>
      </c>
      <c r="J1062" s="33">
        <f t="shared" si="256"/>
        <v>1.4912877250167647E-2</v>
      </c>
      <c r="K1062" s="33">
        <f t="shared" si="257"/>
        <v>67.05614102662571</v>
      </c>
      <c r="L1062" s="8">
        <v>1</v>
      </c>
      <c r="M1062" s="9">
        <v>0</v>
      </c>
      <c r="N1062" s="8">
        <v>0</v>
      </c>
      <c r="O1062" s="9">
        <v>0</v>
      </c>
      <c r="P1062" s="9">
        <v>0</v>
      </c>
      <c r="Q1062" s="9">
        <v>0</v>
      </c>
      <c r="R1062" s="9">
        <v>1</v>
      </c>
      <c r="S1062" s="8">
        <v>4491</v>
      </c>
      <c r="T1062" s="9">
        <v>7</v>
      </c>
      <c r="U1062" s="9">
        <f t="shared" si="253"/>
        <v>4483</v>
      </c>
      <c r="V1062" s="9">
        <f t="shared" si="254"/>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0</v>
      </c>
      <c r="BD1062">
        <v>1</v>
      </c>
      <c r="BE1062">
        <v>0</v>
      </c>
      <c r="BF1062" s="18">
        <v>0</v>
      </c>
      <c r="BG1062">
        <v>0</v>
      </c>
      <c r="BH1062">
        <v>1</v>
      </c>
      <c r="BI1062" s="18">
        <v>0</v>
      </c>
      <c r="BJ1062">
        <v>3067</v>
      </c>
      <c r="BK1062">
        <v>155</v>
      </c>
      <c r="BL1062" s="25">
        <v>37.4</v>
      </c>
      <c r="BM1062">
        <v>1</v>
      </c>
      <c r="BN1062">
        <v>0</v>
      </c>
      <c r="BO1062">
        <v>0</v>
      </c>
      <c r="BP1062">
        <v>0</v>
      </c>
      <c r="BQ1062">
        <v>0</v>
      </c>
      <c r="BR1062">
        <v>0</v>
      </c>
      <c r="BS1062">
        <v>0</v>
      </c>
      <c r="BT1062" s="18">
        <v>0</v>
      </c>
      <c r="BU1062">
        <v>0</v>
      </c>
      <c r="BV1062">
        <v>0</v>
      </c>
      <c r="BW1062">
        <v>1</v>
      </c>
      <c r="BX1062" s="18">
        <v>0</v>
      </c>
      <c r="BY1062">
        <v>0</v>
      </c>
      <c r="BZ1062">
        <v>0</v>
      </c>
      <c r="CA1062">
        <v>0</v>
      </c>
      <c r="CB1062">
        <v>0</v>
      </c>
      <c r="CC1062" s="18">
        <v>0</v>
      </c>
      <c r="CD1062">
        <v>0</v>
      </c>
      <c r="CE1062">
        <v>0</v>
      </c>
      <c r="CF1062">
        <v>1</v>
      </c>
      <c r="CG1062">
        <v>1</v>
      </c>
      <c r="CH1062">
        <v>0</v>
      </c>
      <c r="CI1062">
        <v>0</v>
      </c>
      <c r="CJ1062">
        <v>0</v>
      </c>
      <c r="CK1062">
        <v>0</v>
      </c>
      <c r="CL1062">
        <v>0</v>
      </c>
      <c r="CM1062">
        <v>0</v>
      </c>
      <c r="CN1062" s="18">
        <v>0</v>
      </c>
      <c r="CO1062">
        <v>0.14599999999999999</v>
      </c>
      <c r="CP1062">
        <v>15</v>
      </c>
      <c r="CQ1062">
        <v>1</v>
      </c>
      <c r="CR1062">
        <v>0</v>
      </c>
      <c r="CS1062">
        <v>23</v>
      </c>
      <c r="CY1062" s="34"/>
    </row>
    <row r="1063" spans="1:103" x14ac:dyDescent="0.25">
      <c r="A1063">
        <v>1062</v>
      </c>
      <c r="B1063">
        <v>71</v>
      </c>
      <c r="C1063" s="25" t="s">
        <v>4032</v>
      </c>
      <c r="D1063" s="12">
        <v>5.2</v>
      </c>
      <c r="E1063" s="14">
        <f t="shared" si="258"/>
        <v>1.0514285714285714</v>
      </c>
      <c r="F1063" s="7">
        <v>4.9456521739130439</v>
      </c>
      <c r="G1063" s="7">
        <f t="shared" si="251"/>
        <v>4.1485714285714286</v>
      </c>
      <c r="H1063" s="16">
        <f t="shared" si="252"/>
        <v>6.2514285714285718</v>
      </c>
      <c r="I1063" s="11">
        <f t="shared" si="255"/>
        <v>7.3664399665451782E-2</v>
      </c>
      <c r="J1063" s="33">
        <f t="shared" si="256"/>
        <v>1.4894779712574864E-2</v>
      </c>
      <c r="K1063" s="33">
        <f t="shared" si="257"/>
        <v>67.137615949818553</v>
      </c>
      <c r="L1063" s="8">
        <v>1</v>
      </c>
      <c r="M1063" s="9">
        <v>0</v>
      </c>
      <c r="N1063" s="8">
        <v>0</v>
      </c>
      <c r="O1063" s="9">
        <v>0</v>
      </c>
      <c r="P1063" s="9">
        <v>0</v>
      </c>
      <c r="Q1063" s="9">
        <v>0</v>
      </c>
      <c r="R1063" s="9">
        <v>1</v>
      </c>
      <c r="S1063" s="8">
        <v>4491</v>
      </c>
      <c r="T1063" s="9">
        <v>7</v>
      </c>
      <c r="U1063" s="9">
        <f t="shared" si="253"/>
        <v>4483</v>
      </c>
      <c r="V1063" s="9">
        <f t="shared" si="254"/>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0</v>
      </c>
      <c r="BD1063">
        <v>1</v>
      </c>
      <c r="BE1063">
        <v>0</v>
      </c>
      <c r="BF1063" s="18">
        <v>0</v>
      </c>
      <c r="BG1063">
        <v>0</v>
      </c>
      <c r="BH1063">
        <v>1</v>
      </c>
      <c r="BI1063" s="18">
        <v>0</v>
      </c>
      <c r="BJ1063">
        <v>3067</v>
      </c>
      <c r="BK1063">
        <v>155</v>
      </c>
      <c r="BL1063" s="25">
        <v>37.4</v>
      </c>
      <c r="BM1063">
        <v>1</v>
      </c>
      <c r="BN1063">
        <v>0</v>
      </c>
      <c r="BO1063">
        <v>0</v>
      </c>
      <c r="BP1063">
        <v>0</v>
      </c>
      <c r="BQ1063">
        <v>0</v>
      </c>
      <c r="BR1063">
        <v>0</v>
      </c>
      <c r="BS1063">
        <v>0</v>
      </c>
      <c r="BT1063" s="18">
        <v>0</v>
      </c>
      <c r="BU1063">
        <v>0</v>
      </c>
      <c r="BV1063">
        <v>0</v>
      </c>
      <c r="BW1063">
        <v>1</v>
      </c>
      <c r="BX1063" s="18">
        <v>0</v>
      </c>
      <c r="BY1063">
        <v>0</v>
      </c>
      <c r="BZ1063">
        <v>0</v>
      </c>
      <c r="CA1063">
        <v>0</v>
      </c>
      <c r="CB1063">
        <v>0</v>
      </c>
      <c r="CC1063" s="18">
        <v>0</v>
      </c>
      <c r="CD1063">
        <v>0</v>
      </c>
      <c r="CE1063">
        <v>0</v>
      </c>
      <c r="CF1063">
        <v>1</v>
      </c>
      <c r="CG1063">
        <v>1</v>
      </c>
      <c r="CH1063">
        <v>0</v>
      </c>
      <c r="CI1063">
        <v>0</v>
      </c>
      <c r="CJ1063">
        <v>0</v>
      </c>
      <c r="CK1063">
        <v>0</v>
      </c>
      <c r="CL1063">
        <v>0</v>
      </c>
      <c r="CM1063">
        <v>0</v>
      </c>
      <c r="CN1063" s="18">
        <v>0</v>
      </c>
      <c r="CO1063">
        <v>0.14599999999999999</v>
      </c>
      <c r="CP1063">
        <v>15</v>
      </c>
      <c r="CQ1063">
        <v>1</v>
      </c>
      <c r="CR1063">
        <v>0</v>
      </c>
      <c r="CS1063">
        <v>23</v>
      </c>
      <c r="CY1063" s="34"/>
    </row>
    <row r="1064" spans="1:103" x14ac:dyDescent="0.25">
      <c r="A1064">
        <v>1063</v>
      </c>
      <c r="B1064">
        <v>71</v>
      </c>
      <c r="C1064" s="25" t="s">
        <v>4032</v>
      </c>
      <c r="D1064" s="12">
        <v>10.199999999999999</v>
      </c>
      <c r="E1064" s="14">
        <f t="shared" si="258"/>
        <v>1.5795716639209225</v>
      </c>
      <c r="F1064" s="7">
        <v>6.457446808510638</v>
      </c>
      <c r="G1064" s="7">
        <f t="shared" si="251"/>
        <v>8.6204283360790761</v>
      </c>
      <c r="H1064" s="16">
        <f t="shared" si="252"/>
        <v>11.779571663920922</v>
      </c>
      <c r="I1064" s="11">
        <f t="shared" si="255"/>
        <v>9.5998845230848909E-2</v>
      </c>
      <c r="J1064" s="33">
        <f t="shared" si="256"/>
        <v>1.4866378009390115E-2</v>
      </c>
      <c r="K1064" s="33">
        <f t="shared" si="257"/>
        <v>67.265880052852523</v>
      </c>
      <c r="L1064" s="8">
        <v>1</v>
      </c>
      <c r="M1064" s="9">
        <v>0</v>
      </c>
      <c r="N1064" s="8">
        <v>0</v>
      </c>
      <c r="O1064" s="9">
        <v>0</v>
      </c>
      <c r="P1064" s="9">
        <v>0</v>
      </c>
      <c r="Q1064" s="9">
        <v>0</v>
      </c>
      <c r="R1064" s="9">
        <v>1</v>
      </c>
      <c r="S1064" s="8">
        <v>4491</v>
      </c>
      <c r="T1064" s="9">
        <v>7</v>
      </c>
      <c r="U1064" s="9">
        <f t="shared" si="253"/>
        <v>4483</v>
      </c>
      <c r="V1064" s="9">
        <f t="shared" si="254"/>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0</v>
      </c>
      <c r="BD1064">
        <v>1</v>
      </c>
      <c r="BE1064">
        <v>0</v>
      </c>
      <c r="BF1064" s="18">
        <v>0</v>
      </c>
      <c r="BG1064">
        <v>0</v>
      </c>
      <c r="BH1064">
        <v>1</v>
      </c>
      <c r="BI1064" s="18">
        <v>0</v>
      </c>
      <c r="BJ1064">
        <v>3067</v>
      </c>
      <c r="BK1064">
        <v>155</v>
      </c>
      <c r="BL1064" s="25">
        <v>37.4</v>
      </c>
      <c r="BM1064">
        <v>1</v>
      </c>
      <c r="BN1064">
        <v>0</v>
      </c>
      <c r="BO1064">
        <v>0</v>
      </c>
      <c r="BP1064">
        <v>0</v>
      </c>
      <c r="BQ1064">
        <v>0</v>
      </c>
      <c r="BR1064">
        <v>0</v>
      </c>
      <c r="BS1064">
        <v>0</v>
      </c>
      <c r="BT1064" s="18">
        <v>0</v>
      </c>
      <c r="BU1064">
        <v>0</v>
      </c>
      <c r="BV1064">
        <v>0</v>
      </c>
      <c r="BW1064">
        <v>1</v>
      </c>
      <c r="BX1064" s="18">
        <v>0</v>
      </c>
      <c r="BY1064">
        <v>0</v>
      </c>
      <c r="BZ1064">
        <v>0</v>
      </c>
      <c r="CA1064">
        <v>0</v>
      </c>
      <c r="CB1064">
        <v>0</v>
      </c>
      <c r="CC1064" s="18">
        <v>0</v>
      </c>
      <c r="CD1064">
        <v>0</v>
      </c>
      <c r="CE1064">
        <v>0</v>
      </c>
      <c r="CF1064">
        <v>1</v>
      </c>
      <c r="CG1064">
        <v>1</v>
      </c>
      <c r="CH1064">
        <v>0</v>
      </c>
      <c r="CI1064">
        <v>0</v>
      </c>
      <c r="CJ1064">
        <v>0</v>
      </c>
      <c r="CK1064">
        <v>0</v>
      </c>
      <c r="CL1064">
        <v>0</v>
      </c>
      <c r="CM1064">
        <v>0</v>
      </c>
      <c r="CN1064" s="18">
        <v>0</v>
      </c>
      <c r="CO1064">
        <v>0.14599999999999999</v>
      </c>
      <c r="CP1064">
        <v>15</v>
      </c>
      <c r="CQ1064">
        <v>1</v>
      </c>
      <c r="CR1064">
        <v>0</v>
      </c>
      <c r="CS1064">
        <v>23</v>
      </c>
      <c r="CY1064" s="34"/>
    </row>
    <row r="1065" spans="1:103" x14ac:dyDescent="0.25">
      <c r="A1065">
        <v>1064</v>
      </c>
      <c r="B1065">
        <v>71</v>
      </c>
      <c r="C1065" s="25" t="s">
        <v>4032</v>
      </c>
      <c r="D1065" s="12">
        <v>13.2</v>
      </c>
      <c r="E1065" s="14">
        <f t="shared" si="258"/>
        <v>1.2447668393782387</v>
      </c>
      <c r="F1065" s="7">
        <v>10.6043956043956</v>
      </c>
      <c r="G1065" s="7">
        <f t="shared" si="251"/>
        <v>11.955233160621761</v>
      </c>
      <c r="H1065" s="16">
        <f t="shared" si="252"/>
        <v>14.444766839378238</v>
      </c>
      <c r="I1065" s="11">
        <f t="shared" si="255"/>
        <v>0.15643061291392449</v>
      </c>
      <c r="J1065" s="33">
        <f t="shared" si="256"/>
        <v>1.4751487849914128E-2</v>
      </c>
      <c r="K1065" s="33">
        <f t="shared" si="257"/>
        <v>67.789772135142371</v>
      </c>
      <c r="L1065" s="8">
        <v>1</v>
      </c>
      <c r="M1065" s="9">
        <v>0</v>
      </c>
      <c r="N1065" s="8">
        <v>0</v>
      </c>
      <c r="O1065" s="9">
        <v>0</v>
      </c>
      <c r="P1065" s="9">
        <v>0</v>
      </c>
      <c r="Q1065" s="9">
        <v>0</v>
      </c>
      <c r="R1065" s="9">
        <v>1</v>
      </c>
      <c r="S1065" s="8">
        <v>4491</v>
      </c>
      <c r="T1065" s="9">
        <v>7</v>
      </c>
      <c r="U1065" s="9">
        <f t="shared" si="253"/>
        <v>4483</v>
      </c>
      <c r="V1065" s="9">
        <f t="shared" si="254"/>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0</v>
      </c>
      <c r="BD1065">
        <v>1</v>
      </c>
      <c r="BE1065">
        <v>0</v>
      </c>
      <c r="BF1065" s="18">
        <v>0</v>
      </c>
      <c r="BG1065">
        <v>0</v>
      </c>
      <c r="BH1065">
        <v>1</v>
      </c>
      <c r="BI1065" s="18">
        <v>0</v>
      </c>
      <c r="BJ1065">
        <v>3067</v>
      </c>
      <c r="BK1065">
        <v>155</v>
      </c>
      <c r="BL1065" s="25">
        <v>37.4</v>
      </c>
      <c r="BM1065">
        <v>1</v>
      </c>
      <c r="BN1065">
        <v>0</v>
      </c>
      <c r="BO1065">
        <v>0</v>
      </c>
      <c r="BP1065">
        <v>0</v>
      </c>
      <c r="BQ1065">
        <v>0</v>
      </c>
      <c r="BR1065">
        <v>0</v>
      </c>
      <c r="BS1065">
        <v>0</v>
      </c>
      <c r="BT1065" s="18">
        <v>0</v>
      </c>
      <c r="BU1065">
        <v>0</v>
      </c>
      <c r="BV1065">
        <v>0</v>
      </c>
      <c r="BW1065">
        <v>1</v>
      </c>
      <c r="BX1065" s="18">
        <v>0</v>
      </c>
      <c r="BY1065">
        <v>0</v>
      </c>
      <c r="BZ1065">
        <v>0</v>
      </c>
      <c r="CA1065">
        <v>0</v>
      </c>
      <c r="CB1065">
        <v>0</v>
      </c>
      <c r="CC1065" s="18">
        <v>0</v>
      </c>
      <c r="CD1065">
        <v>0</v>
      </c>
      <c r="CE1065">
        <v>0</v>
      </c>
      <c r="CF1065">
        <v>1</v>
      </c>
      <c r="CG1065">
        <v>1</v>
      </c>
      <c r="CH1065">
        <v>0</v>
      </c>
      <c r="CI1065">
        <v>0</v>
      </c>
      <c r="CJ1065">
        <v>0</v>
      </c>
      <c r="CK1065">
        <v>0</v>
      </c>
      <c r="CL1065">
        <v>0</v>
      </c>
      <c r="CM1065">
        <v>0</v>
      </c>
      <c r="CN1065" s="18">
        <v>0</v>
      </c>
      <c r="CO1065">
        <v>0.14599999999999999</v>
      </c>
      <c r="CP1065">
        <v>15</v>
      </c>
      <c r="CQ1065">
        <v>1</v>
      </c>
      <c r="CR1065">
        <v>0</v>
      </c>
      <c r="CS1065">
        <v>23</v>
      </c>
      <c r="CY1065" s="34"/>
    </row>
    <row r="1066" spans="1:103" x14ac:dyDescent="0.25">
      <c r="A1066">
        <v>1065</v>
      </c>
      <c r="B1066">
        <v>71</v>
      </c>
      <c r="C1066" s="25" t="s">
        <v>4032</v>
      </c>
      <c r="D1066" s="12">
        <v>4.4000000000000004</v>
      </c>
      <c r="E1066" s="14">
        <f t="shared" si="258"/>
        <v>2.1223529411764708</v>
      </c>
      <c r="F1066" s="7">
        <v>2.0731707317073171</v>
      </c>
      <c r="G1066" s="7">
        <f t="shared" si="251"/>
        <v>2.2776470588235296</v>
      </c>
      <c r="H1066" s="16">
        <f t="shared" si="252"/>
        <v>6.5223529411764716</v>
      </c>
      <c r="I1066" s="11">
        <f t="shared" si="255"/>
        <v>3.1010974268328165E-2</v>
      </c>
      <c r="J1066" s="33">
        <f t="shared" si="256"/>
        <v>1.4958234647075937E-2</v>
      </c>
      <c r="K1066" s="33">
        <f t="shared" si="257"/>
        <v>66.852808743408886</v>
      </c>
      <c r="L1066" s="8">
        <v>1</v>
      </c>
      <c r="M1066" s="9">
        <v>0</v>
      </c>
      <c r="N1066" s="8">
        <v>0</v>
      </c>
      <c r="O1066" s="9">
        <v>0</v>
      </c>
      <c r="P1066" s="9">
        <v>0</v>
      </c>
      <c r="Q1066" s="9">
        <v>0</v>
      </c>
      <c r="R1066" s="9">
        <v>1</v>
      </c>
      <c r="S1066" s="8">
        <v>4491</v>
      </c>
      <c r="T1066" s="9">
        <v>25</v>
      </c>
      <c r="U1066" s="9">
        <f t="shared" si="253"/>
        <v>4465</v>
      </c>
      <c r="V1066" s="9">
        <f t="shared" si="254"/>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0</v>
      </c>
      <c r="BD1066">
        <v>1</v>
      </c>
      <c r="BE1066">
        <v>0</v>
      </c>
      <c r="BF1066" s="18">
        <v>0</v>
      </c>
      <c r="BG1066">
        <v>0</v>
      </c>
      <c r="BH1066">
        <v>1</v>
      </c>
      <c r="BI1066" s="18">
        <v>0</v>
      </c>
      <c r="BJ1066">
        <v>3067</v>
      </c>
      <c r="BK1066">
        <v>155</v>
      </c>
      <c r="BL1066" s="25">
        <v>37.4</v>
      </c>
      <c r="BM1066">
        <v>1</v>
      </c>
      <c r="BN1066">
        <v>0</v>
      </c>
      <c r="BO1066">
        <v>0</v>
      </c>
      <c r="BP1066">
        <v>0</v>
      </c>
      <c r="BQ1066">
        <v>0</v>
      </c>
      <c r="BR1066">
        <v>0</v>
      </c>
      <c r="BS1066">
        <v>0</v>
      </c>
      <c r="BT1066" s="18">
        <v>0</v>
      </c>
      <c r="BU1066">
        <v>0</v>
      </c>
      <c r="BV1066">
        <v>0</v>
      </c>
      <c r="BW1066">
        <v>1</v>
      </c>
      <c r="BX1066" s="18">
        <v>0</v>
      </c>
      <c r="BY1066">
        <v>0</v>
      </c>
      <c r="BZ1066">
        <v>0</v>
      </c>
      <c r="CA1066">
        <v>0</v>
      </c>
      <c r="CB1066">
        <v>0</v>
      </c>
      <c r="CC1066" s="18">
        <v>0</v>
      </c>
      <c r="CD1066">
        <v>1</v>
      </c>
      <c r="CE1066">
        <v>0</v>
      </c>
      <c r="CF1066">
        <v>1</v>
      </c>
      <c r="CG1066">
        <v>1</v>
      </c>
      <c r="CH1066">
        <v>0</v>
      </c>
      <c r="CI1066">
        <v>0</v>
      </c>
      <c r="CJ1066">
        <v>1</v>
      </c>
      <c r="CK1066">
        <v>0</v>
      </c>
      <c r="CL1066">
        <v>0</v>
      </c>
      <c r="CM1066">
        <v>0</v>
      </c>
      <c r="CN1066" s="18">
        <v>1</v>
      </c>
      <c r="CO1066">
        <v>0.14599999999999999</v>
      </c>
      <c r="CP1066">
        <v>15</v>
      </c>
      <c r="CQ1066">
        <v>1</v>
      </c>
      <c r="CR1066">
        <v>0</v>
      </c>
      <c r="CS1066">
        <v>23</v>
      </c>
      <c r="CY1066" s="34"/>
    </row>
    <row r="1067" spans="1:103" x14ac:dyDescent="0.25">
      <c r="A1067">
        <v>1066</v>
      </c>
      <c r="B1067">
        <v>71</v>
      </c>
      <c r="C1067" s="25" t="s">
        <v>4032</v>
      </c>
      <c r="D1067" s="12">
        <v>0.8</v>
      </c>
      <c r="E1067" s="14">
        <f t="shared" si="258"/>
        <v>0.32989690721649489</v>
      </c>
      <c r="F1067" s="7">
        <v>2.4249999999999998</v>
      </c>
      <c r="G1067" s="7">
        <f t="shared" si="251"/>
        <v>0.47010309278350515</v>
      </c>
      <c r="H1067" s="16">
        <f t="shared" si="252"/>
        <v>1.1298969072164948</v>
      </c>
      <c r="I1067" s="11">
        <f t="shared" si="255"/>
        <v>3.6267298423024875E-2</v>
      </c>
      <c r="J1067" s="33">
        <f t="shared" si="256"/>
        <v>1.495558697856696E-2</v>
      </c>
      <c r="K1067" s="33">
        <f t="shared" si="257"/>
        <v>66.864644057977301</v>
      </c>
      <c r="L1067" s="8">
        <v>1</v>
      </c>
      <c r="M1067" s="9">
        <v>0</v>
      </c>
      <c r="N1067" s="8">
        <v>0</v>
      </c>
      <c r="O1067" s="9">
        <v>0</v>
      </c>
      <c r="P1067" s="9">
        <v>0</v>
      </c>
      <c r="Q1067" s="9">
        <v>0</v>
      </c>
      <c r="R1067" s="9">
        <v>1</v>
      </c>
      <c r="S1067" s="8">
        <v>4491</v>
      </c>
      <c r="T1067" s="9">
        <v>25</v>
      </c>
      <c r="U1067" s="9">
        <f t="shared" si="253"/>
        <v>4465</v>
      </c>
      <c r="V1067" s="9">
        <f t="shared" si="254"/>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0</v>
      </c>
      <c r="BD1067">
        <v>1</v>
      </c>
      <c r="BE1067">
        <v>0</v>
      </c>
      <c r="BF1067" s="18">
        <v>0</v>
      </c>
      <c r="BG1067">
        <v>0</v>
      </c>
      <c r="BH1067">
        <v>1</v>
      </c>
      <c r="BI1067" s="18">
        <v>0</v>
      </c>
      <c r="BJ1067">
        <v>3067</v>
      </c>
      <c r="BK1067">
        <v>155</v>
      </c>
      <c r="BL1067" s="25">
        <v>37.4</v>
      </c>
      <c r="BM1067">
        <v>1</v>
      </c>
      <c r="BN1067">
        <v>0</v>
      </c>
      <c r="BO1067">
        <v>0</v>
      </c>
      <c r="BP1067">
        <v>0</v>
      </c>
      <c r="BQ1067">
        <v>0</v>
      </c>
      <c r="BR1067">
        <v>0</v>
      </c>
      <c r="BS1067">
        <v>0</v>
      </c>
      <c r="BT1067" s="18">
        <v>0</v>
      </c>
      <c r="BU1067">
        <v>0</v>
      </c>
      <c r="BV1067">
        <v>0</v>
      </c>
      <c r="BW1067">
        <v>1</v>
      </c>
      <c r="BX1067" s="18">
        <v>0</v>
      </c>
      <c r="BY1067">
        <v>0</v>
      </c>
      <c r="BZ1067">
        <v>0</v>
      </c>
      <c r="CA1067">
        <v>0</v>
      </c>
      <c r="CB1067">
        <v>0</v>
      </c>
      <c r="CC1067" s="18">
        <v>0</v>
      </c>
      <c r="CD1067">
        <v>1</v>
      </c>
      <c r="CE1067">
        <v>0</v>
      </c>
      <c r="CF1067">
        <v>1</v>
      </c>
      <c r="CG1067">
        <v>1</v>
      </c>
      <c r="CH1067">
        <v>0</v>
      </c>
      <c r="CI1067">
        <v>0</v>
      </c>
      <c r="CJ1067">
        <v>1</v>
      </c>
      <c r="CK1067">
        <v>0</v>
      </c>
      <c r="CL1067">
        <v>0</v>
      </c>
      <c r="CM1067">
        <v>0</v>
      </c>
      <c r="CN1067" s="18">
        <v>1</v>
      </c>
      <c r="CO1067">
        <v>0.14599999999999999</v>
      </c>
      <c r="CP1067">
        <v>15</v>
      </c>
      <c r="CQ1067">
        <v>1</v>
      </c>
      <c r="CR1067">
        <v>0</v>
      </c>
      <c r="CS1067">
        <v>23</v>
      </c>
      <c r="CY1067" s="34"/>
    </row>
    <row r="1068" spans="1:103" x14ac:dyDescent="0.25">
      <c r="A1068">
        <v>1067</v>
      </c>
      <c r="B1068">
        <v>71</v>
      </c>
      <c r="C1068" s="25" t="s">
        <v>4032</v>
      </c>
      <c r="D1068" s="12">
        <v>4.2</v>
      </c>
      <c r="E1068" s="14">
        <f t="shared" si="258"/>
        <v>1.3607142857142855</v>
      </c>
      <c r="F1068" s="7">
        <v>3.0866141732283472</v>
      </c>
      <c r="G1068" s="7">
        <f t="shared" si="251"/>
        <v>2.8392857142857144</v>
      </c>
      <c r="H1068" s="16">
        <f t="shared" si="252"/>
        <v>5.5607142857142859</v>
      </c>
      <c r="I1068" s="11">
        <f t="shared" si="255"/>
        <v>4.6143312752539134E-2</v>
      </c>
      <c r="J1068" s="33">
        <f t="shared" si="256"/>
        <v>1.4949491631562421E-2</v>
      </c>
      <c r="K1068" s="33">
        <f t="shared" si="257"/>
        <v>66.891906738067902</v>
      </c>
      <c r="L1068" s="8">
        <v>1</v>
      </c>
      <c r="M1068" s="9">
        <v>0</v>
      </c>
      <c r="N1068" s="8">
        <v>0</v>
      </c>
      <c r="O1068" s="9">
        <v>0</v>
      </c>
      <c r="P1068" s="9">
        <v>0</v>
      </c>
      <c r="Q1068" s="9">
        <v>0</v>
      </c>
      <c r="R1068" s="9">
        <v>1</v>
      </c>
      <c r="S1068" s="8">
        <v>4491</v>
      </c>
      <c r="T1068" s="9">
        <v>25</v>
      </c>
      <c r="U1068" s="9">
        <f t="shared" si="253"/>
        <v>4465</v>
      </c>
      <c r="V1068" s="9">
        <f t="shared" si="254"/>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0</v>
      </c>
      <c r="BD1068">
        <v>1</v>
      </c>
      <c r="BE1068">
        <v>0</v>
      </c>
      <c r="BF1068" s="18">
        <v>0</v>
      </c>
      <c r="BG1068">
        <v>0</v>
      </c>
      <c r="BH1068">
        <v>1</v>
      </c>
      <c r="BI1068" s="18">
        <v>0</v>
      </c>
      <c r="BJ1068">
        <v>3067</v>
      </c>
      <c r="BK1068">
        <v>155</v>
      </c>
      <c r="BL1068" s="25">
        <v>37.4</v>
      </c>
      <c r="BM1068">
        <v>1</v>
      </c>
      <c r="BN1068">
        <v>0</v>
      </c>
      <c r="BO1068">
        <v>0</v>
      </c>
      <c r="BP1068">
        <v>0</v>
      </c>
      <c r="BQ1068">
        <v>0</v>
      </c>
      <c r="BR1068">
        <v>0</v>
      </c>
      <c r="BS1068">
        <v>0</v>
      </c>
      <c r="BT1068" s="18">
        <v>0</v>
      </c>
      <c r="BU1068">
        <v>0</v>
      </c>
      <c r="BV1068">
        <v>0</v>
      </c>
      <c r="BW1068">
        <v>1</v>
      </c>
      <c r="BX1068" s="18">
        <v>0</v>
      </c>
      <c r="BY1068">
        <v>0</v>
      </c>
      <c r="BZ1068">
        <v>0</v>
      </c>
      <c r="CA1068">
        <v>0</v>
      </c>
      <c r="CB1068">
        <v>0</v>
      </c>
      <c r="CC1068" s="18">
        <v>0</v>
      </c>
      <c r="CD1068">
        <v>1</v>
      </c>
      <c r="CE1068">
        <v>0</v>
      </c>
      <c r="CF1068">
        <v>1</v>
      </c>
      <c r="CG1068">
        <v>1</v>
      </c>
      <c r="CH1068">
        <v>0</v>
      </c>
      <c r="CI1068">
        <v>0</v>
      </c>
      <c r="CJ1068">
        <v>1</v>
      </c>
      <c r="CK1068">
        <v>0</v>
      </c>
      <c r="CL1068">
        <v>0</v>
      </c>
      <c r="CM1068">
        <v>0</v>
      </c>
      <c r="CN1068" s="18">
        <v>1</v>
      </c>
      <c r="CO1068">
        <v>0.14599999999999999</v>
      </c>
      <c r="CP1068">
        <v>15</v>
      </c>
      <c r="CQ1068">
        <v>1</v>
      </c>
      <c r="CR1068">
        <v>0</v>
      </c>
      <c r="CS1068">
        <v>23</v>
      </c>
      <c r="CY1068" s="34"/>
    </row>
    <row r="1069" spans="1:103" x14ac:dyDescent="0.25">
      <c r="A1069">
        <v>1068</v>
      </c>
      <c r="B1069">
        <v>71</v>
      </c>
      <c r="C1069" s="25" t="s">
        <v>4032</v>
      </c>
      <c r="D1069" s="12">
        <v>17.899999999999999</v>
      </c>
      <c r="E1069" s="14">
        <f t="shared" si="258"/>
        <v>3.8027314112291348</v>
      </c>
      <c r="F1069" s="7">
        <v>4.7071428571428573</v>
      </c>
      <c r="G1069" s="7">
        <f t="shared" si="251"/>
        <v>14.097268588770863</v>
      </c>
      <c r="H1069" s="16">
        <f t="shared" si="252"/>
        <v>21.702731411229134</v>
      </c>
      <c r="I1069" s="11">
        <f t="shared" si="255"/>
        <v>7.0270288557333763E-2</v>
      </c>
      <c r="J1069" s="33">
        <f t="shared" si="256"/>
        <v>1.4928437629782592E-2</v>
      </c>
      <c r="K1069" s="33">
        <f t="shared" si="257"/>
        <v>66.98624630383128</v>
      </c>
      <c r="L1069" s="8">
        <v>1</v>
      </c>
      <c r="M1069" s="9">
        <v>0</v>
      </c>
      <c r="N1069" s="8">
        <v>0</v>
      </c>
      <c r="O1069" s="9">
        <v>0</v>
      </c>
      <c r="P1069" s="9">
        <v>0</v>
      </c>
      <c r="Q1069" s="9">
        <v>0</v>
      </c>
      <c r="R1069" s="9">
        <v>1</v>
      </c>
      <c r="S1069" s="8">
        <v>4491</v>
      </c>
      <c r="T1069" s="9">
        <v>25</v>
      </c>
      <c r="U1069" s="9">
        <f t="shared" si="253"/>
        <v>4465</v>
      </c>
      <c r="V1069" s="9">
        <f t="shared" si="254"/>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0</v>
      </c>
      <c r="BD1069">
        <v>1</v>
      </c>
      <c r="BE1069">
        <v>0</v>
      </c>
      <c r="BF1069" s="18">
        <v>0</v>
      </c>
      <c r="BG1069">
        <v>0</v>
      </c>
      <c r="BH1069">
        <v>1</v>
      </c>
      <c r="BI1069" s="18">
        <v>0</v>
      </c>
      <c r="BJ1069">
        <v>3067</v>
      </c>
      <c r="BK1069">
        <v>155</v>
      </c>
      <c r="BL1069" s="25">
        <v>37.4</v>
      </c>
      <c r="BM1069">
        <v>1</v>
      </c>
      <c r="BN1069">
        <v>0</v>
      </c>
      <c r="BO1069">
        <v>0</v>
      </c>
      <c r="BP1069">
        <v>0</v>
      </c>
      <c r="BQ1069">
        <v>0</v>
      </c>
      <c r="BR1069">
        <v>0</v>
      </c>
      <c r="BS1069">
        <v>0</v>
      </c>
      <c r="BT1069" s="18">
        <v>0</v>
      </c>
      <c r="BU1069">
        <v>0</v>
      </c>
      <c r="BV1069">
        <v>0</v>
      </c>
      <c r="BW1069">
        <v>1</v>
      </c>
      <c r="BX1069" s="18">
        <v>0</v>
      </c>
      <c r="BY1069">
        <v>0</v>
      </c>
      <c r="BZ1069">
        <v>0</v>
      </c>
      <c r="CA1069">
        <v>0</v>
      </c>
      <c r="CB1069">
        <v>0</v>
      </c>
      <c r="CC1069" s="18">
        <v>0</v>
      </c>
      <c r="CD1069">
        <v>1</v>
      </c>
      <c r="CE1069">
        <v>0</v>
      </c>
      <c r="CF1069">
        <v>1</v>
      </c>
      <c r="CG1069">
        <v>1</v>
      </c>
      <c r="CH1069">
        <v>0</v>
      </c>
      <c r="CI1069">
        <v>0</v>
      </c>
      <c r="CJ1069">
        <v>1</v>
      </c>
      <c r="CK1069">
        <v>0</v>
      </c>
      <c r="CL1069">
        <v>0</v>
      </c>
      <c r="CM1069">
        <v>0</v>
      </c>
      <c r="CN1069" s="18">
        <v>1</v>
      </c>
      <c r="CO1069">
        <v>0.14599999999999999</v>
      </c>
      <c r="CP1069">
        <v>15</v>
      </c>
      <c r="CQ1069">
        <v>1</v>
      </c>
      <c r="CR1069">
        <v>0</v>
      </c>
      <c r="CS1069">
        <v>23</v>
      </c>
      <c r="CY1069" s="34"/>
    </row>
    <row r="1070" spans="1:103" x14ac:dyDescent="0.25">
      <c r="A1070">
        <v>1069</v>
      </c>
      <c r="B1070">
        <v>71</v>
      </c>
      <c r="C1070" s="25" t="s">
        <v>4032</v>
      </c>
      <c r="D1070" s="12">
        <v>19.600000000000001</v>
      </c>
      <c r="E1070" s="14">
        <f t="shared" si="258"/>
        <v>2.2043591979075852</v>
      </c>
      <c r="F1070" s="7">
        <v>8.8914728682170541</v>
      </c>
      <c r="G1070" s="7">
        <f t="shared" si="251"/>
        <v>17.395640802092416</v>
      </c>
      <c r="H1070" s="16">
        <f t="shared" si="252"/>
        <v>21.804359197907587</v>
      </c>
      <c r="I1070" s="11">
        <f t="shared" si="255"/>
        <v>0.13190211542131122</v>
      </c>
      <c r="J1070" s="33">
        <f t="shared" si="256"/>
        <v>1.4834675579205881E-2</v>
      </c>
      <c r="K1070" s="33">
        <f t="shared" si="257"/>
        <v>67.409630541683285</v>
      </c>
      <c r="L1070" s="8">
        <v>1</v>
      </c>
      <c r="M1070" s="9">
        <v>0</v>
      </c>
      <c r="N1070" s="8">
        <v>0</v>
      </c>
      <c r="O1070" s="9">
        <v>0</v>
      </c>
      <c r="P1070" s="9">
        <v>0</v>
      </c>
      <c r="Q1070" s="9">
        <v>0</v>
      </c>
      <c r="R1070" s="9">
        <v>1</v>
      </c>
      <c r="S1070" s="8">
        <v>4491</v>
      </c>
      <c r="T1070" s="9">
        <v>25</v>
      </c>
      <c r="U1070" s="9">
        <f t="shared" si="253"/>
        <v>4465</v>
      </c>
      <c r="V1070" s="9">
        <f t="shared" si="254"/>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0</v>
      </c>
      <c r="BD1070">
        <v>1</v>
      </c>
      <c r="BE1070">
        <v>0</v>
      </c>
      <c r="BF1070" s="18">
        <v>0</v>
      </c>
      <c r="BG1070">
        <v>0</v>
      </c>
      <c r="BH1070">
        <v>1</v>
      </c>
      <c r="BI1070" s="18">
        <v>0</v>
      </c>
      <c r="BJ1070">
        <v>3067</v>
      </c>
      <c r="BK1070">
        <v>155</v>
      </c>
      <c r="BL1070" s="25">
        <v>37.4</v>
      </c>
      <c r="BM1070">
        <v>1</v>
      </c>
      <c r="BN1070">
        <v>0</v>
      </c>
      <c r="BO1070">
        <v>0</v>
      </c>
      <c r="BP1070">
        <v>0</v>
      </c>
      <c r="BQ1070">
        <v>0</v>
      </c>
      <c r="BR1070">
        <v>0</v>
      </c>
      <c r="BS1070">
        <v>0</v>
      </c>
      <c r="BT1070" s="18">
        <v>0</v>
      </c>
      <c r="BU1070">
        <v>0</v>
      </c>
      <c r="BV1070">
        <v>0</v>
      </c>
      <c r="BW1070">
        <v>1</v>
      </c>
      <c r="BX1070" s="18">
        <v>0</v>
      </c>
      <c r="BY1070">
        <v>0</v>
      </c>
      <c r="BZ1070">
        <v>0</v>
      </c>
      <c r="CA1070">
        <v>0</v>
      </c>
      <c r="CB1070">
        <v>0</v>
      </c>
      <c r="CC1070" s="18">
        <v>0</v>
      </c>
      <c r="CD1070">
        <v>1</v>
      </c>
      <c r="CE1070">
        <v>0</v>
      </c>
      <c r="CF1070">
        <v>1</v>
      </c>
      <c r="CG1070">
        <v>1</v>
      </c>
      <c r="CH1070">
        <v>0</v>
      </c>
      <c r="CI1070">
        <v>0</v>
      </c>
      <c r="CJ1070">
        <v>1</v>
      </c>
      <c r="CK1070">
        <v>0</v>
      </c>
      <c r="CL1070">
        <v>0</v>
      </c>
      <c r="CM1070">
        <v>0</v>
      </c>
      <c r="CN1070" s="18">
        <v>1</v>
      </c>
      <c r="CO1070">
        <v>0.14599999999999999</v>
      </c>
      <c r="CP1070">
        <v>15</v>
      </c>
      <c r="CQ1070">
        <v>1</v>
      </c>
      <c r="CR1070">
        <v>0</v>
      </c>
      <c r="CS1070">
        <v>23</v>
      </c>
      <c r="CY1070" s="34"/>
    </row>
    <row r="1071" spans="1:103" x14ac:dyDescent="0.25">
      <c r="A1071">
        <v>1070</v>
      </c>
      <c r="B1071">
        <v>71</v>
      </c>
      <c r="C1071" s="25" t="s">
        <v>4032</v>
      </c>
      <c r="D1071" s="12">
        <v>1.3</v>
      </c>
      <c r="E1071" s="14">
        <f t="shared" si="258"/>
        <v>1.3661016949152542</v>
      </c>
      <c r="F1071" s="7">
        <v>0.95161290322580649</v>
      </c>
      <c r="G1071" s="7">
        <f t="shared" si="251"/>
        <v>-6.6101694915254194E-2</v>
      </c>
      <c r="H1071" s="16">
        <f t="shared" si="252"/>
        <v>2.6661016949152545</v>
      </c>
      <c r="I1071" s="11">
        <f t="shared" si="255"/>
        <v>2.6272961816008172E-2</v>
      </c>
      <c r="J1071" s="33">
        <f t="shared" si="256"/>
        <v>2.7608875128686552E-2</v>
      </c>
      <c r="K1071" s="33">
        <f t="shared" si="257"/>
        <v>36.220236983178147</v>
      </c>
      <c r="L1071" s="8">
        <v>1</v>
      </c>
      <c r="M1071" s="9">
        <v>0</v>
      </c>
      <c r="N1071" s="8">
        <v>0</v>
      </c>
      <c r="O1071" s="9">
        <v>0</v>
      </c>
      <c r="P1071" s="9">
        <v>0</v>
      </c>
      <c r="Q1071" s="9">
        <v>0</v>
      </c>
      <c r="R1071" s="9">
        <v>1</v>
      </c>
      <c r="S1071" s="8">
        <v>1319</v>
      </c>
      <c r="T1071" s="9">
        <v>7</v>
      </c>
      <c r="U1071" s="9">
        <f t="shared" si="253"/>
        <v>1311</v>
      </c>
      <c r="V1071" s="9">
        <f t="shared" si="254"/>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0</v>
      </c>
      <c r="BD1071">
        <v>1</v>
      </c>
      <c r="BE1071">
        <v>0</v>
      </c>
      <c r="BF1071" s="18">
        <v>0</v>
      </c>
      <c r="BG1071">
        <v>0</v>
      </c>
      <c r="BH1071">
        <v>1</v>
      </c>
      <c r="BI1071" s="18">
        <v>0</v>
      </c>
      <c r="BJ1071">
        <v>2614</v>
      </c>
      <c r="BK1071">
        <v>63</v>
      </c>
      <c r="BL1071" s="25">
        <v>37.200000000000003</v>
      </c>
      <c r="BM1071">
        <v>1</v>
      </c>
      <c r="BN1071">
        <v>0</v>
      </c>
      <c r="BO1071">
        <v>0</v>
      </c>
      <c r="BP1071">
        <v>0</v>
      </c>
      <c r="BQ1071">
        <v>0</v>
      </c>
      <c r="BR1071">
        <v>0</v>
      </c>
      <c r="BS1071">
        <v>0</v>
      </c>
      <c r="BT1071" s="18">
        <v>0</v>
      </c>
      <c r="BU1071">
        <v>0</v>
      </c>
      <c r="BV1071">
        <v>0</v>
      </c>
      <c r="BW1071">
        <v>1</v>
      </c>
      <c r="BX1071" s="18">
        <v>0</v>
      </c>
      <c r="BY1071">
        <v>0</v>
      </c>
      <c r="BZ1071">
        <v>0</v>
      </c>
      <c r="CA1071">
        <v>0</v>
      </c>
      <c r="CB1071">
        <v>0</v>
      </c>
      <c r="CC1071" s="18">
        <v>0</v>
      </c>
      <c r="CD1071">
        <v>0</v>
      </c>
      <c r="CE1071">
        <v>0</v>
      </c>
      <c r="CF1071">
        <v>1</v>
      </c>
      <c r="CG1071">
        <v>1</v>
      </c>
      <c r="CH1071">
        <v>0</v>
      </c>
      <c r="CI1071">
        <v>0</v>
      </c>
      <c r="CJ1071">
        <v>0</v>
      </c>
      <c r="CK1071">
        <v>0</v>
      </c>
      <c r="CL1071">
        <v>0</v>
      </c>
      <c r="CM1071">
        <v>0</v>
      </c>
      <c r="CN1071" s="18">
        <v>0</v>
      </c>
      <c r="CO1071">
        <v>0.14599999999999999</v>
      </c>
      <c r="CP1071">
        <v>15</v>
      </c>
      <c r="CQ1071">
        <v>1</v>
      </c>
      <c r="CR1071">
        <v>0</v>
      </c>
      <c r="CS1071">
        <v>23</v>
      </c>
      <c r="CY1071" s="34"/>
    </row>
    <row r="1072" spans="1:103" x14ac:dyDescent="0.25">
      <c r="A1072">
        <v>1071</v>
      </c>
      <c r="B1072">
        <v>71</v>
      </c>
      <c r="C1072" s="25" t="s">
        <v>4032</v>
      </c>
      <c r="D1072" s="12">
        <v>5.4</v>
      </c>
      <c r="E1072" s="14">
        <f t="shared" si="258"/>
        <v>1.7270270270270269</v>
      </c>
      <c r="F1072" s="7">
        <v>3.126760563380282</v>
      </c>
      <c r="G1072" s="7">
        <f t="shared" si="251"/>
        <v>3.6729729729729734</v>
      </c>
      <c r="H1072" s="16">
        <f t="shared" si="252"/>
        <v>7.1270270270270277</v>
      </c>
      <c r="I1072" s="11">
        <f t="shared" si="255"/>
        <v>8.6035945846518913E-2</v>
      </c>
      <c r="J1072" s="33">
        <f t="shared" si="256"/>
        <v>2.751600069866145E-2</v>
      </c>
      <c r="K1072" s="33">
        <f t="shared" si="257"/>
        <v>36.342490718451181</v>
      </c>
      <c r="L1072" s="8">
        <v>1</v>
      </c>
      <c r="M1072" s="9">
        <v>0</v>
      </c>
      <c r="N1072" s="8">
        <v>0</v>
      </c>
      <c r="O1072" s="9">
        <v>0</v>
      </c>
      <c r="P1072" s="9">
        <v>0</v>
      </c>
      <c r="Q1072" s="9">
        <v>0</v>
      </c>
      <c r="R1072" s="9">
        <v>1</v>
      </c>
      <c r="S1072" s="8">
        <v>1319</v>
      </c>
      <c r="T1072" s="9">
        <v>7</v>
      </c>
      <c r="U1072" s="9">
        <f t="shared" si="253"/>
        <v>1311</v>
      </c>
      <c r="V1072" s="9">
        <f t="shared" si="254"/>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0</v>
      </c>
      <c r="BD1072">
        <v>1</v>
      </c>
      <c r="BE1072">
        <v>0</v>
      </c>
      <c r="BF1072" s="18">
        <v>0</v>
      </c>
      <c r="BG1072">
        <v>0</v>
      </c>
      <c r="BH1072">
        <v>1</v>
      </c>
      <c r="BI1072" s="18">
        <v>0</v>
      </c>
      <c r="BJ1072">
        <v>2614</v>
      </c>
      <c r="BK1072">
        <v>63</v>
      </c>
      <c r="BL1072" s="25">
        <v>37.200000000000003</v>
      </c>
      <c r="BM1072">
        <v>1</v>
      </c>
      <c r="BN1072">
        <v>0</v>
      </c>
      <c r="BO1072">
        <v>0</v>
      </c>
      <c r="BP1072">
        <v>0</v>
      </c>
      <c r="BQ1072">
        <v>0</v>
      </c>
      <c r="BR1072">
        <v>0</v>
      </c>
      <c r="BS1072">
        <v>0</v>
      </c>
      <c r="BT1072" s="18">
        <v>0</v>
      </c>
      <c r="BU1072">
        <v>0</v>
      </c>
      <c r="BV1072">
        <v>0</v>
      </c>
      <c r="BW1072">
        <v>1</v>
      </c>
      <c r="BX1072" s="18">
        <v>0</v>
      </c>
      <c r="BY1072">
        <v>0</v>
      </c>
      <c r="BZ1072">
        <v>0</v>
      </c>
      <c r="CA1072">
        <v>0</v>
      </c>
      <c r="CB1072">
        <v>0</v>
      </c>
      <c r="CC1072" s="18">
        <v>0</v>
      </c>
      <c r="CD1072">
        <v>0</v>
      </c>
      <c r="CE1072">
        <v>0</v>
      </c>
      <c r="CF1072">
        <v>1</v>
      </c>
      <c r="CG1072">
        <v>1</v>
      </c>
      <c r="CH1072">
        <v>0</v>
      </c>
      <c r="CI1072">
        <v>0</v>
      </c>
      <c r="CJ1072">
        <v>0</v>
      </c>
      <c r="CK1072">
        <v>0</v>
      </c>
      <c r="CL1072">
        <v>0</v>
      </c>
      <c r="CM1072">
        <v>0</v>
      </c>
      <c r="CN1072" s="18">
        <v>0</v>
      </c>
      <c r="CO1072">
        <v>0.14599999999999999</v>
      </c>
      <c r="CP1072">
        <v>15</v>
      </c>
      <c r="CQ1072">
        <v>1</v>
      </c>
      <c r="CR1072">
        <v>0</v>
      </c>
      <c r="CS1072">
        <v>23</v>
      </c>
      <c r="CY1072" s="34"/>
    </row>
    <row r="1073" spans="1:103" x14ac:dyDescent="0.25">
      <c r="A1073">
        <v>1072</v>
      </c>
      <c r="B1073">
        <v>71</v>
      </c>
      <c r="C1073" s="25" t="s">
        <v>4032</v>
      </c>
      <c r="D1073" s="12">
        <v>8</v>
      </c>
      <c r="E1073" s="14">
        <f t="shared" si="258"/>
        <v>1.0849673202614381</v>
      </c>
      <c r="F1073" s="7">
        <v>7.3734939759036138</v>
      </c>
      <c r="G1073" s="7">
        <f t="shared" si="251"/>
        <v>6.9150326797385624</v>
      </c>
      <c r="H1073" s="16">
        <f t="shared" si="252"/>
        <v>9.0849673202614376</v>
      </c>
      <c r="I1073" s="11">
        <f t="shared" si="255"/>
        <v>0.19954847078113283</v>
      </c>
      <c r="J1073" s="33">
        <f t="shared" si="256"/>
        <v>2.706294620070919E-2</v>
      </c>
      <c r="K1073" s="33">
        <f t="shared" si="257"/>
        <v>36.950891916335216</v>
      </c>
      <c r="L1073" s="8">
        <v>1</v>
      </c>
      <c r="M1073" s="9">
        <v>0</v>
      </c>
      <c r="N1073" s="8">
        <v>0</v>
      </c>
      <c r="O1073" s="9">
        <v>0</v>
      </c>
      <c r="P1073" s="9">
        <v>0</v>
      </c>
      <c r="Q1073" s="9">
        <v>0</v>
      </c>
      <c r="R1073" s="9">
        <v>1</v>
      </c>
      <c r="S1073" s="8">
        <v>1319</v>
      </c>
      <c r="T1073" s="9">
        <v>7</v>
      </c>
      <c r="U1073" s="9">
        <f t="shared" si="253"/>
        <v>1311</v>
      </c>
      <c r="V1073" s="9">
        <f t="shared" si="254"/>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0</v>
      </c>
      <c r="BD1073">
        <v>1</v>
      </c>
      <c r="BE1073">
        <v>0</v>
      </c>
      <c r="BF1073" s="18">
        <v>0</v>
      </c>
      <c r="BG1073">
        <v>0</v>
      </c>
      <c r="BH1073">
        <v>1</v>
      </c>
      <c r="BI1073" s="18">
        <v>0</v>
      </c>
      <c r="BJ1073">
        <v>2614</v>
      </c>
      <c r="BK1073">
        <v>63</v>
      </c>
      <c r="BL1073" s="25">
        <v>37.200000000000003</v>
      </c>
      <c r="BM1073">
        <v>1</v>
      </c>
      <c r="BN1073">
        <v>0</v>
      </c>
      <c r="BO1073">
        <v>0</v>
      </c>
      <c r="BP1073">
        <v>0</v>
      </c>
      <c r="BQ1073">
        <v>0</v>
      </c>
      <c r="BR1073">
        <v>0</v>
      </c>
      <c r="BS1073">
        <v>0</v>
      </c>
      <c r="BT1073" s="18">
        <v>0</v>
      </c>
      <c r="BU1073">
        <v>0</v>
      </c>
      <c r="BV1073">
        <v>0</v>
      </c>
      <c r="BW1073">
        <v>1</v>
      </c>
      <c r="BX1073" s="18">
        <v>0</v>
      </c>
      <c r="BY1073">
        <v>0</v>
      </c>
      <c r="BZ1073">
        <v>0</v>
      </c>
      <c r="CA1073">
        <v>0</v>
      </c>
      <c r="CB1073">
        <v>0</v>
      </c>
      <c r="CC1073" s="18">
        <v>0</v>
      </c>
      <c r="CD1073">
        <v>0</v>
      </c>
      <c r="CE1073">
        <v>0</v>
      </c>
      <c r="CF1073">
        <v>1</v>
      </c>
      <c r="CG1073">
        <v>1</v>
      </c>
      <c r="CH1073">
        <v>0</v>
      </c>
      <c r="CI1073">
        <v>0</v>
      </c>
      <c r="CJ1073">
        <v>0</v>
      </c>
      <c r="CK1073">
        <v>0</v>
      </c>
      <c r="CL1073">
        <v>0</v>
      </c>
      <c r="CM1073">
        <v>0</v>
      </c>
      <c r="CN1073" s="18">
        <v>0</v>
      </c>
      <c r="CO1073">
        <v>0.14599999999999999</v>
      </c>
      <c r="CP1073">
        <v>15</v>
      </c>
      <c r="CQ1073">
        <v>1</v>
      </c>
      <c r="CR1073">
        <v>0</v>
      </c>
      <c r="CS1073">
        <v>23</v>
      </c>
      <c r="CY1073" s="34"/>
    </row>
    <row r="1074" spans="1:103" x14ac:dyDescent="0.25">
      <c r="A1074">
        <v>1073</v>
      </c>
      <c r="B1074">
        <v>71</v>
      </c>
      <c r="C1074" s="25" t="s">
        <v>4032</v>
      </c>
      <c r="D1074" s="12">
        <v>16.5</v>
      </c>
      <c r="E1074" s="14">
        <f t="shared" si="258"/>
        <v>1.4134078212290504</v>
      </c>
      <c r="F1074" s="7">
        <v>11.67391304347826</v>
      </c>
      <c r="G1074" s="7">
        <f t="shared" si="251"/>
        <v>15.08659217877095</v>
      </c>
      <c r="H1074" s="16">
        <f t="shared" si="252"/>
        <v>17.91340782122905</v>
      </c>
      <c r="I1074" s="11">
        <f t="shared" si="255"/>
        <v>0.30685989834615268</v>
      </c>
      <c r="J1074" s="33">
        <f t="shared" si="256"/>
        <v>2.6285950323879002E-2</v>
      </c>
      <c r="K1074" s="33">
        <f t="shared" si="257"/>
        <v>38.043136644428941</v>
      </c>
      <c r="L1074" s="8">
        <v>1</v>
      </c>
      <c r="M1074" s="9">
        <v>0</v>
      </c>
      <c r="N1074" s="8">
        <v>0</v>
      </c>
      <c r="O1074" s="9">
        <v>0</v>
      </c>
      <c r="P1074" s="9">
        <v>0</v>
      </c>
      <c r="Q1074" s="9">
        <v>0</v>
      </c>
      <c r="R1074" s="9">
        <v>1</v>
      </c>
      <c r="S1074" s="8">
        <v>1319</v>
      </c>
      <c r="T1074" s="9">
        <v>7</v>
      </c>
      <c r="U1074" s="9">
        <f t="shared" si="253"/>
        <v>1311</v>
      </c>
      <c r="V1074" s="9">
        <f t="shared" si="254"/>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0</v>
      </c>
      <c r="BD1074">
        <v>1</v>
      </c>
      <c r="BE1074">
        <v>0</v>
      </c>
      <c r="BF1074" s="18">
        <v>0</v>
      </c>
      <c r="BG1074">
        <v>0</v>
      </c>
      <c r="BH1074">
        <v>1</v>
      </c>
      <c r="BI1074" s="18">
        <v>0</v>
      </c>
      <c r="BJ1074">
        <v>2614</v>
      </c>
      <c r="BK1074">
        <v>63</v>
      </c>
      <c r="BL1074" s="25">
        <v>37.200000000000003</v>
      </c>
      <c r="BM1074">
        <v>1</v>
      </c>
      <c r="BN1074">
        <v>0</v>
      </c>
      <c r="BO1074">
        <v>0</v>
      </c>
      <c r="BP1074">
        <v>0</v>
      </c>
      <c r="BQ1074">
        <v>0</v>
      </c>
      <c r="BR1074">
        <v>0</v>
      </c>
      <c r="BS1074">
        <v>0</v>
      </c>
      <c r="BT1074" s="18">
        <v>0</v>
      </c>
      <c r="BU1074">
        <v>0</v>
      </c>
      <c r="BV1074">
        <v>0</v>
      </c>
      <c r="BW1074">
        <v>1</v>
      </c>
      <c r="BX1074" s="18">
        <v>0</v>
      </c>
      <c r="BY1074">
        <v>0</v>
      </c>
      <c r="BZ1074">
        <v>0</v>
      </c>
      <c r="CA1074">
        <v>0</v>
      </c>
      <c r="CB1074">
        <v>0</v>
      </c>
      <c r="CC1074" s="18">
        <v>0</v>
      </c>
      <c r="CD1074">
        <v>0</v>
      </c>
      <c r="CE1074">
        <v>0</v>
      </c>
      <c r="CF1074">
        <v>1</v>
      </c>
      <c r="CG1074">
        <v>1</v>
      </c>
      <c r="CH1074">
        <v>0</v>
      </c>
      <c r="CI1074">
        <v>0</v>
      </c>
      <c r="CJ1074">
        <v>0</v>
      </c>
      <c r="CK1074">
        <v>0</v>
      </c>
      <c r="CL1074">
        <v>0</v>
      </c>
      <c r="CM1074">
        <v>0</v>
      </c>
      <c r="CN1074" s="18">
        <v>0</v>
      </c>
      <c r="CO1074">
        <v>0.14599999999999999</v>
      </c>
      <c r="CP1074">
        <v>15</v>
      </c>
      <c r="CQ1074">
        <v>1</v>
      </c>
      <c r="CR1074">
        <v>0</v>
      </c>
      <c r="CS1074">
        <v>23</v>
      </c>
      <c r="CY1074" s="34"/>
    </row>
    <row r="1075" spans="1:103" x14ac:dyDescent="0.25">
      <c r="A1075">
        <v>1074</v>
      </c>
      <c r="B1075">
        <v>71</v>
      </c>
      <c r="C1075" s="25" t="s">
        <v>4032</v>
      </c>
      <c r="D1075" s="12">
        <v>17.8</v>
      </c>
      <c r="E1075" s="14">
        <f t="shared" si="258"/>
        <v>1.2201612903225805</v>
      </c>
      <c r="F1075" s="7">
        <v>14.58823529411765</v>
      </c>
      <c r="G1075" s="7">
        <f t="shared" si="251"/>
        <v>16.579838709677421</v>
      </c>
      <c r="H1075" s="16">
        <f t="shared" si="252"/>
        <v>19.02016129032258</v>
      </c>
      <c r="I1075" s="11">
        <f t="shared" si="255"/>
        <v>0.37371145323918131</v>
      </c>
      <c r="J1075" s="33">
        <f t="shared" si="256"/>
        <v>2.5617317359137425E-2</v>
      </c>
      <c r="K1075" s="33">
        <f t="shared" si="257"/>
        <v>39.03609366978899</v>
      </c>
      <c r="L1075" s="8">
        <v>1</v>
      </c>
      <c r="M1075" s="9">
        <v>0</v>
      </c>
      <c r="N1075" s="8">
        <v>0</v>
      </c>
      <c r="O1075" s="9">
        <v>0</v>
      </c>
      <c r="P1075" s="9">
        <v>0</v>
      </c>
      <c r="Q1075" s="9">
        <v>0</v>
      </c>
      <c r="R1075" s="9">
        <v>1</v>
      </c>
      <c r="S1075" s="8">
        <v>1319</v>
      </c>
      <c r="T1075" s="9">
        <v>7</v>
      </c>
      <c r="U1075" s="9">
        <f t="shared" si="253"/>
        <v>1311</v>
      </c>
      <c r="V1075" s="9">
        <f t="shared" si="254"/>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0</v>
      </c>
      <c r="BD1075">
        <v>1</v>
      </c>
      <c r="BE1075">
        <v>0</v>
      </c>
      <c r="BF1075" s="18">
        <v>0</v>
      </c>
      <c r="BG1075">
        <v>0</v>
      </c>
      <c r="BH1075">
        <v>1</v>
      </c>
      <c r="BI1075" s="18">
        <v>0</v>
      </c>
      <c r="BJ1075">
        <v>2614</v>
      </c>
      <c r="BK1075">
        <v>63</v>
      </c>
      <c r="BL1075" s="25">
        <v>37.200000000000003</v>
      </c>
      <c r="BM1075">
        <v>1</v>
      </c>
      <c r="BN1075">
        <v>0</v>
      </c>
      <c r="BO1075">
        <v>0</v>
      </c>
      <c r="BP1075">
        <v>0</v>
      </c>
      <c r="BQ1075">
        <v>0</v>
      </c>
      <c r="BR1075">
        <v>0</v>
      </c>
      <c r="BS1075">
        <v>0</v>
      </c>
      <c r="BT1075" s="18">
        <v>0</v>
      </c>
      <c r="BU1075">
        <v>0</v>
      </c>
      <c r="BV1075">
        <v>0</v>
      </c>
      <c r="BW1075">
        <v>1</v>
      </c>
      <c r="BX1075" s="18">
        <v>0</v>
      </c>
      <c r="BY1075">
        <v>0</v>
      </c>
      <c r="BZ1075">
        <v>0</v>
      </c>
      <c r="CA1075">
        <v>0</v>
      </c>
      <c r="CB1075">
        <v>0</v>
      </c>
      <c r="CC1075" s="18">
        <v>0</v>
      </c>
      <c r="CD1075">
        <v>0</v>
      </c>
      <c r="CE1075">
        <v>0</v>
      </c>
      <c r="CF1075">
        <v>1</v>
      </c>
      <c r="CG1075">
        <v>1</v>
      </c>
      <c r="CH1075">
        <v>0</v>
      </c>
      <c r="CI1075">
        <v>0</v>
      </c>
      <c r="CJ1075">
        <v>0</v>
      </c>
      <c r="CK1075">
        <v>0</v>
      </c>
      <c r="CL1075">
        <v>0</v>
      </c>
      <c r="CM1075">
        <v>0</v>
      </c>
      <c r="CN1075" s="18">
        <v>0</v>
      </c>
      <c r="CO1075">
        <v>0.14599999999999999</v>
      </c>
      <c r="CP1075">
        <v>15</v>
      </c>
      <c r="CQ1075">
        <v>1</v>
      </c>
      <c r="CR1075">
        <v>0</v>
      </c>
      <c r="CS1075">
        <v>23</v>
      </c>
      <c r="CY1075" s="34"/>
    </row>
    <row r="1076" spans="1:103" x14ac:dyDescent="0.25">
      <c r="A1076">
        <v>1075</v>
      </c>
      <c r="B1076">
        <v>71</v>
      </c>
      <c r="C1076" s="25" t="s">
        <v>4032</v>
      </c>
      <c r="D1076" s="12">
        <v>1.4</v>
      </c>
      <c r="E1076" s="14">
        <f t="shared" si="258"/>
        <v>1.8307692307692307</v>
      </c>
      <c r="F1076" s="7">
        <v>0.76470588235294112</v>
      </c>
      <c r="G1076" s="7">
        <f t="shared" si="251"/>
        <v>-0.43076923076923079</v>
      </c>
      <c r="H1076" s="16">
        <f t="shared" si="252"/>
        <v>3.2307692307692308</v>
      </c>
      <c r="I1076" s="11">
        <f t="shared" si="255"/>
        <v>2.1555256442034192E-2</v>
      </c>
      <c r="J1076" s="33">
        <f t="shared" si="256"/>
        <v>2.8187643039583175E-2</v>
      </c>
      <c r="K1076" s="33">
        <f t="shared" si="257"/>
        <v>35.47653837519249</v>
      </c>
      <c r="L1076" s="8">
        <v>1</v>
      </c>
      <c r="M1076" s="9">
        <v>0</v>
      </c>
      <c r="N1076" s="8">
        <v>0</v>
      </c>
      <c r="O1076" s="9">
        <v>0</v>
      </c>
      <c r="P1076" s="9">
        <v>0</v>
      </c>
      <c r="Q1076" s="9">
        <v>0</v>
      </c>
      <c r="R1076" s="9">
        <v>1</v>
      </c>
      <c r="S1076" s="8">
        <v>1284</v>
      </c>
      <c r="T1076" s="9">
        <v>25</v>
      </c>
      <c r="U1076" s="9">
        <f t="shared" si="253"/>
        <v>1258</v>
      </c>
      <c r="V1076" s="9">
        <f t="shared" si="254"/>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0</v>
      </c>
      <c r="BD1076">
        <v>1</v>
      </c>
      <c r="BE1076">
        <v>0</v>
      </c>
      <c r="BF1076" s="18">
        <v>0</v>
      </c>
      <c r="BG1076">
        <v>0</v>
      </c>
      <c r="BH1076">
        <v>1</v>
      </c>
      <c r="BI1076" s="18">
        <v>0</v>
      </c>
      <c r="BJ1076">
        <v>2614</v>
      </c>
      <c r="BK1076">
        <v>63</v>
      </c>
      <c r="BL1076" s="25">
        <v>37.200000000000003</v>
      </c>
      <c r="BM1076">
        <v>1</v>
      </c>
      <c r="BN1076">
        <v>0</v>
      </c>
      <c r="BO1076">
        <v>0</v>
      </c>
      <c r="BP1076">
        <v>0</v>
      </c>
      <c r="BQ1076">
        <v>0</v>
      </c>
      <c r="BR1076">
        <v>0</v>
      </c>
      <c r="BS1076">
        <v>0</v>
      </c>
      <c r="BT1076" s="18">
        <v>0</v>
      </c>
      <c r="BU1076">
        <v>0</v>
      </c>
      <c r="BV1076">
        <v>0</v>
      </c>
      <c r="BW1076">
        <v>1</v>
      </c>
      <c r="BX1076" s="18">
        <v>0</v>
      </c>
      <c r="BY1076">
        <v>0</v>
      </c>
      <c r="BZ1076">
        <v>0</v>
      </c>
      <c r="CA1076">
        <v>0</v>
      </c>
      <c r="CB1076">
        <v>0</v>
      </c>
      <c r="CC1076" s="18">
        <v>0</v>
      </c>
      <c r="CD1076">
        <v>1</v>
      </c>
      <c r="CE1076">
        <v>0</v>
      </c>
      <c r="CF1076">
        <v>1</v>
      </c>
      <c r="CG1076">
        <v>1</v>
      </c>
      <c r="CH1076">
        <v>0</v>
      </c>
      <c r="CI1076">
        <v>0</v>
      </c>
      <c r="CJ1076">
        <v>1</v>
      </c>
      <c r="CK1076">
        <v>0</v>
      </c>
      <c r="CL1076">
        <v>0</v>
      </c>
      <c r="CM1076">
        <v>0</v>
      </c>
      <c r="CN1076" s="18">
        <v>1</v>
      </c>
      <c r="CO1076">
        <v>0.14599999999999999</v>
      </c>
      <c r="CP1076">
        <v>15</v>
      </c>
      <c r="CQ1076">
        <v>1</v>
      </c>
      <c r="CR1076">
        <v>0</v>
      </c>
      <c r="CS1076">
        <v>23</v>
      </c>
      <c r="CY1076" s="34"/>
    </row>
    <row r="1077" spans="1:103" x14ac:dyDescent="0.25">
      <c r="A1077">
        <v>1076</v>
      </c>
      <c r="B1077">
        <v>71</v>
      </c>
      <c r="C1077" s="25" t="s">
        <v>4032</v>
      </c>
      <c r="D1077" s="12">
        <v>4.9000000000000004</v>
      </c>
      <c r="E1077" s="14">
        <f t="shared" si="258"/>
        <v>2.0801886792452828</v>
      </c>
      <c r="F1077" s="7">
        <v>2.3555555555555561</v>
      </c>
      <c r="G1077" s="7">
        <f t="shared" si="251"/>
        <v>2.8198113207547175</v>
      </c>
      <c r="H1077" s="16">
        <f t="shared" si="252"/>
        <v>6.9801886792452832</v>
      </c>
      <c r="I1077" s="11">
        <f t="shared" si="255"/>
        <v>6.6267008989482942E-2</v>
      </c>
      <c r="J1077" s="33">
        <f t="shared" si="256"/>
        <v>2.8132220797421999E-2</v>
      </c>
      <c r="K1077" s="33">
        <f t="shared" si="257"/>
        <v>35.5464293843321</v>
      </c>
      <c r="L1077" s="8">
        <v>1</v>
      </c>
      <c r="M1077" s="9">
        <v>0</v>
      </c>
      <c r="N1077" s="8">
        <v>0</v>
      </c>
      <c r="O1077" s="9">
        <v>0</v>
      </c>
      <c r="P1077" s="9">
        <v>0</v>
      </c>
      <c r="Q1077" s="9">
        <v>0</v>
      </c>
      <c r="R1077" s="9">
        <v>1</v>
      </c>
      <c r="S1077" s="8">
        <v>1284</v>
      </c>
      <c r="T1077" s="9">
        <v>25</v>
      </c>
      <c r="U1077" s="9">
        <f t="shared" si="253"/>
        <v>1258</v>
      </c>
      <c r="V1077" s="9">
        <f t="shared" si="254"/>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0</v>
      </c>
      <c r="BD1077">
        <v>1</v>
      </c>
      <c r="BE1077">
        <v>0</v>
      </c>
      <c r="BF1077" s="18">
        <v>0</v>
      </c>
      <c r="BG1077">
        <v>0</v>
      </c>
      <c r="BH1077">
        <v>1</v>
      </c>
      <c r="BI1077" s="18">
        <v>0</v>
      </c>
      <c r="BJ1077">
        <v>2614</v>
      </c>
      <c r="BK1077">
        <v>63</v>
      </c>
      <c r="BL1077" s="25">
        <v>37.200000000000003</v>
      </c>
      <c r="BM1077">
        <v>1</v>
      </c>
      <c r="BN1077">
        <v>0</v>
      </c>
      <c r="BO1077">
        <v>0</v>
      </c>
      <c r="BP1077">
        <v>0</v>
      </c>
      <c r="BQ1077">
        <v>0</v>
      </c>
      <c r="BR1077">
        <v>0</v>
      </c>
      <c r="BS1077">
        <v>0</v>
      </c>
      <c r="BT1077" s="18">
        <v>0</v>
      </c>
      <c r="BU1077">
        <v>0</v>
      </c>
      <c r="BV1077">
        <v>0</v>
      </c>
      <c r="BW1077">
        <v>1</v>
      </c>
      <c r="BX1077" s="18">
        <v>0</v>
      </c>
      <c r="BY1077">
        <v>0</v>
      </c>
      <c r="BZ1077">
        <v>0</v>
      </c>
      <c r="CA1077">
        <v>0</v>
      </c>
      <c r="CB1077">
        <v>0</v>
      </c>
      <c r="CC1077" s="18">
        <v>0</v>
      </c>
      <c r="CD1077">
        <v>1</v>
      </c>
      <c r="CE1077">
        <v>0</v>
      </c>
      <c r="CF1077">
        <v>1</v>
      </c>
      <c r="CG1077">
        <v>1</v>
      </c>
      <c r="CH1077">
        <v>0</v>
      </c>
      <c r="CI1077">
        <v>0</v>
      </c>
      <c r="CJ1077">
        <v>1</v>
      </c>
      <c r="CK1077">
        <v>0</v>
      </c>
      <c r="CL1077">
        <v>0</v>
      </c>
      <c r="CM1077">
        <v>0</v>
      </c>
      <c r="CN1077" s="18">
        <v>1</v>
      </c>
      <c r="CO1077">
        <v>0.14599999999999999</v>
      </c>
      <c r="CP1077">
        <v>15</v>
      </c>
      <c r="CQ1077">
        <v>1</v>
      </c>
      <c r="CR1077">
        <v>0</v>
      </c>
      <c r="CS1077">
        <v>23</v>
      </c>
      <c r="CY1077" s="34"/>
    </row>
    <row r="1078" spans="1:103" x14ac:dyDescent="0.25">
      <c r="A1078">
        <v>1077</v>
      </c>
      <c r="B1078">
        <v>71</v>
      </c>
      <c r="C1078" s="25" t="s">
        <v>4032</v>
      </c>
      <c r="D1078" s="12">
        <v>3.8</v>
      </c>
      <c r="E1078" s="14">
        <f t="shared" si="258"/>
        <v>1.5777215189873417</v>
      </c>
      <c r="F1078" s="7">
        <v>2.4085365853658538</v>
      </c>
      <c r="G1078" s="7">
        <f t="shared" si="251"/>
        <v>2.2222784810126583</v>
      </c>
      <c r="H1078" s="16">
        <f t="shared" si="252"/>
        <v>5.3777215189873413</v>
      </c>
      <c r="I1078" s="11">
        <f t="shared" si="255"/>
        <v>6.7750716413701506E-2</v>
      </c>
      <c r="J1078" s="33">
        <f t="shared" si="256"/>
        <v>2.8129411371764671E-2</v>
      </c>
      <c r="K1078" s="33">
        <f t="shared" si="257"/>
        <v>35.549979584847101</v>
      </c>
      <c r="L1078" s="8">
        <v>1</v>
      </c>
      <c r="M1078" s="9">
        <v>0</v>
      </c>
      <c r="N1078" s="8">
        <v>0</v>
      </c>
      <c r="O1078" s="9">
        <v>0</v>
      </c>
      <c r="P1078" s="9">
        <v>0</v>
      </c>
      <c r="Q1078" s="9">
        <v>0</v>
      </c>
      <c r="R1078" s="9">
        <v>1</v>
      </c>
      <c r="S1078" s="8">
        <v>1284</v>
      </c>
      <c r="T1078" s="9">
        <v>25</v>
      </c>
      <c r="U1078" s="9">
        <f t="shared" si="253"/>
        <v>1258</v>
      </c>
      <c r="V1078" s="9">
        <f t="shared" si="254"/>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0</v>
      </c>
      <c r="BD1078">
        <v>1</v>
      </c>
      <c r="BE1078">
        <v>0</v>
      </c>
      <c r="BF1078" s="18">
        <v>0</v>
      </c>
      <c r="BG1078">
        <v>0</v>
      </c>
      <c r="BH1078">
        <v>1</v>
      </c>
      <c r="BI1078" s="18">
        <v>0</v>
      </c>
      <c r="BJ1078">
        <v>2614</v>
      </c>
      <c r="BK1078">
        <v>63</v>
      </c>
      <c r="BL1078" s="25">
        <v>37.200000000000003</v>
      </c>
      <c r="BM1078">
        <v>1</v>
      </c>
      <c r="BN1078">
        <v>0</v>
      </c>
      <c r="BO1078">
        <v>0</v>
      </c>
      <c r="BP1078">
        <v>0</v>
      </c>
      <c r="BQ1078">
        <v>0</v>
      </c>
      <c r="BR1078">
        <v>0</v>
      </c>
      <c r="BS1078">
        <v>0</v>
      </c>
      <c r="BT1078" s="18">
        <v>0</v>
      </c>
      <c r="BU1078">
        <v>0</v>
      </c>
      <c r="BV1078">
        <v>0</v>
      </c>
      <c r="BW1078">
        <v>1</v>
      </c>
      <c r="BX1078" s="18">
        <v>0</v>
      </c>
      <c r="BY1078">
        <v>0</v>
      </c>
      <c r="BZ1078">
        <v>0</v>
      </c>
      <c r="CA1078">
        <v>0</v>
      </c>
      <c r="CB1078">
        <v>0</v>
      </c>
      <c r="CC1078" s="18">
        <v>0</v>
      </c>
      <c r="CD1078">
        <v>1</v>
      </c>
      <c r="CE1078">
        <v>0</v>
      </c>
      <c r="CF1078">
        <v>1</v>
      </c>
      <c r="CG1078">
        <v>1</v>
      </c>
      <c r="CH1078">
        <v>0</v>
      </c>
      <c r="CI1078">
        <v>0</v>
      </c>
      <c r="CJ1078">
        <v>1</v>
      </c>
      <c r="CK1078">
        <v>0</v>
      </c>
      <c r="CL1078">
        <v>0</v>
      </c>
      <c r="CM1078">
        <v>0</v>
      </c>
      <c r="CN1078" s="18">
        <v>1</v>
      </c>
      <c r="CO1078">
        <v>0.14599999999999999</v>
      </c>
      <c r="CP1078">
        <v>15</v>
      </c>
      <c r="CQ1078">
        <v>1</v>
      </c>
      <c r="CR1078">
        <v>0</v>
      </c>
      <c r="CS1078">
        <v>23</v>
      </c>
      <c r="CY1078" s="34"/>
    </row>
    <row r="1079" spans="1:103" x14ac:dyDescent="0.25">
      <c r="A1079">
        <v>1078</v>
      </c>
      <c r="B1079">
        <v>71</v>
      </c>
      <c r="C1079" s="25" t="s">
        <v>4032</v>
      </c>
      <c r="D1079" s="12">
        <v>22.9</v>
      </c>
      <c r="E1079" s="14">
        <f t="shared" si="258"/>
        <v>3.6321083172146991</v>
      </c>
      <c r="F1079" s="7">
        <v>6.3048780487804894</v>
      </c>
      <c r="G1079" s="7">
        <f t="shared" si="251"/>
        <v>19.267891682785301</v>
      </c>
      <c r="H1079" s="16">
        <f t="shared" si="252"/>
        <v>26.532108317214696</v>
      </c>
      <c r="I1079" s="11">
        <f t="shared" si="255"/>
        <v>0.17501727719473617</v>
      </c>
      <c r="J1079" s="33">
        <f t="shared" si="256"/>
        <v>2.7759026556998769E-2</v>
      </c>
      <c r="K1079" s="33">
        <f t="shared" si="257"/>
        <v>36.024317997846872</v>
      </c>
      <c r="L1079" s="8">
        <v>1</v>
      </c>
      <c r="M1079" s="9">
        <v>0</v>
      </c>
      <c r="N1079" s="8">
        <v>0</v>
      </c>
      <c r="O1079" s="9">
        <v>0</v>
      </c>
      <c r="P1079" s="9">
        <v>0</v>
      </c>
      <c r="Q1079" s="9">
        <v>0</v>
      </c>
      <c r="R1079" s="9">
        <v>1</v>
      </c>
      <c r="S1079" s="8">
        <v>1284</v>
      </c>
      <c r="T1079" s="9">
        <v>25</v>
      </c>
      <c r="U1079" s="9">
        <f t="shared" si="253"/>
        <v>1258</v>
      </c>
      <c r="V1079" s="9">
        <f t="shared" si="254"/>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0</v>
      </c>
      <c r="BD1079">
        <v>1</v>
      </c>
      <c r="BE1079">
        <v>0</v>
      </c>
      <c r="BF1079" s="18">
        <v>0</v>
      </c>
      <c r="BG1079">
        <v>0</v>
      </c>
      <c r="BH1079">
        <v>1</v>
      </c>
      <c r="BI1079" s="18">
        <v>0</v>
      </c>
      <c r="BJ1079">
        <v>2614</v>
      </c>
      <c r="BK1079">
        <v>63</v>
      </c>
      <c r="BL1079" s="25">
        <v>37.200000000000003</v>
      </c>
      <c r="BM1079">
        <v>1</v>
      </c>
      <c r="BN1079">
        <v>0</v>
      </c>
      <c r="BO1079">
        <v>0</v>
      </c>
      <c r="BP1079">
        <v>0</v>
      </c>
      <c r="BQ1079">
        <v>0</v>
      </c>
      <c r="BR1079">
        <v>0</v>
      </c>
      <c r="BS1079">
        <v>0</v>
      </c>
      <c r="BT1079" s="18">
        <v>0</v>
      </c>
      <c r="BU1079">
        <v>0</v>
      </c>
      <c r="BV1079">
        <v>0</v>
      </c>
      <c r="BW1079">
        <v>1</v>
      </c>
      <c r="BX1079" s="18">
        <v>0</v>
      </c>
      <c r="BY1079">
        <v>0</v>
      </c>
      <c r="BZ1079">
        <v>0</v>
      </c>
      <c r="CA1079">
        <v>0</v>
      </c>
      <c r="CB1079">
        <v>0</v>
      </c>
      <c r="CC1079" s="18">
        <v>0</v>
      </c>
      <c r="CD1079">
        <v>1</v>
      </c>
      <c r="CE1079">
        <v>0</v>
      </c>
      <c r="CF1079">
        <v>1</v>
      </c>
      <c r="CG1079">
        <v>1</v>
      </c>
      <c r="CH1079">
        <v>0</v>
      </c>
      <c r="CI1079">
        <v>0</v>
      </c>
      <c r="CJ1079">
        <v>1</v>
      </c>
      <c r="CK1079">
        <v>0</v>
      </c>
      <c r="CL1079">
        <v>0</v>
      </c>
      <c r="CM1079">
        <v>0</v>
      </c>
      <c r="CN1079" s="18">
        <v>1</v>
      </c>
      <c r="CO1079">
        <v>0.14599999999999999</v>
      </c>
      <c r="CP1079">
        <v>15</v>
      </c>
      <c r="CQ1079">
        <v>1</v>
      </c>
      <c r="CR1079">
        <v>0</v>
      </c>
      <c r="CS1079">
        <v>23</v>
      </c>
      <c r="CY1079" s="34"/>
    </row>
    <row r="1080" spans="1:103" x14ac:dyDescent="0.25">
      <c r="A1080">
        <v>1079</v>
      </c>
      <c r="B1080">
        <v>71</v>
      </c>
      <c r="C1080" s="25" t="s">
        <v>4032</v>
      </c>
      <c r="D1080" s="12">
        <v>13.6</v>
      </c>
      <c r="E1080" s="14">
        <f t="shared" si="258"/>
        <v>2.349671361502347</v>
      </c>
      <c r="F1080" s="7">
        <v>5.7880434782608701</v>
      </c>
      <c r="G1080" s="7">
        <f t="shared" si="251"/>
        <v>11.250328638497653</v>
      </c>
      <c r="H1080" s="16">
        <f t="shared" si="252"/>
        <v>15.949671361502347</v>
      </c>
      <c r="I1080" s="11">
        <f t="shared" si="255"/>
        <v>0.1610587544572547</v>
      </c>
      <c r="J1080" s="33">
        <f t="shared" si="256"/>
        <v>2.782611344613602E-2</v>
      </c>
      <c r="K1080" s="33">
        <f t="shared" si="257"/>
        <v>35.937465788592249</v>
      </c>
      <c r="L1080" s="8">
        <v>1</v>
      </c>
      <c r="M1080" s="9">
        <v>0</v>
      </c>
      <c r="N1080" s="8">
        <v>0</v>
      </c>
      <c r="O1080" s="9">
        <v>0</v>
      </c>
      <c r="P1080" s="9">
        <v>0</v>
      </c>
      <c r="Q1080" s="9">
        <v>0</v>
      </c>
      <c r="R1080" s="9">
        <v>1</v>
      </c>
      <c r="S1080" s="8">
        <v>1284</v>
      </c>
      <c r="T1080" s="9">
        <v>25</v>
      </c>
      <c r="U1080" s="9">
        <f t="shared" si="253"/>
        <v>1258</v>
      </c>
      <c r="V1080" s="9">
        <f t="shared" si="254"/>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0</v>
      </c>
      <c r="BD1080">
        <v>1</v>
      </c>
      <c r="BE1080">
        <v>0</v>
      </c>
      <c r="BF1080" s="18">
        <v>0</v>
      </c>
      <c r="BG1080">
        <v>0</v>
      </c>
      <c r="BH1080">
        <v>1</v>
      </c>
      <c r="BI1080" s="18">
        <v>0</v>
      </c>
      <c r="BJ1080">
        <v>2614</v>
      </c>
      <c r="BK1080">
        <v>63</v>
      </c>
      <c r="BL1080" s="25">
        <v>37.200000000000003</v>
      </c>
      <c r="BM1080">
        <v>1</v>
      </c>
      <c r="BN1080">
        <v>0</v>
      </c>
      <c r="BO1080">
        <v>0</v>
      </c>
      <c r="BP1080">
        <v>0</v>
      </c>
      <c r="BQ1080">
        <v>0</v>
      </c>
      <c r="BR1080">
        <v>0</v>
      </c>
      <c r="BS1080">
        <v>0</v>
      </c>
      <c r="BT1080" s="18">
        <v>0</v>
      </c>
      <c r="BU1080">
        <v>0</v>
      </c>
      <c r="BV1080">
        <v>0</v>
      </c>
      <c r="BW1080">
        <v>1</v>
      </c>
      <c r="BX1080" s="18">
        <v>0</v>
      </c>
      <c r="BY1080">
        <v>0</v>
      </c>
      <c r="BZ1080">
        <v>0</v>
      </c>
      <c r="CA1080">
        <v>0</v>
      </c>
      <c r="CB1080">
        <v>0</v>
      </c>
      <c r="CC1080" s="18">
        <v>0</v>
      </c>
      <c r="CD1080">
        <v>1</v>
      </c>
      <c r="CE1080">
        <v>0</v>
      </c>
      <c r="CF1080">
        <v>1</v>
      </c>
      <c r="CG1080">
        <v>1</v>
      </c>
      <c r="CH1080">
        <v>0</v>
      </c>
      <c r="CI1080">
        <v>0</v>
      </c>
      <c r="CJ1080">
        <v>1</v>
      </c>
      <c r="CK1080">
        <v>0</v>
      </c>
      <c r="CL1080">
        <v>0</v>
      </c>
      <c r="CM1080">
        <v>0</v>
      </c>
      <c r="CN1080" s="18">
        <v>1</v>
      </c>
      <c r="CO1080">
        <v>0.14599999999999999</v>
      </c>
      <c r="CP1080">
        <v>15</v>
      </c>
      <c r="CQ1080">
        <v>1</v>
      </c>
      <c r="CR1080">
        <v>0</v>
      </c>
      <c r="CS1080">
        <v>23</v>
      </c>
      <c r="CY1080" s="34"/>
    </row>
    <row r="1081" spans="1:103" x14ac:dyDescent="0.25">
      <c r="A1081">
        <v>1080</v>
      </c>
      <c r="B1081">
        <v>72</v>
      </c>
      <c r="C1081" s="25" t="s">
        <v>4042</v>
      </c>
      <c r="D1081" s="12">
        <v>5.87</v>
      </c>
      <c r="E1081" s="14">
        <v>0.09</v>
      </c>
      <c r="F1081" s="7">
        <f t="shared" ref="F1081:F1090" si="259">D1081/E1081</f>
        <v>65.222222222222229</v>
      </c>
      <c r="G1081" s="7">
        <f t="shared" si="251"/>
        <v>5.78</v>
      </c>
      <c r="H1081" s="16">
        <f t="shared" si="252"/>
        <v>5.96</v>
      </c>
      <c r="I1081" s="11">
        <f t="shared" si="255"/>
        <v>0.50900618174403367</v>
      </c>
      <c r="J1081" s="33">
        <f t="shared" si="256"/>
        <v>7.8041833657517936E-3</v>
      </c>
      <c r="K1081" s="33">
        <f t="shared" si="257"/>
        <v>128.13640494256478</v>
      </c>
      <c r="L1081" s="8">
        <v>1</v>
      </c>
      <c r="M1081" s="9">
        <v>0</v>
      </c>
      <c r="N1081" s="8">
        <v>0</v>
      </c>
      <c r="O1081" s="9">
        <v>0</v>
      </c>
      <c r="P1081" s="9">
        <v>0</v>
      </c>
      <c r="Q1081" s="9">
        <v>1</v>
      </c>
      <c r="R1081" s="9">
        <v>0</v>
      </c>
      <c r="S1081" s="8">
        <v>12169</v>
      </c>
      <c r="T1081" s="9">
        <v>3</v>
      </c>
      <c r="U1081" s="9">
        <f t="shared" si="253"/>
        <v>12165</v>
      </c>
      <c r="V1081" s="9">
        <f t="shared" si="254"/>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v>0</v>
      </c>
      <c r="BF1081" s="18">
        <v>0</v>
      </c>
      <c r="BG1081">
        <v>1</v>
      </c>
      <c r="BH1081">
        <v>0</v>
      </c>
      <c r="BI1081" s="18">
        <v>0</v>
      </c>
      <c r="BJ1081">
        <v>15116</v>
      </c>
      <c r="BK1081">
        <v>12548</v>
      </c>
      <c r="BL1081" s="25">
        <v>37.5</v>
      </c>
      <c r="BM1081">
        <v>1</v>
      </c>
      <c r="BN1081">
        <v>0</v>
      </c>
      <c r="BO1081">
        <v>0</v>
      </c>
      <c r="BP1081">
        <v>0</v>
      </c>
      <c r="BQ1081">
        <v>0</v>
      </c>
      <c r="BR1081">
        <v>0</v>
      </c>
      <c r="BS1081">
        <v>0</v>
      </c>
      <c r="BT1081" s="18">
        <v>0</v>
      </c>
      <c r="BU1081">
        <v>0</v>
      </c>
      <c r="BV1081">
        <v>0</v>
      </c>
      <c r="BW1081">
        <v>1</v>
      </c>
      <c r="BX1081" s="18">
        <v>0</v>
      </c>
      <c r="BY1081">
        <v>0</v>
      </c>
      <c r="BZ1081">
        <v>0</v>
      </c>
      <c r="CA1081">
        <v>0</v>
      </c>
      <c r="CB1081">
        <v>0</v>
      </c>
      <c r="CC1081" s="18">
        <v>0</v>
      </c>
      <c r="CD1081">
        <v>0</v>
      </c>
      <c r="CE1081">
        <v>0</v>
      </c>
      <c r="CF1081">
        <v>1</v>
      </c>
      <c r="CG1081">
        <v>1</v>
      </c>
      <c r="CH1081">
        <v>0</v>
      </c>
      <c r="CI1081">
        <v>0</v>
      </c>
      <c r="CJ1081">
        <v>0</v>
      </c>
      <c r="CK1081">
        <v>0</v>
      </c>
      <c r="CL1081">
        <v>0</v>
      </c>
      <c r="CM1081">
        <v>0</v>
      </c>
      <c r="CN1081" s="18">
        <v>0</v>
      </c>
      <c r="CO1081">
        <v>0</v>
      </c>
      <c r="CP1081">
        <v>0</v>
      </c>
      <c r="CQ1081">
        <v>0</v>
      </c>
      <c r="CR1081">
        <v>1</v>
      </c>
      <c r="CS1081">
        <v>9</v>
      </c>
      <c r="CY1081" s="34"/>
    </row>
    <row r="1082" spans="1:103" x14ac:dyDescent="0.25">
      <c r="A1082">
        <v>1081</v>
      </c>
      <c r="B1082">
        <v>72</v>
      </c>
      <c r="C1082" s="25" t="s">
        <v>4042</v>
      </c>
      <c r="D1082" s="12">
        <v>7.51</v>
      </c>
      <c r="E1082" s="14">
        <v>0.22</v>
      </c>
      <c r="F1082" s="7">
        <f t="shared" si="259"/>
        <v>34.136363636363633</v>
      </c>
      <c r="G1082" s="7">
        <f t="shared" si="251"/>
        <v>7.29</v>
      </c>
      <c r="H1082" s="16">
        <f t="shared" si="252"/>
        <v>7.7299999999999995</v>
      </c>
      <c r="I1082" s="11">
        <f t="shared" si="255"/>
        <v>0.30006246354127525</v>
      </c>
      <c r="J1082" s="33">
        <f t="shared" si="256"/>
        <v>8.7901121143915528E-3</v>
      </c>
      <c r="K1082" s="33">
        <f t="shared" si="257"/>
        <v>113.7641917402574</v>
      </c>
      <c r="L1082" s="8">
        <v>1</v>
      </c>
      <c r="M1082" s="9">
        <v>0</v>
      </c>
      <c r="N1082" s="8">
        <v>0</v>
      </c>
      <c r="O1082" s="9">
        <v>0</v>
      </c>
      <c r="P1082" s="9">
        <v>0</v>
      </c>
      <c r="Q1082" s="9">
        <v>1</v>
      </c>
      <c r="R1082" s="9">
        <v>0</v>
      </c>
      <c r="S1082" s="8">
        <v>11781</v>
      </c>
      <c r="T1082" s="9">
        <v>3</v>
      </c>
      <c r="U1082" s="9">
        <f t="shared" si="253"/>
        <v>11777</v>
      </c>
      <c r="V1082" s="9">
        <f t="shared" si="254"/>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v>0</v>
      </c>
      <c r="BF1082" s="18">
        <v>0</v>
      </c>
      <c r="BG1082">
        <v>1</v>
      </c>
      <c r="BH1082">
        <v>0</v>
      </c>
      <c r="BI1082" s="18">
        <v>0</v>
      </c>
      <c r="BJ1082">
        <v>15116</v>
      </c>
      <c r="BK1082">
        <v>12548</v>
      </c>
      <c r="BL1082" s="25">
        <v>37.5</v>
      </c>
      <c r="BM1082">
        <v>0</v>
      </c>
      <c r="BN1082">
        <v>0</v>
      </c>
      <c r="BO1082">
        <v>0</v>
      </c>
      <c r="BP1082">
        <v>0</v>
      </c>
      <c r="BQ1082">
        <v>0</v>
      </c>
      <c r="BR1082">
        <v>0</v>
      </c>
      <c r="BS1082">
        <v>0</v>
      </c>
      <c r="BT1082" s="18">
        <v>1</v>
      </c>
      <c r="BU1082">
        <v>0</v>
      </c>
      <c r="BV1082">
        <v>1</v>
      </c>
      <c r="BW1082">
        <v>0</v>
      </c>
      <c r="BX1082" s="18">
        <v>0</v>
      </c>
      <c r="BY1082">
        <v>1</v>
      </c>
      <c r="BZ1082">
        <v>0</v>
      </c>
      <c r="CA1082">
        <v>0</v>
      </c>
      <c r="CB1082">
        <v>0</v>
      </c>
      <c r="CC1082" s="18">
        <v>0</v>
      </c>
      <c r="CD1082">
        <v>0</v>
      </c>
      <c r="CE1082">
        <v>0</v>
      </c>
      <c r="CF1082">
        <v>1</v>
      </c>
      <c r="CG1082">
        <v>1</v>
      </c>
      <c r="CH1082">
        <v>0</v>
      </c>
      <c r="CI1082">
        <v>0</v>
      </c>
      <c r="CJ1082">
        <v>0</v>
      </c>
      <c r="CK1082">
        <v>0</v>
      </c>
      <c r="CL1082">
        <v>0</v>
      </c>
      <c r="CM1082">
        <v>0</v>
      </c>
      <c r="CN1082" s="18">
        <v>0</v>
      </c>
      <c r="CO1082">
        <v>0</v>
      </c>
      <c r="CP1082">
        <v>0</v>
      </c>
      <c r="CQ1082">
        <v>0</v>
      </c>
      <c r="CR1082">
        <v>1</v>
      </c>
      <c r="CS1082">
        <v>9</v>
      </c>
      <c r="CY1082" s="34"/>
    </row>
    <row r="1083" spans="1:103" x14ac:dyDescent="0.25">
      <c r="A1083">
        <v>1082</v>
      </c>
      <c r="B1083">
        <v>72</v>
      </c>
      <c r="C1083" s="25" t="s">
        <v>4042</v>
      </c>
      <c r="D1083" s="12">
        <v>5.68</v>
      </c>
      <c r="E1083" s="14">
        <v>0.1</v>
      </c>
      <c r="F1083" s="7">
        <f t="shared" si="259"/>
        <v>56.8</v>
      </c>
      <c r="G1083" s="7">
        <f t="shared" si="251"/>
        <v>5.58</v>
      </c>
      <c r="H1083" s="16">
        <f t="shared" si="252"/>
        <v>5.7799999999999994</v>
      </c>
      <c r="I1083" s="11">
        <f t="shared" si="255"/>
        <v>0.46651124536232574</v>
      </c>
      <c r="J1083" s="33">
        <f t="shared" si="256"/>
        <v>8.2132261507451721E-3</v>
      </c>
      <c r="K1083" s="33">
        <f t="shared" si="257"/>
        <v>121.75483563292259</v>
      </c>
      <c r="L1083" s="8">
        <v>1</v>
      </c>
      <c r="M1083" s="9">
        <v>0</v>
      </c>
      <c r="N1083" s="8">
        <v>0</v>
      </c>
      <c r="O1083" s="9">
        <v>0</v>
      </c>
      <c r="P1083" s="9">
        <v>0</v>
      </c>
      <c r="Q1083" s="9">
        <v>1</v>
      </c>
      <c r="R1083" s="9">
        <v>0</v>
      </c>
      <c r="S1083" s="8">
        <v>11603</v>
      </c>
      <c r="T1083" s="9">
        <v>4</v>
      </c>
      <c r="U1083" s="9">
        <f t="shared" si="253"/>
        <v>11598</v>
      </c>
      <c r="V1083" s="9">
        <f t="shared" si="254"/>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v>0</v>
      </c>
      <c r="BF1083" s="18">
        <v>0</v>
      </c>
      <c r="BG1083">
        <v>1</v>
      </c>
      <c r="BH1083">
        <v>0</v>
      </c>
      <c r="BI1083" s="18">
        <v>0</v>
      </c>
      <c r="BJ1083">
        <v>15116</v>
      </c>
      <c r="BK1083">
        <v>12548</v>
      </c>
      <c r="BL1083" s="25">
        <v>37.5</v>
      </c>
      <c r="BM1083">
        <v>1</v>
      </c>
      <c r="BN1083">
        <v>0</v>
      </c>
      <c r="BO1083">
        <v>0</v>
      </c>
      <c r="BP1083">
        <v>0</v>
      </c>
      <c r="BQ1083">
        <v>0</v>
      </c>
      <c r="BR1083">
        <v>0</v>
      </c>
      <c r="BS1083">
        <v>0</v>
      </c>
      <c r="BT1083" s="18">
        <v>0</v>
      </c>
      <c r="BU1083">
        <v>0</v>
      </c>
      <c r="BV1083">
        <v>0</v>
      </c>
      <c r="BW1083">
        <v>1</v>
      </c>
      <c r="BX1083" s="18">
        <v>0</v>
      </c>
      <c r="BY1083">
        <v>0</v>
      </c>
      <c r="BZ1083">
        <v>0</v>
      </c>
      <c r="CA1083">
        <v>0</v>
      </c>
      <c r="CB1083">
        <v>0</v>
      </c>
      <c r="CC1083" s="18">
        <v>0</v>
      </c>
      <c r="CD1083">
        <v>0</v>
      </c>
      <c r="CE1083">
        <v>0</v>
      </c>
      <c r="CF1083">
        <v>1</v>
      </c>
      <c r="CG1083">
        <v>1</v>
      </c>
      <c r="CH1083">
        <v>0</v>
      </c>
      <c r="CI1083">
        <v>0</v>
      </c>
      <c r="CJ1083">
        <v>0</v>
      </c>
      <c r="CK1083">
        <v>0</v>
      </c>
      <c r="CL1083">
        <v>0</v>
      </c>
      <c r="CM1083">
        <v>0</v>
      </c>
      <c r="CN1083" s="18">
        <v>0</v>
      </c>
      <c r="CO1083">
        <v>0</v>
      </c>
      <c r="CP1083">
        <v>0</v>
      </c>
      <c r="CQ1083">
        <v>0</v>
      </c>
      <c r="CR1083">
        <v>1</v>
      </c>
      <c r="CS1083">
        <v>9</v>
      </c>
      <c r="CY1083" s="34"/>
    </row>
    <row r="1084" spans="1:103" x14ac:dyDescent="0.25">
      <c r="A1084">
        <v>1083</v>
      </c>
      <c r="B1084">
        <v>72</v>
      </c>
      <c r="C1084" s="25" t="s">
        <v>4042</v>
      </c>
      <c r="D1084" s="12">
        <v>7.37</v>
      </c>
      <c r="E1084" s="14">
        <v>0.23</v>
      </c>
      <c r="F1084" s="7">
        <f t="shared" si="259"/>
        <v>32.043478260869563</v>
      </c>
      <c r="G1084" s="7">
        <f t="shared" si="251"/>
        <v>7.14</v>
      </c>
      <c r="H1084" s="16">
        <f t="shared" si="252"/>
        <v>7.6000000000000005</v>
      </c>
      <c r="I1084" s="11">
        <f t="shared" si="255"/>
        <v>0.28938800261361008</v>
      </c>
      <c r="J1084" s="33">
        <f t="shared" si="256"/>
        <v>9.0311045591764342E-3</v>
      </c>
      <c r="K1084" s="33">
        <f t="shared" si="257"/>
        <v>110.72842678849376</v>
      </c>
      <c r="L1084" s="8">
        <v>1</v>
      </c>
      <c r="M1084" s="9">
        <v>0</v>
      </c>
      <c r="N1084" s="8">
        <v>0</v>
      </c>
      <c r="O1084" s="9">
        <v>0</v>
      </c>
      <c r="P1084" s="9">
        <v>0</v>
      </c>
      <c r="Q1084" s="9">
        <v>1</v>
      </c>
      <c r="R1084" s="9">
        <v>0</v>
      </c>
      <c r="S1084" s="8">
        <v>11239</v>
      </c>
      <c r="T1084" s="9">
        <v>4</v>
      </c>
      <c r="U1084" s="9">
        <f t="shared" si="253"/>
        <v>11234</v>
      </c>
      <c r="V1084" s="9">
        <f t="shared" si="254"/>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v>0</v>
      </c>
      <c r="BF1084" s="18">
        <v>0</v>
      </c>
      <c r="BG1084">
        <v>1</v>
      </c>
      <c r="BH1084">
        <v>0</v>
      </c>
      <c r="BI1084" s="18">
        <v>0</v>
      </c>
      <c r="BJ1084">
        <v>15116</v>
      </c>
      <c r="BK1084">
        <v>12548</v>
      </c>
      <c r="BL1084" s="25">
        <v>37.5</v>
      </c>
      <c r="BM1084">
        <v>0</v>
      </c>
      <c r="BN1084">
        <v>0</v>
      </c>
      <c r="BO1084">
        <v>0</v>
      </c>
      <c r="BP1084">
        <v>0</v>
      </c>
      <c r="BQ1084">
        <v>0</v>
      </c>
      <c r="BR1084">
        <v>0</v>
      </c>
      <c r="BS1084">
        <v>0</v>
      </c>
      <c r="BT1084" s="18">
        <v>1</v>
      </c>
      <c r="BU1084">
        <v>0</v>
      </c>
      <c r="BV1084">
        <v>1</v>
      </c>
      <c r="BW1084">
        <v>0</v>
      </c>
      <c r="BX1084" s="18">
        <v>0</v>
      </c>
      <c r="BY1084">
        <v>1</v>
      </c>
      <c r="BZ1084">
        <v>0</v>
      </c>
      <c r="CA1084">
        <v>0</v>
      </c>
      <c r="CB1084">
        <v>0</v>
      </c>
      <c r="CC1084" s="18">
        <v>0</v>
      </c>
      <c r="CD1084">
        <v>0</v>
      </c>
      <c r="CE1084">
        <v>0</v>
      </c>
      <c r="CF1084">
        <v>1</v>
      </c>
      <c r="CG1084">
        <v>1</v>
      </c>
      <c r="CH1084">
        <v>0</v>
      </c>
      <c r="CI1084">
        <v>0</v>
      </c>
      <c r="CJ1084">
        <v>0</v>
      </c>
      <c r="CK1084">
        <v>0</v>
      </c>
      <c r="CL1084">
        <v>0</v>
      </c>
      <c r="CM1084">
        <v>0</v>
      </c>
      <c r="CN1084" s="18">
        <v>0</v>
      </c>
      <c r="CO1084">
        <v>0</v>
      </c>
      <c r="CP1084">
        <v>0</v>
      </c>
      <c r="CQ1084">
        <v>0</v>
      </c>
      <c r="CR1084">
        <v>1</v>
      </c>
      <c r="CS1084">
        <v>9</v>
      </c>
      <c r="CY1084" s="34"/>
    </row>
    <row r="1085" spans="1:103" x14ac:dyDescent="0.25">
      <c r="A1085">
        <v>1084</v>
      </c>
      <c r="B1085">
        <v>72</v>
      </c>
      <c r="C1085" s="25" t="s">
        <v>4042</v>
      </c>
      <c r="D1085" s="12">
        <v>4.84</v>
      </c>
      <c r="E1085" s="14">
        <v>0.19</v>
      </c>
      <c r="F1085" s="7">
        <f t="shared" si="259"/>
        <v>25.473684210526315</v>
      </c>
      <c r="G1085" s="7">
        <f t="shared" si="251"/>
        <v>4.6499999999999995</v>
      </c>
      <c r="H1085" s="16">
        <f t="shared" si="252"/>
        <v>5.03</v>
      </c>
      <c r="I1085" s="11">
        <f t="shared" si="255"/>
        <v>0.22504423749718469</v>
      </c>
      <c r="J1085" s="33">
        <f t="shared" si="256"/>
        <v>8.834381224063036E-3</v>
      </c>
      <c r="K1085" s="33">
        <f t="shared" si="257"/>
        <v>113.19411904890472</v>
      </c>
      <c r="L1085" s="8">
        <v>1</v>
      </c>
      <c r="M1085" s="9">
        <v>0</v>
      </c>
      <c r="N1085" s="8">
        <v>0</v>
      </c>
      <c r="O1085" s="9">
        <v>0</v>
      </c>
      <c r="P1085" s="9">
        <v>0</v>
      </c>
      <c r="Q1085" s="9">
        <v>1</v>
      </c>
      <c r="R1085" s="9">
        <v>0</v>
      </c>
      <c r="S1085" s="8">
        <v>12169</v>
      </c>
      <c r="T1085" s="9">
        <v>4</v>
      </c>
      <c r="U1085" s="9">
        <f t="shared" si="253"/>
        <v>12164</v>
      </c>
      <c r="V1085" s="9">
        <f t="shared" si="254"/>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v>0</v>
      </c>
      <c r="BF1085" s="18">
        <v>0</v>
      </c>
      <c r="BG1085">
        <v>1</v>
      </c>
      <c r="BH1085">
        <v>0</v>
      </c>
      <c r="BI1085" s="18">
        <v>0</v>
      </c>
      <c r="BJ1085">
        <v>15116</v>
      </c>
      <c r="BK1085">
        <v>12548</v>
      </c>
      <c r="BL1085" s="25">
        <v>37.5</v>
      </c>
      <c r="BM1085">
        <v>1</v>
      </c>
      <c r="BN1085">
        <v>0</v>
      </c>
      <c r="BO1085">
        <v>0</v>
      </c>
      <c r="BP1085">
        <v>0</v>
      </c>
      <c r="BQ1085">
        <v>0</v>
      </c>
      <c r="BR1085">
        <v>0</v>
      </c>
      <c r="BS1085">
        <v>0</v>
      </c>
      <c r="BT1085" s="18">
        <v>0</v>
      </c>
      <c r="BU1085">
        <v>0</v>
      </c>
      <c r="BV1085">
        <v>0</v>
      </c>
      <c r="BW1085">
        <v>1</v>
      </c>
      <c r="BX1085" s="18">
        <v>0</v>
      </c>
      <c r="BY1085">
        <v>0</v>
      </c>
      <c r="BZ1085">
        <v>0</v>
      </c>
      <c r="CA1085">
        <v>0</v>
      </c>
      <c r="CB1085">
        <v>0</v>
      </c>
      <c r="CC1085" s="18">
        <v>0</v>
      </c>
      <c r="CD1085">
        <v>0</v>
      </c>
      <c r="CE1085">
        <v>0</v>
      </c>
      <c r="CF1085">
        <v>1</v>
      </c>
      <c r="CG1085">
        <v>1</v>
      </c>
      <c r="CH1085">
        <v>0</v>
      </c>
      <c r="CI1085">
        <v>0</v>
      </c>
      <c r="CJ1085">
        <v>0</v>
      </c>
      <c r="CK1085">
        <v>0</v>
      </c>
      <c r="CL1085">
        <v>0</v>
      </c>
      <c r="CM1085">
        <v>0</v>
      </c>
      <c r="CN1085" s="18">
        <v>0</v>
      </c>
      <c r="CO1085">
        <v>0</v>
      </c>
      <c r="CP1085">
        <v>0</v>
      </c>
      <c r="CQ1085">
        <v>0</v>
      </c>
      <c r="CR1085">
        <v>1</v>
      </c>
      <c r="CS1085">
        <v>9</v>
      </c>
      <c r="CY1085" s="34"/>
    </row>
    <row r="1086" spans="1:103" x14ac:dyDescent="0.25">
      <c r="A1086">
        <v>1085</v>
      </c>
      <c r="B1086">
        <v>72</v>
      </c>
      <c r="C1086" s="25" t="s">
        <v>4042</v>
      </c>
      <c r="D1086" s="12">
        <v>3.74</v>
      </c>
      <c r="E1086" s="14">
        <v>0.27</v>
      </c>
      <c r="F1086" s="7">
        <f t="shared" si="259"/>
        <v>13.851851851851851</v>
      </c>
      <c r="G1086" s="7">
        <f t="shared" si="251"/>
        <v>3.47</v>
      </c>
      <c r="H1086" s="16">
        <f t="shared" si="252"/>
        <v>4.01</v>
      </c>
      <c r="I1086" s="11">
        <f t="shared" si="255"/>
        <v>0.12463035605517775</v>
      </c>
      <c r="J1086" s="33">
        <f t="shared" si="256"/>
        <v>8.9973786456946508E-3</v>
      </c>
      <c r="K1086" s="33">
        <f t="shared" si="257"/>
        <v>111.14348293861252</v>
      </c>
      <c r="L1086" s="8">
        <v>1</v>
      </c>
      <c r="M1086" s="9">
        <v>0</v>
      </c>
      <c r="N1086" s="8">
        <v>0</v>
      </c>
      <c r="O1086" s="9">
        <v>0</v>
      </c>
      <c r="P1086" s="9">
        <v>0</v>
      </c>
      <c r="Q1086" s="9">
        <v>1</v>
      </c>
      <c r="R1086" s="9">
        <v>0</v>
      </c>
      <c r="S1086" s="8">
        <v>12169</v>
      </c>
      <c r="T1086" s="9">
        <v>7</v>
      </c>
      <c r="U1086" s="9">
        <f t="shared" si="253"/>
        <v>12161</v>
      </c>
      <c r="V1086" s="9">
        <f t="shared" si="254"/>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v>0</v>
      </c>
      <c r="BF1086" s="18">
        <v>0</v>
      </c>
      <c r="BG1086">
        <v>1</v>
      </c>
      <c r="BH1086">
        <v>0</v>
      </c>
      <c r="BI1086" s="18">
        <v>0</v>
      </c>
      <c r="BJ1086">
        <v>15116</v>
      </c>
      <c r="BK1086">
        <v>12548</v>
      </c>
      <c r="BL1086" s="25">
        <v>37.5</v>
      </c>
      <c r="BM1086">
        <v>1</v>
      </c>
      <c r="BN1086">
        <v>0</v>
      </c>
      <c r="BO1086">
        <v>0</v>
      </c>
      <c r="BP1086">
        <v>0</v>
      </c>
      <c r="BQ1086">
        <v>0</v>
      </c>
      <c r="BR1086">
        <v>0</v>
      </c>
      <c r="BS1086">
        <v>0</v>
      </c>
      <c r="BT1086" s="18">
        <v>0</v>
      </c>
      <c r="BU1086">
        <v>0</v>
      </c>
      <c r="BV1086">
        <v>0</v>
      </c>
      <c r="BW1086">
        <v>1</v>
      </c>
      <c r="BX1086" s="18">
        <v>0</v>
      </c>
      <c r="BY1086">
        <v>0</v>
      </c>
      <c r="BZ1086">
        <v>0</v>
      </c>
      <c r="CA1086">
        <v>0</v>
      </c>
      <c r="CB1086">
        <v>0</v>
      </c>
      <c r="CC1086" s="18">
        <v>0</v>
      </c>
      <c r="CD1086">
        <v>0</v>
      </c>
      <c r="CE1086">
        <v>0</v>
      </c>
      <c r="CF1086">
        <v>1</v>
      </c>
      <c r="CG1086">
        <v>1</v>
      </c>
      <c r="CH1086">
        <v>0</v>
      </c>
      <c r="CI1086">
        <v>0</v>
      </c>
      <c r="CJ1086">
        <v>0</v>
      </c>
      <c r="CK1086">
        <v>0</v>
      </c>
      <c r="CL1086">
        <v>0</v>
      </c>
      <c r="CM1086">
        <v>0</v>
      </c>
      <c r="CN1086" s="18">
        <v>0</v>
      </c>
      <c r="CO1086">
        <v>0</v>
      </c>
      <c r="CP1086">
        <v>0</v>
      </c>
      <c r="CQ1086">
        <v>0</v>
      </c>
      <c r="CR1086">
        <v>1</v>
      </c>
      <c r="CS1086">
        <v>9</v>
      </c>
      <c r="CY1086" s="34"/>
    </row>
    <row r="1087" spans="1:103" x14ac:dyDescent="0.25">
      <c r="A1087">
        <v>1086</v>
      </c>
      <c r="B1087">
        <v>72</v>
      </c>
      <c r="C1087" s="25" t="s">
        <v>4042</v>
      </c>
      <c r="D1087" s="12">
        <v>3.95</v>
      </c>
      <c r="E1087" s="14">
        <v>0.21</v>
      </c>
      <c r="F1087" s="7">
        <f t="shared" si="259"/>
        <v>18.80952380952381</v>
      </c>
      <c r="G1087" s="7">
        <f t="shared" si="251"/>
        <v>3.74</v>
      </c>
      <c r="H1087" s="16">
        <f t="shared" si="252"/>
        <v>4.16</v>
      </c>
      <c r="I1087" s="11">
        <f t="shared" si="255"/>
        <v>0.18609797544868056</v>
      </c>
      <c r="J1087" s="33">
        <f t="shared" si="256"/>
        <v>9.8938164162589663E-3</v>
      </c>
      <c r="K1087" s="33">
        <f t="shared" si="257"/>
        <v>101.07323179725205</v>
      </c>
      <c r="L1087" s="8">
        <v>1</v>
      </c>
      <c r="M1087" s="9">
        <v>0</v>
      </c>
      <c r="N1087" s="8">
        <v>0</v>
      </c>
      <c r="O1087" s="9">
        <v>0</v>
      </c>
      <c r="P1087" s="9">
        <v>0</v>
      </c>
      <c r="Q1087" s="9">
        <v>1</v>
      </c>
      <c r="R1087" s="9">
        <v>0</v>
      </c>
      <c r="S1087" s="8">
        <v>9867</v>
      </c>
      <c r="T1087" s="9">
        <v>4</v>
      </c>
      <c r="U1087" s="9">
        <f t="shared" si="253"/>
        <v>9862</v>
      </c>
      <c r="V1087" s="9">
        <f t="shared" si="254"/>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v>0</v>
      </c>
      <c r="BF1087" s="18">
        <v>0</v>
      </c>
      <c r="BG1087">
        <v>1</v>
      </c>
      <c r="BH1087">
        <v>0</v>
      </c>
      <c r="BI1087" s="18">
        <v>0</v>
      </c>
      <c r="BJ1087">
        <v>15116</v>
      </c>
      <c r="BK1087">
        <v>12548</v>
      </c>
      <c r="BL1087" s="25">
        <v>37.5</v>
      </c>
      <c r="BM1087">
        <v>1</v>
      </c>
      <c r="BN1087">
        <v>0</v>
      </c>
      <c r="BO1087">
        <v>0</v>
      </c>
      <c r="BP1087">
        <v>0</v>
      </c>
      <c r="BQ1087">
        <v>0</v>
      </c>
      <c r="BR1087">
        <v>0</v>
      </c>
      <c r="BS1087">
        <v>0</v>
      </c>
      <c r="BT1087" s="18">
        <v>0</v>
      </c>
      <c r="BU1087">
        <v>0</v>
      </c>
      <c r="BV1087">
        <v>0</v>
      </c>
      <c r="BW1087">
        <v>1</v>
      </c>
      <c r="BX1087" s="18">
        <v>0</v>
      </c>
      <c r="BY1087">
        <v>0</v>
      </c>
      <c r="BZ1087">
        <v>0</v>
      </c>
      <c r="CA1087">
        <v>0</v>
      </c>
      <c r="CB1087">
        <v>0</v>
      </c>
      <c r="CC1087" s="18">
        <v>0</v>
      </c>
      <c r="CD1087">
        <v>0</v>
      </c>
      <c r="CE1087">
        <v>0</v>
      </c>
      <c r="CF1087">
        <v>1</v>
      </c>
      <c r="CG1087">
        <v>1</v>
      </c>
      <c r="CH1087">
        <v>0</v>
      </c>
      <c r="CI1087">
        <v>0</v>
      </c>
      <c r="CJ1087">
        <v>0</v>
      </c>
      <c r="CK1087">
        <v>0</v>
      </c>
      <c r="CL1087">
        <v>0</v>
      </c>
      <c r="CM1087">
        <v>0</v>
      </c>
      <c r="CN1087" s="18">
        <v>0</v>
      </c>
      <c r="CO1087">
        <v>0</v>
      </c>
      <c r="CP1087">
        <v>0</v>
      </c>
      <c r="CQ1087">
        <v>0</v>
      </c>
      <c r="CR1087">
        <v>1</v>
      </c>
      <c r="CS1087">
        <v>9</v>
      </c>
      <c r="CY1087" s="34"/>
    </row>
    <row r="1088" spans="1:103" x14ac:dyDescent="0.25">
      <c r="A1088">
        <v>1087</v>
      </c>
      <c r="B1088">
        <v>72</v>
      </c>
      <c r="C1088" s="25" t="s">
        <v>4042</v>
      </c>
      <c r="D1088" s="12">
        <v>3.04</v>
      </c>
      <c r="E1088" s="14">
        <v>0.3</v>
      </c>
      <c r="F1088" s="7">
        <f t="shared" si="259"/>
        <v>10.133333333333335</v>
      </c>
      <c r="G1088" s="7">
        <f t="shared" si="251"/>
        <v>2.74</v>
      </c>
      <c r="H1088" s="16">
        <f t="shared" si="252"/>
        <v>3.34</v>
      </c>
      <c r="I1088" s="11">
        <f t="shared" si="255"/>
        <v>0.1015280251398188</v>
      </c>
      <c r="J1088" s="33">
        <f t="shared" si="256"/>
        <v>1.0019213007218961E-2</v>
      </c>
      <c r="K1088" s="33">
        <f t="shared" si="257"/>
        <v>99.808238359588543</v>
      </c>
      <c r="L1088" s="8">
        <v>1</v>
      </c>
      <c r="M1088" s="9">
        <v>0</v>
      </c>
      <c r="N1088" s="8">
        <v>0</v>
      </c>
      <c r="O1088" s="9">
        <v>0</v>
      </c>
      <c r="P1088" s="9">
        <v>0</v>
      </c>
      <c r="Q1088" s="9">
        <v>1</v>
      </c>
      <c r="R1088" s="9">
        <v>0</v>
      </c>
      <c r="S1088" s="8">
        <v>9867</v>
      </c>
      <c r="T1088" s="9">
        <v>7</v>
      </c>
      <c r="U1088" s="9">
        <f t="shared" si="253"/>
        <v>9859</v>
      </c>
      <c r="V1088" s="9">
        <f t="shared" si="254"/>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v>0</v>
      </c>
      <c r="BF1088" s="18">
        <v>0</v>
      </c>
      <c r="BG1088">
        <v>1</v>
      </c>
      <c r="BH1088">
        <v>0</v>
      </c>
      <c r="BI1088" s="18">
        <v>0</v>
      </c>
      <c r="BJ1088">
        <v>15116</v>
      </c>
      <c r="BK1088">
        <v>12548</v>
      </c>
      <c r="BL1088" s="25">
        <v>37.5</v>
      </c>
      <c r="BM1088">
        <v>1</v>
      </c>
      <c r="BN1088">
        <v>0</v>
      </c>
      <c r="BO1088">
        <v>0</v>
      </c>
      <c r="BP1088">
        <v>0</v>
      </c>
      <c r="BQ1088">
        <v>0</v>
      </c>
      <c r="BR1088">
        <v>0</v>
      </c>
      <c r="BS1088">
        <v>0</v>
      </c>
      <c r="BT1088" s="18">
        <v>0</v>
      </c>
      <c r="BU1088">
        <v>0</v>
      </c>
      <c r="BV1088">
        <v>0</v>
      </c>
      <c r="BW1088">
        <v>1</v>
      </c>
      <c r="BX1088" s="18">
        <v>0</v>
      </c>
      <c r="BY1088">
        <v>0</v>
      </c>
      <c r="BZ1088">
        <v>0</v>
      </c>
      <c r="CA1088">
        <v>0</v>
      </c>
      <c r="CB1088">
        <v>0</v>
      </c>
      <c r="CC1088" s="18">
        <v>0</v>
      </c>
      <c r="CD1088">
        <v>0</v>
      </c>
      <c r="CE1088">
        <v>0</v>
      </c>
      <c r="CF1088">
        <v>1</v>
      </c>
      <c r="CG1088">
        <v>1</v>
      </c>
      <c r="CH1088">
        <v>0</v>
      </c>
      <c r="CI1088">
        <v>0</v>
      </c>
      <c r="CJ1088">
        <v>0</v>
      </c>
      <c r="CK1088">
        <v>0</v>
      </c>
      <c r="CL1088">
        <v>0</v>
      </c>
      <c r="CM1088">
        <v>0</v>
      </c>
      <c r="CN1088" s="18">
        <v>0</v>
      </c>
      <c r="CO1088">
        <v>0</v>
      </c>
      <c r="CP1088">
        <v>0</v>
      </c>
      <c r="CQ1088">
        <v>0</v>
      </c>
      <c r="CR1088">
        <v>1</v>
      </c>
      <c r="CS1088">
        <v>9</v>
      </c>
      <c r="CY1088" s="34"/>
    </row>
    <row r="1089" spans="1:103" x14ac:dyDescent="0.25">
      <c r="A1089">
        <v>1088</v>
      </c>
      <c r="B1089">
        <v>72</v>
      </c>
      <c r="C1089" s="25" t="s">
        <v>4042</v>
      </c>
      <c r="D1089" s="12">
        <v>6.26</v>
      </c>
      <c r="E1089" s="14">
        <v>0.44</v>
      </c>
      <c r="F1089" s="7">
        <f t="shared" si="259"/>
        <v>14.227272727272727</v>
      </c>
      <c r="G1089" s="7">
        <f t="shared" si="251"/>
        <v>5.8199999999999994</v>
      </c>
      <c r="H1089" s="16">
        <f t="shared" si="252"/>
        <v>6.7</v>
      </c>
      <c r="I1089" s="11">
        <f t="shared" si="255"/>
        <v>0.28457873574040454</v>
      </c>
      <c r="J1089" s="33">
        <f t="shared" si="256"/>
        <v>2.0002339253319169E-2</v>
      </c>
      <c r="K1089" s="33">
        <f t="shared" si="257"/>
        <v>49.994152550635349</v>
      </c>
      <c r="L1089" s="8">
        <v>1</v>
      </c>
      <c r="M1089" s="9">
        <v>0</v>
      </c>
      <c r="N1089" s="8">
        <v>0</v>
      </c>
      <c r="O1089" s="9">
        <v>0</v>
      </c>
      <c r="P1089" s="9">
        <v>0</v>
      </c>
      <c r="Q1089" s="9">
        <v>1</v>
      </c>
      <c r="R1089" s="9">
        <v>0</v>
      </c>
      <c r="S1089" s="8">
        <v>2302</v>
      </c>
      <c r="T1089" s="9">
        <v>4</v>
      </c>
      <c r="U1089" s="9">
        <f t="shared" si="253"/>
        <v>2297</v>
      </c>
      <c r="V1089" s="9">
        <f t="shared" si="254"/>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v>0</v>
      </c>
      <c r="BF1089" s="18">
        <v>0</v>
      </c>
      <c r="BG1089">
        <v>1</v>
      </c>
      <c r="BH1089">
        <v>0</v>
      </c>
      <c r="BI1089" s="18">
        <v>0</v>
      </c>
      <c r="BJ1089">
        <v>15116</v>
      </c>
      <c r="BK1089">
        <v>12548</v>
      </c>
      <c r="BL1089" s="25">
        <v>37.5</v>
      </c>
      <c r="BM1089">
        <v>1</v>
      </c>
      <c r="BN1089">
        <v>0</v>
      </c>
      <c r="BO1089">
        <v>0</v>
      </c>
      <c r="BP1089">
        <v>0</v>
      </c>
      <c r="BQ1089">
        <v>0</v>
      </c>
      <c r="BR1089">
        <v>0</v>
      </c>
      <c r="BS1089">
        <v>0</v>
      </c>
      <c r="BT1089" s="18">
        <v>0</v>
      </c>
      <c r="BU1089">
        <v>0</v>
      </c>
      <c r="BV1089">
        <v>0</v>
      </c>
      <c r="BW1089">
        <v>1</v>
      </c>
      <c r="BX1089" s="18">
        <v>0</v>
      </c>
      <c r="BY1089">
        <v>0</v>
      </c>
      <c r="BZ1089">
        <v>0</v>
      </c>
      <c r="CA1089">
        <v>0</v>
      </c>
      <c r="CB1089">
        <v>0</v>
      </c>
      <c r="CC1089" s="18">
        <v>0</v>
      </c>
      <c r="CD1089">
        <v>0</v>
      </c>
      <c r="CE1089">
        <v>0</v>
      </c>
      <c r="CF1089">
        <v>1</v>
      </c>
      <c r="CG1089">
        <v>1</v>
      </c>
      <c r="CH1089">
        <v>0</v>
      </c>
      <c r="CI1089">
        <v>0</v>
      </c>
      <c r="CJ1089">
        <v>0</v>
      </c>
      <c r="CK1089">
        <v>0</v>
      </c>
      <c r="CL1089">
        <v>0</v>
      </c>
      <c r="CM1089">
        <v>0</v>
      </c>
      <c r="CN1089" s="18">
        <v>0</v>
      </c>
      <c r="CO1089">
        <v>0</v>
      </c>
      <c r="CP1089">
        <v>0</v>
      </c>
      <c r="CQ1089">
        <v>0</v>
      </c>
      <c r="CR1089">
        <v>1</v>
      </c>
      <c r="CS1089">
        <v>9</v>
      </c>
      <c r="CY1089" s="34"/>
    </row>
    <row r="1090" spans="1:103" x14ac:dyDescent="0.25">
      <c r="A1090">
        <v>1089</v>
      </c>
      <c r="B1090">
        <v>72</v>
      </c>
      <c r="C1090" s="25" t="s">
        <v>4042</v>
      </c>
      <c r="D1090" s="12">
        <v>6.24</v>
      </c>
      <c r="E1090" s="14">
        <v>0.73</v>
      </c>
      <c r="F1090" s="7">
        <f t="shared" si="259"/>
        <v>8.5479452054794525</v>
      </c>
      <c r="G1090" s="7">
        <f t="shared" ref="G1090:G1116" si="260">D1090-E1090</f>
        <v>5.51</v>
      </c>
      <c r="H1090" s="16">
        <f t="shared" ref="H1090:H1116" si="261">D1090+E1090</f>
        <v>6.9700000000000006</v>
      </c>
      <c r="I1090" s="11">
        <f t="shared" si="255"/>
        <v>0.17569379367320767</v>
      </c>
      <c r="J1090" s="33">
        <f t="shared" si="256"/>
        <v>2.0553921375231026E-2</v>
      </c>
      <c r="K1090" s="33">
        <f t="shared" si="257"/>
        <v>48.652516556041363</v>
      </c>
      <c r="L1090" s="8">
        <v>1</v>
      </c>
      <c r="M1090" s="9">
        <v>0</v>
      </c>
      <c r="N1090" s="8">
        <v>0</v>
      </c>
      <c r="O1090" s="9">
        <v>0</v>
      </c>
      <c r="P1090" s="9">
        <v>0</v>
      </c>
      <c r="Q1090" s="9">
        <v>1</v>
      </c>
      <c r="R1090" s="9">
        <v>0</v>
      </c>
      <c r="S1090" s="8">
        <v>2302</v>
      </c>
      <c r="T1090" s="9">
        <v>7</v>
      </c>
      <c r="U1090" s="9">
        <f t="shared" ref="U1090:U1116" si="262">S1090-T1090-1</f>
        <v>2294</v>
      </c>
      <c r="V1090" s="9">
        <f t="shared" ref="V1090:V1116" si="263">COUNTIF(B:B,B1090)</f>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v>0</v>
      </c>
      <c r="BF1090" s="18">
        <v>0</v>
      </c>
      <c r="BG1090">
        <v>1</v>
      </c>
      <c r="BH1090">
        <v>0</v>
      </c>
      <c r="BI1090" s="18">
        <v>0</v>
      </c>
      <c r="BJ1090">
        <v>15116</v>
      </c>
      <c r="BK1090">
        <v>12548</v>
      </c>
      <c r="BL1090" s="25">
        <v>37.5</v>
      </c>
      <c r="BM1090">
        <v>1</v>
      </c>
      <c r="BN1090">
        <v>0</v>
      </c>
      <c r="BO1090">
        <v>0</v>
      </c>
      <c r="BP1090">
        <v>0</v>
      </c>
      <c r="BQ1090">
        <v>0</v>
      </c>
      <c r="BR1090">
        <v>0</v>
      </c>
      <c r="BS1090">
        <v>0</v>
      </c>
      <c r="BT1090" s="18">
        <v>0</v>
      </c>
      <c r="BU1090">
        <v>0</v>
      </c>
      <c r="BV1090">
        <v>0</v>
      </c>
      <c r="BW1090">
        <v>1</v>
      </c>
      <c r="BX1090" s="18">
        <v>0</v>
      </c>
      <c r="BY1090">
        <v>0</v>
      </c>
      <c r="BZ1090">
        <v>0</v>
      </c>
      <c r="CA1090">
        <v>0</v>
      </c>
      <c r="CB1090">
        <v>0</v>
      </c>
      <c r="CC1090" s="18">
        <v>0</v>
      </c>
      <c r="CD1090">
        <v>0</v>
      </c>
      <c r="CE1090">
        <v>0</v>
      </c>
      <c r="CF1090">
        <v>1</v>
      </c>
      <c r="CG1090">
        <v>1</v>
      </c>
      <c r="CH1090">
        <v>0</v>
      </c>
      <c r="CI1090">
        <v>0</v>
      </c>
      <c r="CJ1090">
        <v>0</v>
      </c>
      <c r="CK1090">
        <v>0</v>
      </c>
      <c r="CL1090">
        <v>0</v>
      </c>
      <c r="CM1090">
        <v>0</v>
      </c>
      <c r="CN1090" s="18">
        <v>0</v>
      </c>
      <c r="CO1090">
        <v>0</v>
      </c>
      <c r="CP1090">
        <v>0</v>
      </c>
      <c r="CQ1090">
        <v>0</v>
      </c>
      <c r="CR1090">
        <v>1</v>
      </c>
      <c r="CS1090">
        <v>9</v>
      </c>
      <c r="CY1090" s="34"/>
    </row>
    <row r="1091" spans="1:103" x14ac:dyDescent="0.25">
      <c r="A1091">
        <v>1090</v>
      </c>
      <c r="B1091">
        <v>73</v>
      </c>
      <c r="C1091" s="25" t="s">
        <v>4050</v>
      </c>
      <c r="D1091" s="12">
        <v>6.51</v>
      </c>
      <c r="E1091" s="14">
        <f t="shared" ref="E1091:E1102" si="264">D1091/F1091</f>
        <v>0.1207120341183015</v>
      </c>
      <c r="F1091" s="7">
        <v>53.93</v>
      </c>
      <c r="G1091" s="7">
        <f t="shared" si="260"/>
        <v>6.3892879658816986</v>
      </c>
      <c r="H1091" s="16">
        <f t="shared" si="261"/>
        <v>6.630712034118301</v>
      </c>
      <c r="I1091" s="11">
        <f t="shared" si="255"/>
        <v>0.15010208877533671</v>
      </c>
      <c r="J1091" s="33">
        <f t="shared" si="256"/>
        <v>2.7832762613635583E-3</v>
      </c>
      <c r="K1091" s="33">
        <f t="shared" si="257"/>
        <v>359.28880430650776</v>
      </c>
      <c r="L1091" s="8">
        <v>0</v>
      </c>
      <c r="M1091" s="9">
        <v>1</v>
      </c>
      <c r="N1091" s="8">
        <v>0</v>
      </c>
      <c r="O1091" s="9">
        <v>0</v>
      </c>
      <c r="P1091" s="9">
        <v>0</v>
      </c>
      <c r="Q1091" s="9">
        <v>1</v>
      </c>
      <c r="R1091" s="9">
        <v>0</v>
      </c>
      <c r="S1091" s="8">
        <v>126199</v>
      </c>
      <c r="T1091" s="9">
        <v>18</v>
      </c>
      <c r="U1091" s="9">
        <f t="shared" si="262"/>
        <v>126180</v>
      </c>
      <c r="V1091" s="9">
        <f t="shared" si="263"/>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65">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v>0</v>
      </c>
      <c r="BF1091" s="18">
        <v>0</v>
      </c>
      <c r="BG1091">
        <v>1</v>
      </c>
      <c r="BH1091">
        <v>0</v>
      </c>
      <c r="BI1091" s="18">
        <v>0</v>
      </c>
      <c r="BJ1091">
        <v>30105</v>
      </c>
      <c r="BK1091">
        <v>22902</v>
      </c>
      <c r="BL1091" s="25">
        <v>42.22</v>
      </c>
      <c r="BM1091">
        <v>1</v>
      </c>
      <c r="BN1091">
        <v>0</v>
      </c>
      <c r="BO1091">
        <v>0</v>
      </c>
      <c r="BP1091">
        <v>0</v>
      </c>
      <c r="BQ1091">
        <v>0</v>
      </c>
      <c r="BR1091">
        <v>0</v>
      </c>
      <c r="BS1091">
        <v>0</v>
      </c>
      <c r="BT1091" s="18">
        <v>0</v>
      </c>
      <c r="BU1091">
        <v>0</v>
      </c>
      <c r="BV1091">
        <v>0</v>
      </c>
      <c r="BW1091">
        <v>1</v>
      </c>
      <c r="BX1091" s="18">
        <v>0</v>
      </c>
      <c r="BY1091">
        <v>0</v>
      </c>
      <c r="BZ1091">
        <v>0</v>
      </c>
      <c r="CA1091">
        <v>0</v>
      </c>
      <c r="CB1091">
        <v>0</v>
      </c>
      <c r="CC1091" s="18">
        <v>0</v>
      </c>
      <c r="CD1091">
        <v>1</v>
      </c>
      <c r="CE1091">
        <v>1</v>
      </c>
      <c r="CF1091">
        <v>1</v>
      </c>
      <c r="CG1091">
        <v>1</v>
      </c>
      <c r="CH1091">
        <v>1</v>
      </c>
      <c r="CI1091">
        <v>1</v>
      </c>
      <c r="CJ1091">
        <v>1</v>
      </c>
      <c r="CK1091">
        <v>1</v>
      </c>
      <c r="CL1091">
        <v>0</v>
      </c>
      <c r="CM1091">
        <v>0</v>
      </c>
      <c r="CN1091" s="18">
        <v>1</v>
      </c>
      <c r="CO1091">
        <v>2.9000000000000001E-2</v>
      </c>
      <c r="CP1091">
        <v>0</v>
      </c>
      <c r="CQ1091">
        <v>1</v>
      </c>
      <c r="CR1091">
        <v>0</v>
      </c>
      <c r="CS1091">
        <v>26</v>
      </c>
      <c r="CY1091" s="34"/>
    </row>
    <row r="1092" spans="1:103" x14ac:dyDescent="0.25">
      <c r="A1092">
        <v>1091</v>
      </c>
      <c r="B1092">
        <v>73</v>
      </c>
      <c r="C1092" s="25" t="s">
        <v>4050</v>
      </c>
      <c r="D1092" s="12">
        <v>5.52</v>
      </c>
      <c r="E1092" s="14">
        <f t="shared" si="264"/>
        <v>0.1047637122793699</v>
      </c>
      <c r="F1092" s="7">
        <v>52.69</v>
      </c>
      <c r="G1092" s="7">
        <f t="shared" si="260"/>
        <v>5.4152362877206297</v>
      </c>
      <c r="H1092" s="16">
        <f t="shared" si="261"/>
        <v>5.6247637122793694</v>
      </c>
      <c r="I1092" s="11">
        <f t="shared" si="255"/>
        <v>0.14672598179695628</v>
      </c>
      <c r="J1092" s="33">
        <f t="shared" si="256"/>
        <v>2.7847026342181871E-3</v>
      </c>
      <c r="K1092" s="33">
        <f t="shared" si="257"/>
        <v>359.10477036653242</v>
      </c>
      <c r="L1092" s="8">
        <v>0</v>
      </c>
      <c r="M1092" s="9">
        <v>1</v>
      </c>
      <c r="N1092" s="8">
        <v>0</v>
      </c>
      <c r="O1092" s="9">
        <v>0</v>
      </c>
      <c r="P1092" s="9">
        <v>0</v>
      </c>
      <c r="Q1092" s="9">
        <v>1</v>
      </c>
      <c r="R1092" s="9">
        <v>0</v>
      </c>
      <c r="S1092" s="8">
        <v>126199</v>
      </c>
      <c r="T1092" s="9">
        <v>18</v>
      </c>
      <c r="U1092" s="9">
        <f t="shared" si="262"/>
        <v>126180</v>
      </c>
      <c r="V1092" s="9">
        <f t="shared" si="263"/>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65"/>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v>0</v>
      </c>
      <c r="BF1092" s="18">
        <v>0</v>
      </c>
      <c r="BG1092">
        <v>1</v>
      </c>
      <c r="BH1092">
        <v>0</v>
      </c>
      <c r="BI1092" s="18">
        <v>0</v>
      </c>
      <c r="BJ1092">
        <v>30105</v>
      </c>
      <c r="BK1092">
        <v>22902</v>
      </c>
      <c r="BL1092" s="25">
        <v>42.22</v>
      </c>
      <c r="BM1092">
        <v>1</v>
      </c>
      <c r="BN1092">
        <v>0</v>
      </c>
      <c r="BO1092">
        <v>0</v>
      </c>
      <c r="BP1092">
        <v>0</v>
      </c>
      <c r="BQ1092">
        <v>0</v>
      </c>
      <c r="BR1092">
        <v>0</v>
      </c>
      <c r="BS1092">
        <v>0</v>
      </c>
      <c r="BT1092" s="18">
        <v>0</v>
      </c>
      <c r="BU1092">
        <v>0</v>
      </c>
      <c r="BV1092">
        <v>0</v>
      </c>
      <c r="BW1092">
        <v>1</v>
      </c>
      <c r="BX1092" s="18">
        <v>0</v>
      </c>
      <c r="BY1092">
        <v>0</v>
      </c>
      <c r="BZ1092">
        <v>0</v>
      </c>
      <c r="CA1092">
        <v>0</v>
      </c>
      <c r="CB1092">
        <v>0</v>
      </c>
      <c r="CC1092" s="18">
        <v>0</v>
      </c>
      <c r="CD1092">
        <v>1</v>
      </c>
      <c r="CE1092">
        <v>1</v>
      </c>
      <c r="CF1092">
        <v>1</v>
      </c>
      <c r="CG1092">
        <v>1</v>
      </c>
      <c r="CH1092">
        <v>1</v>
      </c>
      <c r="CI1092">
        <v>1</v>
      </c>
      <c r="CJ1092">
        <v>1</v>
      </c>
      <c r="CK1092">
        <v>1</v>
      </c>
      <c r="CL1092">
        <v>0</v>
      </c>
      <c r="CM1092">
        <v>0</v>
      </c>
      <c r="CN1092" s="18">
        <v>1</v>
      </c>
      <c r="CO1092">
        <v>2.9000000000000001E-2</v>
      </c>
      <c r="CP1092">
        <v>0</v>
      </c>
      <c r="CQ1092">
        <v>1</v>
      </c>
      <c r="CR1092">
        <v>0</v>
      </c>
      <c r="CS1092">
        <v>26</v>
      </c>
      <c r="CY1092" s="34"/>
    </row>
    <row r="1093" spans="1:103" x14ac:dyDescent="0.25">
      <c r="A1093">
        <v>1092</v>
      </c>
      <c r="B1093">
        <v>73</v>
      </c>
      <c r="C1093" s="25" t="s">
        <v>4050</v>
      </c>
      <c r="D1093" s="12">
        <v>6.47</v>
      </c>
      <c r="E1093" s="14">
        <f t="shared" si="264"/>
        <v>0.11959334565619223</v>
      </c>
      <c r="F1093" s="7">
        <v>54.1</v>
      </c>
      <c r="G1093" s="7">
        <f t="shared" si="260"/>
        <v>6.3504066543438071</v>
      </c>
      <c r="H1093" s="16">
        <f t="shared" si="261"/>
        <v>6.5895933456561924</v>
      </c>
      <c r="I1093" s="11">
        <f t="shared" si="255"/>
        <v>0.15056453589497909</v>
      </c>
      <c r="J1093" s="33">
        <f t="shared" si="256"/>
        <v>2.7830782975042344E-3</v>
      </c>
      <c r="K1093" s="33">
        <f t="shared" si="257"/>
        <v>359.31436097100266</v>
      </c>
      <c r="L1093" s="8">
        <v>0</v>
      </c>
      <c r="M1093" s="9">
        <v>1</v>
      </c>
      <c r="N1093" s="8">
        <v>0</v>
      </c>
      <c r="O1093" s="9">
        <v>0</v>
      </c>
      <c r="P1093" s="9">
        <v>0</v>
      </c>
      <c r="Q1093" s="9">
        <v>1</v>
      </c>
      <c r="R1093" s="9">
        <v>0</v>
      </c>
      <c r="S1093" s="8">
        <v>126199</v>
      </c>
      <c r="T1093" s="9">
        <v>18</v>
      </c>
      <c r="U1093" s="9">
        <f t="shared" si="262"/>
        <v>126180</v>
      </c>
      <c r="V1093" s="9">
        <f t="shared" si="263"/>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65"/>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v>0</v>
      </c>
      <c r="BF1093" s="18">
        <v>0</v>
      </c>
      <c r="BG1093">
        <v>1</v>
      </c>
      <c r="BH1093">
        <v>0</v>
      </c>
      <c r="BI1093" s="18">
        <v>0</v>
      </c>
      <c r="BJ1093">
        <v>30105</v>
      </c>
      <c r="BK1093">
        <v>22902</v>
      </c>
      <c r="BL1093" s="25">
        <v>42.22</v>
      </c>
      <c r="BM1093">
        <v>1</v>
      </c>
      <c r="BN1093">
        <v>0</v>
      </c>
      <c r="BO1093">
        <v>0</v>
      </c>
      <c r="BP1093">
        <v>0</v>
      </c>
      <c r="BQ1093">
        <v>0</v>
      </c>
      <c r="BR1093">
        <v>0</v>
      </c>
      <c r="BS1093">
        <v>0</v>
      </c>
      <c r="BT1093" s="18">
        <v>0</v>
      </c>
      <c r="BU1093">
        <v>0</v>
      </c>
      <c r="BV1093">
        <v>0</v>
      </c>
      <c r="BW1093">
        <v>1</v>
      </c>
      <c r="BX1093" s="18">
        <v>0</v>
      </c>
      <c r="BY1093">
        <v>0</v>
      </c>
      <c r="BZ1093">
        <v>0</v>
      </c>
      <c r="CA1093">
        <v>0</v>
      </c>
      <c r="CB1093">
        <v>0</v>
      </c>
      <c r="CC1093" s="18">
        <v>0</v>
      </c>
      <c r="CD1093">
        <v>1</v>
      </c>
      <c r="CE1093">
        <v>1</v>
      </c>
      <c r="CF1093">
        <v>1</v>
      </c>
      <c r="CG1093">
        <v>1</v>
      </c>
      <c r="CH1093">
        <v>1</v>
      </c>
      <c r="CI1093">
        <v>1</v>
      </c>
      <c r="CJ1093">
        <v>1</v>
      </c>
      <c r="CK1093">
        <v>1</v>
      </c>
      <c r="CL1093">
        <v>0</v>
      </c>
      <c r="CM1093">
        <v>0</v>
      </c>
      <c r="CN1093" s="18">
        <v>1</v>
      </c>
      <c r="CO1093">
        <v>2.9000000000000001E-2</v>
      </c>
      <c r="CP1093">
        <v>0</v>
      </c>
      <c r="CQ1093">
        <v>1</v>
      </c>
      <c r="CR1093">
        <v>0</v>
      </c>
      <c r="CS1093">
        <v>26</v>
      </c>
      <c r="CY1093" s="34"/>
    </row>
    <row r="1094" spans="1:103" x14ac:dyDescent="0.25">
      <c r="A1094">
        <v>1093</v>
      </c>
      <c r="B1094">
        <v>73</v>
      </c>
      <c r="C1094" s="25" t="s">
        <v>4050</v>
      </c>
      <c r="D1094" s="12">
        <v>5.53</v>
      </c>
      <c r="E1094" s="14">
        <f t="shared" si="264"/>
        <v>0.10533333333333333</v>
      </c>
      <c r="F1094" s="7">
        <v>52.5</v>
      </c>
      <c r="G1094" s="7">
        <f t="shared" si="260"/>
        <v>5.424666666666667</v>
      </c>
      <c r="H1094" s="16">
        <f t="shared" si="261"/>
        <v>5.6353333333333335</v>
      </c>
      <c r="I1094" s="11">
        <f t="shared" si="255"/>
        <v>0.14620821867254594</v>
      </c>
      <c r="J1094" s="33">
        <f t="shared" si="256"/>
        <v>2.7849184509056366E-3</v>
      </c>
      <c r="K1094" s="33">
        <f t="shared" si="257"/>
        <v>359.07694161558186</v>
      </c>
      <c r="L1094" s="8">
        <v>0</v>
      </c>
      <c r="M1094" s="9">
        <v>1</v>
      </c>
      <c r="N1094" s="8">
        <v>0</v>
      </c>
      <c r="O1094" s="9">
        <v>0</v>
      </c>
      <c r="P1094" s="9">
        <v>0</v>
      </c>
      <c r="Q1094" s="9">
        <v>1</v>
      </c>
      <c r="R1094" s="9">
        <v>0</v>
      </c>
      <c r="S1094" s="8">
        <v>126199</v>
      </c>
      <c r="T1094" s="9">
        <v>18</v>
      </c>
      <c r="U1094" s="9">
        <f t="shared" si="262"/>
        <v>126180</v>
      </c>
      <c r="V1094" s="9">
        <f t="shared" si="263"/>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65"/>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v>0</v>
      </c>
      <c r="BF1094" s="18">
        <v>0</v>
      </c>
      <c r="BG1094">
        <v>1</v>
      </c>
      <c r="BH1094">
        <v>0</v>
      </c>
      <c r="BI1094" s="18">
        <v>0</v>
      </c>
      <c r="BJ1094">
        <v>30105</v>
      </c>
      <c r="BK1094">
        <v>22902</v>
      </c>
      <c r="BL1094" s="25">
        <v>42.22</v>
      </c>
      <c r="BM1094">
        <v>1</v>
      </c>
      <c r="BN1094">
        <v>0</v>
      </c>
      <c r="BO1094">
        <v>0</v>
      </c>
      <c r="BP1094">
        <v>0</v>
      </c>
      <c r="BQ1094">
        <v>0</v>
      </c>
      <c r="BR1094">
        <v>0</v>
      </c>
      <c r="BS1094">
        <v>0</v>
      </c>
      <c r="BT1094" s="18">
        <v>0</v>
      </c>
      <c r="BU1094">
        <v>0</v>
      </c>
      <c r="BV1094">
        <v>0</v>
      </c>
      <c r="BW1094">
        <v>1</v>
      </c>
      <c r="BX1094" s="18">
        <v>0</v>
      </c>
      <c r="BY1094">
        <v>0</v>
      </c>
      <c r="BZ1094">
        <v>0</v>
      </c>
      <c r="CA1094">
        <v>0</v>
      </c>
      <c r="CB1094">
        <v>0</v>
      </c>
      <c r="CC1094" s="18">
        <v>0</v>
      </c>
      <c r="CD1094">
        <v>1</v>
      </c>
      <c r="CE1094">
        <v>1</v>
      </c>
      <c r="CF1094">
        <v>1</v>
      </c>
      <c r="CG1094">
        <v>1</v>
      </c>
      <c r="CH1094">
        <v>1</v>
      </c>
      <c r="CI1094">
        <v>1</v>
      </c>
      <c r="CJ1094">
        <v>1</v>
      </c>
      <c r="CK1094">
        <v>1</v>
      </c>
      <c r="CL1094">
        <v>0</v>
      </c>
      <c r="CM1094">
        <v>0</v>
      </c>
      <c r="CN1094" s="18">
        <v>1</v>
      </c>
      <c r="CO1094">
        <v>2.9000000000000001E-2</v>
      </c>
      <c r="CP1094">
        <v>0</v>
      </c>
      <c r="CQ1094">
        <v>1</v>
      </c>
      <c r="CR1094">
        <v>0</v>
      </c>
      <c r="CS1094">
        <v>26</v>
      </c>
      <c r="CY1094" s="34"/>
    </row>
    <row r="1095" spans="1:103" x14ac:dyDescent="0.25">
      <c r="A1095">
        <v>1094</v>
      </c>
      <c r="B1095">
        <v>73</v>
      </c>
      <c r="C1095" s="25" t="s">
        <v>4050</v>
      </c>
      <c r="D1095" s="12">
        <v>6.47</v>
      </c>
      <c r="E1095" s="14">
        <f t="shared" si="264"/>
        <v>0.18683222639330058</v>
      </c>
      <c r="F1095" s="7">
        <v>34.630000000000003</v>
      </c>
      <c r="G1095" s="7">
        <f t="shared" si="260"/>
        <v>6.2831677736066993</v>
      </c>
      <c r="H1095" s="16">
        <f t="shared" si="261"/>
        <v>6.6568322263933002</v>
      </c>
      <c r="I1095" s="11">
        <f t="shared" si="255"/>
        <v>0.13532895810771067</v>
      </c>
      <c r="J1095" s="33">
        <f t="shared" si="256"/>
        <v>3.9078532517386848E-3</v>
      </c>
      <c r="K1095" s="33">
        <f t="shared" si="257"/>
        <v>255.89497240078791</v>
      </c>
      <c r="L1095" s="8">
        <v>0</v>
      </c>
      <c r="M1095" s="9">
        <v>1</v>
      </c>
      <c r="N1095" s="8">
        <v>0</v>
      </c>
      <c r="O1095" s="9">
        <v>0</v>
      </c>
      <c r="P1095" s="9">
        <v>0</v>
      </c>
      <c r="Q1095" s="9">
        <v>1</v>
      </c>
      <c r="R1095" s="9">
        <v>0</v>
      </c>
      <c r="S1095" s="8">
        <v>64302</v>
      </c>
      <c r="T1095" s="9">
        <v>18</v>
      </c>
      <c r="U1095" s="9">
        <f t="shared" si="262"/>
        <v>64283</v>
      </c>
      <c r="V1095" s="9">
        <f t="shared" si="263"/>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65"/>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v>0</v>
      </c>
      <c r="BF1095" s="18">
        <v>0</v>
      </c>
      <c r="BG1095">
        <v>1</v>
      </c>
      <c r="BH1095">
        <v>0</v>
      </c>
      <c r="BI1095" s="18">
        <v>0</v>
      </c>
      <c r="BJ1095">
        <v>30105</v>
      </c>
      <c r="BK1095">
        <v>22902</v>
      </c>
      <c r="BL1095" s="25">
        <v>42.22</v>
      </c>
      <c r="BM1095">
        <v>1</v>
      </c>
      <c r="BN1095">
        <v>0</v>
      </c>
      <c r="BO1095">
        <v>0</v>
      </c>
      <c r="BP1095">
        <v>0</v>
      </c>
      <c r="BQ1095">
        <v>0</v>
      </c>
      <c r="BR1095">
        <v>0</v>
      </c>
      <c r="BS1095">
        <v>0</v>
      </c>
      <c r="BT1095" s="18">
        <v>0</v>
      </c>
      <c r="BU1095">
        <v>0</v>
      </c>
      <c r="BV1095">
        <v>0</v>
      </c>
      <c r="BW1095">
        <v>1</v>
      </c>
      <c r="BX1095" s="18">
        <v>0</v>
      </c>
      <c r="BY1095">
        <v>0</v>
      </c>
      <c r="BZ1095">
        <v>0</v>
      </c>
      <c r="CA1095">
        <v>0</v>
      </c>
      <c r="CB1095">
        <v>0</v>
      </c>
      <c r="CC1095" s="18">
        <v>0</v>
      </c>
      <c r="CD1095">
        <v>1</v>
      </c>
      <c r="CE1095">
        <v>1</v>
      </c>
      <c r="CF1095">
        <v>1</v>
      </c>
      <c r="CG1095">
        <v>1</v>
      </c>
      <c r="CH1095">
        <v>1</v>
      </c>
      <c r="CI1095">
        <v>1</v>
      </c>
      <c r="CJ1095">
        <v>1</v>
      </c>
      <c r="CK1095">
        <v>1</v>
      </c>
      <c r="CL1095">
        <v>0</v>
      </c>
      <c r="CM1095">
        <v>0</v>
      </c>
      <c r="CN1095" s="18">
        <v>1</v>
      </c>
      <c r="CO1095">
        <v>2.9000000000000001E-2</v>
      </c>
      <c r="CP1095">
        <v>0</v>
      </c>
      <c r="CQ1095">
        <v>1</v>
      </c>
      <c r="CR1095">
        <v>0</v>
      </c>
      <c r="CS1095">
        <v>26</v>
      </c>
      <c r="CY1095" s="34"/>
    </row>
    <row r="1096" spans="1:103" x14ac:dyDescent="0.25">
      <c r="A1096">
        <v>1095</v>
      </c>
      <c r="B1096">
        <v>73</v>
      </c>
      <c r="C1096" s="25" t="s">
        <v>4050</v>
      </c>
      <c r="D1096" s="12">
        <v>5.39</v>
      </c>
      <c r="E1096" s="14">
        <f t="shared" si="264"/>
        <v>0.16181326928850193</v>
      </c>
      <c r="F1096" s="7">
        <v>33.31</v>
      </c>
      <c r="G1096" s="7">
        <f t="shared" si="260"/>
        <v>5.2281867307114975</v>
      </c>
      <c r="H1096" s="16">
        <f t="shared" si="261"/>
        <v>5.5518132692885018</v>
      </c>
      <c r="I1096" s="11">
        <f t="shared" ref="I1096:I1116" si="266">IFERROR(F1096/SQRT(F1096^2+U1096), "X")</f>
        <v>0.13025982064986313</v>
      </c>
      <c r="J1096" s="33">
        <f t="shared" ref="J1096:J1116" si="267">IFERROR(SQRT((1-I1096^2)/U1096), "X")</f>
        <v>3.9105319918902167E-3</v>
      </c>
      <c r="K1096" s="33">
        <f t="shared" ref="K1096:K1116" si="268">IFERROR(1/J1096, "X")</f>
        <v>255.71968266052579</v>
      </c>
      <c r="L1096" s="8">
        <v>0</v>
      </c>
      <c r="M1096" s="9">
        <v>1</v>
      </c>
      <c r="N1096" s="8">
        <v>0</v>
      </c>
      <c r="O1096" s="9">
        <v>0</v>
      </c>
      <c r="P1096" s="9">
        <v>0</v>
      </c>
      <c r="Q1096" s="9">
        <v>1</v>
      </c>
      <c r="R1096" s="9">
        <v>0</v>
      </c>
      <c r="S1096" s="8">
        <v>64302</v>
      </c>
      <c r="T1096" s="9">
        <v>18</v>
      </c>
      <c r="U1096" s="9">
        <f t="shared" si="262"/>
        <v>64283</v>
      </c>
      <c r="V1096" s="9">
        <f t="shared" si="263"/>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65"/>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v>0</v>
      </c>
      <c r="BF1096" s="18">
        <v>0</v>
      </c>
      <c r="BG1096">
        <v>1</v>
      </c>
      <c r="BH1096">
        <v>0</v>
      </c>
      <c r="BI1096" s="18">
        <v>0</v>
      </c>
      <c r="BJ1096">
        <v>30105</v>
      </c>
      <c r="BK1096">
        <v>22902</v>
      </c>
      <c r="BL1096" s="25">
        <v>42.22</v>
      </c>
      <c r="BM1096">
        <v>1</v>
      </c>
      <c r="BN1096">
        <v>0</v>
      </c>
      <c r="BO1096">
        <v>0</v>
      </c>
      <c r="BP1096">
        <v>0</v>
      </c>
      <c r="BQ1096">
        <v>0</v>
      </c>
      <c r="BR1096">
        <v>0</v>
      </c>
      <c r="BS1096">
        <v>0</v>
      </c>
      <c r="BT1096" s="18">
        <v>0</v>
      </c>
      <c r="BU1096">
        <v>0</v>
      </c>
      <c r="BV1096">
        <v>0</v>
      </c>
      <c r="BW1096">
        <v>1</v>
      </c>
      <c r="BX1096" s="18">
        <v>0</v>
      </c>
      <c r="BY1096">
        <v>0</v>
      </c>
      <c r="BZ1096">
        <v>0</v>
      </c>
      <c r="CA1096">
        <v>0</v>
      </c>
      <c r="CB1096">
        <v>0</v>
      </c>
      <c r="CC1096" s="18">
        <v>0</v>
      </c>
      <c r="CD1096">
        <v>1</v>
      </c>
      <c r="CE1096">
        <v>1</v>
      </c>
      <c r="CF1096">
        <v>1</v>
      </c>
      <c r="CG1096">
        <v>1</v>
      </c>
      <c r="CH1096">
        <v>1</v>
      </c>
      <c r="CI1096">
        <v>1</v>
      </c>
      <c r="CJ1096">
        <v>1</v>
      </c>
      <c r="CK1096">
        <v>1</v>
      </c>
      <c r="CL1096">
        <v>0</v>
      </c>
      <c r="CM1096">
        <v>0</v>
      </c>
      <c r="CN1096" s="18">
        <v>1</v>
      </c>
      <c r="CO1096">
        <v>2.9000000000000001E-2</v>
      </c>
      <c r="CP1096">
        <v>0</v>
      </c>
      <c r="CQ1096">
        <v>1</v>
      </c>
      <c r="CR1096">
        <v>0</v>
      </c>
      <c r="CS1096">
        <v>26</v>
      </c>
      <c r="CY1096" s="34"/>
    </row>
    <row r="1097" spans="1:103" x14ac:dyDescent="0.25">
      <c r="A1097">
        <v>1096</v>
      </c>
      <c r="B1097">
        <v>73</v>
      </c>
      <c r="C1097" s="25" t="s">
        <v>4050</v>
      </c>
      <c r="D1097" s="12">
        <v>6.51</v>
      </c>
      <c r="E1097" s="14">
        <f t="shared" si="264"/>
        <v>0.16303531179564237</v>
      </c>
      <c r="F1097" s="7">
        <v>39.93</v>
      </c>
      <c r="G1097" s="7">
        <f t="shared" si="260"/>
        <v>6.3469646882043573</v>
      </c>
      <c r="H1097" s="16">
        <f t="shared" si="261"/>
        <v>6.6730353117956422</v>
      </c>
      <c r="I1097" s="11">
        <f t="shared" si="266"/>
        <v>0.15849181301720344</v>
      </c>
      <c r="J1097" s="33">
        <f t="shared" si="267"/>
        <v>3.9692414980516764E-3</v>
      </c>
      <c r="K1097" s="33">
        <f t="shared" si="268"/>
        <v>251.93730351021861</v>
      </c>
      <c r="L1097" s="8">
        <v>0</v>
      </c>
      <c r="M1097" s="9">
        <v>1</v>
      </c>
      <c r="N1097" s="8">
        <v>0</v>
      </c>
      <c r="O1097" s="9">
        <v>0</v>
      </c>
      <c r="P1097" s="9">
        <v>0</v>
      </c>
      <c r="Q1097" s="9">
        <v>1</v>
      </c>
      <c r="R1097" s="9">
        <v>0</v>
      </c>
      <c r="S1097" s="8">
        <v>61897</v>
      </c>
      <c r="T1097" s="9">
        <v>18</v>
      </c>
      <c r="U1097" s="9">
        <f t="shared" si="262"/>
        <v>61878</v>
      </c>
      <c r="V1097" s="9">
        <f t="shared" si="263"/>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65"/>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v>0</v>
      </c>
      <c r="BF1097" s="18">
        <v>0</v>
      </c>
      <c r="BG1097">
        <v>1</v>
      </c>
      <c r="BH1097">
        <v>0</v>
      </c>
      <c r="BI1097" s="18">
        <v>0</v>
      </c>
      <c r="BJ1097">
        <v>30105</v>
      </c>
      <c r="BK1097">
        <v>22902</v>
      </c>
      <c r="BL1097" s="25">
        <v>42.22</v>
      </c>
      <c r="BM1097">
        <v>1</v>
      </c>
      <c r="BN1097">
        <v>0</v>
      </c>
      <c r="BO1097">
        <v>0</v>
      </c>
      <c r="BP1097">
        <v>0</v>
      </c>
      <c r="BQ1097">
        <v>0</v>
      </c>
      <c r="BR1097">
        <v>0</v>
      </c>
      <c r="BS1097">
        <v>0</v>
      </c>
      <c r="BT1097" s="18">
        <v>0</v>
      </c>
      <c r="BU1097">
        <v>0</v>
      </c>
      <c r="BV1097">
        <v>0</v>
      </c>
      <c r="BW1097">
        <v>1</v>
      </c>
      <c r="BX1097" s="18">
        <v>0</v>
      </c>
      <c r="BY1097">
        <v>0</v>
      </c>
      <c r="BZ1097">
        <v>0</v>
      </c>
      <c r="CA1097">
        <v>0</v>
      </c>
      <c r="CB1097">
        <v>0</v>
      </c>
      <c r="CC1097" s="18">
        <v>0</v>
      </c>
      <c r="CD1097">
        <v>1</v>
      </c>
      <c r="CE1097">
        <v>1</v>
      </c>
      <c r="CF1097">
        <v>1</v>
      </c>
      <c r="CG1097">
        <v>1</v>
      </c>
      <c r="CH1097">
        <v>1</v>
      </c>
      <c r="CI1097">
        <v>1</v>
      </c>
      <c r="CJ1097">
        <v>1</v>
      </c>
      <c r="CK1097">
        <v>1</v>
      </c>
      <c r="CL1097">
        <v>0</v>
      </c>
      <c r="CM1097">
        <v>0</v>
      </c>
      <c r="CN1097" s="18">
        <v>1</v>
      </c>
      <c r="CO1097">
        <v>2.9000000000000001E-2</v>
      </c>
      <c r="CP1097">
        <v>0</v>
      </c>
      <c r="CQ1097">
        <v>1</v>
      </c>
      <c r="CR1097">
        <v>0</v>
      </c>
      <c r="CS1097">
        <v>26</v>
      </c>
      <c r="CY1097" s="34"/>
    </row>
    <row r="1098" spans="1:103" x14ac:dyDescent="0.25">
      <c r="A1098">
        <v>1097</v>
      </c>
      <c r="B1098">
        <v>73</v>
      </c>
      <c r="C1098" s="25" t="s">
        <v>4050</v>
      </c>
      <c r="D1098" s="12">
        <v>5.55</v>
      </c>
      <c r="E1098" s="14">
        <f t="shared" si="264"/>
        <v>0.1410060975609756</v>
      </c>
      <c r="F1098" s="7">
        <v>39.36</v>
      </c>
      <c r="G1098" s="7">
        <f t="shared" si="260"/>
        <v>5.4089939024390246</v>
      </c>
      <c r="H1098" s="16">
        <f t="shared" si="261"/>
        <v>5.6910060975609751</v>
      </c>
      <c r="I1098" s="11">
        <f t="shared" si="266"/>
        <v>0.15628499635930793</v>
      </c>
      <c r="J1098" s="33">
        <f t="shared" si="267"/>
        <v>3.97065539530762E-3</v>
      </c>
      <c r="K1098" s="33">
        <f t="shared" si="268"/>
        <v>251.84759200754732</v>
      </c>
      <c r="L1098" s="8">
        <v>0</v>
      </c>
      <c r="M1098" s="9">
        <v>1</v>
      </c>
      <c r="N1098" s="8">
        <v>0</v>
      </c>
      <c r="O1098" s="9">
        <v>0</v>
      </c>
      <c r="P1098" s="9">
        <v>0</v>
      </c>
      <c r="Q1098" s="9">
        <v>1</v>
      </c>
      <c r="R1098" s="9">
        <v>0</v>
      </c>
      <c r="S1098" s="8">
        <v>61897</v>
      </c>
      <c r="T1098" s="9">
        <v>18</v>
      </c>
      <c r="U1098" s="9">
        <f t="shared" si="262"/>
        <v>61878</v>
      </c>
      <c r="V1098" s="9">
        <f t="shared" si="263"/>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65"/>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v>0</v>
      </c>
      <c r="BF1098" s="18">
        <v>0</v>
      </c>
      <c r="BG1098">
        <v>1</v>
      </c>
      <c r="BH1098">
        <v>0</v>
      </c>
      <c r="BI1098" s="18">
        <v>0</v>
      </c>
      <c r="BJ1098">
        <v>30105</v>
      </c>
      <c r="BK1098">
        <v>22902</v>
      </c>
      <c r="BL1098" s="25">
        <v>42.22</v>
      </c>
      <c r="BM1098">
        <v>1</v>
      </c>
      <c r="BN1098">
        <v>0</v>
      </c>
      <c r="BO1098">
        <v>0</v>
      </c>
      <c r="BP1098">
        <v>0</v>
      </c>
      <c r="BQ1098">
        <v>0</v>
      </c>
      <c r="BR1098">
        <v>0</v>
      </c>
      <c r="BS1098">
        <v>0</v>
      </c>
      <c r="BT1098" s="18">
        <v>0</v>
      </c>
      <c r="BU1098">
        <v>0</v>
      </c>
      <c r="BV1098">
        <v>0</v>
      </c>
      <c r="BW1098">
        <v>1</v>
      </c>
      <c r="BX1098" s="18">
        <v>0</v>
      </c>
      <c r="BY1098">
        <v>0</v>
      </c>
      <c r="BZ1098">
        <v>0</v>
      </c>
      <c r="CA1098">
        <v>0</v>
      </c>
      <c r="CB1098">
        <v>0</v>
      </c>
      <c r="CC1098" s="18">
        <v>0</v>
      </c>
      <c r="CD1098">
        <v>1</v>
      </c>
      <c r="CE1098">
        <v>1</v>
      </c>
      <c r="CF1098">
        <v>1</v>
      </c>
      <c r="CG1098">
        <v>1</v>
      </c>
      <c r="CH1098">
        <v>1</v>
      </c>
      <c r="CI1098">
        <v>1</v>
      </c>
      <c r="CJ1098">
        <v>1</v>
      </c>
      <c r="CK1098">
        <v>1</v>
      </c>
      <c r="CL1098">
        <v>0</v>
      </c>
      <c r="CM1098">
        <v>0</v>
      </c>
      <c r="CN1098" s="18">
        <v>1</v>
      </c>
      <c r="CO1098">
        <v>2.9000000000000001E-2</v>
      </c>
      <c r="CP1098">
        <v>0</v>
      </c>
      <c r="CQ1098">
        <v>1</v>
      </c>
      <c r="CR1098">
        <v>0</v>
      </c>
      <c r="CS1098">
        <v>26</v>
      </c>
      <c r="CY1098" s="34"/>
    </row>
    <row r="1099" spans="1:103" x14ac:dyDescent="0.25">
      <c r="A1099">
        <v>1098</v>
      </c>
      <c r="B1099">
        <v>73</v>
      </c>
      <c r="C1099" s="25" t="s">
        <v>4050</v>
      </c>
      <c r="D1099" s="12">
        <v>6.55</v>
      </c>
      <c r="E1099" s="14">
        <f t="shared" si="264"/>
        <v>0.14070891514500539</v>
      </c>
      <c r="F1099" s="7">
        <v>46.55</v>
      </c>
      <c r="G1099" s="7">
        <f t="shared" si="260"/>
        <v>6.4092910848549947</v>
      </c>
      <c r="H1099" s="16">
        <f t="shared" si="261"/>
        <v>6.690708915145005</v>
      </c>
      <c r="I1099" s="11">
        <f t="shared" si="266"/>
        <v>0.16672821915906277</v>
      </c>
      <c r="J1099" s="33">
        <f t="shared" si="267"/>
        <v>3.581701807928309E-3</v>
      </c>
      <c r="K1099" s="33">
        <f t="shared" si="268"/>
        <v>279.1968884138933</v>
      </c>
      <c r="L1099" s="8">
        <v>0</v>
      </c>
      <c r="M1099" s="9">
        <v>1</v>
      </c>
      <c r="N1099" s="8">
        <v>0</v>
      </c>
      <c r="O1099" s="9">
        <v>0</v>
      </c>
      <c r="P1099" s="9">
        <v>0</v>
      </c>
      <c r="Q1099" s="9">
        <v>1</v>
      </c>
      <c r="R1099" s="9">
        <v>0</v>
      </c>
      <c r="S1099" s="8">
        <v>75803</v>
      </c>
      <c r="T1099" s="9">
        <v>18</v>
      </c>
      <c r="U1099" s="9">
        <f t="shared" si="262"/>
        <v>75784</v>
      </c>
      <c r="V1099" s="9">
        <f t="shared" si="263"/>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65"/>
        <v>0.65700000000000003</v>
      </c>
      <c r="AN1099" s="43">
        <v>0.25</v>
      </c>
      <c r="AO1099" s="42" t="s">
        <v>98</v>
      </c>
      <c r="AP1099" s="18" t="s">
        <v>98</v>
      </c>
      <c r="AQ1099" s="33">
        <v>0.50949999999999995</v>
      </c>
      <c r="AR1099" s="40">
        <f t="shared" ref="AR1099:AR1116" si="269">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v>0</v>
      </c>
      <c r="BF1099" s="18">
        <v>0</v>
      </c>
      <c r="BG1099">
        <v>1</v>
      </c>
      <c r="BH1099">
        <v>0</v>
      </c>
      <c r="BI1099" s="18">
        <v>0</v>
      </c>
      <c r="BJ1099">
        <v>30105</v>
      </c>
      <c r="BK1099">
        <v>22902</v>
      </c>
      <c r="BL1099" s="25">
        <v>42.22</v>
      </c>
      <c r="BM1099">
        <v>1</v>
      </c>
      <c r="BN1099">
        <v>0</v>
      </c>
      <c r="BO1099">
        <v>0</v>
      </c>
      <c r="BP1099">
        <v>0</v>
      </c>
      <c r="BQ1099">
        <v>0</v>
      </c>
      <c r="BR1099">
        <v>0</v>
      </c>
      <c r="BS1099">
        <v>0</v>
      </c>
      <c r="BT1099" s="18">
        <v>0</v>
      </c>
      <c r="BU1099">
        <v>0</v>
      </c>
      <c r="BV1099">
        <v>0</v>
      </c>
      <c r="BW1099">
        <v>1</v>
      </c>
      <c r="BX1099" s="18">
        <v>0</v>
      </c>
      <c r="BY1099">
        <v>0</v>
      </c>
      <c r="BZ1099">
        <v>0</v>
      </c>
      <c r="CA1099">
        <v>0</v>
      </c>
      <c r="CB1099">
        <v>0</v>
      </c>
      <c r="CC1099" s="18">
        <v>0</v>
      </c>
      <c r="CD1099">
        <v>1</v>
      </c>
      <c r="CE1099">
        <v>1</v>
      </c>
      <c r="CF1099">
        <v>1</v>
      </c>
      <c r="CG1099">
        <v>1</v>
      </c>
      <c r="CH1099">
        <v>1</v>
      </c>
      <c r="CI1099">
        <v>1</v>
      </c>
      <c r="CJ1099">
        <v>1</v>
      </c>
      <c r="CK1099">
        <v>1</v>
      </c>
      <c r="CL1099">
        <v>0</v>
      </c>
      <c r="CM1099">
        <v>0</v>
      </c>
      <c r="CN1099" s="18">
        <v>1</v>
      </c>
      <c r="CO1099">
        <v>2.9000000000000001E-2</v>
      </c>
      <c r="CP1099">
        <v>0</v>
      </c>
      <c r="CQ1099">
        <v>1</v>
      </c>
      <c r="CR1099">
        <v>0</v>
      </c>
      <c r="CS1099">
        <v>26</v>
      </c>
      <c r="CY1099" s="34"/>
    </row>
    <row r="1100" spans="1:103" x14ac:dyDescent="0.25">
      <c r="A1100">
        <v>1099</v>
      </c>
      <c r="B1100">
        <v>73</v>
      </c>
      <c r="C1100" s="25" t="s">
        <v>4050</v>
      </c>
      <c r="D1100" s="12">
        <v>5.61</v>
      </c>
      <c r="E1100" s="14">
        <f t="shared" si="264"/>
        <v>0.12384105960264902</v>
      </c>
      <c r="F1100" s="7">
        <v>45.3</v>
      </c>
      <c r="G1100" s="7">
        <f t="shared" si="260"/>
        <v>5.4861589403973516</v>
      </c>
      <c r="H1100" s="16">
        <f t="shared" si="261"/>
        <v>5.733841059602649</v>
      </c>
      <c r="I1100" s="11">
        <f t="shared" si="266"/>
        <v>0.16237071243156162</v>
      </c>
      <c r="J1100" s="33">
        <f t="shared" si="267"/>
        <v>3.5843424377828173E-3</v>
      </c>
      <c r="K1100" s="33">
        <f t="shared" si="268"/>
        <v>278.99120057808273</v>
      </c>
      <c r="L1100" s="8">
        <v>0</v>
      </c>
      <c r="M1100" s="9">
        <v>1</v>
      </c>
      <c r="N1100" s="8">
        <v>0</v>
      </c>
      <c r="O1100" s="9">
        <v>0</v>
      </c>
      <c r="P1100" s="9">
        <v>0</v>
      </c>
      <c r="Q1100" s="9">
        <v>1</v>
      </c>
      <c r="R1100" s="9">
        <v>0</v>
      </c>
      <c r="S1100" s="8">
        <v>75803</v>
      </c>
      <c r="T1100" s="9">
        <v>18</v>
      </c>
      <c r="U1100" s="9">
        <f t="shared" si="262"/>
        <v>75784</v>
      </c>
      <c r="V1100" s="9">
        <f t="shared" si="263"/>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65"/>
        <v>0.65700000000000003</v>
      </c>
      <c r="AN1100" s="43">
        <v>0.25</v>
      </c>
      <c r="AO1100" s="42" t="s">
        <v>98</v>
      </c>
      <c r="AP1100" s="18" t="s">
        <v>98</v>
      </c>
      <c r="AQ1100" s="33">
        <v>0.50949999999999995</v>
      </c>
      <c r="AR1100" s="40">
        <f t="shared" si="269"/>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v>0</v>
      </c>
      <c r="BF1100" s="18">
        <v>0</v>
      </c>
      <c r="BG1100">
        <v>1</v>
      </c>
      <c r="BH1100">
        <v>0</v>
      </c>
      <c r="BI1100" s="18">
        <v>0</v>
      </c>
      <c r="BJ1100">
        <v>30105</v>
      </c>
      <c r="BK1100">
        <v>22902</v>
      </c>
      <c r="BL1100" s="25">
        <v>42.22</v>
      </c>
      <c r="BM1100">
        <v>1</v>
      </c>
      <c r="BN1100">
        <v>0</v>
      </c>
      <c r="BO1100">
        <v>0</v>
      </c>
      <c r="BP1100">
        <v>0</v>
      </c>
      <c r="BQ1100">
        <v>0</v>
      </c>
      <c r="BR1100">
        <v>0</v>
      </c>
      <c r="BS1100">
        <v>0</v>
      </c>
      <c r="BT1100" s="18">
        <v>0</v>
      </c>
      <c r="BU1100">
        <v>0</v>
      </c>
      <c r="BV1100">
        <v>0</v>
      </c>
      <c r="BW1100">
        <v>1</v>
      </c>
      <c r="BX1100" s="18">
        <v>0</v>
      </c>
      <c r="BY1100">
        <v>0</v>
      </c>
      <c r="BZ1100">
        <v>0</v>
      </c>
      <c r="CA1100">
        <v>0</v>
      </c>
      <c r="CB1100">
        <v>0</v>
      </c>
      <c r="CC1100" s="18">
        <v>0</v>
      </c>
      <c r="CD1100">
        <v>1</v>
      </c>
      <c r="CE1100">
        <v>1</v>
      </c>
      <c r="CF1100">
        <v>1</v>
      </c>
      <c r="CG1100">
        <v>1</v>
      </c>
      <c r="CH1100">
        <v>1</v>
      </c>
      <c r="CI1100">
        <v>1</v>
      </c>
      <c r="CJ1100">
        <v>1</v>
      </c>
      <c r="CK1100">
        <v>1</v>
      </c>
      <c r="CL1100">
        <v>0</v>
      </c>
      <c r="CM1100">
        <v>0</v>
      </c>
      <c r="CN1100" s="18">
        <v>1</v>
      </c>
      <c r="CO1100">
        <v>2.9000000000000001E-2</v>
      </c>
      <c r="CP1100">
        <v>0</v>
      </c>
      <c r="CQ1100">
        <v>1</v>
      </c>
      <c r="CR1100">
        <v>0</v>
      </c>
      <c r="CS1100">
        <v>26</v>
      </c>
      <c r="CY1100" s="34"/>
    </row>
    <row r="1101" spans="1:103" x14ac:dyDescent="0.25">
      <c r="A1101">
        <v>1100</v>
      </c>
      <c r="B1101">
        <v>73</v>
      </c>
      <c r="C1101" s="25" t="s">
        <v>4050</v>
      </c>
      <c r="D1101" s="12">
        <v>6.24</v>
      </c>
      <c r="E1101" s="14">
        <f t="shared" si="264"/>
        <v>0.19734345351043645</v>
      </c>
      <c r="F1101" s="7">
        <v>31.62</v>
      </c>
      <c r="G1101" s="7">
        <f t="shared" si="260"/>
        <v>6.0426565464895639</v>
      </c>
      <c r="H1101" s="16">
        <f t="shared" si="261"/>
        <v>6.4373434535104366</v>
      </c>
      <c r="I1101" s="11">
        <f t="shared" si="266"/>
        <v>0.13950129431494229</v>
      </c>
      <c r="J1101" s="33">
        <f t="shared" si="267"/>
        <v>4.4118056393087383E-3</v>
      </c>
      <c r="K1101" s="33">
        <f t="shared" si="268"/>
        <v>226.66456361769477</v>
      </c>
      <c r="L1101" s="8">
        <v>0</v>
      </c>
      <c r="M1101" s="9">
        <v>1</v>
      </c>
      <c r="N1101" s="8">
        <v>0</v>
      </c>
      <c r="O1101" s="9">
        <v>0</v>
      </c>
      <c r="P1101" s="9">
        <v>0</v>
      </c>
      <c r="Q1101" s="9">
        <v>1</v>
      </c>
      <c r="R1101" s="9">
        <v>0</v>
      </c>
      <c r="S1101" s="8">
        <v>50396</v>
      </c>
      <c r="T1101" s="9">
        <v>18</v>
      </c>
      <c r="U1101" s="9">
        <f t="shared" si="262"/>
        <v>50377</v>
      </c>
      <c r="V1101" s="9">
        <f t="shared" si="263"/>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65"/>
        <v>0.65700000000000003</v>
      </c>
      <c r="AN1101" s="43">
        <v>0.25</v>
      </c>
      <c r="AO1101" s="42" t="s">
        <v>98</v>
      </c>
      <c r="AP1101" s="18" t="s">
        <v>98</v>
      </c>
      <c r="AQ1101" s="33">
        <v>0.50949999999999995</v>
      </c>
      <c r="AR1101" s="40">
        <f t="shared" si="269"/>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v>0</v>
      </c>
      <c r="BF1101" s="18">
        <v>0</v>
      </c>
      <c r="BG1101">
        <v>1</v>
      </c>
      <c r="BH1101">
        <v>0</v>
      </c>
      <c r="BI1101" s="18">
        <v>0</v>
      </c>
      <c r="BJ1101">
        <v>30105</v>
      </c>
      <c r="BK1101">
        <v>22902</v>
      </c>
      <c r="BL1101" s="25">
        <v>42.22</v>
      </c>
      <c r="BM1101">
        <v>1</v>
      </c>
      <c r="BN1101">
        <v>0</v>
      </c>
      <c r="BO1101">
        <v>0</v>
      </c>
      <c r="BP1101">
        <v>0</v>
      </c>
      <c r="BQ1101">
        <v>0</v>
      </c>
      <c r="BR1101">
        <v>0</v>
      </c>
      <c r="BS1101">
        <v>0</v>
      </c>
      <c r="BT1101" s="18">
        <v>0</v>
      </c>
      <c r="BU1101">
        <v>0</v>
      </c>
      <c r="BV1101">
        <v>0</v>
      </c>
      <c r="BW1101">
        <v>1</v>
      </c>
      <c r="BX1101" s="18">
        <v>0</v>
      </c>
      <c r="BY1101">
        <v>0</v>
      </c>
      <c r="BZ1101">
        <v>0</v>
      </c>
      <c r="CA1101">
        <v>0</v>
      </c>
      <c r="CB1101">
        <v>0</v>
      </c>
      <c r="CC1101" s="18">
        <v>0</v>
      </c>
      <c r="CD1101">
        <v>1</v>
      </c>
      <c r="CE1101">
        <v>1</v>
      </c>
      <c r="CF1101">
        <v>1</v>
      </c>
      <c r="CG1101">
        <v>1</v>
      </c>
      <c r="CH1101">
        <v>1</v>
      </c>
      <c r="CI1101">
        <v>1</v>
      </c>
      <c r="CJ1101">
        <v>1</v>
      </c>
      <c r="CK1101">
        <v>1</v>
      </c>
      <c r="CL1101">
        <v>0</v>
      </c>
      <c r="CM1101">
        <v>0</v>
      </c>
      <c r="CN1101" s="18">
        <v>1</v>
      </c>
      <c r="CO1101">
        <v>2.9000000000000001E-2</v>
      </c>
      <c r="CP1101">
        <v>0</v>
      </c>
      <c r="CQ1101">
        <v>1</v>
      </c>
      <c r="CR1101">
        <v>0</v>
      </c>
      <c r="CS1101">
        <v>26</v>
      </c>
      <c r="CY1101" s="34"/>
    </row>
    <row r="1102" spans="1:103" x14ac:dyDescent="0.25">
      <c r="A1102">
        <v>1101</v>
      </c>
      <c r="B1102">
        <v>73</v>
      </c>
      <c r="C1102" s="25" t="s">
        <v>4050</v>
      </c>
      <c r="D1102" s="12">
        <v>5.21</v>
      </c>
      <c r="E1102" s="14">
        <f t="shared" si="264"/>
        <v>0.1722883597883598</v>
      </c>
      <c r="F1102" s="7">
        <v>30.24</v>
      </c>
      <c r="G1102" s="7">
        <f t="shared" si="260"/>
        <v>5.03771164021164</v>
      </c>
      <c r="H1102" s="16">
        <f t="shared" si="261"/>
        <v>5.38228835978836</v>
      </c>
      <c r="I1102" s="11">
        <f t="shared" si="266"/>
        <v>0.13352397916259445</v>
      </c>
      <c r="J1102" s="33">
        <f t="shared" si="267"/>
        <v>4.4154755014085469E-3</v>
      </c>
      <c r="K1102" s="33">
        <f t="shared" si="268"/>
        <v>226.4761744643352</v>
      </c>
      <c r="L1102" s="8">
        <v>0</v>
      </c>
      <c r="M1102" s="9">
        <v>1</v>
      </c>
      <c r="N1102" s="8">
        <v>0</v>
      </c>
      <c r="O1102" s="9">
        <v>0</v>
      </c>
      <c r="P1102" s="9">
        <v>0</v>
      </c>
      <c r="Q1102" s="9">
        <v>1</v>
      </c>
      <c r="R1102" s="9">
        <v>0</v>
      </c>
      <c r="S1102" s="8">
        <v>50396</v>
      </c>
      <c r="T1102" s="9">
        <v>18</v>
      </c>
      <c r="U1102" s="9">
        <f t="shared" si="262"/>
        <v>50377</v>
      </c>
      <c r="V1102" s="9">
        <f t="shared" si="263"/>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65"/>
        <v>0.65700000000000003</v>
      </c>
      <c r="AN1102" s="43">
        <v>0.25</v>
      </c>
      <c r="AO1102" s="42" t="s">
        <v>98</v>
      </c>
      <c r="AP1102" s="18" t="s">
        <v>98</v>
      </c>
      <c r="AQ1102" s="33">
        <v>0.50949999999999995</v>
      </c>
      <c r="AR1102" s="40">
        <f t="shared" si="269"/>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v>0</v>
      </c>
      <c r="BF1102" s="18">
        <v>0</v>
      </c>
      <c r="BG1102">
        <v>1</v>
      </c>
      <c r="BH1102">
        <v>0</v>
      </c>
      <c r="BI1102" s="18">
        <v>0</v>
      </c>
      <c r="BJ1102">
        <v>30105</v>
      </c>
      <c r="BK1102">
        <v>22902</v>
      </c>
      <c r="BL1102" s="25">
        <v>42.22</v>
      </c>
      <c r="BM1102">
        <v>1</v>
      </c>
      <c r="BN1102">
        <v>0</v>
      </c>
      <c r="BO1102">
        <v>0</v>
      </c>
      <c r="BP1102">
        <v>0</v>
      </c>
      <c r="BQ1102">
        <v>0</v>
      </c>
      <c r="BR1102">
        <v>0</v>
      </c>
      <c r="BS1102">
        <v>0</v>
      </c>
      <c r="BT1102" s="18">
        <v>0</v>
      </c>
      <c r="BU1102">
        <v>0</v>
      </c>
      <c r="BV1102">
        <v>0</v>
      </c>
      <c r="BW1102">
        <v>1</v>
      </c>
      <c r="BX1102" s="18">
        <v>0</v>
      </c>
      <c r="BY1102">
        <v>0</v>
      </c>
      <c r="BZ1102">
        <v>0</v>
      </c>
      <c r="CA1102">
        <v>0</v>
      </c>
      <c r="CB1102">
        <v>0</v>
      </c>
      <c r="CC1102" s="18">
        <v>0</v>
      </c>
      <c r="CD1102">
        <v>1</v>
      </c>
      <c r="CE1102">
        <v>1</v>
      </c>
      <c r="CF1102">
        <v>1</v>
      </c>
      <c r="CG1102">
        <v>1</v>
      </c>
      <c r="CH1102">
        <v>1</v>
      </c>
      <c r="CI1102">
        <v>1</v>
      </c>
      <c r="CJ1102">
        <v>1</v>
      </c>
      <c r="CK1102">
        <v>1</v>
      </c>
      <c r="CL1102">
        <v>0</v>
      </c>
      <c r="CM1102">
        <v>0</v>
      </c>
      <c r="CN1102" s="18">
        <v>1</v>
      </c>
      <c r="CO1102">
        <v>2.9000000000000001E-2</v>
      </c>
      <c r="CP1102">
        <v>0</v>
      </c>
      <c r="CQ1102">
        <v>1</v>
      </c>
      <c r="CR1102">
        <v>0</v>
      </c>
      <c r="CS1102">
        <v>26</v>
      </c>
      <c r="CY1102" s="34"/>
    </row>
    <row r="1103" spans="1:103" x14ac:dyDescent="0.25">
      <c r="A1103">
        <v>1102</v>
      </c>
      <c r="B1103">
        <v>74</v>
      </c>
      <c r="C1103" s="25" t="s">
        <v>4059</v>
      </c>
      <c r="D1103" s="12">
        <v>7.2</v>
      </c>
      <c r="E1103" s="14">
        <v>0.6</v>
      </c>
      <c r="F1103" s="7">
        <f t="shared" ref="F1103:F1116" si="270">D1103/E1103</f>
        <v>12</v>
      </c>
      <c r="G1103" s="7">
        <f t="shared" si="260"/>
        <v>6.6000000000000005</v>
      </c>
      <c r="H1103" s="16">
        <f t="shared" si="261"/>
        <v>7.8</v>
      </c>
      <c r="I1103" s="11">
        <f t="shared" si="266"/>
        <v>0.20433118274318615</v>
      </c>
      <c r="J1103" s="33">
        <f t="shared" si="267"/>
        <v>1.7027598561932179E-2</v>
      </c>
      <c r="K1103" s="33">
        <f t="shared" si="268"/>
        <v>58.728187440104094</v>
      </c>
      <c r="L1103" s="8">
        <v>1</v>
      </c>
      <c r="M1103" s="9">
        <v>0</v>
      </c>
      <c r="N1103" s="8">
        <v>0</v>
      </c>
      <c r="O1103" s="9">
        <v>1</v>
      </c>
      <c r="P1103" s="9">
        <v>0</v>
      </c>
      <c r="Q1103" s="9">
        <v>0</v>
      </c>
      <c r="R1103" s="9">
        <v>0</v>
      </c>
      <c r="S1103" s="8">
        <v>3316</v>
      </c>
      <c r="T1103" s="9">
        <v>10</v>
      </c>
      <c r="U1103" s="9">
        <f t="shared" si="262"/>
        <v>3305</v>
      </c>
      <c r="V1103" s="9">
        <f t="shared" si="263"/>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69"/>
        <v>0</v>
      </c>
      <c r="AS1103">
        <v>0.82199999999999995</v>
      </c>
      <c r="AT1103" s="40">
        <v>0.17799999999999999</v>
      </c>
      <c r="AU1103">
        <v>0</v>
      </c>
      <c r="AV1103" s="18">
        <v>1</v>
      </c>
      <c r="AW1103">
        <v>0</v>
      </c>
      <c r="AX1103" s="18">
        <v>1</v>
      </c>
      <c r="AY1103" s="18" t="s">
        <v>5</v>
      </c>
      <c r="AZ1103">
        <v>0</v>
      </c>
      <c r="BA1103">
        <v>1</v>
      </c>
      <c r="BB1103">
        <v>0</v>
      </c>
      <c r="BC1103">
        <v>0</v>
      </c>
      <c r="BD1103">
        <v>0</v>
      </c>
      <c r="BE1103">
        <v>0</v>
      </c>
      <c r="BF1103" s="18">
        <v>0</v>
      </c>
      <c r="BG1103">
        <v>0</v>
      </c>
      <c r="BH1103">
        <v>1</v>
      </c>
      <c r="BI1103" s="18">
        <v>0</v>
      </c>
      <c r="BJ1103">
        <v>1732</v>
      </c>
      <c r="BK1103">
        <v>201</v>
      </c>
      <c r="BL1103" s="25">
        <v>42.1</v>
      </c>
      <c r="BM1103">
        <v>1</v>
      </c>
      <c r="BN1103">
        <v>0</v>
      </c>
      <c r="BO1103">
        <v>0</v>
      </c>
      <c r="BP1103">
        <v>0</v>
      </c>
      <c r="BQ1103">
        <v>0</v>
      </c>
      <c r="BR1103">
        <v>0</v>
      </c>
      <c r="BS1103">
        <v>0</v>
      </c>
      <c r="BT1103" s="18">
        <v>0</v>
      </c>
      <c r="BU1103">
        <v>0</v>
      </c>
      <c r="BV1103">
        <v>0</v>
      </c>
      <c r="BW1103">
        <v>1</v>
      </c>
      <c r="BX1103" s="18">
        <v>0</v>
      </c>
      <c r="BY1103">
        <v>0</v>
      </c>
      <c r="BZ1103">
        <v>0</v>
      </c>
      <c r="CA1103">
        <v>0</v>
      </c>
      <c r="CB1103">
        <v>0</v>
      </c>
      <c r="CC1103" s="18">
        <v>0</v>
      </c>
      <c r="CD1103">
        <v>0</v>
      </c>
      <c r="CE1103">
        <v>0</v>
      </c>
      <c r="CF1103">
        <v>1</v>
      </c>
      <c r="CG1103">
        <v>1</v>
      </c>
      <c r="CH1103">
        <v>0</v>
      </c>
      <c r="CI1103">
        <v>0</v>
      </c>
      <c r="CJ1103">
        <v>0</v>
      </c>
      <c r="CK1103">
        <v>0</v>
      </c>
      <c r="CL1103">
        <v>1</v>
      </c>
      <c r="CM1103">
        <v>0</v>
      </c>
      <c r="CN1103" s="18">
        <v>0</v>
      </c>
      <c r="CO1103">
        <v>4.149</v>
      </c>
      <c r="CP1103">
        <v>6</v>
      </c>
      <c r="CQ1103">
        <v>1</v>
      </c>
      <c r="CR1103">
        <v>0</v>
      </c>
      <c r="CS1103">
        <v>20</v>
      </c>
      <c r="CY1103" s="34"/>
    </row>
    <row r="1104" spans="1:103" x14ac:dyDescent="0.25">
      <c r="A1104">
        <v>1103</v>
      </c>
      <c r="B1104">
        <v>74</v>
      </c>
      <c r="C1104" s="25" t="s">
        <v>4059</v>
      </c>
      <c r="D1104" s="12">
        <v>9.1</v>
      </c>
      <c r="E1104" s="14">
        <v>2.2999999999999998</v>
      </c>
      <c r="F1104" s="7">
        <f t="shared" si="270"/>
        <v>3.956521739130435</v>
      </c>
      <c r="G1104" s="7">
        <f t="shared" si="260"/>
        <v>6.8</v>
      </c>
      <c r="H1104" s="16">
        <f t="shared" si="261"/>
        <v>11.399999999999999</v>
      </c>
      <c r="I1104" s="11">
        <f t="shared" si="266"/>
        <v>6.8649338379801333E-2</v>
      </c>
      <c r="J1104" s="33">
        <f t="shared" si="267"/>
        <v>1.7350931678411324E-2</v>
      </c>
      <c r="K1104" s="33">
        <f t="shared" si="268"/>
        <v>57.633792728504446</v>
      </c>
      <c r="L1104" s="8">
        <v>1</v>
      </c>
      <c r="M1104" s="9">
        <v>0</v>
      </c>
      <c r="N1104" s="8">
        <v>0</v>
      </c>
      <c r="O1104" s="9">
        <v>1</v>
      </c>
      <c r="P1104" s="9">
        <v>0</v>
      </c>
      <c r="Q1104" s="9">
        <v>0</v>
      </c>
      <c r="R1104" s="9">
        <v>0</v>
      </c>
      <c r="S1104" s="8">
        <v>3316</v>
      </c>
      <c r="T1104" s="9">
        <v>9</v>
      </c>
      <c r="U1104" s="9">
        <f t="shared" si="262"/>
        <v>3306</v>
      </c>
      <c r="V1104" s="9">
        <f t="shared" si="263"/>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69"/>
        <v>0</v>
      </c>
      <c r="AS1104">
        <v>0.82199999999999995</v>
      </c>
      <c r="AT1104" s="40">
        <v>0.17799999999999999</v>
      </c>
      <c r="AU1104">
        <v>0</v>
      </c>
      <c r="AV1104" s="18">
        <v>1</v>
      </c>
      <c r="AW1104">
        <v>0</v>
      </c>
      <c r="AX1104" s="18">
        <v>1</v>
      </c>
      <c r="AY1104" s="18" t="s">
        <v>5</v>
      </c>
      <c r="AZ1104">
        <v>0</v>
      </c>
      <c r="BA1104">
        <v>1</v>
      </c>
      <c r="BB1104">
        <v>0</v>
      </c>
      <c r="BC1104">
        <v>0</v>
      </c>
      <c r="BD1104">
        <v>0</v>
      </c>
      <c r="BE1104">
        <v>0</v>
      </c>
      <c r="BF1104" s="18">
        <v>0</v>
      </c>
      <c r="BG1104">
        <v>0</v>
      </c>
      <c r="BH1104">
        <v>1</v>
      </c>
      <c r="BI1104" s="18">
        <v>0</v>
      </c>
      <c r="BJ1104">
        <v>1732</v>
      </c>
      <c r="BK1104">
        <v>201</v>
      </c>
      <c r="BL1104" s="25">
        <v>42.1</v>
      </c>
      <c r="BM1104">
        <v>0</v>
      </c>
      <c r="BN1104">
        <v>0</v>
      </c>
      <c r="BO1104">
        <v>0</v>
      </c>
      <c r="BP1104">
        <v>0</v>
      </c>
      <c r="BQ1104">
        <v>0</v>
      </c>
      <c r="BR1104">
        <v>0</v>
      </c>
      <c r="BS1104">
        <v>0</v>
      </c>
      <c r="BT1104" s="18">
        <v>1</v>
      </c>
      <c r="BU1104">
        <v>0</v>
      </c>
      <c r="BV1104">
        <v>1</v>
      </c>
      <c r="BW1104">
        <v>0</v>
      </c>
      <c r="BX1104" s="18">
        <v>0</v>
      </c>
      <c r="BY1104">
        <v>0</v>
      </c>
      <c r="BZ1104">
        <v>0</v>
      </c>
      <c r="CA1104">
        <v>0</v>
      </c>
      <c r="CB1104">
        <v>0</v>
      </c>
      <c r="CC1104" s="18">
        <v>1</v>
      </c>
      <c r="CD1104">
        <v>0</v>
      </c>
      <c r="CE1104">
        <v>0</v>
      </c>
      <c r="CF1104">
        <v>1</v>
      </c>
      <c r="CG1104">
        <v>1</v>
      </c>
      <c r="CH1104">
        <v>0</v>
      </c>
      <c r="CI1104">
        <v>0</v>
      </c>
      <c r="CJ1104">
        <v>0</v>
      </c>
      <c r="CK1104">
        <v>0</v>
      </c>
      <c r="CL1104">
        <v>1</v>
      </c>
      <c r="CM1104">
        <v>0</v>
      </c>
      <c r="CN1104" s="18">
        <v>0</v>
      </c>
      <c r="CO1104">
        <v>4.149</v>
      </c>
      <c r="CP1104">
        <v>6</v>
      </c>
      <c r="CQ1104">
        <v>1</v>
      </c>
      <c r="CR1104">
        <v>0</v>
      </c>
      <c r="CS1104">
        <v>20</v>
      </c>
      <c r="CY1104" s="34"/>
    </row>
    <row r="1105" spans="1:103" x14ac:dyDescent="0.25">
      <c r="A1105">
        <v>1104</v>
      </c>
      <c r="B1105">
        <v>74</v>
      </c>
      <c r="C1105" s="25" t="s">
        <v>4059</v>
      </c>
      <c r="D1105" s="12">
        <v>5.7</v>
      </c>
      <c r="E1105" s="14">
        <v>0.6</v>
      </c>
      <c r="F1105" s="7">
        <f t="shared" si="270"/>
        <v>9.5</v>
      </c>
      <c r="G1105" s="7">
        <f t="shared" si="260"/>
        <v>5.1000000000000005</v>
      </c>
      <c r="H1105" s="16">
        <f t="shared" si="261"/>
        <v>6.3</v>
      </c>
      <c r="I1105" s="11">
        <f t="shared" si="266"/>
        <v>0.1889355130790461</v>
      </c>
      <c r="J1105" s="33">
        <f t="shared" si="267"/>
        <v>1.9887948745162747E-2</v>
      </c>
      <c r="K1105" s="33">
        <f t="shared" si="268"/>
        <v>50.281706414957718</v>
      </c>
      <c r="L1105" s="8">
        <v>1</v>
      </c>
      <c r="M1105" s="9">
        <v>0</v>
      </c>
      <c r="N1105" s="8">
        <v>0</v>
      </c>
      <c r="O1105" s="9">
        <v>1</v>
      </c>
      <c r="P1105" s="9">
        <v>0</v>
      </c>
      <c r="Q1105" s="9">
        <v>0</v>
      </c>
      <c r="R1105" s="9">
        <v>0</v>
      </c>
      <c r="S1105" s="8">
        <v>2451</v>
      </c>
      <c r="T1105" s="9">
        <v>12</v>
      </c>
      <c r="U1105" s="9">
        <f t="shared" si="262"/>
        <v>2438</v>
      </c>
      <c r="V1105" s="9">
        <f t="shared" si="263"/>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69"/>
        <v>1</v>
      </c>
      <c r="AS1105">
        <v>0.82199999999999995</v>
      </c>
      <c r="AT1105" s="40">
        <v>0.17799999999999999</v>
      </c>
      <c r="AU1105">
        <v>0</v>
      </c>
      <c r="AV1105" s="18">
        <v>1</v>
      </c>
      <c r="AW1105">
        <v>0</v>
      </c>
      <c r="AX1105" s="18">
        <v>1</v>
      </c>
      <c r="AY1105" s="18" t="s">
        <v>5</v>
      </c>
      <c r="AZ1105">
        <v>0</v>
      </c>
      <c r="BA1105">
        <v>1</v>
      </c>
      <c r="BB1105">
        <v>0</v>
      </c>
      <c r="BC1105">
        <v>0</v>
      </c>
      <c r="BD1105">
        <v>0</v>
      </c>
      <c r="BE1105">
        <v>0</v>
      </c>
      <c r="BF1105" s="18">
        <v>0</v>
      </c>
      <c r="BG1105">
        <v>0</v>
      </c>
      <c r="BH1105">
        <v>1</v>
      </c>
      <c r="BI1105" s="18">
        <v>0</v>
      </c>
      <c r="BJ1105">
        <v>1732</v>
      </c>
      <c r="BK1105">
        <v>201</v>
      </c>
      <c r="BL1105" s="25">
        <v>42.1</v>
      </c>
      <c r="BM1105">
        <v>1</v>
      </c>
      <c r="BN1105">
        <v>0</v>
      </c>
      <c r="BO1105">
        <v>0</v>
      </c>
      <c r="BP1105">
        <v>0</v>
      </c>
      <c r="BQ1105">
        <v>0</v>
      </c>
      <c r="BR1105">
        <v>0</v>
      </c>
      <c r="BS1105">
        <v>0</v>
      </c>
      <c r="BT1105" s="18">
        <v>0</v>
      </c>
      <c r="BU1105">
        <v>0</v>
      </c>
      <c r="BV1105">
        <v>0</v>
      </c>
      <c r="BW1105">
        <v>1</v>
      </c>
      <c r="BX1105" s="18">
        <v>0</v>
      </c>
      <c r="BY1105">
        <v>0</v>
      </c>
      <c r="BZ1105">
        <v>0</v>
      </c>
      <c r="CA1105">
        <v>0</v>
      </c>
      <c r="CB1105">
        <v>0</v>
      </c>
      <c r="CC1105" s="18">
        <v>0</v>
      </c>
      <c r="CD1105">
        <v>0</v>
      </c>
      <c r="CE1105">
        <v>0</v>
      </c>
      <c r="CF1105">
        <v>1</v>
      </c>
      <c r="CG1105">
        <v>1</v>
      </c>
      <c r="CH1105">
        <v>0</v>
      </c>
      <c r="CI1105">
        <v>0</v>
      </c>
      <c r="CJ1105">
        <v>0</v>
      </c>
      <c r="CK1105">
        <v>0</v>
      </c>
      <c r="CL1105">
        <v>1</v>
      </c>
      <c r="CM1105">
        <v>0</v>
      </c>
      <c r="CN1105" s="18">
        <v>0</v>
      </c>
      <c r="CO1105">
        <v>4.149</v>
      </c>
      <c r="CP1105">
        <v>6</v>
      </c>
      <c r="CQ1105">
        <v>1</v>
      </c>
      <c r="CR1105">
        <v>0</v>
      </c>
      <c r="CS1105">
        <v>20</v>
      </c>
      <c r="CY1105" s="34"/>
    </row>
    <row r="1106" spans="1:103" x14ac:dyDescent="0.25">
      <c r="A1106">
        <v>1105</v>
      </c>
      <c r="B1106">
        <v>74</v>
      </c>
      <c r="C1106" s="25" t="s">
        <v>4059</v>
      </c>
      <c r="D1106" s="12">
        <v>5.4</v>
      </c>
      <c r="E1106" s="14">
        <v>0.6</v>
      </c>
      <c r="F1106" s="7">
        <f t="shared" si="270"/>
        <v>9.0000000000000018</v>
      </c>
      <c r="G1106" s="7">
        <f t="shared" si="260"/>
        <v>4.8000000000000007</v>
      </c>
      <c r="H1106" s="16">
        <f t="shared" si="261"/>
        <v>6</v>
      </c>
      <c r="I1106" s="11">
        <f t="shared" si="266"/>
        <v>0.15942318366671104</v>
      </c>
      <c r="J1106" s="33">
        <f t="shared" si="267"/>
        <v>1.7713687074079002E-2</v>
      </c>
      <c r="K1106" s="33">
        <f t="shared" si="268"/>
        <v>56.453520705089772</v>
      </c>
      <c r="L1106" s="8">
        <v>1</v>
      </c>
      <c r="M1106" s="9">
        <v>0</v>
      </c>
      <c r="N1106" s="8">
        <v>0</v>
      </c>
      <c r="O1106" s="9">
        <v>1</v>
      </c>
      <c r="P1106" s="9">
        <v>0</v>
      </c>
      <c r="Q1106" s="9">
        <v>0</v>
      </c>
      <c r="R1106" s="9">
        <v>0</v>
      </c>
      <c r="S1106" s="8">
        <v>3119</v>
      </c>
      <c r="T1106" s="9">
        <v>12</v>
      </c>
      <c r="U1106" s="9">
        <f t="shared" si="262"/>
        <v>3106</v>
      </c>
      <c r="V1106" s="9">
        <f t="shared" si="263"/>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69"/>
        <v>1</v>
      </c>
      <c r="AS1106">
        <v>0.82199999999999995</v>
      </c>
      <c r="AT1106" s="40">
        <v>0.17799999999999999</v>
      </c>
      <c r="AU1106">
        <v>0</v>
      </c>
      <c r="AV1106" s="18">
        <v>1</v>
      </c>
      <c r="AW1106">
        <v>0</v>
      </c>
      <c r="AX1106" s="18">
        <v>1</v>
      </c>
      <c r="AY1106" s="18" t="s">
        <v>5</v>
      </c>
      <c r="AZ1106">
        <v>0</v>
      </c>
      <c r="BA1106">
        <v>1</v>
      </c>
      <c r="BB1106">
        <v>0</v>
      </c>
      <c r="BC1106">
        <v>0</v>
      </c>
      <c r="BD1106">
        <v>0</v>
      </c>
      <c r="BE1106">
        <v>0</v>
      </c>
      <c r="BF1106" s="18">
        <v>0</v>
      </c>
      <c r="BG1106">
        <v>0</v>
      </c>
      <c r="BH1106">
        <v>1</v>
      </c>
      <c r="BI1106" s="18">
        <v>0</v>
      </c>
      <c r="BJ1106">
        <v>1732</v>
      </c>
      <c r="BK1106">
        <v>201</v>
      </c>
      <c r="BL1106" s="25">
        <v>42.1</v>
      </c>
      <c r="BM1106">
        <v>1</v>
      </c>
      <c r="BN1106">
        <v>0</v>
      </c>
      <c r="BO1106">
        <v>0</v>
      </c>
      <c r="BP1106">
        <v>0</v>
      </c>
      <c r="BQ1106">
        <v>0</v>
      </c>
      <c r="BR1106">
        <v>0</v>
      </c>
      <c r="BS1106">
        <v>0</v>
      </c>
      <c r="BT1106" s="18">
        <v>0</v>
      </c>
      <c r="BU1106">
        <v>0</v>
      </c>
      <c r="BV1106">
        <v>0</v>
      </c>
      <c r="BW1106">
        <v>1</v>
      </c>
      <c r="BX1106" s="18">
        <v>0</v>
      </c>
      <c r="BY1106">
        <v>0</v>
      </c>
      <c r="BZ1106">
        <v>0</v>
      </c>
      <c r="CA1106">
        <v>0</v>
      </c>
      <c r="CB1106">
        <v>0</v>
      </c>
      <c r="CC1106" s="18">
        <v>0</v>
      </c>
      <c r="CD1106">
        <v>0</v>
      </c>
      <c r="CE1106">
        <v>0</v>
      </c>
      <c r="CF1106">
        <v>1</v>
      </c>
      <c r="CG1106">
        <v>1</v>
      </c>
      <c r="CH1106">
        <v>0</v>
      </c>
      <c r="CI1106">
        <v>0</v>
      </c>
      <c r="CJ1106">
        <v>0</v>
      </c>
      <c r="CK1106">
        <v>0</v>
      </c>
      <c r="CL1106">
        <v>1</v>
      </c>
      <c r="CM1106">
        <v>0</v>
      </c>
      <c r="CN1106" s="18">
        <v>0</v>
      </c>
      <c r="CO1106">
        <v>4.149</v>
      </c>
      <c r="CP1106">
        <v>6</v>
      </c>
      <c r="CQ1106">
        <v>1</v>
      </c>
      <c r="CR1106">
        <v>0</v>
      </c>
      <c r="CS1106">
        <v>20</v>
      </c>
      <c r="CY1106" s="34"/>
    </row>
    <row r="1107" spans="1:103" x14ac:dyDescent="0.25">
      <c r="A1107">
        <v>1106</v>
      </c>
      <c r="B1107">
        <v>74</v>
      </c>
      <c r="C1107" s="25" t="s">
        <v>4059</v>
      </c>
      <c r="D1107" s="12">
        <v>5</v>
      </c>
      <c r="E1107" s="14">
        <v>1.5</v>
      </c>
      <c r="F1107" s="7">
        <f t="shared" si="270"/>
        <v>3.3333333333333335</v>
      </c>
      <c r="G1107" s="7">
        <f t="shared" si="260"/>
        <v>3.5</v>
      </c>
      <c r="H1107" s="16">
        <f t="shared" si="261"/>
        <v>6.5</v>
      </c>
      <c r="I1107" s="11">
        <f t="shared" si="266"/>
        <v>6.7341975958526951E-2</v>
      </c>
      <c r="J1107" s="33">
        <f t="shared" si="267"/>
        <v>2.0202592787558083E-2</v>
      </c>
      <c r="K1107" s="33">
        <f t="shared" si="268"/>
        <v>49.498597062049257</v>
      </c>
      <c r="L1107" s="8">
        <v>1</v>
      </c>
      <c r="M1107" s="9">
        <v>0</v>
      </c>
      <c r="N1107" s="8">
        <v>0</v>
      </c>
      <c r="O1107" s="9">
        <v>1</v>
      </c>
      <c r="P1107" s="9">
        <v>0</v>
      </c>
      <c r="Q1107" s="9">
        <v>0</v>
      </c>
      <c r="R1107" s="9">
        <v>0</v>
      </c>
      <c r="S1107" s="8">
        <v>2451</v>
      </c>
      <c r="T1107" s="9">
        <v>11</v>
      </c>
      <c r="U1107" s="9">
        <f t="shared" si="262"/>
        <v>2439</v>
      </c>
      <c r="V1107" s="9">
        <f t="shared" si="263"/>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69"/>
        <v>1</v>
      </c>
      <c r="AS1107">
        <v>0.82199999999999995</v>
      </c>
      <c r="AT1107" s="40">
        <v>0.17799999999999999</v>
      </c>
      <c r="AU1107">
        <v>0</v>
      </c>
      <c r="AV1107" s="18">
        <v>1</v>
      </c>
      <c r="AW1107">
        <v>0</v>
      </c>
      <c r="AX1107" s="18">
        <v>1</v>
      </c>
      <c r="AY1107" s="18" t="s">
        <v>5</v>
      </c>
      <c r="AZ1107">
        <v>0</v>
      </c>
      <c r="BA1107">
        <v>1</v>
      </c>
      <c r="BB1107">
        <v>0</v>
      </c>
      <c r="BC1107">
        <v>0</v>
      </c>
      <c r="BD1107">
        <v>0</v>
      </c>
      <c r="BE1107">
        <v>0</v>
      </c>
      <c r="BF1107" s="18">
        <v>0</v>
      </c>
      <c r="BG1107">
        <v>0</v>
      </c>
      <c r="BH1107">
        <v>1</v>
      </c>
      <c r="BI1107" s="18">
        <v>0</v>
      </c>
      <c r="BJ1107">
        <v>1732</v>
      </c>
      <c r="BK1107">
        <v>201</v>
      </c>
      <c r="BL1107" s="25">
        <v>42.1</v>
      </c>
      <c r="BM1107">
        <v>0</v>
      </c>
      <c r="BN1107">
        <v>0</v>
      </c>
      <c r="BO1107">
        <v>0</v>
      </c>
      <c r="BP1107">
        <v>0</v>
      </c>
      <c r="BQ1107">
        <v>0</v>
      </c>
      <c r="BR1107">
        <v>0</v>
      </c>
      <c r="BS1107">
        <v>0</v>
      </c>
      <c r="BT1107" s="18">
        <v>1</v>
      </c>
      <c r="BU1107">
        <v>0</v>
      </c>
      <c r="BV1107">
        <v>1</v>
      </c>
      <c r="BW1107">
        <v>0</v>
      </c>
      <c r="BX1107" s="18">
        <v>0</v>
      </c>
      <c r="BY1107">
        <v>0</v>
      </c>
      <c r="BZ1107">
        <v>0</v>
      </c>
      <c r="CA1107">
        <v>0</v>
      </c>
      <c r="CB1107">
        <v>0</v>
      </c>
      <c r="CC1107" s="18">
        <v>1</v>
      </c>
      <c r="CD1107">
        <v>0</v>
      </c>
      <c r="CE1107">
        <v>0</v>
      </c>
      <c r="CF1107">
        <v>1</v>
      </c>
      <c r="CG1107">
        <v>1</v>
      </c>
      <c r="CH1107">
        <v>0</v>
      </c>
      <c r="CI1107">
        <v>0</v>
      </c>
      <c r="CJ1107">
        <v>0</v>
      </c>
      <c r="CK1107">
        <v>0</v>
      </c>
      <c r="CL1107">
        <v>1</v>
      </c>
      <c r="CM1107">
        <v>0</v>
      </c>
      <c r="CN1107" s="18">
        <v>0</v>
      </c>
      <c r="CO1107">
        <v>4.149</v>
      </c>
      <c r="CP1107">
        <v>6</v>
      </c>
      <c r="CQ1107">
        <v>1</v>
      </c>
      <c r="CR1107">
        <v>0</v>
      </c>
      <c r="CS1107">
        <v>20</v>
      </c>
      <c r="CY1107" s="34"/>
    </row>
    <row r="1108" spans="1:103" x14ac:dyDescent="0.25">
      <c r="A1108">
        <v>1107</v>
      </c>
      <c r="B1108">
        <v>74</v>
      </c>
      <c r="C1108" s="25" t="s">
        <v>4059</v>
      </c>
      <c r="D1108" s="12">
        <v>6.3</v>
      </c>
      <c r="E1108" s="14">
        <v>1.3</v>
      </c>
      <c r="F1108" s="7">
        <f t="shared" si="270"/>
        <v>4.8461538461538458</v>
      </c>
      <c r="G1108" s="7">
        <f t="shared" si="260"/>
        <v>5</v>
      </c>
      <c r="H1108" s="16">
        <f t="shared" si="261"/>
        <v>7.6</v>
      </c>
      <c r="I1108" s="11">
        <f t="shared" si="266"/>
        <v>9.7678410112133671E-2</v>
      </c>
      <c r="J1108" s="33">
        <f t="shared" si="267"/>
        <v>2.0155862404091077E-2</v>
      </c>
      <c r="K1108" s="33">
        <f t="shared" si="268"/>
        <v>49.613357144025152</v>
      </c>
      <c r="L1108" s="8">
        <v>1</v>
      </c>
      <c r="M1108" s="9">
        <v>0</v>
      </c>
      <c r="N1108" s="8">
        <v>0</v>
      </c>
      <c r="O1108" s="9">
        <v>1</v>
      </c>
      <c r="P1108" s="9">
        <v>0</v>
      </c>
      <c r="Q1108" s="9">
        <v>0</v>
      </c>
      <c r="R1108" s="9">
        <v>0</v>
      </c>
      <c r="S1108" s="8">
        <v>2451</v>
      </c>
      <c r="T1108" s="9">
        <v>12</v>
      </c>
      <c r="U1108" s="9">
        <f t="shared" si="262"/>
        <v>2438</v>
      </c>
      <c r="V1108" s="9">
        <f t="shared" si="263"/>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69"/>
        <v>1</v>
      </c>
      <c r="AS1108">
        <v>0.82199999999999995</v>
      </c>
      <c r="AT1108" s="40">
        <v>0.17799999999999999</v>
      </c>
      <c r="AU1108">
        <v>0</v>
      </c>
      <c r="AV1108" s="18">
        <v>1</v>
      </c>
      <c r="AW1108">
        <v>0</v>
      </c>
      <c r="AX1108" s="18">
        <v>1</v>
      </c>
      <c r="AY1108" s="18" t="s">
        <v>5</v>
      </c>
      <c r="AZ1108">
        <v>0</v>
      </c>
      <c r="BA1108">
        <v>1</v>
      </c>
      <c r="BB1108">
        <v>0</v>
      </c>
      <c r="BC1108">
        <v>0</v>
      </c>
      <c r="BD1108">
        <v>0</v>
      </c>
      <c r="BE1108">
        <v>0</v>
      </c>
      <c r="BF1108" s="18">
        <v>0</v>
      </c>
      <c r="BG1108">
        <v>0</v>
      </c>
      <c r="BH1108">
        <v>1</v>
      </c>
      <c r="BI1108" s="18">
        <v>0</v>
      </c>
      <c r="BJ1108">
        <v>1732</v>
      </c>
      <c r="BK1108">
        <v>201</v>
      </c>
      <c r="BL1108" s="25">
        <v>42.1</v>
      </c>
      <c r="BM1108">
        <v>0</v>
      </c>
      <c r="BN1108">
        <v>0</v>
      </c>
      <c r="BO1108">
        <v>0</v>
      </c>
      <c r="BP1108">
        <v>0</v>
      </c>
      <c r="BQ1108">
        <v>0</v>
      </c>
      <c r="BR1108">
        <v>0</v>
      </c>
      <c r="BS1108">
        <v>0</v>
      </c>
      <c r="BT1108" s="18">
        <v>1</v>
      </c>
      <c r="BU1108">
        <v>0</v>
      </c>
      <c r="BV1108">
        <v>1</v>
      </c>
      <c r="BW1108">
        <v>0</v>
      </c>
      <c r="BX1108" s="18">
        <v>0</v>
      </c>
      <c r="BY1108">
        <v>0</v>
      </c>
      <c r="BZ1108">
        <v>0</v>
      </c>
      <c r="CA1108">
        <v>0</v>
      </c>
      <c r="CB1108">
        <v>0</v>
      </c>
      <c r="CC1108" s="18">
        <v>1</v>
      </c>
      <c r="CD1108">
        <v>0</v>
      </c>
      <c r="CE1108">
        <v>0</v>
      </c>
      <c r="CF1108">
        <v>1</v>
      </c>
      <c r="CG1108">
        <v>1</v>
      </c>
      <c r="CH1108">
        <v>0</v>
      </c>
      <c r="CI1108">
        <v>0</v>
      </c>
      <c r="CJ1108">
        <v>0</v>
      </c>
      <c r="CK1108">
        <v>0</v>
      </c>
      <c r="CL1108">
        <v>1</v>
      </c>
      <c r="CM1108">
        <v>0</v>
      </c>
      <c r="CN1108" s="18">
        <v>0</v>
      </c>
      <c r="CO1108">
        <v>4.149</v>
      </c>
      <c r="CP1108">
        <v>6</v>
      </c>
      <c r="CQ1108">
        <v>1</v>
      </c>
      <c r="CR1108">
        <v>0</v>
      </c>
      <c r="CS1108">
        <v>20</v>
      </c>
      <c r="CY1108" s="34"/>
    </row>
    <row r="1109" spans="1:103" x14ac:dyDescent="0.25">
      <c r="A1109">
        <v>1108</v>
      </c>
      <c r="B1109">
        <v>74</v>
      </c>
      <c r="C1109" s="25" t="s">
        <v>4059</v>
      </c>
      <c r="D1109" s="12">
        <v>4.5</v>
      </c>
      <c r="E1109" s="14">
        <v>0.9</v>
      </c>
      <c r="F1109" s="7">
        <f t="shared" si="270"/>
        <v>5</v>
      </c>
      <c r="G1109" s="7">
        <f t="shared" si="260"/>
        <v>3.6</v>
      </c>
      <c r="H1109" s="16">
        <f t="shared" si="261"/>
        <v>5.4</v>
      </c>
      <c r="I1109" s="11">
        <f t="shared" si="266"/>
        <v>0.13277976293203617</v>
      </c>
      <c r="J1109" s="33">
        <f t="shared" si="267"/>
        <v>2.6555952586407236E-2</v>
      </c>
      <c r="K1109" s="33">
        <f t="shared" si="268"/>
        <v>37.656340767525464</v>
      </c>
      <c r="L1109" s="8">
        <v>1</v>
      </c>
      <c r="M1109" s="9">
        <v>0</v>
      </c>
      <c r="N1109" s="8">
        <v>0</v>
      </c>
      <c r="O1109" s="9">
        <v>1</v>
      </c>
      <c r="P1109" s="9">
        <v>0</v>
      </c>
      <c r="Q1109" s="9">
        <v>0</v>
      </c>
      <c r="R1109" s="9">
        <v>0</v>
      </c>
      <c r="S1109" s="8">
        <v>1405</v>
      </c>
      <c r="T1109" s="9">
        <v>11</v>
      </c>
      <c r="U1109" s="9">
        <f t="shared" si="262"/>
        <v>1393</v>
      </c>
      <c r="V1109" s="9">
        <f t="shared" si="263"/>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69"/>
        <v>0</v>
      </c>
      <c r="AS1109">
        <v>0.94499999999999995</v>
      </c>
      <c r="AT1109" s="40">
        <v>0.55000000000000004</v>
      </c>
      <c r="AU1109">
        <v>0</v>
      </c>
      <c r="AV1109" s="18">
        <v>1</v>
      </c>
      <c r="AW1109">
        <v>0</v>
      </c>
      <c r="AX1109" s="18">
        <v>1</v>
      </c>
      <c r="AY1109" s="18" t="s">
        <v>5</v>
      </c>
      <c r="AZ1109">
        <v>0</v>
      </c>
      <c r="BA1109">
        <v>1</v>
      </c>
      <c r="BB1109">
        <v>0</v>
      </c>
      <c r="BC1109">
        <v>0</v>
      </c>
      <c r="BD1109">
        <v>0</v>
      </c>
      <c r="BE1109">
        <v>0</v>
      </c>
      <c r="BF1109" s="18">
        <v>0</v>
      </c>
      <c r="BG1109">
        <v>0</v>
      </c>
      <c r="BH1109">
        <v>1</v>
      </c>
      <c r="BI1109" s="18">
        <v>0</v>
      </c>
      <c r="BJ1109">
        <v>1732</v>
      </c>
      <c r="BK1109">
        <v>201</v>
      </c>
      <c r="BL1109" s="25">
        <v>34.700000000000003</v>
      </c>
      <c r="BM1109">
        <v>1</v>
      </c>
      <c r="BN1109">
        <v>0</v>
      </c>
      <c r="BO1109">
        <v>0</v>
      </c>
      <c r="BP1109">
        <v>0</v>
      </c>
      <c r="BQ1109">
        <v>0</v>
      </c>
      <c r="BR1109">
        <v>0</v>
      </c>
      <c r="BS1109">
        <v>0</v>
      </c>
      <c r="BT1109" s="18">
        <v>0</v>
      </c>
      <c r="BU1109">
        <v>0</v>
      </c>
      <c r="BV1109">
        <v>0</v>
      </c>
      <c r="BW1109">
        <v>1</v>
      </c>
      <c r="BX1109" s="18">
        <v>0</v>
      </c>
      <c r="BY1109">
        <v>0</v>
      </c>
      <c r="BZ1109">
        <v>0</v>
      </c>
      <c r="CA1109">
        <v>0</v>
      </c>
      <c r="CB1109">
        <v>0</v>
      </c>
      <c r="CC1109" s="18">
        <v>1</v>
      </c>
      <c r="CD1109">
        <v>0</v>
      </c>
      <c r="CE1109">
        <v>0</v>
      </c>
      <c r="CF1109">
        <v>1</v>
      </c>
      <c r="CG1109">
        <v>1</v>
      </c>
      <c r="CH1109">
        <v>0</v>
      </c>
      <c r="CI1109">
        <v>0</v>
      </c>
      <c r="CJ1109">
        <v>0</v>
      </c>
      <c r="CK1109">
        <v>0</v>
      </c>
      <c r="CL1109">
        <v>1</v>
      </c>
      <c r="CM1109">
        <v>0</v>
      </c>
      <c r="CN1109" s="18">
        <v>0</v>
      </c>
      <c r="CO1109">
        <v>4.149</v>
      </c>
      <c r="CP1109">
        <v>6</v>
      </c>
      <c r="CQ1109">
        <v>1</v>
      </c>
      <c r="CR1109">
        <v>0</v>
      </c>
      <c r="CS1109">
        <v>20</v>
      </c>
      <c r="CY1109" s="34"/>
    </row>
    <row r="1110" spans="1:103" x14ac:dyDescent="0.25">
      <c r="A1110">
        <v>1109</v>
      </c>
      <c r="B1110">
        <v>74</v>
      </c>
      <c r="C1110" s="25" t="s">
        <v>4059</v>
      </c>
      <c r="D1110" s="12">
        <v>8</v>
      </c>
      <c r="E1110" s="14">
        <v>3.4</v>
      </c>
      <c r="F1110" s="7">
        <f t="shared" si="270"/>
        <v>2.3529411764705883</v>
      </c>
      <c r="G1110" s="7">
        <f t="shared" si="260"/>
        <v>4.5999999999999996</v>
      </c>
      <c r="H1110" s="16">
        <f t="shared" si="261"/>
        <v>11.4</v>
      </c>
      <c r="I1110" s="11">
        <f t="shared" si="266"/>
        <v>6.2872956111088646E-2</v>
      </c>
      <c r="J1110" s="33">
        <f t="shared" si="267"/>
        <v>2.6721006347212674E-2</v>
      </c>
      <c r="K1110" s="33">
        <f t="shared" si="268"/>
        <v>37.423740221681889</v>
      </c>
      <c r="L1110" s="8">
        <v>1</v>
      </c>
      <c r="M1110" s="9">
        <v>0</v>
      </c>
      <c r="N1110" s="8">
        <v>0</v>
      </c>
      <c r="O1110" s="9">
        <v>1</v>
      </c>
      <c r="P1110" s="9">
        <v>0</v>
      </c>
      <c r="Q1110" s="9">
        <v>0</v>
      </c>
      <c r="R1110" s="9">
        <v>0</v>
      </c>
      <c r="S1110" s="8">
        <v>1405</v>
      </c>
      <c r="T1110" s="9">
        <v>9</v>
      </c>
      <c r="U1110" s="9">
        <f t="shared" si="262"/>
        <v>1395</v>
      </c>
      <c r="V1110" s="9">
        <f t="shared" si="263"/>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69"/>
        <v>0</v>
      </c>
      <c r="AS1110">
        <v>0.94499999999999995</v>
      </c>
      <c r="AT1110" s="40">
        <v>0.55000000000000004</v>
      </c>
      <c r="AU1110">
        <v>0</v>
      </c>
      <c r="AV1110" s="18">
        <v>1</v>
      </c>
      <c r="AW1110">
        <v>0</v>
      </c>
      <c r="AX1110" s="18">
        <v>1</v>
      </c>
      <c r="AY1110" s="18" t="s">
        <v>5</v>
      </c>
      <c r="AZ1110">
        <v>0</v>
      </c>
      <c r="BA1110">
        <v>1</v>
      </c>
      <c r="BB1110">
        <v>0</v>
      </c>
      <c r="BC1110">
        <v>0</v>
      </c>
      <c r="BD1110">
        <v>0</v>
      </c>
      <c r="BE1110">
        <v>0</v>
      </c>
      <c r="BF1110" s="18">
        <v>0</v>
      </c>
      <c r="BG1110">
        <v>0</v>
      </c>
      <c r="BH1110">
        <v>1</v>
      </c>
      <c r="BI1110" s="18">
        <v>0</v>
      </c>
      <c r="BJ1110">
        <v>1732</v>
      </c>
      <c r="BK1110">
        <v>201</v>
      </c>
      <c r="BL1110" s="25">
        <v>34.700000000000003</v>
      </c>
      <c r="BM1110">
        <v>0</v>
      </c>
      <c r="BN1110">
        <v>0</v>
      </c>
      <c r="BO1110">
        <v>0</v>
      </c>
      <c r="BP1110">
        <v>0</v>
      </c>
      <c r="BQ1110">
        <v>0</v>
      </c>
      <c r="BR1110">
        <v>0</v>
      </c>
      <c r="BS1110">
        <v>0</v>
      </c>
      <c r="BT1110" s="18">
        <v>1</v>
      </c>
      <c r="BU1110">
        <v>0</v>
      </c>
      <c r="BV1110">
        <v>1</v>
      </c>
      <c r="BW1110">
        <v>0</v>
      </c>
      <c r="BX1110" s="18">
        <v>0</v>
      </c>
      <c r="BY1110">
        <v>0</v>
      </c>
      <c r="BZ1110">
        <v>0</v>
      </c>
      <c r="CA1110">
        <v>0</v>
      </c>
      <c r="CB1110">
        <v>0</v>
      </c>
      <c r="CC1110" s="18">
        <v>1</v>
      </c>
      <c r="CD1110">
        <v>0</v>
      </c>
      <c r="CE1110">
        <v>0</v>
      </c>
      <c r="CF1110">
        <v>1</v>
      </c>
      <c r="CG1110">
        <v>1</v>
      </c>
      <c r="CH1110">
        <v>0</v>
      </c>
      <c r="CI1110">
        <v>0</v>
      </c>
      <c r="CJ1110">
        <v>0</v>
      </c>
      <c r="CK1110">
        <v>0</v>
      </c>
      <c r="CL1110">
        <v>1</v>
      </c>
      <c r="CM1110">
        <v>0</v>
      </c>
      <c r="CN1110" s="18">
        <v>0</v>
      </c>
      <c r="CO1110">
        <v>4.149</v>
      </c>
      <c r="CP1110">
        <v>6</v>
      </c>
      <c r="CQ1110">
        <v>1</v>
      </c>
      <c r="CR1110">
        <v>0</v>
      </c>
      <c r="CS1110">
        <v>20</v>
      </c>
      <c r="CY1110" s="34"/>
    </row>
    <row r="1111" spans="1:103" x14ac:dyDescent="0.25">
      <c r="A1111">
        <v>1110</v>
      </c>
      <c r="B1111">
        <v>74</v>
      </c>
      <c r="C1111" s="25" t="s">
        <v>4059</v>
      </c>
      <c r="D1111" s="12">
        <v>8</v>
      </c>
      <c r="E1111" s="14">
        <v>3.5</v>
      </c>
      <c r="F1111" s="7">
        <f t="shared" si="270"/>
        <v>2.2857142857142856</v>
      </c>
      <c r="G1111" s="7">
        <f t="shared" si="260"/>
        <v>4.5</v>
      </c>
      <c r="H1111" s="16">
        <f t="shared" si="261"/>
        <v>11.5</v>
      </c>
      <c r="I1111" s="11">
        <f t="shared" si="266"/>
        <v>6.1083386705926834E-2</v>
      </c>
      <c r="J1111" s="33">
        <f t="shared" si="267"/>
        <v>2.6723981683842993E-2</v>
      </c>
      <c r="K1111" s="33">
        <f t="shared" si="268"/>
        <v>37.419573618574525</v>
      </c>
      <c r="L1111" s="8">
        <v>1</v>
      </c>
      <c r="M1111" s="9">
        <v>0</v>
      </c>
      <c r="N1111" s="8">
        <v>0</v>
      </c>
      <c r="O1111" s="9">
        <v>1</v>
      </c>
      <c r="P1111" s="9">
        <v>0</v>
      </c>
      <c r="Q1111" s="9">
        <v>0</v>
      </c>
      <c r="R1111" s="9">
        <v>0</v>
      </c>
      <c r="S1111" s="8">
        <v>1405</v>
      </c>
      <c r="T1111" s="9">
        <v>9</v>
      </c>
      <c r="U1111" s="9">
        <f t="shared" si="262"/>
        <v>1395</v>
      </c>
      <c r="V1111" s="9">
        <f t="shared" si="263"/>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69"/>
        <v>0</v>
      </c>
      <c r="AS1111">
        <v>0.94499999999999995</v>
      </c>
      <c r="AT1111" s="40">
        <v>0.55000000000000004</v>
      </c>
      <c r="AU1111">
        <v>0</v>
      </c>
      <c r="AV1111" s="18">
        <v>1</v>
      </c>
      <c r="AW1111">
        <v>0</v>
      </c>
      <c r="AX1111" s="18">
        <v>1</v>
      </c>
      <c r="AY1111" s="18" t="s">
        <v>5</v>
      </c>
      <c r="AZ1111">
        <v>0</v>
      </c>
      <c r="BA1111">
        <v>1</v>
      </c>
      <c r="BB1111">
        <v>0</v>
      </c>
      <c r="BC1111">
        <v>0</v>
      </c>
      <c r="BD1111">
        <v>0</v>
      </c>
      <c r="BE1111">
        <v>0</v>
      </c>
      <c r="BF1111" s="18">
        <v>0</v>
      </c>
      <c r="BG1111">
        <v>0</v>
      </c>
      <c r="BH1111">
        <v>1</v>
      </c>
      <c r="BI1111" s="18">
        <v>0</v>
      </c>
      <c r="BJ1111">
        <v>1732</v>
      </c>
      <c r="BK1111">
        <v>201</v>
      </c>
      <c r="BL1111" s="25">
        <v>34.700000000000003</v>
      </c>
      <c r="BM1111">
        <v>0</v>
      </c>
      <c r="BN1111">
        <v>0</v>
      </c>
      <c r="BO1111">
        <v>0</v>
      </c>
      <c r="BP1111">
        <v>0</v>
      </c>
      <c r="BQ1111">
        <v>0</v>
      </c>
      <c r="BR1111">
        <v>0</v>
      </c>
      <c r="BS1111">
        <v>0</v>
      </c>
      <c r="BT1111" s="18">
        <v>1</v>
      </c>
      <c r="BU1111">
        <v>0</v>
      </c>
      <c r="BV1111">
        <v>1</v>
      </c>
      <c r="BW1111">
        <v>0</v>
      </c>
      <c r="BX1111" s="18">
        <v>0</v>
      </c>
      <c r="BY1111">
        <v>0</v>
      </c>
      <c r="BZ1111">
        <v>0</v>
      </c>
      <c r="CA1111">
        <v>0</v>
      </c>
      <c r="CB1111">
        <v>0</v>
      </c>
      <c r="CC1111" s="18">
        <v>1</v>
      </c>
      <c r="CD1111">
        <v>0</v>
      </c>
      <c r="CE1111">
        <v>0</v>
      </c>
      <c r="CF1111">
        <v>1</v>
      </c>
      <c r="CG1111">
        <v>1</v>
      </c>
      <c r="CH1111">
        <v>0</v>
      </c>
      <c r="CI1111">
        <v>0</v>
      </c>
      <c r="CJ1111">
        <v>0</v>
      </c>
      <c r="CK1111">
        <v>0</v>
      </c>
      <c r="CL1111">
        <v>1</v>
      </c>
      <c r="CM1111">
        <v>0</v>
      </c>
      <c r="CN1111" s="18">
        <v>0</v>
      </c>
      <c r="CO1111">
        <v>4.149</v>
      </c>
      <c r="CP1111">
        <v>6</v>
      </c>
      <c r="CQ1111">
        <v>1</v>
      </c>
      <c r="CR1111">
        <v>0</v>
      </c>
      <c r="CS1111">
        <v>20</v>
      </c>
      <c r="CY1111" s="34"/>
    </row>
    <row r="1112" spans="1:103" x14ac:dyDescent="0.25">
      <c r="A1112">
        <v>1111</v>
      </c>
      <c r="B1112">
        <v>74</v>
      </c>
      <c r="C1112" s="25" t="s">
        <v>4059</v>
      </c>
      <c r="D1112" s="12">
        <v>8.4</v>
      </c>
      <c r="E1112" s="14">
        <v>3.8</v>
      </c>
      <c r="F1112" s="7">
        <f t="shared" si="270"/>
        <v>2.2105263157894739</v>
      </c>
      <c r="G1112" s="7">
        <f t="shared" si="260"/>
        <v>4.6000000000000005</v>
      </c>
      <c r="H1112" s="16">
        <f t="shared" si="261"/>
        <v>12.2</v>
      </c>
      <c r="I1112" s="11">
        <f t="shared" si="266"/>
        <v>5.908119733986171E-2</v>
      </c>
      <c r="J1112" s="33">
        <f t="shared" si="267"/>
        <v>2.6727208320413625E-2</v>
      </c>
      <c r="K1112" s="33">
        <f t="shared" si="268"/>
        <v>37.415056148465126</v>
      </c>
      <c r="L1112" s="8">
        <v>1</v>
      </c>
      <c r="M1112" s="9">
        <v>0</v>
      </c>
      <c r="N1112" s="8">
        <v>0</v>
      </c>
      <c r="O1112" s="9">
        <v>1</v>
      </c>
      <c r="P1112" s="9">
        <v>0</v>
      </c>
      <c r="Q1112" s="9">
        <v>0</v>
      </c>
      <c r="R1112" s="9">
        <v>0</v>
      </c>
      <c r="S1112" s="8">
        <v>1405</v>
      </c>
      <c r="T1112" s="9">
        <v>9</v>
      </c>
      <c r="U1112" s="9">
        <f t="shared" si="262"/>
        <v>1395</v>
      </c>
      <c r="V1112" s="9">
        <f t="shared" si="263"/>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69"/>
        <v>0</v>
      </c>
      <c r="AS1112">
        <v>0.94499999999999995</v>
      </c>
      <c r="AT1112" s="40">
        <v>0.55000000000000004</v>
      </c>
      <c r="AU1112">
        <v>0</v>
      </c>
      <c r="AV1112" s="18">
        <v>1</v>
      </c>
      <c r="AW1112">
        <v>0</v>
      </c>
      <c r="AX1112" s="18">
        <v>1</v>
      </c>
      <c r="AY1112" s="18" t="s">
        <v>5</v>
      </c>
      <c r="AZ1112">
        <v>0</v>
      </c>
      <c r="BA1112">
        <v>1</v>
      </c>
      <c r="BB1112">
        <v>0</v>
      </c>
      <c r="BC1112">
        <v>0</v>
      </c>
      <c r="BD1112">
        <v>0</v>
      </c>
      <c r="BE1112">
        <v>0</v>
      </c>
      <c r="BF1112" s="18">
        <v>0</v>
      </c>
      <c r="BG1112">
        <v>0</v>
      </c>
      <c r="BH1112">
        <v>1</v>
      </c>
      <c r="BI1112" s="18">
        <v>0</v>
      </c>
      <c r="BJ1112">
        <v>1732</v>
      </c>
      <c r="BK1112">
        <v>201</v>
      </c>
      <c r="BL1112" s="25">
        <v>34.700000000000003</v>
      </c>
      <c r="BM1112">
        <v>0</v>
      </c>
      <c r="BN1112">
        <v>0</v>
      </c>
      <c r="BO1112">
        <v>0</v>
      </c>
      <c r="BP1112">
        <v>0</v>
      </c>
      <c r="BQ1112">
        <v>0</v>
      </c>
      <c r="BR1112">
        <v>0</v>
      </c>
      <c r="BS1112">
        <v>0</v>
      </c>
      <c r="BT1112" s="18">
        <v>1</v>
      </c>
      <c r="BU1112">
        <v>0</v>
      </c>
      <c r="BV1112">
        <v>1</v>
      </c>
      <c r="BW1112">
        <v>0</v>
      </c>
      <c r="BX1112" s="18">
        <v>0</v>
      </c>
      <c r="BY1112">
        <v>0</v>
      </c>
      <c r="BZ1112">
        <v>0</v>
      </c>
      <c r="CA1112">
        <v>0</v>
      </c>
      <c r="CB1112">
        <v>0</v>
      </c>
      <c r="CC1112" s="18">
        <v>1</v>
      </c>
      <c r="CD1112">
        <v>0</v>
      </c>
      <c r="CE1112">
        <v>0</v>
      </c>
      <c r="CF1112">
        <v>1</v>
      </c>
      <c r="CG1112">
        <v>1</v>
      </c>
      <c r="CH1112">
        <v>0</v>
      </c>
      <c r="CI1112">
        <v>0</v>
      </c>
      <c r="CJ1112">
        <v>0</v>
      </c>
      <c r="CK1112">
        <v>0</v>
      </c>
      <c r="CL1112">
        <v>1</v>
      </c>
      <c r="CM1112">
        <v>0</v>
      </c>
      <c r="CN1112" s="18">
        <v>0</v>
      </c>
      <c r="CO1112">
        <v>4.149</v>
      </c>
      <c r="CP1112">
        <v>6</v>
      </c>
      <c r="CQ1112">
        <v>1</v>
      </c>
      <c r="CR1112">
        <v>0</v>
      </c>
      <c r="CS1112">
        <v>20</v>
      </c>
      <c r="CY1112" s="34"/>
    </row>
    <row r="1113" spans="1:103" x14ac:dyDescent="0.25">
      <c r="A1113">
        <v>1112</v>
      </c>
      <c r="B1113">
        <v>74</v>
      </c>
      <c r="C1113" s="25" t="s">
        <v>4059</v>
      </c>
      <c r="D1113" s="12">
        <v>3.6</v>
      </c>
      <c r="E1113" s="14">
        <v>0.8</v>
      </c>
      <c r="F1113" s="7">
        <f t="shared" si="270"/>
        <v>4.5</v>
      </c>
      <c r="G1113" s="7">
        <f t="shared" si="260"/>
        <v>2.8</v>
      </c>
      <c r="H1113" s="16">
        <f t="shared" si="261"/>
        <v>4.4000000000000004</v>
      </c>
      <c r="I1113" s="11">
        <f t="shared" si="266"/>
        <v>0.14575018235653436</v>
      </c>
      <c r="J1113" s="33">
        <f t="shared" si="267"/>
        <v>3.2388929412563189E-2</v>
      </c>
      <c r="K1113" s="33">
        <f t="shared" si="268"/>
        <v>30.874746962525865</v>
      </c>
      <c r="L1113" s="8">
        <v>1</v>
      </c>
      <c r="M1113" s="9">
        <v>0</v>
      </c>
      <c r="N1113" s="8">
        <v>0</v>
      </c>
      <c r="O1113" s="9">
        <v>1</v>
      </c>
      <c r="P1113" s="9">
        <v>0</v>
      </c>
      <c r="Q1113" s="9">
        <v>0</v>
      </c>
      <c r="R1113" s="9">
        <v>0</v>
      </c>
      <c r="S1113" s="8">
        <v>945</v>
      </c>
      <c r="T1113" s="9">
        <v>11</v>
      </c>
      <c r="U1113" s="9">
        <f t="shared" si="262"/>
        <v>933</v>
      </c>
      <c r="V1113" s="9">
        <f t="shared" si="263"/>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69"/>
        <v>1</v>
      </c>
      <c r="AS1113">
        <v>0.94499999999999995</v>
      </c>
      <c r="AT1113" s="40">
        <v>0.55000000000000004</v>
      </c>
      <c r="AU1113">
        <v>0</v>
      </c>
      <c r="AV1113" s="18">
        <v>1</v>
      </c>
      <c r="AW1113">
        <v>0</v>
      </c>
      <c r="AX1113" s="18">
        <v>1</v>
      </c>
      <c r="AY1113" s="18" t="s">
        <v>5</v>
      </c>
      <c r="AZ1113">
        <v>0</v>
      </c>
      <c r="BA1113">
        <v>1</v>
      </c>
      <c r="BB1113">
        <v>0</v>
      </c>
      <c r="BC1113">
        <v>0</v>
      </c>
      <c r="BD1113">
        <v>0</v>
      </c>
      <c r="BE1113">
        <v>0</v>
      </c>
      <c r="BF1113" s="18">
        <v>0</v>
      </c>
      <c r="BG1113">
        <v>0</v>
      </c>
      <c r="BH1113">
        <v>1</v>
      </c>
      <c r="BI1113" s="18">
        <v>0</v>
      </c>
      <c r="BJ1113">
        <v>1732</v>
      </c>
      <c r="BK1113">
        <v>201</v>
      </c>
      <c r="BL1113" s="25">
        <v>34.700000000000003</v>
      </c>
      <c r="BM1113">
        <v>1</v>
      </c>
      <c r="BN1113">
        <v>0</v>
      </c>
      <c r="BO1113">
        <v>0</v>
      </c>
      <c r="BP1113">
        <v>0</v>
      </c>
      <c r="BQ1113">
        <v>0</v>
      </c>
      <c r="BR1113">
        <v>0</v>
      </c>
      <c r="BS1113">
        <v>0</v>
      </c>
      <c r="BT1113" s="18">
        <v>0</v>
      </c>
      <c r="BU1113">
        <v>0</v>
      </c>
      <c r="BV1113">
        <v>0</v>
      </c>
      <c r="BW1113">
        <v>1</v>
      </c>
      <c r="BX1113" s="18">
        <v>0</v>
      </c>
      <c r="BY1113">
        <v>0</v>
      </c>
      <c r="BZ1113">
        <v>0</v>
      </c>
      <c r="CA1113">
        <v>0</v>
      </c>
      <c r="CB1113">
        <v>0</v>
      </c>
      <c r="CC1113" s="18">
        <v>0</v>
      </c>
      <c r="CD1113">
        <v>0</v>
      </c>
      <c r="CE1113">
        <v>0</v>
      </c>
      <c r="CF1113">
        <v>1</v>
      </c>
      <c r="CG1113">
        <v>1</v>
      </c>
      <c r="CH1113">
        <v>0</v>
      </c>
      <c r="CI1113">
        <v>0</v>
      </c>
      <c r="CJ1113">
        <v>0</v>
      </c>
      <c r="CK1113">
        <v>0</v>
      </c>
      <c r="CL1113">
        <v>1</v>
      </c>
      <c r="CM1113">
        <v>0</v>
      </c>
      <c r="CN1113" s="18">
        <v>0</v>
      </c>
      <c r="CO1113">
        <v>4.149</v>
      </c>
      <c r="CP1113">
        <v>6</v>
      </c>
      <c r="CQ1113">
        <v>1</v>
      </c>
      <c r="CR1113">
        <v>0</v>
      </c>
      <c r="CS1113">
        <v>20</v>
      </c>
      <c r="CY1113" s="34"/>
    </row>
    <row r="1114" spans="1:103" x14ac:dyDescent="0.25">
      <c r="A1114">
        <v>1113</v>
      </c>
      <c r="B1114">
        <v>74</v>
      </c>
      <c r="C1114" s="25" t="s">
        <v>4059</v>
      </c>
      <c r="D1114" s="12">
        <v>3.3</v>
      </c>
      <c r="E1114" s="14">
        <v>0.9</v>
      </c>
      <c r="F1114" s="7">
        <f t="shared" si="270"/>
        <v>3.6666666666666665</v>
      </c>
      <c r="G1114" s="7">
        <f t="shared" si="260"/>
        <v>2.4</v>
      </c>
      <c r="H1114" s="16">
        <f t="shared" si="261"/>
        <v>4.2</v>
      </c>
      <c r="I1114" s="11">
        <f t="shared" si="266"/>
        <v>0.11323970232334872</v>
      </c>
      <c r="J1114" s="33">
        <f t="shared" si="267"/>
        <v>3.0883555179095103E-2</v>
      </c>
      <c r="K1114" s="33">
        <f t="shared" si="268"/>
        <v>32.379691852215707</v>
      </c>
      <c r="L1114" s="8">
        <v>1</v>
      </c>
      <c r="M1114" s="9">
        <v>0</v>
      </c>
      <c r="N1114" s="8">
        <v>0</v>
      </c>
      <c r="O1114" s="9">
        <v>1</v>
      </c>
      <c r="P1114" s="9">
        <v>0</v>
      </c>
      <c r="Q1114" s="9">
        <v>0</v>
      </c>
      <c r="R1114" s="9">
        <v>0</v>
      </c>
      <c r="S1114" s="8">
        <v>1047</v>
      </c>
      <c r="T1114" s="9">
        <v>11</v>
      </c>
      <c r="U1114" s="9">
        <f t="shared" si="262"/>
        <v>1035</v>
      </c>
      <c r="V1114" s="9">
        <f t="shared" si="263"/>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69"/>
        <v>1</v>
      </c>
      <c r="AS1114">
        <v>0.94499999999999995</v>
      </c>
      <c r="AT1114" s="40">
        <v>0.55000000000000004</v>
      </c>
      <c r="AU1114">
        <v>0</v>
      </c>
      <c r="AV1114" s="18">
        <v>1</v>
      </c>
      <c r="AW1114">
        <v>0</v>
      </c>
      <c r="AX1114" s="18">
        <v>1</v>
      </c>
      <c r="AY1114" s="18" t="s">
        <v>5</v>
      </c>
      <c r="AZ1114">
        <v>0</v>
      </c>
      <c r="BA1114">
        <v>1</v>
      </c>
      <c r="BB1114">
        <v>0</v>
      </c>
      <c r="BC1114">
        <v>0</v>
      </c>
      <c r="BD1114">
        <v>0</v>
      </c>
      <c r="BE1114">
        <v>0</v>
      </c>
      <c r="BF1114" s="18">
        <v>0</v>
      </c>
      <c r="BG1114">
        <v>0</v>
      </c>
      <c r="BH1114">
        <v>1</v>
      </c>
      <c r="BI1114" s="18">
        <v>0</v>
      </c>
      <c r="BJ1114">
        <v>1732</v>
      </c>
      <c r="BK1114">
        <v>201</v>
      </c>
      <c r="BL1114" s="25">
        <v>34.700000000000003</v>
      </c>
      <c r="BM1114">
        <v>1</v>
      </c>
      <c r="BN1114">
        <v>0</v>
      </c>
      <c r="BO1114">
        <v>0</v>
      </c>
      <c r="BP1114">
        <v>0</v>
      </c>
      <c r="BQ1114">
        <v>0</v>
      </c>
      <c r="BR1114">
        <v>0</v>
      </c>
      <c r="BS1114">
        <v>0</v>
      </c>
      <c r="BT1114" s="18">
        <v>0</v>
      </c>
      <c r="BU1114">
        <v>0</v>
      </c>
      <c r="BV1114">
        <v>0</v>
      </c>
      <c r="BW1114">
        <v>1</v>
      </c>
      <c r="BX1114" s="18">
        <v>0</v>
      </c>
      <c r="BY1114">
        <v>0</v>
      </c>
      <c r="BZ1114">
        <v>0</v>
      </c>
      <c r="CA1114">
        <v>0</v>
      </c>
      <c r="CB1114">
        <v>0</v>
      </c>
      <c r="CC1114" s="18">
        <v>0</v>
      </c>
      <c r="CD1114">
        <v>0</v>
      </c>
      <c r="CE1114">
        <v>0</v>
      </c>
      <c r="CF1114">
        <v>1</v>
      </c>
      <c r="CG1114">
        <v>1</v>
      </c>
      <c r="CH1114">
        <v>0</v>
      </c>
      <c r="CI1114">
        <v>0</v>
      </c>
      <c r="CJ1114">
        <v>0</v>
      </c>
      <c r="CK1114">
        <v>0</v>
      </c>
      <c r="CL1114">
        <v>1</v>
      </c>
      <c r="CM1114">
        <v>0</v>
      </c>
      <c r="CN1114" s="18">
        <v>0</v>
      </c>
      <c r="CO1114">
        <v>4.149</v>
      </c>
      <c r="CP1114">
        <v>6</v>
      </c>
      <c r="CQ1114">
        <v>1</v>
      </c>
      <c r="CR1114">
        <v>0</v>
      </c>
      <c r="CS1114">
        <v>20</v>
      </c>
      <c r="CY1114" s="34"/>
    </row>
    <row r="1115" spans="1:103" x14ac:dyDescent="0.25">
      <c r="A1115">
        <v>1114</v>
      </c>
      <c r="B1115">
        <v>74</v>
      </c>
      <c r="C1115" s="25" t="s">
        <v>4059</v>
      </c>
      <c r="D1115" s="12">
        <v>7.4</v>
      </c>
      <c r="E1115" s="14">
        <v>3.2</v>
      </c>
      <c r="F1115" s="7">
        <f t="shared" si="270"/>
        <v>2.3125</v>
      </c>
      <c r="G1115" s="7">
        <f t="shared" si="260"/>
        <v>4.2</v>
      </c>
      <c r="H1115" s="16">
        <f t="shared" si="261"/>
        <v>10.600000000000001</v>
      </c>
      <c r="I1115" s="11">
        <f t="shared" si="266"/>
        <v>7.5451619050317345E-2</v>
      </c>
      <c r="J1115" s="33">
        <f t="shared" si="267"/>
        <v>3.2627727156893979E-2</v>
      </c>
      <c r="K1115" s="33">
        <f t="shared" si="268"/>
        <v>30.648779033592842</v>
      </c>
      <c r="L1115" s="8">
        <v>1</v>
      </c>
      <c r="M1115" s="9">
        <v>0</v>
      </c>
      <c r="N1115" s="8">
        <v>0</v>
      </c>
      <c r="O1115" s="9">
        <v>1</v>
      </c>
      <c r="P1115" s="9">
        <v>0</v>
      </c>
      <c r="Q1115" s="9">
        <v>0</v>
      </c>
      <c r="R1115" s="9">
        <v>0</v>
      </c>
      <c r="S1115" s="8">
        <v>945</v>
      </c>
      <c r="T1115" s="9">
        <v>10</v>
      </c>
      <c r="U1115" s="9">
        <f t="shared" si="262"/>
        <v>934</v>
      </c>
      <c r="V1115" s="9">
        <f t="shared" si="263"/>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69"/>
        <v>1</v>
      </c>
      <c r="AS1115">
        <v>0.94499999999999995</v>
      </c>
      <c r="AT1115" s="40">
        <v>0.55000000000000004</v>
      </c>
      <c r="AU1115">
        <v>0</v>
      </c>
      <c r="AV1115" s="18">
        <v>1</v>
      </c>
      <c r="AW1115">
        <v>0</v>
      </c>
      <c r="AX1115" s="18">
        <v>1</v>
      </c>
      <c r="AY1115" s="18" t="s">
        <v>5</v>
      </c>
      <c r="AZ1115">
        <v>0</v>
      </c>
      <c r="BA1115">
        <v>1</v>
      </c>
      <c r="BB1115">
        <v>0</v>
      </c>
      <c r="BC1115">
        <v>0</v>
      </c>
      <c r="BD1115">
        <v>0</v>
      </c>
      <c r="BE1115">
        <v>0</v>
      </c>
      <c r="BF1115" s="18">
        <v>0</v>
      </c>
      <c r="BG1115">
        <v>0</v>
      </c>
      <c r="BH1115">
        <v>1</v>
      </c>
      <c r="BI1115" s="18">
        <v>0</v>
      </c>
      <c r="BJ1115">
        <v>1732</v>
      </c>
      <c r="BK1115">
        <v>201</v>
      </c>
      <c r="BL1115" s="25">
        <v>34.700000000000003</v>
      </c>
      <c r="BM1115">
        <v>0</v>
      </c>
      <c r="BN1115">
        <v>0</v>
      </c>
      <c r="BO1115">
        <v>0</v>
      </c>
      <c r="BP1115">
        <v>0</v>
      </c>
      <c r="BQ1115">
        <v>0</v>
      </c>
      <c r="BR1115">
        <v>0</v>
      </c>
      <c r="BS1115">
        <v>0</v>
      </c>
      <c r="BT1115" s="18">
        <v>1</v>
      </c>
      <c r="BU1115">
        <v>0</v>
      </c>
      <c r="BV1115">
        <v>1</v>
      </c>
      <c r="BW1115">
        <v>0</v>
      </c>
      <c r="BX1115" s="18">
        <v>0</v>
      </c>
      <c r="BY1115">
        <v>0</v>
      </c>
      <c r="BZ1115">
        <v>0</v>
      </c>
      <c r="CA1115">
        <v>0</v>
      </c>
      <c r="CB1115">
        <v>0</v>
      </c>
      <c r="CC1115" s="18">
        <v>1</v>
      </c>
      <c r="CD1115">
        <v>0</v>
      </c>
      <c r="CE1115">
        <v>0</v>
      </c>
      <c r="CF1115">
        <v>1</v>
      </c>
      <c r="CG1115">
        <v>1</v>
      </c>
      <c r="CH1115">
        <v>0</v>
      </c>
      <c r="CI1115">
        <v>0</v>
      </c>
      <c r="CJ1115">
        <v>0</v>
      </c>
      <c r="CK1115">
        <v>0</v>
      </c>
      <c r="CL1115">
        <v>1</v>
      </c>
      <c r="CM1115">
        <v>0</v>
      </c>
      <c r="CN1115" s="18">
        <v>0</v>
      </c>
      <c r="CO1115">
        <v>4.149</v>
      </c>
      <c r="CP1115">
        <v>6</v>
      </c>
      <c r="CQ1115">
        <v>1</v>
      </c>
      <c r="CR1115">
        <v>0</v>
      </c>
      <c r="CS1115">
        <v>20</v>
      </c>
      <c r="CY1115" s="34"/>
    </row>
    <row r="1116" spans="1:103" x14ac:dyDescent="0.25">
      <c r="A1116">
        <v>1115</v>
      </c>
      <c r="B1116">
        <v>74</v>
      </c>
      <c r="C1116" s="25" t="s">
        <v>4059</v>
      </c>
      <c r="D1116" s="12">
        <v>7.2</v>
      </c>
      <c r="E1116" s="14">
        <v>4</v>
      </c>
      <c r="F1116" s="7">
        <f t="shared" si="270"/>
        <v>1.8</v>
      </c>
      <c r="G1116" s="7">
        <f t="shared" si="260"/>
        <v>3.2</v>
      </c>
      <c r="H1116" s="16">
        <f t="shared" si="261"/>
        <v>11.2</v>
      </c>
      <c r="I1116" s="11">
        <f t="shared" si="266"/>
        <v>5.8764565986251648E-2</v>
      </c>
      <c r="J1116" s="33">
        <f t="shared" si="267"/>
        <v>3.2646981103473138E-2</v>
      </c>
      <c r="K1116" s="33">
        <f t="shared" si="268"/>
        <v>30.630703550522632</v>
      </c>
      <c r="L1116" s="8">
        <v>1</v>
      </c>
      <c r="M1116" s="9">
        <v>0</v>
      </c>
      <c r="N1116" s="8">
        <v>0</v>
      </c>
      <c r="O1116" s="9">
        <v>1</v>
      </c>
      <c r="P1116" s="9">
        <v>0</v>
      </c>
      <c r="Q1116" s="9">
        <v>0</v>
      </c>
      <c r="R1116" s="9">
        <v>0</v>
      </c>
      <c r="S1116" s="8">
        <v>945</v>
      </c>
      <c r="T1116" s="9">
        <v>9</v>
      </c>
      <c r="U1116" s="9">
        <f t="shared" si="262"/>
        <v>935</v>
      </c>
      <c r="V1116" s="9">
        <f t="shared" si="263"/>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69"/>
        <v>1</v>
      </c>
      <c r="AS1116">
        <v>0.94499999999999995</v>
      </c>
      <c r="AT1116" s="40">
        <v>0.55000000000000004</v>
      </c>
      <c r="AU1116">
        <v>0</v>
      </c>
      <c r="AV1116" s="18">
        <v>1</v>
      </c>
      <c r="AW1116">
        <v>0</v>
      </c>
      <c r="AX1116" s="18">
        <v>1</v>
      </c>
      <c r="AY1116" s="18" t="s">
        <v>5</v>
      </c>
      <c r="AZ1116">
        <v>0</v>
      </c>
      <c r="BA1116">
        <v>1</v>
      </c>
      <c r="BB1116">
        <v>0</v>
      </c>
      <c r="BC1116">
        <v>0</v>
      </c>
      <c r="BD1116">
        <v>0</v>
      </c>
      <c r="BE1116">
        <v>0</v>
      </c>
      <c r="BF1116" s="18">
        <v>0</v>
      </c>
      <c r="BG1116">
        <v>0</v>
      </c>
      <c r="BH1116">
        <v>1</v>
      </c>
      <c r="BI1116" s="18">
        <v>0</v>
      </c>
      <c r="BJ1116">
        <v>1732</v>
      </c>
      <c r="BK1116">
        <v>201</v>
      </c>
      <c r="BL1116" s="25">
        <v>34.700000000000003</v>
      </c>
      <c r="BM1116">
        <v>0</v>
      </c>
      <c r="BN1116">
        <v>0</v>
      </c>
      <c r="BO1116">
        <v>0</v>
      </c>
      <c r="BP1116">
        <v>0</v>
      </c>
      <c r="BQ1116">
        <v>0</v>
      </c>
      <c r="BR1116">
        <v>0</v>
      </c>
      <c r="BS1116">
        <v>0</v>
      </c>
      <c r="BT1116" s="18">
        <v>1</v>
      </c>
      <c r="BU1116">
        <v>0</v>
      </c>
      <c r="BV1116">
        <v>1</v>
      </c>
      <c r="BW1116">
        <v>0</v>
      </c>
      <c r="BX1116" s="18">
        <v>0</v>
      </c>
      <c r="BY1116">
        <v>0</v>
      </c>
      <c r="BZ1116">
        <v>0</v>
      </c>
      <c r="CA1116">
        <v>0</v>
      </c>
      <c r="CB1116">
        <v>0</v>
      </c>
      <c r="CC1116" s="18">
        <v>1</v>
      </c>
      <c r="CD1116">
        <v>0</v>
      </c>
      <c r="CE1116">
        <v>0</v>
      </c>
      <c r="CF1116">
        <v>1</v>
      </c>
      <c r="CG1116">
        <v>1</v>
      </c>
      <c r="CH1116">
        <v>0</v>
      </c>
      <c r="CI1116">
        <v>0</v>
      </c>
      <c r="CJ1116">
        <v>0</v>
      </c>
      <c r="CK1116">
        <v>0</v>
      </c>
      <c r="CL1116">
        <v>1</v>
      </c>
      <c r="CM1116">
        <v>0</v>
      </c>
      <c r="CN1116" s="18">
        <v>0</v>
      </c>
      <c r="CO1116">
        <v>4.149</v>
      </c>
      <c r="CP1116">
        <v>6</v>
      </c>
      <c r="CQ1116">
        <v>1</v>
      </c>
      <c r="CR1116">
        <v>0</v>
      </c>
      <c r="CS1116">
        <v>20</v>
      </c>
      <c r="CY1116" s="34"/>
    </row>
    <row r="1117" spans="1:103" x14ac:dyDescent="0.25">
      <c r="D1117" s="12"/>
      <c r="E1117" s="14"/>
      <c r="H1117" s="16"/>
      <c r="I1117" s="11"/>
      <c r="J1117" s="33"/>
      <c r="K1117" s="33"/>
      <c r="L1117" s="8"/>
      <c r="AE1117" s="8"/>
      <c r="AG1117" s="30"/>
      <c r="AI1117" s="30"/>
      <c r="AJ1117" s="21"/>
      <c r="AR1117" s="40"/>
      <c r="AT1117" s="40"/>
      <c r="AV1117" s="18"/>
      <c r="AX1117" s="18"/>
      <c r="AY1117" s="18"/>
      <c r="BF1117" s="18"/>
      <c r="BI1117" s="18"/>
      <c r="BT1117" s="18"/>
      <c r="BX1117" s="18"/>
      <c r="CC1117" s="18"/>
      <c r="CN1117" s="18"/>
      <c r="CY1117" s="34"/>
    </row>
    <row r="1118" spans="1:103" x14ac:dyDescent="0.25">
      <c r="D1118" s="12"/>
      <c r="E1118" s="14"/>
      <c r="H1118" s="16"/>
      <c r="I1118" s="11"/>
      <c r="J1118" s="33"/>
      <c r="K1118" s="33"/>
      <c r="L1118" s="8"/>
      <c r="AE1118" s="8"/>
      <c r="AG1118" s="30"/>
      <c r="AI1118" s="30"/>
      <c r="AJ1118" s="21"/>
      <c r="AR1118" s="40"/>
      <c r="AT1118" s="40"/>
      <c r="AV1118" s="18"/>
      <c r="AX1118" s="18"/>
      <c r="AY1118" s="18"/>
      <c r="BF1118" s="18"/>
      <c r="BI1118" s="18"/>
      <c r="BT1118" s="18"/>
      <c r="BX1118" s="18"/>
      <c r="CC1118" s="18"/>
      <c r="CN1118" s="18"/>
      <c r="CY1118" s="34"/>
    </row>
    <row r="1119" spans="1:103" x14ac:dyDescent="0.25">
      <c r="D1119" s="12"/>
      <c r="E1119" s="14"/>
      <c r="H1119" s="16"/>
      <c r="I1119" s="11"/>
      <c r="J1119" s="33"/>
      <c r="K1119" s="33"/>
      <c r="L1119" s="8"/>
      <c r="AE1119" s="8"/>
      <c r="AG1119" s="30"/>
      <c r="AI1119" s="30"/>
      <c r="AJ1119" s="21"/>
      <c r="AR1119" s="40"/>
      <c r="AT1119" s="40"/>
      <c r="AV1119" s="18"/>
      <c r="AX1119" s="18"/>
      <c r="AY1119" s="18"/>
      <c r="BF1119" s="18"/>
      <c r="BI1119" s="18"/>
      <c r="BT1119" s="18"/>
      <c r="BX1119" s="18"/>
      <c r="CC1119" s="18"/>
      <c r="CN1119" s="18"/>
      <c r="CY1119" s="34"/>
    </row>
    <row r="1120" spans="1:103" x14ac:dyDescent="0.25">
      <c r="D1120" s="12"/>
      <c r="E1120" s="14"/>
      <c r="H1120" s="16"/>
      <c r="I1120" s="11"/>
      <c r="J1120" s="33"/>
      <c r="K1120" s="33"/>
      <c r="L1120" s="8"/>
      <c r="AE1120" s="8"/>
      <c r="AG1120" s="30"/>
      <c r="AI1120" s="30"/>
      <c r="AJ1120" s="21"/>
      <c r="AR1120" s="40"/>
      <c r="AT1120" s="40"/>
      <c r="AV1120" s="18"/>
      <c r="AX1120" s="18"/>
      <c r="AY1120" s="18"/>
      <c r="BF1120" s="18"/>
      <c r="BI1120" s="18"/>
      <c r="BT1120" s="18"/>
      <c r="BX1120" s="18"/>
      <c r="CC1120" s="18"/>
      <c r="CN1120" s="18"/>
      <c r="CY1120" s="34"/>
    </row>
    <row r="1121" spans="4:103" x14ac:dyDescent="0.25">
      <c r="D1121" s="12"/>
      <c r="E1121" s="14"/>
      <c r="H1121" s="16"/>
      <c r="I1121" s="11"/>
      <c r="J1121" s="33"/>
      <c r="K1121" s="33"/>
      <c r="L1121" s="8"/>
      <c r="AE1121" s="8"/>
      <c r="AG1121" s="30"/>
      <c r="AI1121" s="30"/>
      <c r="AJ1121" s="21"/>
      <c r="AR1121" s="40"/>
      <c r="AT1121" s="40"/>
      <c r="AV1121" s="18"/>
      <c r="AX1121" s="18"/>
      <c r="AY1121" s="18"/>
      <c r="BF1121" s="18"/>
      <c r="BI1121" s="18"/>
      <c r="BT1121" s="18"/>
      <c r="BX1121" s="18"/>
      <c r="CC1121" s="18"/>
      <c r="CN1121" s="18"/>
      <c r="CY1121" s="34"/>
    </row>
    <row r="1122" spans="4:103" x14ac:dyDescent="0.25">
      <c r="D1122" s="12"/>
      <c r="E1122" s="14"/>
      <c r="H1122" s="16"/>
      <c r="I1122" s="11"/>
      <c r="J1122" s="33"/>
      <c r="K1122" s="33"/>
      <c r="L1122" s="8"/>
      <c r="AE1122" s="8"/>
      <c r="AG1122" s="30"/>
      <c r="AI1122" s="30"/>
      <c r="AJ1122" s="21"/>
      <c r="AR1122" s="40"/>
      <c r="AT1122" s="40"/>
      <c r="AV1122" s="18"/>
      <c r="AX1122" s="18"/>
      <c r="AY1122" s="18"/>
      <c r="BF1122" s="18"/>
      <c r="BI1122" s="18"/>
      <c r="BT1122" s="18"/>
      <c r="BX1122" s="18"/>
      <c r="CC1122" s="18"/>
      <c r="CN1122" s="18"/>
      <c r="CY1122" s="34"/>
    </row>
    <row r="1123" spans="4:103" x14ac:dyDescent="0.25">
      <c r="D1123" s="12"/>
      <c r="E1123" s="14"/>
      <c r="H1123" s="16"/>
      <c r="I1123" s="11"/>
      <c r="J1123" s="33"/>
      <c r="K1123" s="33"/>
      <c r="L1123" s="8"/>
      <c r="AE1123" s="8"/>
      <c r="AG1123" s="30"/>
      <c r="AI1123" s="30"/>
      <c r="AJ1123" s="21"/>
      <c r="AR1123" s="40"/>
      <c r="AT1123" s="40"/>
      <c r="AV1123" s="18"/>
      <c r="AX1123" s="18"/>
      <c r="AY1123" s="18"/>
      <c r="BF1123" s="18"/>
      <c r="BI1123" s="18"/>
      <c r="BT1123" s="18"/>
      <c r="BX1123" s="18"/>
      <c r="CC1123" s="18"/>
      <c r="CN1123" s="18"/>
      <c r="CY1123" s="34"/>
    </row>
    <row r="1124" spans="4:103" x14ac:dyDescent="0.25">
      <c r="D1124" s="12"/>
      <c r="E1124" s="14"/>
      <c r="H1124" s="16"/>
      <c r="I1124" s="11"/>
      <c r="J1124" s="33"/>
      <c r="K1124" s="33"/>
      <c r="L1124" s="8"/>
      <c r="AE1124" s="8"/>
      <c r="AG1124" s="30"/>
      <c r="AI1124" s="30"/>
      <c r="AJ1124" s="21"/>
      <c r="AR1124" s="40"/>
      <c r="AT1124" s="40"/>
      <c r="AV1124" s="18"/>
      <c r="AX1124" s="18"/>
      <c r="AY1124" s="18"/>
      <c r="BF1124" s="18"/>
      <c r="BI1124" s="18"/>
      <c r="BT1124" s="18"/>
      <c r="BX1124" s="18"/>
      <c r="CC1124" s="18"/>
      <c r="CN1124" s="18"/>
      <c r="CY1124" s="34"/>
    </row>
    <row r="1125" spans="4:103" x14ac:dyDescent="0.25">
      <c r="D1125" s="12"/>
      <c r="E1125" s="14"/>
      <c r="H1125" s="16"/>
      <c r="I1125" s="11"/>
      <c r="J1125" s="33"/>
      <c r="K1125" s="33"/>
      <c r="L1125" s="8"/>
      <c r="AE1125" s="8"/>
      <c r="AG1125" s="30"/>
      <c r="AI1125" s="30"/>
      <c r="AJ1125" s="21"/>
      <c r="AR1125" s="40"/>
      <c r="AT1125" s="40"/>
      <c r="AV1125" s="18"/>
      <c r="AX1125" s="18"/>
      <c r="AY1125" s="18"/>
      <c r="BF1125" s="18"/>
      <c r="BI1125" s="18"/>
      <c r="BT1125" s="18"/>
      <c r="BX1125" s="18"/>
      <c r="CC1125" s="18"/>
      <c r="CN1125" s="18"/>
      <c r="CY1125" s="34"/>
    </row>
    <row r="1126" spans="4:103" x14ac:dyDescent="0.25">
      <c r="D1126" s="12"/>
      <c r="E1126" s="14"/>
      <c r="H1126" s="16"/>
      <c r="I1126" s="11"/>
      <c r="J1126" s="33"/>
      <c r="K1126" s="33"/>
      <c r="L1126" s="8"/>
      <c r="AE1126" s="8"/>
      <c r="AG1126" s="30"/>
      <c r="AI1126" s="30"/>
      <c r="AJ1126" s="21"/>
      <c r="AR1126" s="40"/>
      <c r="AT1126" s="40"/>
      <c r="AV1126" s="18"/>
      <c r="AX1126" s="18"/>
      <c r="AY1126" s="18"/>
      <c r="BF1126" s="18"/>
      <c r="BI1126" s="18"/>
      <c r="BT1126" s="18"/>
      <c r="BX1126" s="18"/>
      <c r="CC1126" s="18"/>
      <c r="CN1126" s="18"/>
      <c r="CY1126" s="34"/>
    </row>
    <row r="1127" spans="4:103" x14ac:dyDescent="0.25">
      <c r="D1127" s="12"/>
      <c r="E1127" s="14"/>
      <c r="H1127" s="16"/>
      <c r="I1127" s="11"/>
      <c r="J1127" s="33"/>
      <c r="K1127" s="33"/>
      <c r="L1127" s="8"/>
      <c r="AE1127" s="8"/>
      <c r="AG1127" s="30"/>
      <c r="AI1127" s="30"/>
      <c r="AJ1127" s="21"/>
      <c r="AR1127" s="40"/>
      <c r="AT1127" s="40"/>
      <c r="AV1127" s="18"/>
      <c r="AX1127" s="18"/>
      <c r="AY1127" s="18"/>
      <c r="BF1127" s="18"/>
      <c r="BI1127" s="18"/>
      <c r="BT1127" s="18"/>
      <c r="BX1127" s="18"/>
      <c r="CC1127" s="18"/>
      <c r="CN1127" s="18"/>
      <c r="CY1127" s="34"/>
    </row>
    <row r="1128" spans="4:103" x14ac:dyDescent="0.25">
      <c r="D1128" s="12"/>
      <c r="E1128" s="14"/>
      <c r="H1128" s="16"/>
      <c r="I1128" s="11"/>
      <c r="J1128" s="33"/>
      <c r="K1128" s="33"/>
      <c r="L1128" s="8"/>
      <c r="AE1128" s="8"/>
      <c r="AG1128" s="30"/>
      <c r="AI1128" s="30"/>
      <c r="AJ1128" s="21"/>
      <c r="AR1128" s="40"/>
      <c r="AT1128" s="40"/>
      <c r="AV1128" s="18"/>
      <c r="AX1128" s="18"/>
      <c r="AY1128" s="18"/>
      <c r="BF1128" s="18"/>
      <c r="BI1128" s="18"/>
      <c r="BT1128" s="18"/>
      <c r="BX1128" s="18"/>
      <c r="CC1128" s="18"/>
      <c r="CN1128" s="18"/>
      <c r="CY1128" s="34"/>
    </row>
    <row r="1129" spans="4:103" x14ac:dyDescent="0.25">
      <c r="D1129" s="12"/>
      <c r="E1129" s="14"/>
      <c r="H1129" s="16"/>
      <c r="I1129" s="11"/>
      <c r="J1129" s="33"/>
      <c r="K1129" s="33"/>
      <c r="L1129" s="8"/>
      <c r="AE1129" s="8"/>
      <c r="AG1129" s="30"/>
      <c r="AI1129" s="30"/>
      <c r="AJ1129" s="21"/>
      <c r="AR1129" s="40"/>
      <c r="AT1129" s="40"/>
      <c r="AV1129" s="18"/>
      <c r="AX1129" s="18"/>
      <c r="AY1129" s="18"/>
      <c r="BF1129" s="18"/>
      <c r="BI1129" s="18"/>
      <c r="BT1129" s="18"/>
      <c r="BX1129" s="18"/>
      <c r="CC1129" s="18"/>
      <c r="CN1129" s="18"/>
      <c r="CY1129" s="34"/>
    </row>
    <row r="1130" spans="4:103" x14ac:dyDescent="0.25">
      <c r="D1130" s="12"/>
      <c r="E1130" s="14"/>
      <c r="H1130" s="16"/>
      <c r="I1130" s="11"/>
      <c r="J1130" s="33"/>
      <c r="K1130" s="33"/>
      <c r="L1130" s="8"/>
      <c r="AE1130" s="8"/>
      <c r="AG1130" s="30"/>
      <c r="AI1130" s="30"/>
      <c r="AJ1130" s="21"/>
      <c r="AR1130" s="40"/>
      <c r="AT1130" s="40"/>
      <c r="AV1130" s="18"/>
      <c r="AX1130" s="18"/>
      <c r="AY1130" s="18"/>
      <c r="BF1130" s="18"/>
      <c r="BI1130" s="18"/>
      <c r="BT1130" s="18"/>
      <c r="BX1130" s="18"/>
      <c r="CC1130" s="18"/>
      <c r="CN1130" s="18"/>
      <c r="CY1130" s="34"/>
    </row>
    <row r="1131" spans="4:103" x14ac:dyDescent="0.25">
      <c r="D1131" s="12"/>
      <c r="E1131" s="14"/>
      <c r="H1131" s="16"/>
      <c r="I1131" s="11"/>
      <c r="J1131" s="33"/>
      <c r="K1131" s="33"/>
      <c r="L1131" s="8"/>
      <c r="AE1131" s="8"/>
      <c r="AG1131" s="30"/>
      <c r="AI1131" s="30"/>
      <c r="AJ1131" s="21"/>
      <c r="AR1131" s="40"/>
      <c r="AT1131" s="40"/>
      <c r="AV1131" s="18"/>
      <c r="AX1131" s="18"/>
      <c r="AY1131" s="18"/>
      <c r="BF1131" s="18"/>
      <c r="BI1131" s="18"/>
      <c r="BT1131" s="18"/>
      <c r="BX1131" s="18"/>
      <c r="CC1131" s="18"/>
      <c r="CN1131" s="18"/>
      <c r="CY1131" s="34"/>
    </row>
    <row r="1132" spans="4:103" x14ac:dyDescent="0.25">
      <c r="D1132" s="12"/>
      <c r="E1132" s="14"/>
      <c r="H1132" s="16"/>
      <c r="I1132" s="11"/>
      <c r="J1132" s="33"/>
      <c r="K1132" s="33"/>
      <c r="L1132" s="8"/>
      <c r="AE1132" s="8"/>
      <c r="AG1132" s="30"/>
      <c r="AI1132" s="30"/>
      <c r="AJ1132" s="21"/>
      <c r="AR1132" s="40"/>
      <c r="AT1132" s="40"/>
      <c r="AV1132" s="18"/>
      <c r="AX1132" s="18"/>
      <c r="AY1132" s="18"/>
      <c r="BF1132" s="18"/>
      <c r="BI1132" s="18"/>
      <c r="BT1132" s="18"/>
      <c r="BX1132" s="18"/>
      <c r="CC1132" s="18"/>
      <c r="CN1132" s="18"/>
      <c r="CY1132" s="34"/>
    </row>
    <row r="1133" spans="4:103" x14ac:dyDescent="0.25">
      <c r="D1133" s="12"/>
      <c r="E1133" s="14"/>
      <c r="H1133" s="16"/>
      <c r="I1133" s="11"/>
      <c r="J1133" s="33"/>
      <c r="K1133" s="33"/>
      <c r="L1133" s="8"/>
      <c r="AE1133" s="8"/>
      <c r="AG1133" s="30"/>
      <c r="AI1133" s="30"/>
      <c r="AJ1133" s="21"/>
      <c r="AR1133" s="40"/>
      <c r="AT1133" s="40"/>
      <c r="AV1133" s="18"/>
      <c r="AX1133" s="18"/>
      <c r="AY1133" s="18"/>
      <c r="BF1133" s="18"/>
      <c r="BI1133" s="18"/>
      <c r="BT1133" s="18"/>
      <c r="BX1133" s="18"/>
      <c r="CC1133" s="18"/>
      <c r="CN1133" s="18"/>
      <c r="CY1133" s="34"/>
    </row>
    <row r="1134" spans="4:103" x14ac:dyDescent="0.25">
      <c r="D1134" s="12"/>
      <c r="E1134" s="14"/>
      <c r="H1134" s="16"/>
      <c r="I1134" s="11"/>
      <c r="J1134" s="33"/>
      <c r="K1134" s="33"/>
      <c r="L1134" s="8"/>
      <c r="AE1134" s="8"/>
      <c r="AG1134" s="30"/>
      <c r="AI1134" s="30"/>
      <c r="AJ1134" s="21"/>
      <c r="AR1134" s="40"/>
      <c r="AT1134" s="40"/>
      <c r="AV1134" s="18"/>
      <c r="AX1134" s="18"/>
      <c r="AY1134" s="18"/>
      <c r="BF1134" s="18"/>
      <c r="BI1134" s="18"/>
      <c r="BT1134" s="18"/>
      <c r="BX1134" s="18"/>
      <c r="CC1134" s="18"/>
      <c r="CN1134" s="18"/>
      <c r="CY1134" s="34"/>
    </row>
    <row r="1135" spans="4:103" x14ac:dyDescent="0.25">
      <c r="D1135" s="12"/>
      <c r="E1135" s="14"/>
      <c r="H1135" s="16"/>
      <c r="I1135" s="11"/>
      <c r="J1135" s="33"/>
      <c r="K1135" s="33"/>
      <c r="L1135" s="8"/>
      <c r="AE1135" s="8"/>
      <c r="AG1135" s="30"/>
      <c r="AI1135" s="30"/>
      <c r="AJ1135" s="21"/>
      <c r="AR1135" s="40"/>
      <c r="AT1135" s="40"/>
      <c r="AV1135" s="18"/>
      <c r="AX1135" s="18"/>
      <c r="AY1135" s="18"/>
      <c r="BF1135" s="18"/>
      <c r="BI1135" s="18"/>
      <c r="BT1135" s="18"/>
      <c r="BX1135" s="18"/>
      <c r="CC1135" s="18"/>
      <c r="CN1135" s="18"/>
      <c r="CY1135" s="34"/>
    </row>
    <row r="1136" spans="4:103" x14ac:dyDescent="0.25">
      <c r="D1136" s="12"/>
      <c r="E1136" s="14"/>
      <c r="H1136" s="16"/>
      <c r="I1136" s="11"/>
      <c r="J1136" s="33"/>
      <c r="K1136" s="33"/>
      <c r="L1136" s="8"/>
      <c r="AE1136" s="8"/>
      <c r="AG1136" s="30"/>
      <c r="AI1136" s="30"/>
      <c r="AJ1136" s="21"/>
      <c r="AR1136" s="40"/>
      <c r="AT1136" s="40"/>
      <c r="AV1136" s="18"/>
      <c r="AX1136" s="18"/>
      <c r="AY1136" s="18"/>
      <c r="BF1136" s="18"/>
      <c r="BI1136" s="18"/>
      <c r="BT1136" s="18"/>
      <c r="BX1136" s="18"/>
      <c r="CC1136" s="18"/>
      <c r="CN1136" s="18"/>
      <c r="CY1136" s="34"/>
    </row>
    <row r="1137" spans="4:103" x14ac:dyDescent="0.25">
      <c r="D1137" s="12"/>
      <c r="E1137" s="14"/>
      <c r="H1137" s="16"/>
      <c r="I1137" s="11"/>
      <c r="J1137" s="33"/>
      <c r="K1137" s="33"/>
      <c r="L1137" s="8"/>
      <c r="AE1137" s="8"/>
      <c r="AG1137" s="30"/>
      <c r="AI1137" s="30"/>
      <c r="AJ1137" s="21"/>
      <c r="AR1137" s="40"/>
      <c r="AT1137" s="40"/>
      <c r="AV1137" s="18"/>
      <c r="AX1137" s="18"/>
      <c r="AY1137" s="18"/>
      <c r="BF1137" s="18"/>
      <c r="BI1137" s="18"/>
      <c r="BT1137" s="18"/>
      <c r="BX1137" s="18"/>
      <c r="CC1137" s="18"/>
      <c r="CN1137" s="18"/>
      <c r="CY1137" s="34"/>
    </row>
    <row r="1138" spans="4:103" x14ac:dyDescent="0.25">
      <c r="D1138" s="12"/>
      <c r="E1138" s="14"/>
      <c r="H1138" s="16"/>
      <c r="I1138" s="11"/>
      <c r="J1138" s="33"/>
      <c r="K1138" s="33"/>
      <c r="L1138" s="8"/>
      <c r="AE1138" s="8"/>
      <c r="AG1138" s="30"/>
      <c r="AI1138" s="30"/>
      <c r="AJ1138" s="21"/>
      <c r="AR1138" s="40"/>
      <c r="AT1138" s="40"/>
      <c r="AV1138" s="18"/>
      <c r="AX1138" s="18"/>
      <c r="AY1138" s="18"/>
      <c r="BF1138" s="18"/>
      <c r="BI1138" s="18"/>
      <c r="BT1138" s="18"/>
      <c r="BX1138" s="18"/>
      <c r="CC1138" s="18"/>
      <c r="CN1138" s="18"/>
      <c r="CY1138" s="34"/>
    </row>
    <row r="1139" spans="4:103" x14ac:dyDescent="0.25">
      <c r="D1139" s="12"/>
      <c r="E1139" s="14"/>
      <c r="H1139" s="16"/>
      <c r="I1139" s="11"/>
      <c r="J1139" s="33"/>
      <c r="K1139" s="33"/>
      <c r="L1139" s="8"/>
      <c r="AE1139" s="8"/>
      <c r="AG1139" s="30"/>
      <c r="AI1139" s="30"/>
      <c r="AJ1139" s="21"/>
      <c r="AR1139" s="40"/>
      <c r="AT1139" s="40"/>
      <c r="AV1139" s="18"/>
      <c r="AX1139" s="18"/>
      <c r="AY1139" s="18"/>
      <c r="BF1139" s="18"/>
      <c r="BI1139" s="18"/>
      <c r="BT1139" s="18"/>
      <c r="BX1139" s="18"/>
      <c r="CC1139" s="18"/>
      <c r="CN1139" s="18"/>
      <c r="CY1139" s="34"/>
    </row>
    <row r="1140" spans="4:103" x14ac:dyDescent="0.25">
      <c r="D1140" s="12"/>
      <c r="E1140" s="14"/>
      <c r="H1140" s="16"/>
      <c r="I1140" s="11"/>
      <c r="J1140" s="33"/>
      <c r="K1140" s="33"/>
      <c r="L1140" s="8"/>
      <c r="AE1140" s="8"/>
      <c r="AG1140" s="30"/>
      <c r="AI1140" s="30"/>
      <c r="AJ1140" s="21"/>
      <c r="AR1140" s="40"/>
      <c r="AT1140" s="40"/>
      <c r="AV1140" s="18"/>
      <c r="AX1140" s="18"/>
      <c r="AY1140" s="18"/>
      <c r="BF1140" s="18"/>
      <c r="BI1140" s="18"/>
      <c r="BT1140" s="18"/>
      <c r="BX1140" s="18"/>
      <c r="CC1140" s="18"/>
      <c r="CN1140" s="18"/>
      <c r="CY1140" s="34"/>
    </row>
    <row r="1141" spans="4:103" x14ac:dyDescent="0.25">
      <c r="D1141" s="12"/>
      <c r="E1141" s="14"/>
      <c r="H1141" s="16"/>
      <c r="I1141" s="11"/>
      <c r="J1141" s="33"/>
      <c r="K1141" s="33"/>
      <c r="L1141" s="8"/>
      <c r="AE1141" s="8"/>
      <c r="AG1141" s="30"/>
      <c r="AI1141" s="30"/>
      <c r="AJ1141" s="21"/>
      <c r="AR1141" s="40"/>
      <c r="AT1141" s="40"/>
      <c r="AV1141" s="18"/>
      <c r="AX1141" s="18"/>
      <c r="AY1141" s="18"/>
      <c r="BF1141" s="18"/>
      <c r="BI1141" s="18"/>
      <c r="BT1141" s="18"/>
      <c r="BX1141" s="18"/>
      <c r="CC1141" s="18"/>
      <c r="CN1141" s="18"/>
      <c r="CY1141" s="34"/>
    </row>
    <row r="1142" spans="4:103" x14ac:dyDescent="0.25">
      <c r="D1142" s="12"/>
      <c r="E1142" s="14"/>
      <c r="H1142" s="16"/>
      <c r="I1142" s="11"/>
      <c r="J1142" s="33"/>
      <c r="K1142" s="33"/>
      <c r="L1142" s="8"/>
      <c r="AE1142" s="8"/>
      <c r="AG1142" s="30"/>
      <c r="AI1142" s="30"/>
      <c r="AJ1142" s="21"/>
      <c r="AR1142" s="40"/>
      <c r="AT1142" s="40"/>
      <c r="AV1142" s="18"/>
      <c r="AX1142" s="18"/>
      <c r="AY1142" s="18"/>
      <c r="BF1142" s="18"/>
      <c r="BI1142" s="18"/>
      <c r="BT1142" s="18"/>
      <c r="BX1142" s="18"/>
      <c r="CC1142" s="18"/>
      <c r="CN1142" s="18"/>
      <c r="CY1142" s="34"/>
    </row>
    <row r="1143" spans="4:103" x14ac:dyDescent="0.25">
      <c r="D1143" s="12"/>
      <c r="E1143" s="14"/>
      <c r="H1143" s="16"/>
      <c r="I1143" s="11"/>
      <c r="J1143" s="33"/>
      <c r="K1143" s="33"/>
      <c r="L1143" s="8"/>
      <c r="AE1143" s="8"/>
      <c r="AG1143" s="30"/>
      <c r="AI1143" s="30"/>
      <c r="AJ1143" s="21"/>
      <c r="AR1143" s="40"/>
      <c r="AT1143" s="40"/>
      <c r="AV1143" s="18"/>
      <c r="AX1143" s="18"/>
      <c r="AY1143" s="18"/>
      <c r="BF1143" s="18"/>
      <c r="BI1143" s="18"/>
      <c r="BT1143" s="18"/>
      <c r="BX1143" s="18"/>
      <c r="CC1143" s="18"/>
      <c r="CN1143" s="18"/>
      <c r="CY1143" s="34"/>
    </row>
    <row r="1144" spans="4:103" x14ac:dyDescent="0.25">
      <c r="D1144" s="12"/>
      <c r="E1144" s="14"/>
      <c r="H1144" s="16"/>
      <c r="I1144" s="11"/>
      <c r="J1144" s="33"/>
      <c r="K1144" s="33"/>
      <c r="L1144" s="8"/>
      <c r="AE1144" s="8"/>
      <c r="AG1144" s="30"/>
      <c r="AI1144" s="30"/>
      <c r="AJ1144" s="21"/>
      <c r="AR1144" s="40"/>
      <c r="AT1144" s="40"/>
      <c r="AV1144" s="18"/>
      <c r="AX1144" s="18"/>
      <c r="AY1144" s="18"/>
      <c r="BF1144" s="18"/>
      <c r="BI1144" s="18"/>
      <c r="BT1144" s="18"/>
      <c r="BX1144" s="18"/>
      <c r="CC1144" s="18"/>
      <c r="CN1144" s="18"/>
      <c r="CY1144" s="34"/>
    </row>
    <row r="1145" spans="4:103" x14ac:dyDescent="0.25">
      <c r="D1145" s="12"/>
      <c r="E1145" s="14"/>
      <c r="H1145" s="16"/>
      <c r="I1145" s="11"/>
      <c r="J1145" s="33"/>
      <c r="K1145" s="33"/>
      <c r="L1145" s="8"/>
      <c r="AE1145" s="8"/>
      <c r="AG1145" s="30"/>
      <c r="AI1145" s="30"/>
      <c r="AJ1145" s="21"/>
      <c r="AR1145" s="40"/>
      <c r="AT1145" s="40"/>
      <c r="AV1145" s="18"/>
      <c r="AX1145" s="18"/>
      <c r="AY1145" s="18"/>
      <c r="BF1145" s="18"/>
      <c r="BI1145" s="18"/>
      <c r="BT1145" s="18"/>
      <c r="BX1145" s="18"/>
      <c r="CC1145" s="18"/>
      <c r="CN1145" s="18"/>
      <c r="CY1145" s="34"/>
    </row>
    <row r="1146" spans="4:103" x14ac:dyDescent="0.25">
      <c r="D1146" s="12"/>
      <c r="E1146" s="14"/>
      <c r="H1146" s="16"/>
      <c r="I1146" s="11"/>
      <c r="J1146" s="33"/>
      <c r="K1146" s="33"/>
      <c r="L1146" s="8"/>
      <c r="AE1146" s="8"/>
      <c r="AG1146" s="30"/>
      <c r="AI1146" s="30"/>
      <c r="AJ1146" s="21"/>
      <c r="AR1146" s="40"/>
      <c r="AT1146" s="40"/>
      <c r="AV1146" s="18"/>
      <c r="AX1146" s="18"/>
      <c r="AY1146" s="18"/>
      <c r="BF1146" s="18"/>
      <c r="BI1146" s="18"/>
      <c r="BT1146" s="18"/>
      <c r="BX1146" s="18"/>
      <c r="CC1146" s="18"/>
      <c r="CN1146" s="18"/>
      <c r="CY1146" s="34"/>
    </row>
    <row r="1147" spans="4:103" x14ac:dyDescent="0.25">
      <c r="D1147" s="12"/>
      <c r="E1147" s="14"/>
      <c r="H1147" s="16"/>
      <c r="I1147" s="11"/>
      <c r="J1147" s="33"/>
      <c r="K1147" s="33"/>
      <c r="L1147" s="8"/>
      <c r="AE1147" s="8"/>
      <c r="AG1147" s="30"/>
      <c r="AI1147" s="30"/>
      <c r="AJ1147" s="21"/>
      <c r="AR1147" s="40"/>
      <c r="AT1147" s="40"/>
      <c r="AV1147" s="18"/>
      <c r="AX1147" s="18"/>
      <c r="AY1147" s="18"/>
      <c r="BF1147" s="18"/>
      <c r="BI1147" s="18"/>
      <c r="BT1147" s="18"/>
      <c r="BX1147" s="18"/>
      <c r="CC1147" s="18"/>
      <c r="CN1147" s="18"/>
      <c r="CY1147" s="34"/>
    </row>
    <row r="1148" spans="4:103" x14ac:dyDescent="0.25">
      <c r="D1148" s="12"/>
      <c r="E1148" s="14"/>
      <c r="H1148" s="16"/>
      <c r="I1148" s="11"/>
      <c r="J1148" s="33"/>
      <c r="K1148" s="33"/>
      <c r="L1148" s="8"/>
      <c r="AE1148" s="8"/>
      <c r="AG1148" s="30"/>
      <c r="AI1148" s="30"/>
      <c r="AJ1148" s="21"/>
      <c r="AR1148" s="40"/>
      <c r="AT1148" s="40"/>
      <c r="AV1148" s="18"/>
      <c r="AX1148" s="18"/>
      <c r="AY1148" s="18"/>
      <c r="BF1148" s="18"/>
      <c r="BI1148" s="18"/>
      <c r="BT1148" s="18"/>
      <c r="BX1148" s="18"/>
      <c r="CC1148" s="18"/>
      <c r="CN1148" s="18"/>
      <c r="CY1148" s="34"/>
    </row>
    <row r="1149" spans="4:103" x14ac:dyDescent="0.25">
      <c r="D1149" s="12"/>
      <c r="E1149" s="14"/>
      <c r="H1149" s="16"/>
      <c r="I1149" s="11"/>
      <c r="J1149" s="33"/>
      <c r="K1149" s="33"/>
      <c r="L1149" s="8"/>
      <c r="AE1149" s="8"/>
      <c r="AG1149" s="30"/>
      <c r="AI1149" s="30"/>
      <c r="AJ1149" s="21"/>
      <c r="AR1149" s="40"/>
      <c r="AT1149" s="40"/>
      <c r="AV1149" s="18"/>
      <c r="AX1149" s="18"/>
      <c r="AY1149" s="18"/>
      <c r="BF1149" s="18"/>
      <c r="BI1149" s="18"/>
      <c r="BT1149" s="18"/>
      <c r="BX1149" s="18"/>
      <c r="CC1149" s="18"/>
      <c r="CN1149" s="18"/>
      <c r="CY1149" s="34"/>
    </row>
    <row r="1150" spans="4:103" x14ac:dyDescent="0.25">
      <c r="D1150" s="12"/>
      <c r="E1150" s="14"/>
      <c r="H1150" s="16"/>
      <c r="I1150" s="11"/>
      <c r="J1150" s="33"/>
      <c r="K1150" s="33"/>
      <c r="L1150" s="8"/>
      <c r="AE1150" s="8"/>
      <c r="AG1150" s="30"/>
      <c r="AI1150" s="30"/>
      <c r="AJ1150" s="21"/>
      <c r="AR1150" s="40"/>
      <c r="AT1150" s="40"/>
      <c r="AV1150" s="18"/>
      <c r="AX1150" s="18"/>
      <c r="AY1150" s="18"/>
      <c r="BF1150" s="18"/>
      <c r="BI1150" s="18"/>
      <c r="BT1150" s="18"/>
      <c r="BX1150" s="18"/>
      <c r="CC1150" s="18"/>
      <c r="CN1150" s="18"/>
      <c r="CY1150" s="34"/>
    </row>
    <row r="1151" spans="4:103" x14ac:dyDescent="0.25">
      <c r="D1151" s="12"/>
      <c r="E1151" s="14"/>
      <c r="H1151" s="16"/>
      <c r="I1151" s="11"/>
      <c r="J1151" s="33"/>
      <c r="K1151" s="33"/>
      <c r="L1151" s="8"/>
      <c r="AE1151" s="8"/>
      <c r="AG1151" s="30"/>
      <c r="AI1151" s="30"/>
      <c r="AJ1151" s="21"/>
      <c r="AR1151" s="40"/>
      <c r="AT1151" s="40"/>
      <c r="AV1151" s="18"/>
      <c r="AX1151" s="18"/>
      <c r="AY1151" s="18"/>
      <c r="BF1151" s="18"/>
      <c r="BI1151" s="18"/>
      <c r="BT1151" s="18"/>
      <c r="BX1151" s="18"/>
      <c r="CC1151" s="18"/>
      <c r="CN1151" s="18"/>
      <c r="CY1151" s="34"/>
    </row>
    <row r="1152" spans="4:103" x14ac:dyDescent="0.25">
      <c r="D1152" s="12"/>
      <c r="E1152" s="14"/>
      <c r="H1152" s="16"/>
      <c r="I1152" s="11"/>
      <c r="J1152" s="33"/>
      <c r="K1152" s="33"/>
      <c r="L1152" s="8"/>
      <c r="AE1152" s="8"/>
      <c r="AG1152" s="30"/>
      <c r="AI1152" s="30"/>
      <c r="AJ1152" s="21"/>
      <c r="AR1152" s="40"/>
      <c r="AT1152" s="40"/>
      <c r="AV1152" s="18"/>
      <c r="AX1152" s="18"/>
      <c r="AY1152" s="18"/>
      <c r="BF1152" s="18"/>
      <c r="BI1152" s="18"/>
      <c r="BT1152" s="18"/>
      <c r="BX1152" s="18"/>
      <c r="CC1152" s="18"/>
      <c r="CN1152" s="18"/>
      <c r="CY1152" s="34"/>
    </row>
    <row r="1153" spans="4:103" x14ac:dyDescent="0.25">
      <c r="D1153" s="12"/>
      <c r="E1153" s="14"/>
      <c r="H1153" s="16"/>
      <c r="I1153" s="11"/>
      <c r="J1153" s="33"/>
      <c r="K1153" s="33"/>
      <c r="L1153" s="8"/>
      <c r="AE1153" s="8"/>
      <c r="AG1153" s="30"/>
      <c r="AI1153" s="30"/>
      <c r="AJ1153" s="21"/>
      <c r="AR1153" s="40"/>
      <c r="AT1153" s="40"/>
      <c r="AV1153" s="18"/>
      <c r="AX1153" s="18"/>
      <c r="AY1153" s="18"/>
      <c r="BF1153" s="18"/>
      <c r="BI1153" s="18"/>
      <c r="BT1153" s="18"/>
      <c r="BX1153" s="18"/>
      <c r="CC1153" s="18"/>
      <c r="CN1153" s="18"/>
      <c r="CY1153" s="34"/>
    </row>
    <row r="1154" spans="4:103" x14ac:dyDescent="0.25">
      <c r="D1154" s="12"/>
      <c r="E1154" s="14"/>
      <c r="H1154" s="16"/>
      <c r="I1154" s="11"/>
      <c r="J1154" s="33"/>
      <c r="K1154" s="33"/>
      <c r="L1154" s="8"/>
      <c r="AE1154" s="8"/>
      <c r="AG1154" s="30"/>
      <c r="AI1154" s="30"/>
      <c r="AJ1154" s="21"/>
      <c r="AR1154" s="40"/>
      <c r="AT1154" s="40"/>
      <c r="AV1154" s="18"/>
      <c r="AX1154" s="18"/>
      <c r="AY1154" s="18"/>
      <c r="BF1154" s="18"/>
      <c r="BI1154" s="18"/>
      <c r="BT1154" s="18"/>
      <c r="BX1154" s="18"/>
      <c r="CC1154" s="18"/>
      <c r="CN1154" s="18"/>
      <c r="CY1154" s="34"/>
    </row>
    <row r="1155" spans="4:103" x14ac:dyDescent="0.25">
      <c r="D1155" s="12"/>
      <c r="E1155" s="14"/>
      <c r="H1155" s="16"/>
      <c r="I1155" s="11"/>
      <c r="J1155" s="33"/>
      <c r="K1155" s="33"/>
      <c r="L1155" s="8"/>
      <c r="AE1155" s="8"/>
      <c r="AG1155" s="30"/>
      <c r="AI1155" s="30"/>
      <c r="AJ1155" s="21"/>
      <c r="AR1155" s="40"/>
      <c r="AT1155" s="40"/>
      <c r="AV1155" s="18"/>
      <c r="AX1155" s="18"/>
      <c r="AY1155" s="18"/>
      <c r="BF1155" s="18"/>
      <c r="BI1155" s="18"/>
      <c r="BT1155" s="18"/>
      <c r="BX1155" s="18"/>
      <c r="CC1155" s="18"/>
      <c r="CN1155" s="18"/>
      <c r="CY1155" s="34"/>
    </row>
    <row r="1156" spans="4:103" x14ac:dyDescent="0.25">
      <c r="D1156" s="12"/>
      <c r="E1156" s="14"/>
      <c r="H1156" s="16"/>
      <c r="I1156" s="11"/>
      <c r="J1156" s="33"/>
      <c r="K1156" s="33"/>
      <c r="L1156" s="8"/>
      <c r="AE1156" s="8"/>
      <c r="AG1156" s="30"/>
      <c r="AI1156" s="30"/>
      <c r="AJ1156" s="21"/>
      <c r="AR1156" s="40"/>
      <c r="AT1156" s="40"/>
      <c r="AV1156" s="18"/>
      <c r="AX1156" s="18"/>
      <c r="AY1156" s="18"/>
      <c r="BF1156" s="18"/>
      <c r="BI1156" s="18"/>
      <c r="BT1156" s="18"/>
      <c r="BX1156" s="18"/>
      <c r="CC1156" s="18"/>
      <c r="CN1156" s="18"/>
      <c r="CY1156" s="34"/>
    </row>
    <row r="1157" spans="4:103" x14ac:dyDescent="0.25">
      <c r="D1157" s="12"/>
      <c r="E1157" s="14"/>
      <c r="H1157" s="16"/>
      <c r="I1157" s="11"/>
      <c r="J1157" s="33"/>
      <c r="K1157" s="33"/>
      <c r="L1157" s="8"/>
      <c r="AE1157" s="8"/>
      <c r="AG1157" s="30"/>
      <c r="AI1157" s="30"/>
      <c r="AJ1157" s="21"/>
      <c r="AR1157" s="40"/>
      <c r="AT1157" s="40"/>
      <c r="AV1157" s="18"/>
      <c r="AX1157" s="18"/>
      <c r="AY1157" s="18"/>
      <c r="BF1157" s="18"/>
      <c r="BI1157" s="18"/>
      <c r="BT1157" s="18"/>
      <c r="BX1157" s="18"/>
      <c r="CC1157" s="18"/>
      <c r="CN1157" s="18"/>
      <c r="CY1157" s="34"/>
    </row>
    <row r="1158" spans="4:103" x14ac:dyDescent="0.25">
      <c r="D1158" s="12"/>
      <c r="E1158" s="14"/>
      <c r="H1158" s="16"/>
      <c r="I1158" s="11"/>
      <c r="J1158" s="33"/>
      <c r="K1158" s="33"/>
      <c r="L1158" s="8"/>
      <c r="AE1158" s="8"/>
      <c r="AG1158" s="30"/>
      <c r="AI1158" s="30"/>
      <c r="AJ1158" s="21"/>
      <c r="AR1158" s="40"/>
      <c r="AT1158" s="40"/>
      <c r="AV1158" s="18"/>
      <c r="AX1158" s="18"/>
      <c r="AY1158" s="18"/>
      <c r="BF1158" s="18"/>
      <c r="BI1158" s="18"/>
      <c r="BT1158" s="18"/>
      <c r="BX1158" s="18"/>
      <c r="CC1158" s="18"/>
      <c r="CN1158" s="18"/>
      <c r="CY1158" s="34"/>
    </row>
    <row r="1159" spans="4:103" x14ac:dyDescent="0.25">
      <c r="D1159" s="12"/>
      <c r="E1159" s="14"/>
      <c r="H1159" s="16"/>
      <c r="I1159" s="11"/>
      <c r="J1159" s="33"/>
      <c r="K1159" s="33"/>
      <c r="L1159" s="8"/>
      <c r="AE1159" s="8"/>
      <c r="AG1159" s="30"/>
      <c r="AI1159" s="30"/>
      <c r="AJ1159" s="21"/>
      <c r="AR1159" s="40"/>
      <c r="AT1159" s="40"/>
      <c r="AV1159" s="18"/>
      <c r="AX1159" s="18"/>
      <c r="AY1159" s="18"/>
      <c r="BF1159" s="18"/>
      <c r="BI1159" s="18"/>
      <c r="BT1159" s="18"/>
      <c r="BX1159" s="18"/>
      <c r="CC1159" s="18"/>
      <c r="CN1159" s="18"/>
      <c r="CY1159" s="34"/>
    </row>
    <row r="1160" spans="4:103" x14ac:dyDescent="0.25">
      <c r="D1160" s="12"/>
      <c r="E1160" s="14"/>
      <c r="H1160" s="16"/>
      <c r="I1160" s="11"/>
      <c r="J1160" s="33"/>
      <c r="K1160" s="33"/>
      <c r="L1160" s="8"/>
      <c r="AE1160" s="8"/>
      <c r="AG1160" s="30"/>
      <c r="AI1160" s="30"/>
      <c r="AJ1160" s="21"/>
      <c r="AR1160" s="40"/>
      <c r="AT1160" s="40"/>
      <c r="AV1160" s="18"/>
      <c r="AX1160" s="18"/>
      <c r="AY1160" s="18"/>
      <c r="BF1160" s="18"/>
      <c r="BI1160" s="18"/>
      <c r="BT1160" s="18"/>
      <c r="BX1160" s="18"/>
      <c r="CC1160" s="18"/>
      <c r="CN1160" s="18"/>
      <c r="CY1160" s="34"/>
    </row>
    <row r="1161" spans="4:103" x14ac:dyDescent="0.25">
      <c r="D1161" s="12"/>
      <c r="E1161" s="14"/>
      <c r="H1161" s="16"/>
      <c r="I1161" s="11"/>
      <c r="J1161" s="33"/>
      <c r="K1161" s="33"/>
      <c r="L1161" s="8"/>
      <c r="AE1161" s="8"/>
      <c r="AG1161" s="30"/>
      <c r="AI1161" s="30"/>
      <c r="AJ1161" s="21"/>
      <c r="AR1161" s="40"/>
      <c r="AT1161" s="40"/>
      <c r="AV1161" s="18"/>
      <c r="AX1161" s="18"/>
      <c r="AY1161" s="18"/>
      <c r="BF1161" s="18"/>
      <c r="BI1161" s="18"/>
      <c r="BT1161" s="18"/>
      <c r="BX1161" s="18"/>
      <c r="CC1161" s="18"/>
      <c r="CN1161" s="18"/>
      <c r="CY1161" s="34"/>
    </row>
    <row r="1162" spans="4:103" x14ac:dyDescent="0.25">
      <c r="D1162" s="12"/>
      <c r="E1162" s="14"/>
      <c r="H1162" s="16"/>
      <c r="I1162" s="11"/>
      <c r="J1162" s="33"/>
      <c r="K1162" s="33"/>
      <c r="L1162" s="8"/>
      <c r="AE1162" s="8"/>
      <c r="AG1162" s="30"/>
      <c r="AI1162" s="30"/>
      <c r="AJ1162" s="21"/>
      <c r="AR1162" s="40"/>
      <c r="AT1162" s="40"/>
      <c r="AV1162" s="18"/>
      <c r="AX1162" s="18"/>
      <c r="AY1162" s="18"/>
      <c r="BF1162" s="18"/>
      <c r="BI1162" s="18"/>
      <c r="BT1162" s="18"/>
      <c r="BX1162" s="18"/>
      <c r="CC1162" s="18"/>
      <c r="CN1162" s="18"/>
      <c r="CY1162" s="34"/>
    </row>
    <row r="1163" spans="4:103" x14ac:dyDescent="0.25">
      <c r="D1163" s="12"/>
      <c r="E1163" s="14"/>
      <c r="H1163" s="16"/>
      <c r="I1163" s="11"/>
      <c r="J1163" s="33"/>
      <c r="K1163" s="33"/>
      <c r="L1163" s="8"/>
      <c r="AE1163" s="8"/>
      <c r="AG1163" s="30"/>
      <c r="AI1163" s="30"/>
      <c r="AJ1163" s="21"/>
      <c r="AR1163" s="40"/>
      <c r="AT1163" s="40"/>
      <c r="AV1163" s="18"/>
      <c r="AX1163" s="18"/>
      <c r="AY1163" s="18"/>
      <c r="BF1163" s="18"/>
      <c r="BI1163" s="18"/>
      <c r="BT1163" s="18"/>
      <c r="BX1163" s="18"/>
      <c r="CC1163" s="18"/>
      <c r="CN1163" s="18"/>
      <c r="CY1163" s="34"/>
    </row>
    <row r="1164" spans="4:103" x14ac:dyDescent="0.25">
      <c r="D1164" s="12"/>
      <c r="E1164" s="14"/>
      <c r="H1164" s="16"/>
      <c r="I1164" s="11"/>
      <c r="J1164" s="33"/>
      <c r="K1164" s="33"/>
      <c r="L1164" s="8"/>
      <c r="AE1164" s="8"/>
      <c r="AG1164" s="30"/>
      <c r="AI1164" s="30"/>
      <c r="AJ1164" s="21"/>
      <c r="AR1164" s="40"/>
      <c r="AT1164" s="40"/>
      <c r="AV1164" s="18"/>
      <c r="AX1164" s="18"/>
      <c r="AY1164" s="18"/>
      <c r="BF1164" s="18"/>
      <c r="BI1164" s="18"/>
      <c r="BT1164" s="18"/>
      <c r="BX1164" s="18"/>
      <c r="CC1164" s="18"/>
      <c r="CN1164" s="18"/>
      <c r="CY1164" s="34"/>
    </row>
    <row r="1165" spans="4:103" x14ac:dyDescent="0.25">
      <c r="D1165" s="12"/>
      <c r="E1165" s="14"/>
      <c r="H1165" s="16"/>
      <c r="I1165" s="11"/>
      <c r="J1165" s="33"/>
      <c r="K1165" s="33"/>
      <c r="L1165" s="8"/>
      <c r="AE1165" s="8"/>
      <c r="AG1165" s="30"/>
      <c r="AI1165" s="30"/>
      <c r="AJ1165" s="21"/>
      <c r="AR1165" s="40"/>
      <c r="AT1165" s="40"/>
      <c r="AV1165" s="18"/>
      <c r="AX1165" s="18"/>
      <c r="AY1165" s="18"/>
      <c r="BF1165" s="18"/>
      <c r="BI1165" s="18"/>
      <c r="BT1165" s="18"/>
      <c r="BX1165" s="18"/>
      <c r="CC1165" s="18"/>
      <c r="CN1165" s="18"/>
      <c r="CY1165" s="34"/>
    </row>
    <row r="1166" spans="4:103" x14ac:dyDescent="0.25">
      <c r="D1166" s="12"/>
      <c r="E1166" s="14"/>
      <c r="H1166" s="16"/>
      <c r="I1166" s="11"/>
      <c r="J1166" s="33"/>
      <c r="K1166" s="33"/>
      <c r="L1166" s="8"/>
      <c r="AE1166" s="8"/>
      <c r="AG1166" s="30"/>
      <c r="AI1166" s="30"/>
      <c r="AJ1166" s="21"/>
      <c r="AR1166" s="40"/>
      <c r="AT1166" s="40"/>
      <c r="AV1166" s="18"/>
      <c r="AX1166" s="18"/>
      <c r="AY1166" s="18"/>
      <c r="BF1166" s="18"/>
      <c r="BI1166" s="18"/>
      <c r="BT1166" s="18"/>
      <c r="BX1166" s="18"/>
      <c r="CC1166" s="18"/>
      <c r="CN1166" s="18"/>
      <c r="CY1166" s="34"/>
    </row>
    <row r="1167" spans="4:103" x14ac:dyDescent="0.25">
      <c r="D1167" s="12"/>
      <c r="E1167" s="14"/>
      <c r="H1167" s="16"/>
      <c r="I1167" s="11"/>
      <c r="J1167" s="33"/>
      <c r="K1167" s="33"/>
      <c r="L1167" s="8"/>
      <c r="AE1167" s="8"/>
      <c r="AG1167" s="30"/>
      <c r="AI1167" s="30"/>
      <c r="AJ1167" s="21"/>
      <c r="AR1167" s="40"/>
      <c r="AT1167" s="40"/>
      <c r="AV1167" s="18"/>
      <c r="AX1167" s="18"/>
      <c r="AY1167" s="18"/>
      <c r="BF1167" s="18"/>
      <c r="BI1167" s="18"/>
      <c r="BT1167" s="18"/>
      <c r="BX1167" s="18"/>
      <c r="CC1167" s="18"/>
      <c r="CN1167" s="18"/>
      <c r="CY1167" s="34"/>
    </row>
    <row r="1168" spans="4:103" x14ac:dyDescent="0.25">
      <c r="D1168" s="12"/>
      <c r="E1168" s="14"/>
      <c r="H1168" s="16"/>
      <c r="I1168" s="11"/>
      <c r="J1168" s="33"/>
      <c r="K1168" s="33"/>
      <c r="L1168" s="8"/>
      <c r="AE1168" s="8"/>
      <c r="AG1168" s="30"/>
      <c r="AI1168" s="30"/>
      <c r="AJ1168" s="21"/>
      <c r="AR1168" s="40"/>
      <c r="AT1168" s="40"/>
      <c r="AV1168" s="18"/>
      <c r="AX1168" s="18"/>
      <c r="AY1168" s="18"/>
      <c r="BF1168" s="18"/>
      <c r="BI1168" s="18"/>
      <c r="BT1168" s="18"/>
      <c r="BX1168" s="18"/>
      <c r="CC1168" s="18"/>
      <c r="CN1168" s="18"/>
      <c r="CY1168" s="34"/>
    </row>
    <row r="1169" spans="4:103" x14ac:dyDescent="0.25">
      <c r="D1169" s="12"/>
      <c r="E1169" s="14"/>
      <c r="H1169" s="16"/>
      <c r="I1169" s="11"/>
      <c r="J1169" s="33"/>
      <c r="K1169" s="33"/>
      <c r="L1169" s="8"/>
      <c r="AE1169" s="8"/>
      <c r="AG1169" s="30"/>
      <c r="AI1169" s="30"/>
      <c r="AJ1169" s="21"/>
      <c r="AR1169" s="40"/>
      <c r="AT1169" s="40"/>
      <c r="AV1169" s="18"/>
      <c r="AX1169" s="18"/>
      <c r="AY1169" s="18"/>
      <c r="BF1169" s="18"/>
      <c r="BI1169" s="18"/>
      <c r="BT1169" s="18"/>
      <c r="BX1169" s="18"/>
      <c r="CC1169" s="18"/>
      <c r="CN1169" s="18"/>
      <c r="CY1169" s="34"/>
    </row>
    <row r="1170" spans="4:103" x14ac:dyDescent="0.25">
      <c r="D1170" s="12"/>
      <c r="E1170" s="14"/>
      <c r="H1170" s="16"/>
      <c r="I1170" s="11"/>
      <c r="J1170" s="33"/>
      <c r="K1170" s="33"/>
      <c r="L1170" s="8"/>
      <c r="AE1170" s="8"/>
      <c r="AG1170" s="30"/>
      <c r="AI1170" s="30"/>
      <c r="AJ1170" s="21"/>
      <c r="AR1170" s="40"/>
      <c r="AT1170" s="40"/>
      <c r="AV1170" s="18"/>
      <c r="AX1170" s="18"/>
      <c r="AY1170" s="18"/>
      <c r="BF1170" s="18"/>
      <c r="BI1170" s="18"/>
      <c r="BT1170" s="18"/>
      <c r="BX1170" s="18"/>
      <c r="CC1170" s="18"/>
      <c r="CN1170" s="18"/>
      <c r="CY1170" s="34"/>
    </row>
    <row r="1171" spans="4:103" x14ac:dyDescent="0.25">
      <c r="D1171" s="12"/>
      <c r="E1171" s="14"/>
      <c r="H1171" s="16"/>
      <c r="I1171" s="11"/>
      <c r="J1171" s="33"/>
      <c r="K1171" s="33"/>
      <c r="L1171" s="8"/>
      <c r="AE1171" s="8"/>
      <c r="AG1171" s="30"/>
      <c r="AI1171" s="30"/>
      <c r="AJ1171" s="21"/>
      <c r="AR1171" s="40"/>
      <c r="AT1171" s="40"/>
      <c r="AV1171" s="18"/>
      <c r="AX1171" s="18"/>
      <c r="AY1171" s="18"/>
      <c r="BF1171" s="18"/>
      <c r="BI1171" s="18"/>
      <c r="BT1171" s="18"/>
      <c r="BX1171" s="18"/>
      <c r="CC1171" s="18"/>
      <c r="CN1171" s="18"/>
      <c r="CY1171" s="34"/>
    </row>
    <row r="1172" spans="4:103" x14ac:dyDescent="0.25">
      <c r="D1172" s="12"/>
      <c r="E1172" s="14"/>
      <c r="H1172" s="16"/>
      <c r="I1172" s="11"/>
      <c r="J1172" s="33"/>
      <c r="K1172" s="33"/>
      <c r="L1172" s="8"/>
      <c r="AE1172" s="8"/>
      <c r="AG1172" s="30"/>
      <c r="AI1172" s="30"/>
      <c r="AJ1172" s="21"/>
      <c r="AR1172" s="40"/>
      <c r="AT1172" s="40"/>
      <c r="AV1172" s="18"/>
      <c r="AX1172" s="18"/>
      <c r="AY1172" s="18"/>
      <c r="BF1172" s="18"/>
      <c r="BI1172" s="18"/>
      <c r="BT1172" s="18"/>
      <c r="BX1172" s="18"/>
      <c r="CC1172" s="18"/>
      <c r="CN1172" s="18"/>
      <c r="CY1172" s="34"/>
    </row>
    <row r="1173" spans="4:103" x14ac:dyDescent="0.25">
      <c r="D1173" s="12"/>
      <c r="E1173" s="14"/>
      <c r="H1173" s="16"/>
      <c r="I1173" s="11"/>
      <c r="J1173" s="33"/>
      <c r="K1173" s="33"/>
      <c r="L1173" s="8"/>
      <c r="AE1173" s="8"/>
      <c r="AG1173" s="30"/>
      <c r="AI1173" s="30"/>
      <c r="AJ1173" s="21"/>
      <c r="AR1173" s="40"/>
      <c r="AT1173" s="40"/>
      <c r="AV1173" s="18"/>
      <c r="AX1173" s="18"/>
      <c r="AY1173" s="18"/>
      <c r="BF1173" s="18"/>
      <c r="BI1173" s="18"/>
      <c r="BT1173" s="18"/>
      <c r="BX1173" s="18"/>
      <c r="CC1173" s="18"/>
      <c r="CN1173" s="18"/>
      <c r="CY1173" s="34"/>
    </row>
    <row r="1174" spans="4:103" x14ac:dyDescent="0.25">
      <c r="D1174" s="12"/>
      <c r="E1174" s="14"/>
      <c r="H1174" s="16"/>
      <c r="I1174" s="11"/>
      <c r="J1174" s="33"/>
      <c r="K1174" s="33"/>
      <c r="L1174" s="8"/>
      <c r="AE1174" s="8"/>
      <c r="AG1174" s="30"/>
      <c r="AI1174" s="30"/>
      <c r="AJ1174" s="21"/>
      <c r="AR1174" s="40"/>
      <c r="AT1174" s="40"/>
      <c r="AV1174" s="18"/>
      <c r="AX1174" s="18"/>
      <c r="AY1174" s="18"/>
      <c r="BF1174" s="18"/>
      <c r="BI1174" s="18"/>
      <c r="BT1174" s="18"/>
      <c r="BX1174" s="18"/>
      <c r="CC1174" s="18"/>
      <c r="CN1174" s="18"/>
      <c r="CY1174" s="34"/>
    </row>
    <row r="1175" spans="4:103" x14ac:dyDescent="0.25">
      <c r="D1175" s="12"/>
      <c r="E1175" s="14"/>
      <c r="H1175" s="16"/>
      <c r="I1175" s="11"/>
      <c r="J1175" s="33"/>
      <c r="K1175" s="33"/>
      <c r="L1175" s="8"/>
      <c r="AE1175" s="8"/>
      <c r="AG1175" s="30"/>
      <c r="AI1175" s="30"/>
      <c r="AJ1175" s="21"/>
      <c r="AR1175" s="40"/>
      <c r="AT1175" s="40"/>
      <c r="AV1175" s="18"/>
      <c r="AX1175" s="18"/>
      <c r="AY1175" s="18"/>
      <c r="BF1175" s="18"/>
      <c r="BI1175" s="18"/>
      <c r="BT1175" s="18"/>
      <c r="BX1175" s="18"/>
      <c r="CC1175" s="18"/>
      <c r="CN1175" s="18"/>
      <c r="CY1175" s="34"/>
    </row>
    <row r="1176" spans="4:103" x14ac:dyDescent="0.25">
      <c r="D1176" s="12"/>
      <c r="E1176" s="14"/>
      <c r="H1176" s="16"/>
      <c r="I1176" s="11"/>
      <c r="J1176" s="33"/>
      <c r="K1176" s="33"/>
      <c r="L1176" s="8"/>
      <c r="AE1176" s="8"/>
      <c r="AG1176" s="30"/>
      <c r="AI1176" s="30"/>
      <c r="AJ1176" s="21"/>
      <c r="AR1176" s="40"/>
      <c r="AT1176" s="40"/>
      <c r="AV1176" s="18"/>
      <c r="AX1176" s="18"/>
      <c r="AY1176" s="18"/>
      <c r="BF1176" s="18"/>
      <c r="BI1176" s="18"/>
      <c r="BT1176" s="18"/>
      <c r="BX1176" s="18"/>
      <c r="CC1176" s="18"/>
      <c r="CN1176" s="18"/>
      <c r="CY1176" s="34"/>
    </row>
    <row r="1177" spans="4:103" x14ac:dyDescent="0.25">
      <c r="D1177" s="12"/>
      <c r="E1177" s="14"/>
      <c r="H1177" s="16"/>
      <c r="I1177" s="11"/>
      <c r="J1177" s="33"/>
      <c r="K1177" s="33"/>
      <c r="L1177" s="8"/>
      <c r="AE1177" s="8"/>
      <c r="AG1177" s="30"/>
      <c r="AI1177" s="30"/>
      <c r="AJ1177" s="21"/>
      <c r="AR1177" s="40"/>
      <c r="AT1177" s="40"/>
      <c r="AV1177" s="18"/>
      <c r="AX1177" s="18"/>
      <c r="AY1177" s="18"/>
      <c r="BF1177" s="18"/>
      <c r="BI1177" s="18"/>
      <c r="BT1177" s="18"/>
      <c r="BX1177" s="18"/>
      <c r="CC1177" s="18"/>
      <c r="CN1177" s="18"/>
      <c r="CY1177" s="34"/>
    </row>
    <row r="1178" spans="4:103" x14ac:dyDescent="0.25">
      <c r="D1178" s="12"/>
      <c r="E1178" s="14"/>
      <c r="H1178" s="16"/>
      <c r="I1178" s="11"/>
      <c r="J1178" s="33"/>
      <c r="K1178" s="33"/>
      <c r="L1178" s="8"/>
      <c r="AE1178" s="8"/>
      <c r="AG1178" s="30"/>
      <c r="AI1178" s="30"/>
      <c r="AJ1178" s="21"/>
      <c r="AR1178" s="40"/>
      <c r="AT1178" s="40"/>
      <c r="AV1178" s="18"/>
      <c r="AX1178" s="18"/>
      <c r="AY1178" s="18"/>
      <c r="BF1178" s="18"/>
      <c r="BI1178" s="18"/>
      <c r="BT1178" s="18"/>
      <c r="BX1178" s="18"/>
      <c r="CC1178" s="18"/>
      <c r="CN1178" s="18"/>
      <c r="CY1178" s="34"/>
    </row>
    <row r="1179" spans="4:103" x14ac:dyDescent="0.25">
      <c r="D1179" s="12"/>
      <c r="E1179" s="14"/>
      <c r="H1179" s="16"/>
      <c r="I1179" s="11"/>
      <c r="J1179" s="33"/>
      <c r="K1179" s="33"/>
      <c r="L1179" s="8"/>
      <c r="AE1179" s="8"/>
      <c r="AG1179" s="30"/>
      <c r="AI1179" s="30"/>
      <c r="AJ1179" s="21"/>
      <c r="AR1179" s="40"/>
      <c r="AT1179" s="40"/>
      <c r="AV1179" s="18"/>
      <c r="AX1179" s="18"/>
      <c r="AY1179" s="18"/>
      <c r="BF1179" s="18"/>
      <c r="BI1179" s="18"/>
      <c r="BT1179" s="18"/>
      <c r="BX1179" s="18"/>
      <c r="CC1179" s="18"/>
      <c r="CN1179" s="18"/>
      <c r="CY1179" s="34"/>
    </row>
    <row r="1180" spans="4:103" x14ac:dyDescent="0.25">
      <c r="D1180" s="12"/>
      <c r="E1180" s="14"/>
      <c r="H1180" s="16"/>
      <c r="I1180" s="11"/>
      <c r="J1180" s="33"/>
      <c r="K1180" s="33"/>
      <c r="L1180" s="8"/>
      <c r="AE1180" s="8"/>
      <c r="AG1180" s="30"/>
      <c r="AI1180" s="30"/>
      <c r="AJ1180" s="21"/>
      <c r="AR1180" s="40"/>
      <c r="AT1180" s="40"/>
      <c r="AV1180" s="18"/>
      <c r="AX1180" s="18"/>
      <c r="AY1180" s="18"/>
      <c r="BF1180" s="18"/>
      <c r="BI1180" s="18"/>
      <c r="BT1180" s="18"/>
      <c r="BX1180" s="18"/>
      <c r="CC1180" s="18"/>
      <c r="CN1180" s="18"/>
      <c r="CY1180" s="34"/>
    </row>
    <row r="1181" spans="4:103" x14ac:dyDescent="0.25">
      <c r="D1181" s="12"/>
      <c r="E1181" s="14"/>
      <c r="H1181" s="16"/>
      <c r="I1181" s="11"/>
      <c r="J1181" s="33"/>
      <c r="K1181" s="33"/>
      <c r="L1181" s="8"/>
      <c r="AE1181" s="8"/>
      <c r="AG1181" s="30"/>
      <c r="AI1181" s="30"/>
      <c r="AJ1181" s="21"/>
      <c r="AR1181" s="40"/>
      <c r="AT1181" s="40"/>
      <c r="AV1181" s="18"/>
      <c r="AX1181" s="18"/>
      <c r="AY1181" s="18"/>
      <c r="BF1181" s="18"/>
      <c r="BI1181" s="18"/>
      <c r="BT1181" s="18"/>
      <c r="BX1181" s="18"/>
      <c r="CC1181" s="18"/>
      <c r="CN1181" s="18"/>
      <c r="CY1181" s="34"/>
    </row>
    <row r="1182" spans="4:103" x14ac:dyDescent="0.25">
      <c r="D1182" s="12"/>
      <c r="E1182" s="14"/>
      <c r="H1182" s="16"/>
      <c r="I1182" s="11"/>
      <c r="J1182" s="33"/>
      <c r="K1182" s="33"/>
      <c r="L1182" s="8"/>
      <c r="AE1182" s="8"/>
      <c r="AG1182" s="30"/>
      <c r="AI1182" s="30"/>
      <c r="AJ1182" s="21"/>
      <c r="AR1182" s="40"/>
      <c r="AT1182" s="40"/>
      <c r="AV1182" s="18"/>
      <c r="AX1182" s="18"/>
      <c r="AY1182" s="18"/>
      <c r="BF1182" s="18"/>
      <c r="BI1182" s="18"/>
      <c r="BT1182" s="18"/>
      <c r="BX1182" s="18"/>
      <c r="CC1182" s="18"/>
      <c r="CN1182" s="18"/>
      <c r="CY1182" s="34"/>
    </row>
    <row r="1183" spans="4:103" x14ac:dyDescent="0.25">
      <c r="D1183" s="12"/>
      <c r="E1183" s="14"/>
      <c r="H1183" s="16"/>
      <c r="I1183" s="11"/>
      <c r="J1183" s="33"/>
      <c r="K1183" s="33"/>
      <c r="L1183" s="8"/>
      <c r="AE1183" s="8"/>
      <c r="AG1183" s="30"/>
      <c r="AI1183" s="30"/>
      <c r="AJ1183" s="21"/>
      <c r="AR1183" s="40"/>
      <c r="AT1183" s="40"/>
      <c r="AV1183" s="18"/>
      <c r="AX1183" s="18"/>
      <c r="AY1183" s="18"/>
      <c r="BF1183" s="18"/>
      <c r="BI1183" s="18"/>
      <c r="BT1183" s="18"/>
      <c r="BX1183" s="18"/>
      <c r="CC1183" s="18"/>
      <c r="CN1183" s="18"/>
      <c r="CY1183" s="34"/>
    </row>
    <row r="1184" spans="4:103" x14ac:dyDescent="0.25">
      <c r="D1184" s="12"/>
      <c r="E1184" s="14"/>
      <c r="H1184" s="16"/>
      <c r="I1184" s="11"/>
      <c r="J1184" s="33"/>
      <c r="K1184" s="33"/>
      <c r="L1184" s="8"/>
      <c r="AE1184" s="8"/>
      <c r="AG1184" s="30"/>
      <c r="AI1184" s="30"/>
      <c r="AJ1184" s="21"/>
      <c r="AR1184" s="40"/>
      <c r="AT1184" s="40"/>
      <c r="AV1184" s="18"/>
      <c r="AX1184" s="18"/>
      <c r="AY1184" s="18"/>
      <c r="BF1184" s="18"/>
      <c r="BI1184" s="18"/>
      <c r="BT1184" s="18"/>
      <c r="BX1184" s="18"/>
      <c r="CC1184" s="18"/>
      <c r="CN1184" s="18"/>
      <c r="CY1184" s="34"/>
    </row>
    <row r="1185" spans="4:103" x14ac:dyDescent="0.25">
      <c r="D1185" s="12"/>
      <c r="E1185" s="14"/>
      <c r="H1185" s="16"/>
      <c r="I1185" s="11"/>
      <c r="J1185" s="33"/>
      <c r="K1185" s="33"/>
      <c r="L1185" s="8"/>
      <c r="AE1185" s="8"/>
      <c r="AG1185" s="30"/>
      <c r="AI1185" s="30"/>
      <c r="AJ1185" s="21"/>
      <c r="AR1185" s="40"/>
      <c r="AT1185" s="40"/>
      <c r="AV1185" s="18"/>
      <c r="AX1185" s="18"/>
      <c r="AY1185" s="18"/>
      <c r="BF1185" s="18"/>
      <c r="BI1185" s="18"/>
      <c r="BT1185" s="18"/>
      <c r="BX1185" s="18"/>
      <c r="CC1185" s="18"/>
      <c r="CN1185" s="18"/>
      <c r="CY1185" s="34"/>
    </row>
    <row r="1186" spans="4:103" x14ac:dyDescent="0.25">
      <c r="D1186" s="12"/>
      <c r="E1186" s="14"/>
      <c r="H1186" s="16"/>
      <c r="I1186" s="11"/>
      <c r="J1186" s="33"/>
      <c r="K1186" s="33"/>
      <c r="L1186" s="8"/>
      <c r="AE1186" s="8"/>
      <c r="AG1186" s="30"/>
      <c r="AI1186" s="30"/>
      <c r="AJ1186" s="21"/>
      <c r="AR1186" s="40"/>
      <c r="AT1186" s="40"/>
      <c r="AV1186" s="18"/>
      <c r="AX1186" s="18"/>
      <c r="AY1186" s="18"/>
      <c r="BF1186" s="18"/>
      <c r="BI1186" s="18"/>
      <c r="BT1186" s="18"/>
      <c r="BX1186" s="18"/>
      <c r="CC1186" s="18"/>
      <c r="CN1186" s="18"/>
      <c r="CY1186" s="34"/>
    </row>
    <row r="1187" spans="4:103" x14ac:dyDescent="0.25">
      <c r="D1187" s="12"/>
      <c r="E1187" s="14"/>
      <c r="H1187" s="16"/>
      <c r="I1187" s="11"/>
      <c r="J1187" s="33"/>
      <c r="K1187" s="33"/>
      <c r="L1187" s="8"/>
      <c r="AE1187" s="8"/>
      <c r="AG1187" s="30"/>
      <c r="AI1187" s="30"/>
      <c r="AJ1187" s="21"/>
      <c r="AR1187" s="40"/>
      <c r="AT1187" s="40"/>
      <c r="AV1187" s="18"/>
      <c r="AX1187" s="18"/>
      <c r="AY1187" s="18"/>
      <c r="BF1187" s="18"/>
      <c r="BI1187" s="18"/>
      <c r="BT1187" s="18"/>
      <c r="BX1187" s="18"/>
      <c r="CC1187" s="18"/>
      <c r="CN1187" s="18"/>
      <c r="CY1187" s="34"/>
    </row>
    <row r="1188" spans="4:103" x14ac:dyDescent="0.25">
      <c r="D1188" s="12"/>
      <c r="E1188" s="14"/>
      <c r="H1188" s="16"/>
      <c r="I1188" s="11"/>
      <c r="J1188" s="33"/>
      <c r="K1188" s="33"/>
      <c r="L1188" s="8"/>
      <c r="AE1188" s="8"/>
      <c r="AG1188" s="30"/>
      <c r="AI1188" s="30"/>
      <c r="AJ1188" s="21"/>
      <c r="AR1188" s="40"/>
      <c r="AT1188" s="40"/>
      <c r="AV1188" s="18"/>
      <c r="AX1188" s="18"/>
      <c r="AY1188" s="18"/>
      <c r="BF1188" s="18"/>
      <c r="BI1188" s="18"/>
      <c r="BT1188" s="18"/>
      <c r="BX1188" s="18"/>
      <c r="CC1188" s="18"/>
      <c r="CN1188" s="18"/>
      <c r="CY1188" s="34"/>
    </row>
    <row r="1189" spans="4:103" x14ac:dyDescent="0.25">
      <c r="D1189" s="12"/>
      <c r="E1189" s="14"/>
      <c r="H1189" s="16"/>
      <c r="I1189" s="11"/>
      <c r="J1189" s="33"/>
      <c r="K1189" s="33"/>
      <c r="L1189" s="8"/>
      <c r="AE1189" s="8"/>
      <c r="AG1189" s="30"/>
      <c r="AI1189" s="30"/>
      <c r="AJ1189" s="21"/>
      <c r="AR1189" s="40"/>
      <c r="AT1189" s="40"/>
      <c r="AV1189" s="18"/>
      <c r="AX1189" s="18"/>
      <c r="AY1189" s="18"/>
      <c r="BF1189" s="18"/>
      <c r="BI1189" s="18"/>
      <c r="BT1189" s="18"/>
      <c r="BX1189" s="18"/>
      <c r="CC1189" s="18"/>
      <c r="CN1189" s="18"/>
      <c r="CY1189" s="34"/>
    </row>
    <row r="1190" spans="4:103" x14ac:dyDescent="0.25">
      <c r="D1190" s="12"/>
      <c r="E1190" s="14"/>
      <c r="H1190" s="16"/>
      <c r="I1190" s="11"/>
      <c r="J1190" s="33"/>
      <c r="K1190" s="33"/>
      <c r="L1190" s="8"/>
      <c r="AE1190" s="8"/>
      <c r="AG1190" s="30"/>
      <c r="AI1190" s="30"/>
      <c r="AJ1190" s="21"/>
      <c r="AR1190" s="40"/>
      <c r="AT1190" s="40"/>
      <c r="AV1190" s="18"/>
      <c r="AX1190" s="18"/>
      <c r="AY1190" s="18"/>
      <c r="BF1190" s="18"/>
      <c r="BI1190" s="18"/>
      <c r="BT1190" s="18"/>
      <c r="BX1190" s="18"/>
      <c r="CC1190" s="18"/>
      <c r="CN1190" s="18"/>
      <c r="CY1190" s="34"/>
    </row>
    <row r="1191" spans="4:103" x14ac:dyDescent="0.25">
      <c r="D1191" s="12"/>
      <c r="E1191" s="14"/>
      <c r="H1191" s="16"/>
      <c r="I1191" s="11"/>
      <c r="J1191" s="33"/>
      <c r="K1191" s="33"/>
      <c r="L1191" s="8"/>
      <c r="AE1191" s="8"/>
      <c r="AG1191" s="30"/>
      <c r="AI1191" s="30"/>
      <c r="AJ1191" s="21"/>
      <c r="AR1191" s="40"/>
      <c r="AT1191" s="40"/>
      <c r="AV1191" s="18"/>
      <c r="AX1191" s="18"/>
      <c r="AY1191" s="18"/>
      <c r="BF1191" s="18"/>
      <c r="BI1191" s="18"/>
      <c r="BT1191" s="18"/>
      <c r="BX1191" s="18"/>
      <c r="CC1191" s="18"/>
      <c r="CN1191" s="18"/>
      <c r="CY1191" s="34"/>
    </row>
    <row r="1192" spans="4:103" x14ac:dyDescent="0.25">
      <c r="D1192" s="12"/>
      <c r="E1192" s="14"/>
      <c r="H1192" s="16"/>
      <c r="I1192" s="11"/>
      <c r="J1192" s="33"/>
      <c r="K1192" s="33"/>
      <c r="L1192" s="8"/>
      <c r="AE1192" s="8"/>
      <c r="AG1192" s="30"/>
      <c r="AI1192" s="30"/>
      <c r="AJ1192" s="21"/>
      <c r="AR1192" s="40"/>
      <c r="AT1192" s="40"/>
      <c r="AV1192" s="18"/>
      <c r="AX1192" s="18"/>
      <c r="AY1192" s="18"/>
      <c r="BF1192" s="18"/>
      <c r="BI1192" s="18"/>
      <c r="BT1192" s="18"/>
      <c r="BX1192" s="18"/>
      <c r="CC1192" s="18"/>
      <c r="CN1192" s="18"/>
      <c r="CY1192" s="34"/>
    </row>
    <row r="1193" spans="4:103" x14ac:dyDescent="0.25">
      <c r="D1193" s="12"/>
      <c r="E1193" s="14"/>
      <c r="H1193" s="16"/>
      <c r="I1193" s="11"/>
      <c r="J1193" s="33"/>
      <c r="K1193" s="33"/>
      <c r="L1193" s="8"/>
      <c r="AE1193" s="8"/>
      <c r="AG1193" s="30"/>
      <c r="AI1193" s="30"/>
      <c r="AJ1193" s="21"/>
      <c r="AR1193" s="40"/>
      <c r="AT1193" s="40"/>
      <c r="AV1193" s="18"/>
      <c r="AX1193" s="18"/>
      <c r="AY1193" s="18"/>
      <c r="BF1193" s="18"/>
      <c r="BI1193" s="18"/>
      <c r="BT1193" s="18"/>
      <c r="BX1193" s="18"/>
      <c r="CC1193" s="18"/>
      <c r="CN1193" s="18"/>
      <c r="CY1193" s="34"/>
    </row>
    <row r="1194" spans="4:103" x14ac:dyDescent="0.25">
      <c r="D1194" s="12"/>
      <c r="E1194" s="14"/>
      <c r="H1194" s="16"/>
      <c r="I1194" s="11"/>
      <c r="J1194" s="33"/>
      <c r="K1194" s="33"/>
      <c r="L1194" s="8"/>
      <c r="AE1194" s="8"/>
      <c r="AG1194" s="30"/>
      <c r="AI1194" s="30"/>
      <c r="AJ1194" s="21"/>
      <c r="AR1194" s="40"/>
      <c r="AT1194" s="40"/>
      <c r="AV1194" s="18"/>
      <c r="AX1194" s="18"/>
      <c r="AY1194" s="18"/>
      <c r="BF1194" s="18"/>
      <c r="BI1194" s="18"/>
      <c r="BT1194" s="18"/>
      <c r="BX1194" s="18"/>
      <c r="CC1194" s="18"/>
      <c r="CN1194" s="18"/>
      <c r="CY1194" s="34"/>
    </row>
    <row r="1195" spans="4:103" x14ac:dyDescent="0.25">
      <c r="D1195" s="12"/>
      <c r="E1195" s="14"/>
      <c r="H1195" s="16"/>
      <c r="I1195" s="11"/>
      <c r="J1195" s="33"/>
      <c r="K1195" s="33"/>
      <c r="L1195" s="8"/>
      <c r="AE1195" s="8"/>
      <c r="AG1195" s="30"/>
      <c r="AI1195" s="30"/>
      <c r="AJ1195" s="21"/>
      <c r="AR1195" s="40"/>
      <c r="AT1195" s="40"/>
      <c r="AV1195" s="18"/>
      <c r="AX1195" s="18"/>
      <c r="AY1195" s="18"/>
      <c r="BF1195" s="18"/>
      <c r="BI1195" s="18"/>
      <c r="BT1195" s="18"/>
      <c r="BX1195" s="18"/>
      <c r="CC1195" s="18"/>
      <c r="CN1195" s="18"/>
      <c r="CY1195" s="34"/>
    </row>
    <row r="1196" spans="4:103" x14ac:dyDescent="0.25">
      <c r="D1196" s="12"/>
      <c r="E1196" s="14"/>
      <c r="H1196" s="16"/>
      <c r="I1196" s="11"/>
      <c r="J1196" s="33"/>
      <c r="K1196" s="33"/>
      <c r="L1196" s="8"/>
      <c r="AE1196" s="8"/>
      <c r="AG1196" s="30"/>
      <c r="AI1196" s="30"/>
      <c r="AJ1196" s="21"/>
      <c r="AR1196" s="40"/>
      <c r="AT1196" s="40"/>
      <c r="AV1196" s="18"/>
      <c r="AX1196" s="18"/>
      <c r="AY1196" s="18"/>
      <c r="BF1196" s="18"/>
      <c r="BI1196" s="18"/>
      <c r="BT1196" s="18"/>
      <c r="BX1196" s="18"/>
      <c r="CC1196" s="18"/>
      <c r="CN1196" s="18"/>
      <c r="CY1196" s="34"/>
    </row>
    <row r="1197" spans="4:103" x14ac:dyDescent="0.25">
      <c r="D1197" s="12"/>
      <c r="E1197" s="14"/>
      <c r="H1197" s="16"/>
      <c r="I1197" s="11"/>
      <c r="J1197" s="33"/>
      <c r="K1197" s="33"/>
      <c r="L1197" s="8"/>
      <c r="AE1197" s="8"/>
      <c r="AG1197" s="30"/>
      <c r="AI1197" s="30"/>
      <c r="AJ1197" s="21"/>
      <c r="AR1197" s="40"/>
      <c r="AT1197" s="40"/>
      <c r="AV1197" s="18"/>
      <c r="AX1197" s="18"/>
      <c r="AY1197" s="18"/>
      <c r="BF1197" s="18"/>
      <c r="BI1197" s="18"/>
      <c r="BT1197" s="18"/>
      <c r="BX1197" s="18"/>
      <c r="CC1197" s="18"/>
      <c r="CN1197" s="18"/>
      <c r="CY1197" s="34"/>
    </row>
    <row r="1198" spans="4:103" x14ac:dyDescent="0.25">
      <c r="D1198" s="12"/>
      <c r="E1198" s="14"/>
      <c r="H1198" s="16"/>
      <c r="I1198" s="11"/>
      <c r="J1198" s="33"/>
      <c r="K1198" s="33"/>
      <c r="L1198" s="8"/>
      <c r="AE1198" s="8"/>
      <c r="AG1198" s="30"/>
      <c r="AI1198" s="30"/>
      <c r="AJ1198" s="21"/>
      <c r="AR1198" s="40"/>
      <c r="AT1198" s="40"/>
      <c r="AV1198" s="18"/>
      <c r="AX1198" s="18"/>
      <c r="AY1198" s="18"/>
      <c r="BF1198" s="18"/>
      <c r="BI1198" s="18"/>
      <c r="BT1198" s="18"/>
      <c r="BX1198" s="18"/>
      <c r="CC1198" s="18"/>
      <c r="CN1198" s="18"/>
      <c r="CY1198" s="34"/>
    </row>
    <row r="1199" spans="4:103" x14ac:dyDescent="0.25">
      <c r="D1199" s="12"/>
      <c r="E1199" s="14"/>
      <c r="H1199" s="16"/>
      <c r="I1199" s="11"/>
      <c r="J1199" s="33"/>
      <c r="K1199" s="33"/>
      <c r="L1199" s="8"/>
      <c r="AE1199" s="8"/>
      <c r="AG1199" s="30"/>
      <c r="AI1199" s="30"/>
      <c r="AJ1199" s="21"/>
      <c r="AR1199" s="40"/>
      <c r="AT1199" s="40"/>
      <c r="AV1199" s="18"/>
      <c r="AX1199" s="18"/>
      <c r="AY1199" s="18"/>
      <c r="BF1199" s="18"/>
      <c r="BI1199" s="18"/>
      <c r="BT1199" s="18"/>
      <c r="BX1199" s="18"/>
      <c r="CC1199" s="18"/>
      <c r="CN1199" s="18"/>
      <c r="CY1199" s="34"/>
    </row>
    <row r="1200" spans="4:103" x14ac:dyDescent="0.25">
      <c r="D1200" s="12"/>
      <c r="E1200" s="14"/>
      <c r="H1200" s="16"/>
      <c r="I1200" s="11"/>
      <c r="J1200" s="33"/>
      <c r="K1200" s="33"/>
      <c r="L1200" s="8"/>
      <c r="AE1200" s="8"/>
      <c r="AG1200" s="30"/>
      <c r="AI1200" s="30"/>
      <c r="AJ1200" s="21"/>
      <c r="AR1200" s="40"/>
      <c r="AT1200" s="40"/>
      <c r="AV1200" s="18"/>
      <c r="AX1200" s="18"/>
      <c r="AY1200" s="18"/>
      <c r="BF1200" s="18"/>
      <c r="BI1200" s="18"/>
      <c r="BT1200" s="18"/>
      <c r="BX1200" s="18"/>
      <c r="CC1200" s="18"/>
      <c r="CN1200" s="18"/>
      <c r="CY1200" s="34"/>
    </row>
    <row r="1201" spans="4:103" x14ac:dyDescent="0.25">
      <c r="D1201" s="12"/>
      <c r="E1201" s="14"/>
      <c r="H1201" s="16"/>
      <c r="I1201" s="11"/>
      <c r="J1201" s="33"/>
      <c r="K1201" s="33"/>
      <c r="L1201" s="8"/>
      <c r="AE1201" s="8"/>
      <c r="AG1201" s="30"/>
      <c r="AI1201" s="30"/>
      <c r="AJ1201" s="21"/>
      <c r="AR1201" s="40"/>
      <c r="AT1201" s="40"/>
      <c r="AV1201" s="18"/>
      <c r="AX1201" s="18"/>
      <c r="AY1201" s="18"/>
      <c r="BF1201" s="18"/>
      <c r="BI1201" s="18"/>
      <c r="BT1201" s="18"/>
      <c r="BX1201" s="18"/>
      <c r="CC1201" s="18"/>
      <c r="CN1201" s="18"/>
      <c r="CY1201" s="34"/>
    </row>
    <row r="1202" spans="4:103" x14ac:dyDescent="0.25">
      <c r="D1202" s="12"/>
      <c r="E1202" s="14"/>
      <c r="H1202" s="16"/>
      <c r="I1202" s="11"/>
      <c r="J1202" s="33"/>
      <c r="K1202" s="33"/>
      <c r="L1202" s="8"/>
      <c r="AE1202" s="8"/>
      <c r="AG1202" s="30"/>
      <c r="AI1202" s="30"/>
      <c r="AJ1202" s="21"/>
      <c r="AR1202" s="40"/>
      <c r="AT1202" s="40"/>
      <c r="AV1202" s="18"/>
      <c r="AX1202" s="18"/>
      <c r="AY1202" s="18"/>
      <c r="BF1202" s="18"/>
      <c r="BI1202" s="18"/>
      <c r="BT1202" s="18"/>
      <c r="BX1202" s="18"/>
      <c r="CC1202" s="18"/>
      <c r="CN1202" s="18"/>
      <c r="CY1202" s="34"/>
    </row>
    <row r="1203" spans="4:103" x14ac:dyDescent="0.25">
      <c r="D1203" s="12"/>
      <c r="E1203" s="14"/>
      <c r="H1203" s="16"/>
      <c r="I1203" s="11"/>
      <c r="J1203" s="33"/>
      <c r="K1203" s="33"/>
      <c r="L1203" s="8"/>
      <c r="AE1203" s="8"/>
      <c r="AG1203" s="30"/>
      <c r="AI1203" s="30"/>
      <c r="AJ1203" s="21"/>
      <c r="AR1203" s="40"/>
      <c r="AT1203" s="40"/>
      <c r="AV1203" s="18"/>
      <c r="AX1203" s="18"/>
      <c r="AY1203" s="18"/>
      <c r="BF1203" s="18"/>
      <c r="BI1203" s="18"/>
      <c r="BT1203" s="18"/>
      <c r="BX1203" s="18"/>
      <c r="CC1203" s="18"/>
      <c r="CN1203" s="18"/>
      <c r="CY1203" s="34"/>
    </row>
    <row r="1204" spans="4:103" x14ac:dyDescent="0.25">
      <c r="D1204" s="12"/>
      <c r="E1204" s="14"/>
      <c r="H1204" s="16"/>
      <c r="I1204" s="11"/>
      <c r="J1204" s="33"/>
      <c r="K1204" s="33"/>
      <c r="L1204" s="8"/>
      <c r="AE1204" s="8"/>
      <c r="AG1204" s="30"/>
      <c r="AI1204" s="30"/>
      <c r="AJ1204" s="21"/>
      <c r="AR1204" s="40"/>
      <c r="AT1204" s="40"/>
      <c r="AV1204" s="18"/>
      <c r="AX1204" s="18"/>
      <c r="AY1204" s="18"/>
      <c r="BF1204" s="18"/>
      <c r="BI1204" s="18"/>
      <c r="BT1204" s="18"/>
      <c r="BX1204" s="18"/>
      <c r="CC1204" s="18"/>
      <c r="CN1204" s="18"/>
      <c r="CY1204" s="34"/>
    </row>
    <row r="1205" spans="4:103" x14ac:dyDescent="0.25">
      <c r="D1205" s="12"/>
      <c r="E1205" s="14"/>
      <c r="H1205" s="16"/>
      <c r="I1205" s="11"/>
      <c r="J1205" s="33"/>
      <c r="K1205" s="33"/>
      <c r="L1205" s="8"/>
      <c r="AE1205" s="8"/>
      <c r="AG1205" s="30"/>
      <c r="AI1205" s="30"/>
      <c r="AJ1205" s="21"/>
      <c r="AR1205" s="40"/>
      <c r="AT1205" s="40"/>
      <c r="AV1205" s="18"/>
      <c r="AX1205" s="18"/>
      <c r="AY1205" s="18"/>
      <c r="BF1205" s="18"/>
      <c r="BI1205" s="18"/>
      <c r="BT1205" s="18"/>
      <c r="BX1205" s="18"/>
      <c r="CC1205" s="18"/>
      <c r="CN1205" s="18"/>
      <c r="CY1205" s="34"/>
    </row>
    <row r="1206" spans="4:103" x14ac:dyDescent="0.25">
      <c r="D1206" s="12"/>
      <c r="E1206" s="14"/>
      <c r="H1206" s="16"/>
      <c r="I1206" s="11"/>
      <c r="J1206" s="33"/>
      <c r="K1206" s="33"/>
      <c r="L1206" s="8"/>
      <c r="AE1206" s="8"/>
      <c r="AG1206" s="30"/>
      <c r="AI1206" s="30"/>
      <c r="AJ1206" s="21"/>
      <c r="AR1206" s="40"/>
      <c r="AT1206" s="40"/>
      <c r="AV1206" s="18"/>
      <c r="AX1206" s="18"/>
      <c r="AY1206" s="18"/>
      <c r="BF1206" s="18"/>
      <c r="BI1206" s="18"/>
      <c r="BT1206" s="18"/>
      <c r="BX1206" s="18"/>
      <c r="CC1206" s="18"/>
      <c r="CN1206" s="18"/>
      <c r="CY1206" s="34"/>
    </row>
    <row r="1207" spans="4:103" x14ac:dyDescent="0.25">
      <c r="D1207" s="12"/>
      <c r="E1207" s="14"/>
      <c r="H1207" s="16"/>
      <c r="I1207" s="11"/>
      <c r="J1207" s="33"/>
      <c r="K1207" s="33"/>
      <c r="L1207" s="8"/>
      <c r="AE1207" s="8"/>
      <c r="AG1207" s="30"/>
      <c r="AI1207" s="30"/>
      <c r="AJ1207" s="21"/>
      <c r="AR1207" s="40"/>
      <c r="AT1207" s="40"/>
      <c r="AV1207" s="18"/>
      <c r="AX1207" s="18"/>
      <c r="AY1207" s="18"/>
      <c r="BF1207" s="18"/>
      <c r="BI1207" s="18"/>
      <c r="BT1207" s="18"/>
      <c r="BX1207" s="18"/>
      <c r="CC1207" s="18"/>
      <c r="CN1207" s="18"/>
      <c r="CY1207" s="34"/>
    </row>
    <row r="1208" spans="4:103" x14ac:dyDescent="0.25">
      <c r="D1208" s="12"/>
      <c r="E1208" s="14"/>
      <c r="H1208" s="16"/>
      <c r="I1208" s="11"/>
      <c r="J1208" s="33"/>
      <c r="K1208" s="33"/>
      <c r="L1208" s="8"/>
      <c r="AE1208" s="8"/>
      <c r="AG1208" s="30"/>
      <c r="AI1208" s="30"/>
      <c r="AJ1208" s="21"/>
      <c r="AR1208" s="40"/>
      <c r="AT1208" s="40"/>
      <c r="AV1208" s="18"/>
      <c r="AX1208" s="18"/>
      <c r="AY1208" s="18"/>
      <c r="BF1208" s="18"/>
      <c r="BI1208" s="18"/>
      <c r="BT1208" s="18"/>
      <c r="BX1208" s="18"/>
      <c r="CC1208" s="18"/>
      <c r="CN1208" s="18"/>
      <c r="CY1208" s="34"/>
    </row>
    <row r="1209" spans="4:103" x14ac:dyDescent="0.25">
      <c r="D1209" s="12"/>
      <c r="E1209" s="14"/>
      <c r="H1209" s="16"/>
      <c r="I1209" s="11"/>
      <c r="J1209" s="33"/>
      <c r="K1209" s="33"/>
      <c r="L1209" s="8"/>
      <c r="AE1209" s="8"/>
      <c r="AG1209" s="30"/>
      <c r="AI1209" s="30"/>
      <c r="AJ1209" s="21"/>
      <c r="AR1209" s="40"/>
      <c r="AT1209" s="40"/>
      <c r="AV1209" s="18"/>
      <c r="AX1209" s="18"/>
      <c r="AY1209" s="18"/>
      <c r="BF1209" s="18"/>
      <c r="BI1209" s="18"/>
      <c r="BT1209" s="18"/>
      <c r="BX1209" s="18"/>
      <c r="CC1209" s="18"/>
      <c r="CN1209" s="18"/>
      <c r="CY1209" s="34"/>
    </row>
    <row r="1210" spans="4:103" x14ac:dyDescent="0.25">
      <c r="D1210" s="12"/>
      <c r="E1210" s="14"/>
      <c r="H1210" s="16"/>
      <c r="I1210" s="11"/>
      <c r="J1210" s="33"/>
      <c r="K1210" s="33"/>
      <c r="L1210" s="8"/>
      <c r="AE1210" s="8"/>
      <c r="AG1210" s="30"/>
      <c r="AI1210" s="30"/>
      <c r="AJ1210" s="21"/>
      <c r="AR1210" s="40"/>
      <c r="AT1210" s="40"/>
      <c r="AV1210" s="18"/>
      <c r="AX1210" s="18"/>
      <c r="AY1210" s="18"/>
      <c r="BF1210" s="18"/>
      <c r="BI1210" s="18"/>
      <c r="BT1210" s="18"/>
      <c r="BX1210" s="18"/>
      <c r="CC1210" s="18"/>
      <c r="CN1210" s="18"/>
      <c r="CY1210" s="34"/>
    </row>
    <row r="1211" spans="4:103" x14ac:dyDescent="0.25">
      <c r="D1211" s="12"/>
      <c r="E1211" s="14"/>
      <c r="H1211" s="16"/>
      <c r="I1211" s="11"/>
      <c r="J1211" s="33"/>
      <c r="K1211" s="33"/>
      <c r="L1211" s="8"/>
      <c r="AE1211" s="8"/>
      <c r="AG1211" s="30"/>
      <c r="AI1211" s="30"/>
      <c r="AJ1211" s="21"/>
      <c r="AR1211" s="40"/>
      <c r="AT1211" s="40"/>
      <c r="AV1211" s="18"/>
      <c r="AX1211" s="18"/>
      <c r="AY1211" s="18"/>
      <c r="BF1211" s="18"/>
      <c r="BI1211" s="18"/>
      <c r="BT1211" s="18"/>
      <c r="BX1211" s="18"/>
      <c r="CC1211" s="18"/>
      <c r="CN1211" s="18"/>
      <c r="CY1211" s="34"/>
    </row>
    <row r="1212" spans="4:103" x14ac:dyDescent="0.25">
      <c r="D1212" s="12"/>
      <c r="E1212" s="14"/>
      <c r="H1212" s="16"/>
      <c r="I1212" s="11"/>
      <c r="J1212" s="33"/>
      <c r="K1212" s="33"/>
      <c r="L1212" s="8"/>
      <c r="AE1212" s="8"/>
      <c r="AG1212" s="30"/>
      <c r="AI1212" s="30"/>
      <c r="AJ1212" s="21"/>
      <c r="AR1212" s="40"/>
      <c r="AT1212" s="40"/>
      <c r="AV1212" s="18"/>
      <c r="AX1212" s="18"/>
      <c r="AY1212" s="18"/>
      <c r="BF1212" s="18"/>
      <c r="BI1212" s="18"/>
      <c r="BT1212" s="18"/>
      <c r="BX1212" s="18"/>
      <c r="CC1212" s="18"/>
      <c r="CN1212" s="18"/>
      <c r="CY1212" s="34"/>
    </row>
    <row r="1213" spans="4:103" x14ac:dyDescent="0.25">
      <c r="D1213" s="12"/>
      <c r="E1213" s="14"/>
      <c r="H1213" s="16"/>
      <c r="I1213" s="11"/>
      <c r="J1213" s="33"/>
      <c r="K1213" s="33"/>
      <c r="L1213" s="8"/>
      <c r="AE1213" s="8"/>
      <c r="AG1213" s="30"/>
      <c r="AI1213" s="30"/>
      <c r="AJ1213" s="21"/>
      <c r="AR1213" s="40"/>
      <c r="AT1213" s="40"/>
      <c r="AV1213" s="18"/>
      <c r="AX1213" s="18"/>
      <c r="AY1213" s="18"/>
      <c r="BF1213" s="18"/>
      <c r="BI1213" s="18"/>
      <c r="BT1213" s="18"/>
      <c r="BX1213" s="18"/>
      <c r="CC1213" s="18"/>
      <c r="CN1213" s="18"/>
      <c r="CY1213" s="34"/>
    </row>
    <row r="1214" spans="4:103" x14ac:dyDescent="0.25">
      <c r="D1214" s="12"/>
      <c r="E1214" s="14"/>
      <c r="H1214" s="16"/>
      <c r="I1214" s="11"/>
      <c r="J1214" s="33"/>
      <c r="K1214" s="33"/>
      <c r="L1214" s="8"/>
      <c r="AE1214" s="8"/>
      <c r="AG1214" s="30"/>
      <c r="AI1214" s="30"/>
      <c r="AJ1214" s="21"/>
      <c r="AR1214" s="40"/>
      <c r="AT1214" s="40"/>
      <c r="AV1214" s="18"/>
      <c r="AX1214" s="18"/>
      <c r="AY1214" s="18"/>
      <c r="BF1214" s="18"/>
      <c r="BI1214" s="18"/>
      <c r="BT1214" s="18"/>
      <c r="BX1214" s="18"/>
      <c r="CC1214" s="18"/>
      <c r="CN1214" s="18"/>
      <c r="CY1214" s="34"/>
    </row>
    <row r="1215" spans="4:103" x14ac:dyDescent="0.25">
      <c r="D1215" s="12"/>
      <c r="E1215" s="14"/>
      <c r="H1215" s="16"/>
      <c r="I1215" s="11"/>
      <c r="J1215" s="33"/>
      <c r="K1215" s="33"/>
      <c r="L1215" s="8"/>
      <c r="AE1215" s="8"/>
      <c r="AG1215" s="30"/>
      <c r="AI1215" s="30"/>
      <c r="AJ1215" s="21"/>
      <c r="AR1215" s="40"/>
      <c r="AT1215" s="40"/>
      <c r="AV1215" s="18"/>
      <c r="AX1215" s="18"/>
      <c r="AY1215" s="18"/>
      <c r="BF1215" s="18"/>
      <c r="BI1215" s="18"/>
      <c r="BT1215" s="18"/>
      <c r="BX1215" s="18"/>
      <c r="CC1215" s="18"/>
      <c r="CN1215" s="18"/>
      <c r="CY1215" s="34"/>
    </row>
    <row r="1216" spans="4:103" x14ac:dyDescent="0.25">
      <c r="D1216" s="12"/>
      <c r="E1216" s="14"/>
      <c r="H1216" s="16"/>
      <c r="I1216" s="11"/>
      <c r="J1216" s="33"/>
      <c r="K1216" s="33"/>
      <c r="L1216" s="8"/>
      <c r="AE1216" s="8"/>
      <c r="AG1216" s="30"/>
      <c r="AI1216" s="30"/>
      <c r="AJ1216" s="21"/>
      <c r="AR1216" s="40"/>
      <c r="AT1216" s="40"/>
      <c r="AV1216" s="18"/>
      <c r="AX1216" s="18"/>
      <c r="AY1216" s="18"/>
      <c r="BF1216" s="18"/>
      <c r="BI1216" s="18"/>
      <c r="BT1216" s="18"/>
      <c r="BX1216" s="18"/>
      <c r="CC1216" s="18"/>
      <c r="CN1216" s="18"/>
      <c r="CY1216" s="34"/>
    </row>
    <row r="1217" spans="4:103" x14ac:dyDescent="0.25">
      <c r="D1217" s="12"/>
      <c r="E1217" s="14"/>
      <c r="H1217" s="16"/>
      <c r="I1217" s="11"/>
      <c r="J1217" s="33"/>
      <c r="K1217" s="33"/>
      <c r="L1217" s="8"/>
      <c r="AE1217" s="8"/>
      <c r="AG1217" s="30"/>
      <c r="AI1217" s="30"/>
      <c r="AJ1217" s="21"/>
      <c r="AR1217" s="40"/>
      <c r="AT1217" s="40"/>
      <c r="AV1217" s="18"/>
      <c r="AX1217" s="18"/>
      <c r="AY1217" s="18"/>
      <c r="BF1217" s="18"/>
      <c r="BI1217" s="18"/>
      <c r="BT1217" s="18"/>
      <c r="BX1217" s="18"/>
      <c r="CC1217" s="18"/>
      <c r="CN1217" s="18"/>
      <c r="CY1217" s="34"/>
    </row>
    <row r="1218" spans="4:103" x14ac:dyDescent="0.25">
      <c r="D1218" s="12"/>
      <c r="E1218" s="14"/>
      <c r="H1218" s="16"/>
      <c r="I1218" s="11"/>
      <c r="J1218" s="33"/>
      <c r="K1218" s="33"/>
      <c r="L1218" s="8"/>
      <c r="AE1218" s="8"/>
      <c r="AG1218" s="30"/>
      <c r="AI1218" s="30"/>
      <c r="AJ1218" s="21"/>
      <c r="AR1218" s="40"/>
      <c r="AT1218" s="40"/>
      <c r="AV1218" s="18"/>
      <c r="AX1218" s="18"/>
      <c r="AY1218" s="18"/>
      <c r="BF1218" s="18"/>
      <c r="BI1218" s="18"/>
      <c r="BT1218" s="18"/>
      <c r="BX1218" s="18"/>
      <c r="CC1218" s="18"/>
      <c r="CN1218" s="18"/>
      <c r="CY1218" s="34"/>
    </row>
    <row r="1219" spans="4:103" x14ac:dyDescent="0.25">
      <c r="D1219" s="12"/>
      <c r="E1219" s="14"/>
      <c r="H1219" s="16"/>
      <c r="I1219" s="11"/>
      <c r="J1219" s="33"/>
      <c r="K1219" s="33"/>
      <c r="L1219" s="8"/>
      <c r="AE1219" s="8"/>
      <c r="AG1219" s="30"/>
      <c r="AI1219" s="30"/>
      <c r="AJ1219" s="21"/>
      <c r="AR1219" s="40"/>
      <c r="AT1219" s="40"/>
      <c r="AV1219" s="18"/>
      <c r="AX1219" s="18"/>
      <c r="AY1219" s="18"/>
      <c r="BF1219" s="18"/>
      <c r="BI1219" s="18"/>
      <c r="BT1219" s="18"/>
      <c r="BX1219" s="18"/>
      <c r="CC1219" s="18"/>
      <c r="CN1219" s="18"/>
      <c r="CY1219" s="34"/>
    </row>
    <row r="1220" spans="4:103" x14ac:dyDescent="0.25">
      <c r="D1220" s="12"/>
      <c r="E1220" s="14"/>
      <c r="H1220" s="16"/>
      <c r="I1220" s="11"/>
      <c r="J1220" s="33"/>
      <c r="K1220" s="33"/>
      <c r="L1220" s="8"/>
      <c r="AE1220" s="8"/>
      <c r="AG1220" s="30"/>
      <c r="AI1220" s="30"/>
      <c r="AJ1220" s="21"/>
      <c r="AR1220" s="40"/>
      <c r="AT1220" s="40"/>
      <c r="AV1220" s="18"/>
      <c r="AX1220" s="18"/>
      <c r="AY1220" s="18"/>
      <c r="BF1220" s="18"/>
      <c r="BI1220" s="18"/>
      <c r="BT1220" s="18"/>
      <c r="BX1220" s="18"/>
      <c r="CC1220" s="18"/>
      <c r="CN1220" s="18"/>
      <c r="CY1220" s="34"/>
    </row>
    <row r="1221" spans="4:103" x14ac:dyDescent="0.25">
      <c r="D1221" s="12"/>
      <c r="E1221" s="14"/>
      <c r="H1221" s="16"/>
      <c r="I1221" s="11"/>
      <c r="J1221" s="33"/>
      <c r="K1221" s="33"/>
      <c r="L1221" s="8"/>
      <c r="AE1221" s="8"/>
      <c r="AG1221" s="30"/>
      <c r="AI1221" s="30"/>
      <c r="AJ1221" s="21"/>
      <c r="AR1221" s="40"/>
      <c r="AT1221" s="40"/>
      <c r="AV1221" s="18"/>
      <c r="AX1221" s="18"/>
      <c r="AY1221" s="18"/>
      <c r="BF1221" s="18"/>
      <c r="BI1221" s="18"/>
      <c r="BT1221" s="18"/>
      <c r="BX1221" s="18"/>
      <c r="CC1221" s="18"/>
      <c r="CN1221" s="18"/>
      <c r="CY1221" s="34"/>
    </row>
    <row r="1222" spans="4:103" x14ac:dyDescent="0.25">
      <c r="D1222" s="12"/>
      <c r="E1222" s="14"/>
      <c r="H1222" s="16"/>
      <c r="I1222" s="11"/>
      <c r="J1222" s="33"/>
      <c r="K1222" s="33"/>
      <c r="L1222" s="8"/>
      <c r="AE1222" s="8"/>
      <c r="AG1222" s="30"/>
      <c r="AI1222" s="30"/>
      <c r="AJ1222" s="21"/>
      <c r="AR1222" s="40"/>
      <c r="AT1222" s="40"/>
      <c r="AV1222" s="18"/>
      <c r="AX1222" s="18"/>
      <c r="AY1222" s="18"/>
      <c r="BF1222" s="18"/>
      <c r="BI1222" s="18"/>
      <c r="BT1222" s="18"/>
      <c r="BX1222" s="18"/>
      <c r="CC1222" s="18"/>
      <c r="CN1222" s="18"/>
      <c r="CY1222" s="34"/>
    </row>
    <row r="1223" spans="4:103" x14ac:dyDescent="0.25">
      <c r="D1223" s="12"/>
      <c r="E1223" s="14"/>
      <c r="H1223" s="16"/>
      <c r="I1223" s="11"/>
      <c r="J1223" s="33"/>
      <c r="K1223" s="33"/>
      <c r="L1223" s="8"/>
      <c r="AE1223" s="8"/>
      <c r="AG1223" s="30"/>
      <c r="AI1223" s="30"/>
      <c r="AJ1223" s="21"/>
      <c r="AR1223" s="40"/>
      <c r="AT1223" s="40"/>
      <c r="AV1223" s="18"/>
      <c r="AX1223" s="18"/>
      <c r="AY1223" s="18"/>
      <c r="BF1223" s="18"/>
      <c r="BI1223" s="18"/>
      <c r="BT1223" s="18"/>
      <c r="BX1223" s="18"/>
      <c r="CC1223" s="18"/>
      <c r="CN1223" s="18"/>
      <c r="CY1223" s="34"/>
    </row>
    <row r="1224" spans="4:103" x14ac:dyDescent="0.25">
      <c r="D1224" s="12"/>
      <c r="E1224" s="14"/>
      <c r="H1224" s="16"/>
      <c r="I1224" s="11"/>
      <c r="J1224" s="33"/>
      <c r="K1224" s="33"/>
      <c r="L1224" s="8"/>
      <c r="AE1224" s="8"/>
      <c r="AG1224" s="30"/>
      <c r="AI1224" s="30"/>
      <c r="AJ1224" s="21"/>
      <c r="AR1224" s="40"/>
      <c r="AT1224" s="40"/>
      <c r="AV1224" s="18"/>
      <c r="AX1224" s="18"/>
      <c r="AY1224" s="18"/>
      <c r="BF1224" s="18"/>
      <c r="BI1224" s="18"/>
      <c r="BT1224" s="18"/>
      <c r="BX1224" s="18"/>
      <c r="CC1224" s="18"/>
      <c r="CN1224" s="18"/>
      <c r="CY1224" s="34"/>
    </row>
    <row r="1225" spans="4:103" x14ac:dyDescent="0.25">
      <c r="D1225" s="12"/>
      <c r="E1225" s="14"/>
      <c r="H1225" s="16"/>
      <c r="I1225" s="11"/>
      <c r="J1225" s="33"/>
      <c r="K1225" s="33"/>
      <c r="L1225" s="8"/>
      <c r="AE1225" s="8"/>
      <c r="AG1225" s="30"/>
      <c r="AI1225" s="30"/>
      <c r="AJ1225" s="21"/>
      <c r="AR1225" s="40"/>
      <c r="AT1225" s="40"/>
      <c r="AV1225" s="18"/>
      <c r="AX1225" s="18"/>
      <c r="AY1225" s="18"/>
      <c r="BF1225" s="18"/>
      <c r="BI1225" s="18"/>
      <c r="BT1225" s="18"/>
      <c r="BX1225" s="18"/>
      <c r="CC1225" s="18"/>
      <c r="CN1225" s="18"/>
      <c r="CY1225" s="34"/>
    </row>
    <row r="1226" spans="4:103" x14ac:dyDescent="0.25">
      <c r="D1226" s="12"/>
      <c r="E1226" s="14"/>
      <c r="H1226" s="16"/>
      <c r="I1226" s="11"/>
      <c r="J1226" s="33"/>
      <c r="K1226" s="33"/>
      <c r="L1226" s="8"/>
      <c r="AE1226" s="8"/>
      <c r="AG1226" s="30"/>
      <c r="AI1226" s="30"/>
      <c r="AJ1226" s="21"/>
      <c r="AR1226" s="40"/>
      <c r="AT1226" s="40"/>
      <c r="AV1226" s="18"/>
      <c r="AX1226" s="18"/>
      <c r="AY1226" s="18"/>
      <c r="BF1226" s="18"/>
      <c r="BI1226" s="18"/>
      <c r="BT1226" s="18"/>
      <c r="BX1226" s="18"/>
      <c r="CC1226" s="18"/>
      <c r="CN1226" s="18"/>
      <c r="CY1226" s="34"/>
    </row>
    <row r="1227" spans="4:103" x14ac:dyDescent="0.25">
      <c r="D1227" s="12"/>
      <c r="E1227" s="14"/>
      <c r="H1227" s="16"/>
      <c r="I1227" s="11"/>
      <c r="J1227" s="33"/>
      <c r="K1227" s="33"/>
      <c r="L1227" s="8"/>
      <c r="AE1227" s="8"/>
      <c r="AG1227" s="30"/>
      <c r="AI1227" s="30"/>
      <c r="AJ1227" s="21"/>
      <c r="AR1227" s="40"/>
      <c r="AT1227" s="40"/>
      <c r="AV1227" s="18"/>
      <c r="AX1227" s="18"/>
      <c r="AY1227" s="18"/>
      <c r="BF1227" s="18"/>
      <c r="BI1227" s="18"/>
      <c r="BT1227" s="18"/>
      <c r="BX1227" s="18"/>
      <c r="CC1227" s="18"/>
      <c r="CN1227" s="18"/>
      <c r="CY1227" s="34"/>
    </row>
    <row r="1228" spans="4:103" x14ac:dyDescent="0.25">
      <c r="D1228" s="12"/>
      <c r="E1228" s="14"/>
      <c r="H1228" s="16"/>
      <c r="I1228" s="11"/>
      <c r="J1228" s="33"/>
      <c r="K1228" s="33"/>
      <c r="L1228" s="8"/>
      <c r="AE1228" s="8"/>
      <c r="AG1228" s="30"/>
      <c r="AI1228" s="30"/>
      <c r="AJ1228" s="21"/>
      <c r="AR1228" s="40"/>
      <c r="AT1228" s="40"/>
      <c r="AV1228" s="18"/>
      <c r="AX1228" s="18"/>
      <c r="AY1228" s="18"/>
      <c r="BF1228" s="18"/>
      <c r="BI1228" s="18"/>
      <c r="BT1228" s="18"/>
      <c r="BX1228" s="18"/>
      <c r="CC1228" s="18"/>
      <c r="CN1228" s="18"/>
      <c r="CY1228" s="34"/>
    </row>
    <row r="1229" spans="4:103" x14ac:dyDescent="0.25">
      <c r="D1229" s="12"/>
      <c r="E1229" s="14"/>
      <c r="H1229" s="16"/>
      <c r="I1229" s="11"/>
      <c r="J1229" s="33"/>
      <c r="K1229" s="33"/>
      <c r="L1229" s="8"/>
      <c r="AE1229" s="8"/>
      <c r="AG1229" s="30"/>
      <c r="AI1229" s="30"/>
      <c r="AJ1229" s="21"/>
      <c r="AR1229" s="40"/>
      <c r="AT1229" s="40"/>
      <c r="AV1229" s="18"/>
      <c r="AX1229" s="18"/>
      <c r="AY1229" s="18"/>
      <c r="BF1229" s="18"/>
      <c r="BI1229" s="18"/>
      <c r="BT1229" s="18"/>
      <c r="BX1229" s="18"/>
      <c r="CC1229" s="18"/>
      <c r="CN1229" s="18"/>
      <c r="CY1229" s="34"/>
    </row>
    <row r="1230" spans="4:103" x14ac:dyDescent="0.25">
      <c r="D1230" s="12"/>
      <c r="E1230" s="14"/>
      <c r="H1230" s="16"/>
      <c r="I1230" s="11"/>
      <c r="J1230" s="33"/>
      <c r="K1230" s="33"/>
      <c r="L1230" s="8"/>
      <c r="AE1230" s="8"/>
      <c r="AG1230" s="30"/>
      <c r="AI1230" s="30"/>
      <c r="AJ1230" s="21"/>
      <c r="AR1230" s="40"/>
      <c r="AT1230" s="40"/>
      <c r="AV1230" s="18"/>
      <c r="AX1230" s="18"/>
      <c r="AY1230" s="18"/>
      <c r="BF1230" s="18"/>
      <c r="BI1230" s="18"/>
      <c r="BT1230" s="18"/>
      <c r="BX1230" s="18"/>
      <c r="CC1230" s="18"/>
      <c r="CN1230" s="18"/>
      <c r="CY1230" s="34"/>
    </row>
    <row r="1231" spans="4:103" x14ac:dyDescent="0.25">
      <c r="D1231" s="12"/>
      <c r="E1231" s="14"/>
      <c r="H1231" s="16"/>
      <c r="I1231" s="11"/>
      <c r="J1231" s="33"/>
      <c r="K1231" s="33"/>
      <c r="L1231" s="8"/>
      <c r="AE1231" s="8"/>
      <c r="AG1231" s="30"/>
      <c r="AI1231" s="30"/>
      <c r="AJ1231" s="21"/>
      <c r="AR1231" s="40"/>
      <c r="AT1231" s="40"/>
      <c r="AV1231" s="18"/>
      <c r="AX1231" s="18"/>
      <c r="AY1231" s="18"/>
      <c r="BF1231" s="18"/>
      <c r="BI1231" s="18"/>
      <c r="BT1231" s="18"/>
      <c r="BX1231" s="18"/>
      <c r="CC1231" s="18"/>
      <c r="CN1231" s="18"/>
      <c r="CY1231" s="34"/>
    </row>
    <row r="1232" spans="4:103" x14ac:dyDescent="0.25">
      <c r="D1232" s="12"/>
      <c r="E1232" s="14"/>
      <c r="H1232" s="16"/>
      <c r="I1232" s="11"/>
      <c r="J1232" s="33"/>
      <c r="K1232" s="33"/>
      <c r="L1232" s="8"/>
      <c r="AE1232" s="8"/>
      <c r="AG1232" s="30"/>
      <c r="AI1232" s="30"/>
      <c r="AJ1232" s="21"/>
      <c r="AR1232" s="40"/>
      <c r="AT1232" s="40"/>
      <c r="AV1232" s="18"/>
      <c r="AX1232" s="18"/>
      <c r="AY1232" s="18"/>
      <c r="BF1232" s="18"/>
      <c r="BI1232" s="18"/>
      <c r="BT1232" s="18"/>
      <c r="BX1232" s="18"/>
      <c r="CC1232" s="18"/>
      <c r="CN1232" s="18"/>
      <c r="CY1232" s="34"/>
    </row>
    <row r="1233" spans="4:103" x14ac:dyDescent="0.25">
      <c r="D1233" s="12"/>
      <c r="E1233" s="14"/>
      <c r="H1233" s="16"/>
      <c r="I1233" s="11"/>
      <c r="J1233" s="33"/>
      <c r="K1233" s="33"/>
      <c r="L1233" s="8"/>
      <c r="AE1233" s="8"/>
      <c r="AG1233" s="30"/>
      <c r="AI1233" s="30"/>
      <c r="AJ1233" s="21"/>
      <c r="AR1233" s="40"/>
      <c r="AT1233" s="40"/>
      <c r="AV1233" s="18"/>
      <c r="AX1233" s="18"/>
      <c r="AY1233" s="18"/>
      <c r="BF1233" s="18"/>
      <c r="BI1233" s="18"/>
      <c r="BT1233" s="18"/>
      <c r="BX1233" s="18"/>
      <c r="CC1233" s="18"/>
      <c r="CN1233" s="18"/>
      <c r="CY1233" s="34"/>
    </row>
    <row r="1234" spans="4:103" x14ac:dyDescent="0.25">
      <c r="D1234" s="12"/>
      <c r="E1234" s="14"/>
      <c r="H1234" s="16"/>
      <c r="I1234" s="11"/>
      <c r="J1234" s="33"/>
      <c r="K1234" s="33"/>
      <c r="L1234" s="8"/>
      <c r="AE1234" s="8"/>
      <c r="AG1234" s="30"/>
      <c r="AI1234" s="30"/>
      <c r="AJ1234" s="21"/>
      <c r="AR1234" s="40"/>
      <c r="AT1234" s="40"/>
      <c r="AV1234" s="18"/>
      <c r="AX1234" s="18"/>
      <c r="AY1234" s="18"/>
      <c r="BF1234" s="18"/>
      <c r="BI1234" s="18"/>
      <c r="BT1234" s="18"/>
      <c r="BX1234" s="18"/>
      <c r="CC1234" s="18"/>
      <c r="CN1234" s="18"/>
      <c r="CY1234" s="34"/>
    </row>
    <row r="1235" spans="4:103" x14ac:dyDescent="0.25">
      <c r="D1235" s="12"/>
      <c r="E1235" s="14"/>
      <c r="H1235" s="16"/>
      <c r="I1235" s="11"/>
      <c r="J1235" s="33"/>
      <c r="K1235" s="33"/>
      <c r="L1235" s="8"/>
      <c r="AE1235" s="8"/>
      <c r="AG1235" s="30"/>
      <c r="AI1235" s="30"/>
      <c r="AJ1235" s="21"/>
      <c r="AR1235" s="40"/>
      <c r="AT1235" s="40"/>
      <c r="AV1235" s="18"/>
      <c r="AX1235" s="18"/>
      <c r="AY1235" s="18"/>
      <c r="BF1235" s="18"/>
      <c r="BI1235" s="18"/>
      <c r="BT1235" s="18"/>
      <c r="BX1235" s="18"/>
      <c r="CC1235" s="18"/>
      <c r="CN1235" s="18"/>
      <c r="CY1235" s="34"/>
    </row>
    <row r="1236" spans="4:103" x14ac:dyDescent="0.25">
      <c r="D1236" s="12"/>
      <c r="E1236" s="14"/>
      <c r="H1236" s="16"/>
      <c r="I1236" s="11"/>
      <c r="J1236" s="33"/>
      <c r="K1236" s="33"/>
      <c r="L1236" s="8"/>
      <c r="AE1236" s="8"/>
      <c r="AG1236" s="30"/>
      <c r="AI1236" s="30"/>
      <c r="AJ1236" s="21"/>
      <c r="AR1236" s="40"/>
      <c r="AT1236" s="40"/>
      <c r="AV1236" s="18"/>
      <c r="AX1236" s="18"/>
      <c r="AY1236" s="18"/>
      <c r="BF1236" s="18"/>
      <c r="BI1236" s="18"/>
      <c r="BT1236" s="18"/>
      <c r="BX1236" s="18"/>
      <c r="CC1236" s="18"/>
      <c r="CN1236" s="18"/>
      <c r="CY1236" s="34"/>
    </row>
    <row r="1237" spans="4:103" x14ac:dyDescent="0.25">
      <c r="D1237" s="12"/>
      <c r="E1237" s="14"/>
      <c r="H1237" s="16"/>
      <c r="I1237" s="11"/>
      <c r="J1237" s="33"/>
      <c r="K1237" s="33"/>
      <c r="L1237" s="8"/>
      <c r="AE1237" s="8"/>
      <c r="AG1237" s="30"/>
      <c r="AI1237" s="30"/>
      <c r="AJ1237" s="21"/>
      <c r="AR1237" s="40"/>
      <c r="AT1237" s="40"/>
      <c r="AV1237" s="18"/>
      <c r="AX1237" s="18"/>
      <c r="AY1237" s="18"/>
      <c r="BF1237" s="18"/>
      <c r="BI1237" s="18"/>
      <c r="BT1237" s="18"/>
      <c r="BX1237" s="18"/>
      <c r="CC1237" s="18"/>
      <c r="CN1237" s="18"/>
      <c r="CY1237" s="34"/>
    </row>
    <row r="1238" spans="4:103" x14ac:dyDescent="0.25">
      <c r="D1238" s="12"/>
      <c r="E1238" s="14"/>
      <c r="H1238" s="16"/>
      <c r="I1238" s="11"/>
      <c r="J1238" s="33"/>
      <c r="K1238" s="33"/>
      <c r="L1238" s="8"/>
      <c r="AE1238" s="8"/>
      <c r="AG1238" s="30"/>
      <c r="AI1238" s="30"/>
      <c r="AJ1238" s="21"/>
      <c r="AR1238" s="40"/>
      <c r="AT1238" s="40"/>
      <c r="AV1238" s="18"/>
      <c r="AX1238" s="18"/>
      <c r="AY1238" s="18"/>
      <c r="BF1238" s="18"/>
      <c r="BI1238" s="18"/>
      <c r="BT1238" s="18"/>
      <c r="BX1238" s="18"/>
      <c r="CC1238" s="18"/>
      <c r="CN1238" s="18"/>
      <c r="CY1238" s="34"/>
    </row>
    <row r="1239" spans="4:103" x14ac:dyDescent="0.25">
      <c r="D1239" s="12"/>
      <c r="E1239" s="14"/>
      <c r="H1239" s="16"/>
      <c r="I1239" s="11"/>
      <c r="J1239" s="33"/>
      <c r="K1239" s="33"/>
      <c r="L1239" s="8"/>
      <c r="AE1239" s="8"/>
      <c r="AG1239" s="30"/>
      <c r="AI1239" s="30"/>
      <c r="AJ1239" s="21"/>
      <c r="AR1239" s="40"/>
      <c r="AT1239" s="40"/>
      <c r="AV1239" s="18"/>
      <c r="AX1239" s="18"/>
      <c r="AY1239" s="18"/>
      <c r="BF1239" s="18"/>
      <c r="BI1239" s="18"/>
      <c r="BT1239" s="18"/>
      <c r="BX1239" s="18"/>
      <c r="CC1239" s="18"/>
      <c r="CN1239" s="18"/>
      <c r="CY1239" s="34"/>
    </row>
    <row r="1240" spans="4:103" x14ac:dyDescent="0.25">
      <c r="D1240" s="12"/>
      <c r="E1240" s="14"/>
      <c r="H1240" s="16"/>
      <c r="I1240" s="11"/>
      <c r="J1240" s="33"/>
      <c r="K1240" s="33"/>
      <c r="L1240" s="8"/>
      <c r="AE1240" s="8"/>
      <c r="AG1240" s="30"/>
      <c r="AI1240" s="30"/>
      <c r="AJ1240" s="21"/>
      <c r="AR1240" s="40"/>
      <c r="AT1240" s="40"/>
      <c r="AV1240" s="18"/>
      <c r="AX1240" s="18"/>
      <c r="AY1240" s="18"/>
      <c r="BF1240" s="18"/>
      <c r="BI1240" s="18"/>
      <c r="BT1240" s="18"/>
      <c r="BX1240" s="18"/>
      <c r="CC1240" s="18"/>
      <c r="CN1240" s="18"/>
      <c r="CY1240" s="34"/>
    </row>
    <row r="1241" spans="4:103" x14ac:dyDescent="0.25">
      <c r="D1241" s="12"/>
      <c r="E1241" s="14"/>
      <c r="H1241" s="16"/>
      <c r="I1241" s="11"/>
      <c r="J1241" s="33"/>
      <c r="K1241" s="33"/>
      <c r="L1241" s="8"/>
      <c r="AE1241" s="8"/>
      <c r="AG1241" s="30"/>
      <c r="AI1241" s="30"/>
      <c r="AJ1241" s="21"/>
      <c r="AR1241" s="40"/>
      <c r="AT1241" s="40"/>
      <c r="AV1241" s="18"/>
      <c r="AX1241" s="18"/>
      <c r="AY1241" s="18"/>
      <c r="BF1241" s="18"/>
      <c r="BI1241" s="18"/>
      <c r="BT1241" s="18"/>
      <c r="BX1241" s="18"/>
      <c r="CC1241" s="18"/>
      <c r="CN1241" s="18"/>
      <c r="CY1241" s="34"/>
    </row>
    <row r="1242" spans="4:103" x14ac:dyDescent="0.25">
      <c r="D1242" s="12"/>
      <c r="E1242" s="14"/>
      <c r="H1242" s="16"/>
      <c r="I1242" s="11"/>
      <c r="J1242" s="33"/>
      <c r="K1242" s="33"/>
      <c r="L1242" s="8"/>
      <c r="AE1242" s="8"/>
      <c r="AG1242" s="30"/>
      <c r="AI1242" s="30"/>
      <c r="AJ1242" s="21"/>
      <c r="AR1242" s="40"/>
      <c r="AT1242" s="40"/>
      <c r="AV1242" s="18"/>
      <c r="AX1242" s="18"/>
      <c r="AY1242" s="18"/>
      <c r="BF1242" s="18"/>
      <c r="BI1242" s="18"/>
      <c r="BT1242" s="18"/>
      <c r="BX1242" s="18"/>
      <c r="CC1242" s="18"/>
      <c r="CN1242" s="18"/>
      <c r="CY1242" s="34"/>
    </row>
    <row r="1243" spans="4:103" x14ac:dyDescent="0.25">
      <c r="D1243" s="12"/>
      <c r="E1243" s="14"/>
      <c r="H1243" s="16"/>
      <c r="I1243" s="11"/>
      <c r="J1243" s="33"/>
      <c r="K1243" s="33"/>
      <c r="L1243" s="8"/>
      <c r="AE1243" s="8"/>
      <c r="AG1243" s="30"/>
      <c r="AI1243" s="30"/>
      <c r="AJ1243" s="21"/>
      <c r="AR1243" s="40"/>
      <c r="AT1243" s="40"/>
      <c r="AV1243" s="18"/>
      <c r="AX1243" s="18"/>
      <c r="AY1243" s="18"/>
      <c r="BF1243" s="18"/>
      <c r="BI1243" s="18"/>
      <c r="BT1243" s="18"/>
      <c r="BX1243" s="18"/>
      <c r="CC1243" s="18"/>
      <c r="CN1243" s="18"/>
      <c r="CY1243" s="34"/>
    </row>
    <row r="1244" spans="4:103" x14ac:dyDescent="0.25">
      <c r="D1244" s="12"/>
      <c r="E1244" s="14"/>
      <c r="H1244" s="16"/>
      <c r="I1244" s="11"/>
      <c r="J1244" s="33"/>
      <c r="K1244" s="33"/>
      <c r="L1244" s="8"/>
      <c r="AE1244" s="8"/>
      <c r="AG1244" s="30"/>
      <c r="AI1244" s="30"/>
      <c r="AJ1244" s="21"/>
      <c r="AR1244" s="40"/>
      <c r="AT1244" s="40"/>
      <c r="AV1244" s="18"/>
      <c r="AX1244" s="18"/>
      <c r="AY1244" s="18"/>
      <c r="BF1244" s="18"/>
      <c r="BI1244" s="18"/>
      <c r="BT1244" s="18"/>
      <c r="BX1244" s="18"/>
      <c r="CC1244" s="18"/>
      <c r="CN1244" s="18"/>
      <c r="CY1244" s="34"/>
    </row>
    <row r="1245" spans="4:103" x14ac:dyDescent="0.25">
      <c r="D1245" s="12"/>
      <c r="E1245" s="14"/>
      <c r="H1245" s="16"/>
      <c r="I1245" s="11"/>
      <c r="J1245" s="33"/>
      <c r="K1245" s="33"/>
      <c r="L1245" s="8"/>
      <c r="AE1245" s="8"/>
      <c r="AG1245" s="30"/>
      <c r="AI1245" s="30"/>
      <c r="AJ1245" s="21"/>
      <c r="AR1245" s="40"/>
      <c r="AT1245" s="40"/>
      <c r="AV1245" s="18"/>
      <c r="AX1245" s="18"/>
      <c r="AY1245" s="18"/>
      <c r="BF1245" s="18"/>
      <c r="BI1245" s="18"/>
      <c r="BT1245" s="18"/>
      <c r="BX1245" s="18"/>
      <c r="CC1245" s="18"/>
      <c r="CN1245" s="18"/>
      <c r="CY1245" s="34"/>
    </row>
    <row r="1246" spans="4:103" x14ac:dyDescent="0.25">
      <c r="D1246" s="12"/>
      <c r="E1246" s="14"/>
      <c r="H1246" s="16"/>
      <c r="I1246" s="11"/>
      <c r="J1246" s="33"/>
      <c r="K1246" s="33"/>
      <c r="L1246" s="8"/>
      <c r="AE1246" s="8"/>
      <c r="AG1246" s="30"/>
      <c r="AI1246" s="30"/>
      <c r="AJ1246" s="21"/>
      <c r="AR1246" s="40"/>
      <c r="AT1246" s="40"/>
      <c r="AV1246" s="18"/>
      <c r="AX1246" s="18"/>
      <c r="AY1246" s="18"/>
      <c r="BF1246" s="18"/>
      <c r="BI1246" s="18"/>
      <c r="BT1246" s="18"/>
      <c r="BX1246" s="18"/>
      <c r="CC1246" s="18"/>
      <c r="CN1246" s="18"/>
      <c r="CY1246" s="34"/>
    </row>
    <row r="1247" spans="4:103" x14ac:dyDescent="0.25">
      <c r="D1247" s="12"/>
      <c r="E1247" s="14"/>
      <c r="H1247" s="16"/>
      <c r="I1247" s="11"/>
      <c r="J1247" s="33"/>
      <c r="K1247" s="33"/>
      <c r="L1247" s="8"/>
      <c r="AE1247" s="8"/>
      <c r="AG1247" s="30"/>
      <c r="AI1247" s="30"/>
      <c r="AJ1247" s="21"/>
      <c r="AR1247" s="40"/>
      <c r="AT1247" s="40"/>
      <c r="AV1247" s="18"/>
      <c r="AX1247" s="18"/>
      <c r="AY1247" s="18"/>
      <c r="BF1247" s="18"/>
      <c r="BI1247" s="18"/>
      <c r="BT1247" s="18"/>
      <c r="BX1247" s="18"/>
      <c r="CC1247" s="18"/>
      <c r="CN1247" s="18"/>
      <c r="CY1247" s="34"/>
    </row>
    <row r="1248" spans="4:103" x14ac:dyDescent="0.25">
      <c r="D1248" s="12"/>
      <c r="E1248" s="14"/>
      <c r="H1248" s="16"/>
      <c r="I1248" s="11"/>
      <c r="J1248" s="33"/>
      <c r="K1248" s="33"/>
      <c r="L1248" s="8"/>
      <c r="AE1248" s="8"/>
      <c r="AG1248" s="30"/>
      <c r="AI1248" s="30"/>
      <c r="AJ1248" s="21"/>
      <c r="AR1248" s="40"/>
      <c r="AT1248" s="40"/>
      <c r="AV1248" s="18"/>
      <c r="AX1248" s="18"/>
      <c r="AY1248" s="18"/>
      <c r="BF1248" s="18"/>
      <c r="BI1248" s="18"/>
      <c r="BT1248" s="18"/>
      <c r="BX1248" s="18"/>
      <c r="CC1248" s="18"/>
      <c r="CN1248" s="18"/>
      <c r="CY1248" s="34"/>
    </row>
    <row r="1249" spans="4:103" x14ac:dyDescent="0.25">
      <c r="D1249" s="12"/>
      <c r="E1249" s="14"/>
      <c r="H1249" s="16"/>
      <c r="I1249" s="11"/>
      <c r="J1249" s="33"/>
      <c r="K1249" s="33"/>
      <c r="L1249" s="8"/>
      <c r="AE1249" s="8"/>
      <c r="AG1249" s="30"/>
      <c r="AI1249" s="30"/>
      <c r="AJ1249" s="21"/>
      <c r="AR1249" s="40"/>
      <c r="AT1249" s="40"/>
      <c r="AV1249" s="18"/>
      <c r="AX1249" s="18"/>
      <c r="AY1249" s="18"/>
      <c r="BF1249" s="18"/>
      <c r="BI1249" s="18"/>
      <c r="BT1249" s="18"/>
      <c r="BX1249" s="18"/>
      <c r="CC1249" s="18"/>
      <c r="CN1249" s="18"/>
      <c r="CY1249" s="34"/>
    </row>
    <row r="1250" spans="4:103" x14ac:dyDescent="0.25">
      <c r="D1250" s="12"/>
      <c r="E1250" s="14"/>
      <c r="H1250" s="16"/>
      <c r="I1250" s="11"/>
      <c r="J1250" s="33"/>
      <c r="K1250" s="33"/>
      <c r="L1250" s="8"/>
      <c r="AE1250" s="8"/>
      <c r="AG1250" s="30"/>
      <c r="AI1250" s="30"/>
      <c r="AJ1250" s="21"/>
      <c r="AR1250" s="40"/>
      <c r="AT1250" s="40"/>
      <c r="AV1250" s="18"/>
      <c r="AX1250" s="18"/>
      <c r="AY1250" s="18"/>
      <c r="BF1250" s="18"/>
      <c r="BI1250" s="18"/>
      <c r="BT1250" s="18"/>
      <c r="BX1250" s="18"/>
      <c r="CC1250" s="18"/>
      <c r="CN1250" s="18"/>
      <c r="CY1250" s="34"/>
    </row>
    <row r="1251" spans="4:103" x14ac:dyDescent="0.25">
      <c r="D1251" s="12"/>
      <c r="E1251" s="14"/>
      <c r="H1251" s="16"/>
      <c r="I1251" s="11"/>
      <c r="J1251" s="33"/>
      <c r="K1251" s="33"/>
      <c r="L1251" s="8"/>
      <c r="AE1251" s="8"/>
      <c r="AG1251" s="30"/>
      <c r="AI1251" s="30"/>
      <c r="AJ1251" s="21"/>
      <c r="AR1251" s="40"/>
      <c r="AT1251" s="40"/>
      <c r="AV1251" s="18"/>
      <c r="AX1251" s="18"/>
      <c r="AY1251" s="18"/>
      <c r="BF1251" s="18"/>
      <c r="BI1251" s="18"/>
      <c r="BT1251" s="18"/>
      <c r="BX1251" s="18"/>
      <c r="CC1251" s="18"/>
      <c r="CN1251" s="18"/>
      <c r="CY1251" s="34"/>
    </row>
    <row r="1252" spans="4:103" x14ac:dyDescent="0.25">
      <c r="D1252" s="12"/>
      <c r="E1252" s="14"/>
      <c r="H1252" s="16"/>
      <c r="I1252" s="11"/>
      <c r="J1252" s="33"/>
      <c r="K1252" s="33"/>
      <c r="L1252" s="8"/>
      <c r="AE1252" s="8"/>
      <c r="AG1252" s="30"/>
      <c r="AI1252" s="30"/>
      <c r="AJ1252" s="21"/>
      <c r="AR1252" s="40"/>
      <c r="AT1252" s="40"/>
      <c r="AV1252" s="18"/>
      <c r="AX1252" s="18"/>
      <c r="AY1252" s="18"/>
      <c r="BF1252" s="18"/>
      <c r="BI1252" s="18"/>
      <c r="BT1252" s="18"/>
      <c r="BX1252" s="18"/>
      <c r="CC1252" s="18"/>
      <c r="CN1252" s="18"/>
      <c r="CY1252" s="34"/>
    </row>
    <row r="1253" spans="4:103" x14ac:dyDescent="0.25">
      <c r="D1253" s="12"/>
      <c r="E1253" s="14"/>
      <c r="H1253" s="16"/>
      <c r="I1253" s="11"/>
      <c r="J1253" s="33"/>
      <c r="K1253" s="33"/>
      <c r="L1253" s="8"/>
      <c r="AE1253" s="8"/>
      <c r="AG1253" s="30"/>
      <c r="AI1253" s="30"/>
      <c r="AJ1253" s="21"/>
      <c r="AR1253" s="40"/>
      <c r="AT1253" s="40"/>
      <c r="AV1253" s="18"/>
      <c r="AX1253" s="18"/>
      <c r="AY1253" s="18"/>
      <c r="BF1253" s="18"/>
      <c r="BI1253" s="18"/>
      <c r="BT1253" s="18"/>
      <c r="BX1253" s="18"/>
      <c r="CC1253" s="18"/>
      <c r="CN1253" s="18"/>
      <c r="CY1253" s="34"/>
    </row>
    <row r="1254" spans="4:103" x14ac:dyDescent="0.25">
      <c r="D1254" s="12"/>
      <c r="E1254" s="14"/>
      <c r="H1254" s="16"/>
      <c r="I1254" s="11"/>
      <c r="J1254" s="33"/>
      <c r="K1254" s="33"/>
      <c r="L1254" s="8"/>
      <c r="AE1254" s="8"/>
      <c r="AG1254" s="30"/>
      <c r="AI1254" s="30"/>
      <c r="AJ1254" s="21"/>
      <c r="AR1254" s="40"/>
      <c r="AT1254" s="40"/>
      <c r="AV1254" s="18"/>
      <c r="AX1254" s="18"/>
      <c r="AY1254" s="18"/>
      <c r="BF1254" s="18"/>
      <c r="BI1254" s="18"/>
      <c r="BT1254" s="18"/>
      <c r="BX1254" s="18"/>
      <c r="CC1254" s="18"/>
      <c r="CN1254" s="18"/>
      <c r="CY1254" s="34"/>
    </row>
    <row r="1255" spans="4:103" x14ac:dyDescent="0.25">
      <c r="D1255" s="12"/>
      <c r="E1255" s="14"/>
      <c r="H1255" s="16"/>
      <c r="I1255" s="11"/>
      <c r="J1255" s="33"/>
      <c r="K1255" s="33"/>
      <c r="L1255" s="8"/>
      <c r="AE1255" s="8"/>
      <c r="AG1255" s="30"/>
      <c r="AI1255" s="30"/>
      <c r="AJ1255" s="21"/>
      <c r="AR1255" s="40"/>
      <c r="AT1255" s="40"/>
      <c r="AV1255" s="18"/>
      <c r="AX1255" s="18"/>
      <c r="AY1255" s="18"/>
      <c r="BF1255" s="18"/>
      <c r="BI1255" s="18"/>
      <c r="BT1255" s="18"/>
      <c r="BX1255" s="18"/>
      <c r="CC1255" s="18"/>
      <c r="CN1255" s="18"/>
      <c r="CY1255" s="34"/>
    </row>
    <row r="1256" spans="4:103" x14ac:dyDescent="0.25">
      <c r="D1256" s="12"/>
      <c r="E1256" s="14"/>
      <c r="H1256" s="16"/>
      <c r="I1256" s="11"/>
      <c r="J1256" s="33"/>
      <c r="K1256" s="33"/>
      <c r="L1256" s="8"/>
      <c r="AE1256" s="8"/>
      <c r="AG1256" s="30"/>
      <c r="AI1256" s="30"/>
      <c r="AJ1256" s="21"/>
      <c r="AR1256" s="40"/>
      <c r="AT1256" s="40"/>
      <c r="AV1256" s="18"/>
      <c r="AX1256" s="18"/>
      <c r="AY1256" s="18"/>
      <c r="BF1256" s="18"/>
      <c r="BI1256" s="18"/>
      <c r="BT1256" s="18"/>
      <c r="BX1256" s="18"/>
      <c r="CC1256" s="18"/>
      <c r="CN1256" s="18"/>
      <c r="CY1256" s="34"/>
    </row>
    <row r="1257" spans="4:103" x14ac:dyDescent="0.25">
      <c r="D1257" s="12"/>
      <c r="E1257" s="14"/>
      <c r="H1257" s="16"/>
      <c r="I1257" s="11"/>
      <c r="J1257" s="33"/>
      <c r="K1257" s="33"/>
      <c r="L1257" s="8"/>
      <c r="AE1257" s="8"/>
      <c r="AG1257" s="30"/>
      <c r="AI1257" s="30"/>
      <c r="AJ1257" s="21"/>
      <c r="AR1257" s="40"/>
      <c r="AT1257" s="40"/>
      <c r="AV1257" s="18"/>
      <c r="AX1257" s="18"/>
      <c r="AY1257" s="18"/>
      <c r="BF1257" s="18"/>
      <c r="BI1257" s="18"/>
      <c r="BT1257" s="18"/>
      <c r="BX1257" s="18"/>
      <c r="CC1257" s="18"/>
      <c r="CN1257" s="18"/>
      <c r="CY1257" s="34"/>
    </row>
    <row r="1258" spans="4:103" x14ac:dyDescent="0.25">
      <c r="D1258" s="12"/>
      <c r="E1258" s="14"/>
      <c r="H1258" s="16"/>
      <c r="I1258" s="11"/>
      <c r="J1258" s="33"/>
      <c r="K1258" s="33"/>
      <c r="L1258" s="8"/>
      <c r="AE1258" s="8"/>
      <c r="AG1258" s="30"/>
      <c r="AI1258" s="30"/>
      <c r="AJ1258" s="21"/>
      <c r="AR1258" s="40"/>
      <c r="AT1258" s="40"/>
      <c r="AV1258" s="18"/>
      <c r="AX1258" s="18"/>
      <c r="AY1258" s="18"/>
      <c r="BF1258" s="18"/>
      <c r="BI1258" s="18"/>
      <c r="BT1258" s="18"/>
      <c r="BX1258" s="18"/>
      <c r="CC1258" s="18"/>
      <c r="CN1258" s="18"/>
      <c r="CY1258" s="34"/>
    </row>
    <row r="1259" spans="4:103" x14ac:dyDescent="0.25">
      <c r="D1259" s="12"/>
      <c r="E1259" s="14"/>
      <c r="H1259" s="16"/>
      <c r="I1259" s="11"/>
      <c r="J1259" s="33"/>
      <c r="K1259" s="33"/>
      <c r="L1259" s="8"/>
      <c r="AE1259" s="8"/>
      <c r="AG1259" s="30"/>
      <c r="AI1259" s="30"/>
      <c r="AJ1259" s="21"/>
      <c r="AR1259" s="40"/>
      <c r="AT1259" s="40"/>
      <c r="AV1259" s="18"/>
      <c r="AX1259" s="18"/>
      <c r="AY1259" s="18"/>
      <c r="BF1259" s="18"/>
      <c r="BI1259" s="18"/>
      <c r="BT1259" s="18"/>
      <c r="BX1259" s="18"/>
      <c r="CC1259" s="18"/>
      <c r="CN1259" s="18"/>
      <c r="CY1259" s="34"/>
    </row>
    <row r="1260" spans="4:103" x14ac:dyDescent="0.25">
      <c r="D1260" s="12"/>
      <c r="E1260" s="14"/>
      <c r="H1260" s="16"/>
      <c r="I1260" s="11"/>
      <c r="J1260" s="33"/>
      <c r="K1260" s="33"/>
      <c r="L1260" s="8"/>
      <c r="AE1260" s="8"/>
      <c r="AG1260" s="30"/>
      <c r="AI1260" s="30"/>
      <c r="AJ1260" s="21"/>
      <c r="AR1260" s="40"/>
      <c r="AT1260" s="40"/>
      <c r="AV1260" s="18"/>
      <c r="AX1260" s="18"/>
      <c r="AY1260" s="18"/>
      <c r="BF1260" s="18"/>
      <c r="BI1260" s="18"/>
      <c r="BT1260" s="18"/>
      <c r="BX1260" s="18"/>
      <c r="CC1260" s="18"/>
      <c r="CN1260" s="18"/>
      <c r="CY1260" s="34"/>
    </row>
    <row r="1261" spans="4:103" x14ac:dyDescent="0.25">
      <c r="D1261" s="12"/>
      <c r="E1261" s="14"/>
      <c r="H1261" s="16"/>
      <c r="I1261" s="11"/>
      <c r="J1261" s="33"/>
      <c r="K1261" s="33"/>
      <c r="L1261" s="8"/>
      <c r="AE1261" s="8"/>
      <c r="AG1261" s="30"/>
      <c r="AI1261" s="30"/>
      <c r="AJ1261" s="21"/>
      <c r="AR1261" s="40"/>
      <c r="AT1261" s="40"/>
      <c r="AV1261" s="18"/>
      <c r="AX1261" s="18"/>
      <c r="AY1261" s="18"/>
      <c r="BF1261" s="18"/>
      <c r="BI1261" s="18"/>
      <c r="BT1261" s="18"/>
      <c r="BX1261" s="18"/>
      <c r="CC1261" s="18"/>
      <c r="CN1261" s="18"/>
      <c r="CY1261" s="34"/>
    </row>
    <row r="1262" spans="4:103" x14ac:dyDescent="0.25">
      <c r="D1262" s="12"/>
      <c r="E1262" s="14"/>
      <c r="H1262" s="16"/>
      <c r="I1262" s="11"/>
      <c r="J1262" s="33"/>
      <c r="K1262" s="33"/>
      <c r="L1262" s="8"/>
      <c r="AE1262" s="8"/>
      <c r="AG1262" s="30"/>
      <c r="AI1262" s="30"/>
      <c r="AJ1262" s="21"/>
      <c r="AR1262" s="40"/>
      <c r="AT1262" s="40"/>
      <c r="AV1262" s="18"/>
      <c r="AX1262" s="18"/>
      <c r="AY1262" s="18"/>
      <c r="BF1262" s="18"/>
      <c r="BI1262" s="18"/>
      <c r="BT1262" s="18"/>
      <c r="BX1262" s="18"/>
      <c r="CC1262" s="18"/>
      <c r="CN1262" s="18"/>
      <c r="CY1262" s="34"/>
    </row>
    <row r="1263" spans="4:103" x14ac:dyDescent="0.25">
      <c r="D1263" s="12"/>
      <c r="E1263" s="14"/>
      <c r="H1263" s="16"/>
      <c r="I1263" s="11"/>
      <c r="J1263" s="33"/>
      <c r="K1263" s="33"/>
      <c r="L1263" s="8"/>
      <c r="AE1263" s="8"/>
      <c r="AG1263" s="30"/>
      <c r="AI1263" s="30"/>
      <c r="AJ1263" s="21"/>
      <c r="AR1263" s="40"/>
      <c r="AT1263" s="40"/>
      <c r="AV1263" s="18"/>
      <c r="AX1263" s="18"/>
      <c r="AY1263" s="18"/>
      <c r="BF1263" s="18"/>
      <c r="BI1263" s="18"/>
      <c r="BT1263" s="18"/>
      <c r="BX1263" s="18"/>
      <c r="CC1263" s="18"/>
      <c r="CN1263" s="18"/>
      <c r="CY1263" s="34"/>
    </row>
    <row r="1264" spans="4:103" x14ac:dyDescent="0.25">
      <c r="D1264" s="12"/>
      <c r="E1264" s="14"/>
      <c r="H1264" s="16"/>
      <c r="I1264" s="11"/>
      <c r="J1264" s="33"/>
      <c r="K1264" s="33"/>
      <c r="L1264" s="8"/>
      <c r="AE1264" s="8"/>
      <c r="AG1264" s="30"/>
      <c r="AI1264" s="30"/>
      <c r="AJ1264" s="21"/>
      <c r="AR1264" s="40"/>
      <c r="AT1264" s="40"/>
      <c r="AV1264" s="18"/>
      <c r="AX1264" s="18"/>
      <c r="AY1264" s="18"/>
      <c r="BF1264" s="18"/>
      <c r="BI1264" s="18"/>
      <c r="BT1264" s="18"/>
      <c r="BX1264" s="18"/>
      <c r="CC1264" s="18"/>
      <c r="CN1264" s="18"/>
      <c r="CY1264" s="34"/>
    </row>
    <row r="1265" spans="4:103" x14ac:dyDescent="0.25">
      <c r="D1265" s="12"/>
      <c r="E1265" s="14"/>
      <c r="H1265" s="16"/>
      <c r="I1265" s="11"/>
      <c r="J1265" s="33"/>
      <c r="K1265" s="33"/>
      <c r="L1265" s="8"/>
      <c r="AE1265" s="8"/>
      <c r="AG1265" s="30"/>
      <c r="AI1265" s="30"/>
      <c r="AJ1265" s="21"/>
      <c r="AR1265" s="40"/>
      <c r="AT1265" s="40"/>
      <c r="AV1265" s="18"/>
      <c r="AX1265" s="18"/>
      <c r="AY1265" s="18"/>
      <c r="BF1265" s="18"/>
      <c r="BI1265" s="18"/>
      <c r="BT1265" s="18"/>
      <c r="BX1265" s="18"/>
      <c r="CC1265" s="18"/>
      <c r="CN1265" s="18"/>
      <c r="CY1265" s="34"/>
    </row>
    <row r="1266" spans="4:103" x14ac:dyDescent="0.25">
      <c r="D1266" s="12"/>
      <c r="E1266" s="14"/>
      <c r="H1266" s="16"/>
      <c r="I1266" s="11"/>
      <c r="J1266" s="33"/>
      <c r="K1266" s="33"/>
      <c r="L1266" s="8"/>
      <c r="AE1266" s="8"/>
      <c r="AG1266" s="30"/>
      <c r="AI1266" s="30"/>
      <c r="AJ1266" s="21"/>
      <c r="AR1266" s="40"/>
      <c r="AT1266" s="40"/>
      <c r="AV1266" s="18"/>
      <c r="AX1266" s="18"/>
      <c r="AY1266" s="18"/>
      <c r="BF1266" s="18"/>
      <c r="BI1266" s="18"/>
      <c r="BT1266" s="18"/>
      <c r="BX1266" s="18"/>
      <c r="CC1266" s="18"/>
      <c r="CN1266" s="18"/>
      <c r="CY1266" s="34"/>
    </row>
    <row r="1267" spans="4:103" x14ac:dyDescent="0.25">
      <c r="D1267" s="12"/>
      <c r="E1267" s="14"/>
      <c r="H1267" s="16"/>
      <c r="I1267" s="11"/>
      <c r="J1267" s="33"/>
      <c r="K1267" s="33"/>
      <c r="L1267" s="8"/>
      <c r="AE1267" s="8"/>
      <c r="AG1267" s="30"/>
      <c r="AI1267" s="30"/>
      <c r="AJ1267" s="21"/>
      <c r="AR1267" s="40"/>
      <c r="AT1267" s="40"/>
      <c r="AV1267" s="18"/>
      <c r="AX1267" s="18"/>
      <c r="AY1267" s="18"/>
      <c r="BF1267" s="18"/>
      <c r="BI1267" s="18"/>
      <c r="BT1267" s="18"/>
      <c r="BX1267" s="18"/>
      <c r="CC1267" s="18"/>
      <c r="CN1267" s="18"/>
      <c r="CY1267" s="34"/>
    </row>
    <row r="1268" spans="4:103" x14ac:dyDescent="0.25">
      <c r="D1268" s="12"/>
      <c r="E1268" s="14"/>
      <c r="H1268" s="16"/>
      <c r="I1268" s="11"/>
      <c r="J1268" s="33"/>
      <c r="K1268" s="33"/>
      <c r="L1268" s="8"/>
      <c r="AE1268" s="8"/>
      <c r="AG1268" s="30"/>
      <c r="AI1268" s="30"/>
      <c r="AJ1268" s="21"/>
      <c r="AR1268" s="40"/>
      <c r="AT1268" s="40"/>
      <c r="AV1268" s="18"/>
      <c r="AX1268" s="18"/>
      <c r="AY1268" s="18"/>
      <c r="BF1268" s="18"/>
      <c r="BI1268" s="18"/>
      <c r="BT1268" s="18"/>
      <c r="BX1268" s="18"/>
      <c r="CC1268" s="18"/>
      <c r="CN1268" s="18"/>
      <c r="CY1268" s="34"/>
    </row>
    <row r="1269" spans="4:103" x14ac:dyDescent="0.25">
      <c r="D1269" s="12"/>
      <c r="E1269" s="14"/>
      <c r="H1269" s="16"/>
      <c r="I1269" s="11"/>
      <c r="J1269" s="33"/>
      <c r="K1269" s="33"/>
      <c r="L1269" s="8"/>
      <c r="AE1269" s="8"/>
      <c r="AG1269" s="30"/>
      <c r="AI1269" s="30"/>
      <c r="AJ1269" s="21"/>
      <c r="AR1269" s="40"/>
      <c r="AT1269" s="40"/>
      <c r="AV1269" s="18"/>
      <c r="AX1269" s="18"/>
      <c r="AY1269" s="18"/>
      <c r="BF1269" s="18"/>
      <c r="BI1269" s="18"/>
      <c r="BT1269" s="18"/>
      <c r="BX1269" s="18"/>
      <c r="CC1269" s="18"/>
      <c r="CN1269" s="18"/>
      <c r="CY1269" s="34"/>
    </row>
    <row r="1270" spans="4:103" x14ac:dyDescent="0.25">
      <c r="D1270" s="12"/>
      <c r="E1270" s="14"/>
      <c r="H1270" s="16"/>
      <c r="I1270" s="11"/>
      <c r="J1270" s="33"/>
      <c r="K1270" s="33"/>
      <c r="L1270" s="8"/>
      <c r="AE1270" s="8"/>
      <c r="AG1270" s="30"/>
      <c r="AI1270" s="30"/>
      <c r="AJ1270" s="21"/>
      <c r="AR1270" s="40"/>
      <c r="AT1270" s="40"/>
      <c r="AV1270" s="18"/>
      <c r="AX1270" s="18"/>
      <c r="AY1270" s="18"/>
      <c r="BF1270" s="18"/>
      <c r="BI1270" s="18"/>
      <c r="BT1270" s="18"/>
      <c r="BX1270" s="18"/>
      <c r="CC1270" s="18"/>
      <c r="CN1270" s="18"/>
      <c r="CY1270" s="34"/>
    </row>
    <row r="1271" spans="4:103" x14ac:dyDescent="0.25">
      <c r="D1271" s="12"/>
      <c r="E1271" s="14"/>
      <c r="H1271" s="16"/>
      <c r="I1271" s="11"/>
      <c r="J1271" s="33"/>
      <c r="K1271" s="33"/>
      <c r="L1271" s="8"/>
      <c r="AE1271" s="8"/>
      <c r="AG1271" s="30"/>
      <c r="AI1271" s="30"/>
      <c r="AJ1271" s="21"/>
      <c r="AR1271" s="40"/>
      <c r="AT1271" s="40"/>
      <c r="AV1271" s="18"/>
      <c r="AX1271" s="18"/>
      <c r="AY1271" s="18"/>
      <c r="BF1271" s="18"/>
      <c r="BI1271" s="18"/>
      <c r="BT1271" s="18"/>
      <c r="BX1271" s="18"/>
      <c r="CC1271" s="18"/>
      <c r="CN1271" s="18"/>
      <c r="CY1271" s="34"/>
    </row>
    <row r="1272" spans="4:103" x14ac:dyDescent="0.25">
      <c r="D1272" s="12"/>
      <c r="E1272" s="14"/>
      <c r="H1272" s="16"/>
      <c r="I1272" s="11"/>
      <c r="J1272" s="33"/>
      <c r="K1272" s="33"/>
      <c r="L1272" s="8"/>
      <c r="AE1272" s="8"/>
      <c r="AG1272" s="30"/>
      <c r="AI1272" s="30"/>
      <c r="AJ1272" s="21"/>
      <c r="AR1272" s="40"/>
      <c r="AT1272" s="40"/>
      <c r="AV1272" s="18"/>
      <c r="AX1272" s="18"/>
      <c r="AY1272" s="18"/>
      <c r="BF1272" s="18"/>
      <c r="BI1272" s="18"/>
      <c r="BT1272" s="18"/>
      <c r="BX1272" s="18"/>
      <c r="CC1272" s="18"/>
      <c r="CN1272" s="18"/>
      <c r="CY1272" s="34"/>
    </row>
    <row r="1273" spans="4:103" x14ac:dyDescent="0.25">
      <c r="D1273" s="12"/>
      <c r="E1273" s="14"/>
      <c r="H1273" s="16"/>
      <c r="I1273" s="11"/>
      <c r="J1273" s="33"/>
      <c r="K1273" s="33"/>
      <c r="L1273" s="8"/>
      <c r="AE1273" s="8"/>
      <c r="AG1273" s="30"/>
      <c r="AI1273" s="30"/>
      <c r="AJ1273" s="21"/>
      <c r="AR1273" s="40"/>
      <c r="AT1273" s="40"/>
      <c r="AV1273" s="18"/>
      <c r="AX1273" s="18"/>
      <c r="AY1273" s="18"/>
      <c r="BF1273" s="18"/>
      <c r="BI1273" s="18"/>
      <c r="BT1273" s="18"/>
      <c r="BX1273" s="18"/>
      <c r="CC1273" s="18"/>
      <c r="CN1273" s="18"/>
      <c r="CY1273" s="34"/>
    </row>
    <row r="1274" spans="4:103" x14ac:dyDescent="0.25">
      <c r="D1274" s="12"/>
      <c r="E1274" s="14"/>
      <c r="H1274" s="16"/>
      <c r="I1274" s="11"/>
      <c r="J1274" s="33"/>
      <c r="K1274" s="33"/>
      <c r="L1274" s="8"/>
      <c r="AE1274" s="8"/>
      <c r="AG1274" s="30"/>
      <c r="AI1274" s="30"/>
      <c r="AJ1274" s="21"/>
      <c r="AR1274" s="40"/>
      <c r="AT1274" s="40"/>
      <c r="AV1274" s="18"/>
      <c r="AX1274" s="18"/>
      <c r="AY1274" s="18"/>
      <c r="BF1274" s="18"/>
      <c r="BI1274" s="18"/>
      <c r="BT1274" s="18"/>
      <c r="BX1274" s="18"/>
      <c r="CC1274" s="18"/>
      <c r="CN1274" s="18"/>
      <c r="CY1274" s="34"/>
    </row>
    <row r="1275" spans="4:103" x14ac:dyDescent="0.25">
      <c r="D1275" s="12"/>
      <c r="E1275" s="14"/>
      <c r="H1275" s="16"/>
      <c r="I1275" s="11"/>
      <c r="J1275" s="33"/>
      <c r="K1275" s="33"/>
      <c r="L1275" s="8"/>
      <c r="AE1275" s="8"/>
      <c r="AG1275" s="30"/>
      <c r="AI1275" s="30"/>
      <c r="AJ1275" s="21"/>
      <c r="AR1275" s="40"/>
      <c r="AT1275" s="40"/>
      <c r="AV1275" s="18"/>
      <c r="AX1275" s="18"/>
      <c r="AY1275" s="18"/>
      <c r="BF1275" s="18"/>
      <c r="BI1275" s="18"/>
      <c r="BT1275" s="18"/>
      <c r="BX1275" s="18"/>
      <c r="CC1275" s="18"/>
      <c r="CN1275" s="18"/>
      <c r="CY1275" s="34"/>
    </row>
    <row r="1276" spans="4:103" x14ac:dyDescent="0.25">
      <c r="D1276" s="12"/>
      <c r="E1276" s="14"/>
      <c r="H1276" s="16"/>
      <c r="I1276" s="11"/>
      <c r="J1276" s="33"/>
      <c r="K1276" s="33"/>
      <c r="L1276" s="8"/>
      <c r="AE1276" s="8"/>
      <c r="AG1276" s="30"/>
      <c r="AI1276" s="30"/>
      <c r="AJ1276" s="21"/>
      <c r="AR1276" s="40"/>
      <c r="AT1276" s="40"/>
      <c r="AV1276" s="18"/>
      <c r="AX1276" s="18"/>
      <c r="AY1276" s="18"/>
      <c r="BF1276" s="18"/>
      <c r="BI1276" s="18"/>
      <c r="BT1276" s="18"/>
      <c r="BX1276" s="18"/>
      <c r="CC1276" s="18"/>
      <c r="CN1276" s="18"/>
      <c r="CY1276" s="34"/>
    </row>
    <row r="1277" spans="4:103" x14ac:dyDescent="0.25">
      <c r="D1277" s="12"/>
      <c r="E1277" s="14"/>
      <c r="H1277" s="16"/>
      <c r="I1277" s="11"/>
      <c r="J1277" s="33"/>
      <c r="K1277" s="33"/>
      <c r="L1277" s="8"/>
      <c r="AE1277" s="8"/>
      <c r="AG1277" s="30"/>
      <c r="AI1277" s="30"/>
      <c r="AJ1277" s="21"/>
      <c r="AR1277" s="40"/>
      <c r="AT1277" s="40"/>
      <c r="AV1277" s="18"/>
      <c r="AX1277" s="18"/>
      <c r="AY1277" s="18"/>
      <c r="BF1277" s="18"/>
      <c r="BI1277" s="18"/>
      <c r="BT1277" s="18"/>
      <c r="BX1277" s="18"/>
      <c r="CC1277" s="18"/>
      <c r="CN1277" s="18"/>
      <c r="CY1277" s="34"/>
    </row>
    <row r="1278" spans="4:103" x14ac:dyDescent="0.25">
      <c r="D1278" s="12"/>
      <c r="E1278" s="14"/>
      <c r="H1278" s="16"/>
      <c r="I1278" s="11"/>
      <c r="J1278" s="33"/>
      <c r="K1278" s="33"/>
      <c r="L1278" s="8"/>
      <c r="AE1278" s="8"/>
      <c r="AG1278" s="30"/>
      <c r="AI1278" s="30"/>
      <c r="AJ1278" s="21"/>
      <c r="AR1278" s="40"/>
      <c r="AT1278" s="40"/>
      <c r="AV1278" s="18"/>
      <c r="AX1278" s="18"/>
      <c r="AY1278" s="18"/>
      <c r="BF1278" s="18"/>
      <c r="BI1278" s="18"/>
      <c r="BT1278" s="18"/>
      <c r="BX1278" s="18"/>
      <c r="CC1278" s="18"/>
      <c r="CN1278" s="18"/>
      <c r="CY1278" s="34"/>
    </row>
    <row r="1279" spans="4:103" x14ac:dyDescent="0.25">
      <c r="D1279" s="12"/>
      <c r="E1279" s="14"/>
      <c r="H1279" s="16"/>
      <c r="I1279" s="11"/>
      <c r="J1279" s="33"/>
      <c r="K1279" s="33"/>
      <c r="L1279" s="8"/>
      <c r="AE1279" s="8"/>
      <c r="AG1279" s="30"/>
      <c r="AI1279" s="30"/>
      <c r="AJ1279" s="21"/>
      <c r="AR1279" s="40"/>
      <c r="AT1279" s="40"/>
      <c r="AV1279" s="18"/>
      <c r="AX1279" s="18"/>
      <c r="AY1279" s="18"/>
      <c r="BF1279" s="18"/>
      <c r="BI1279" s="18"/>
      <c r="BT1279" s="18"/>
      <c r="BX1279" s="18"/>
      <c r="CC1279" s="18"/>
      <c r="CN1279" s="18"/>
      <c r="CY1279" s="34"/>
    </row>
    <row r="1280" spans="4:103" x14ac:dyDescent="0.25">
      <c r="D1280" s="12"/>
      <c r="E1280" s="14"/>
      <c r="H1280" s="16"/>
      <c r="I1280" s="11"/>
      <c r="J1280" s="33"/>
      <c r="K1280" s="33"/>
      <c r="L1280" s="8"/>
      <c r="AE1280" s="8"/>
      <c r="AG1280" s="30"/>
      <c r="AI1280" s="30"/>
      <c r="AJ1280" s="21"/>
      <c r="AR1280" s="40"/>
      <c r="AT1280" s="40"/>
      <c r="AV1280" s="18"/>
      <c r="AX1280" s="18"/>
      <c r="AY1280" s="18"/>
      <c r="BF1280" s="18"/>
      <c r="BI1280" s="18"/>
      <c r="BT1280" s="18"/>
      <c r="BX1280" s="18"/>
      <c r="CC1280" s="18"/>
      <c r="CN1280" s="18"/>
      <c r="CY1280" s="34"/>
    </row>
    <row r="1281" spans="4:103" x14ac:dyDescent="0.25">
      <c r="D1281" s="12"/>
      <c r="E1281" s="14"/>
      <c r="H1281" s="16"/>
      <c r="I1281" s="11"/>
      <c r="J1281" s="33"/>
      <c r="K1281" s="33"/>
      <c r="L1281" s="8"/>
      <c r="AE1281" s="8"/>
      <c r="AG1281" s="30"/>
      <c r="AI1281" s="30"/>
      <c r="AJ1281" s="21"/>
      <c r="AR1281" s="40"/>
      <c r="AT1281" s="40"/>
      <c r="AV1281" s="18"/>
      <c r="AX1281" s="18"/>
      <c r="AY1281" s="18"/>
      <c r="BF1281" s="18"/>
      <c r="BI1281" s="18"/>
      <c r="BT1281" s="18"/>
      <c r="BX1281" s="18"/>
      <c r="CC1281" s="18"/>
      <c r="CN1281" s="18"/>
      <c r="CY1281" s="34"/>
    </row>
    <row r="1282" spans="4:103" x14ac:dyDescent="0.25">
      <c r="D1282" s="12"/>
      <c r="E1282" s="14"/>
      <c r="H1282" s="16"/>
      <c r="I1282" s="11"/>
      <c r="J1282" s="33"/>
      <c r="K1282" s="33"/>
      <c r="L1282" s="8"/>
      <c r="AE1282" s="8"/>
      <c r="AG1282" s="30"/>
      <c r="AI1282" s="30"/>
      <c r="AJ1282" s="21"/>
      <c r="AR1282" s="40"/>
      <c r="AT1282" s="40"/>
      <c r="AV1282" s="18"/>
      <c r="AX1282" s="18"/>
      <c r="AY1282" s="18"/>
      <c r="BF1282" s="18"/>
      <c r="BI1282" s="18"/>
      <c r="BT1282" s="18"/>
      <c r="BX1282" s="18"/>
      <c r="CC1282" s="18"/>
      <c r="CN1282" s="18"/>
      <c r="CY1282" s="34"/>
    </row>
    <row r="1283" spans="4:103" x14ac:dyDescent="0.25">
      <c r="D1283" s="12"/>
      <c r="E1283" s="14"/>
      <c r="H1283" s="16"/>
      <c r="I1283" s="11"/>
      <c r="J1283" s="33"/>
      <c r="K1283" s="33"/>
      <c r="L1283" s="8"/>
      <c r="AE1283" s="8"/>
      <c r="AG1283" s="30"/>
      <c r="AI1283" s="30"/>
      <c r="AJ1283" s="21"/>
      <c r="AR1283" s="40"/>
      <c r="AT1283" s="40"/>
      <c r="AV1283" s="18"/>
      <c r="AX1283" s="18"/>
      <c r="AY1283" s="18"/>
      <c r="BF1283" s="18"/>
      <c r="BI1283" s="18"/>
      <c r="BT1283" s="18"/>
      <c r="BX1283" s="18"/>
      <c r="CC1283" s="18"/>
      <c r="CN1283" s="18"/>
      <c r="CY1283" s="34"/>
    </row>
    <row r="1284" spans="4:103" x14ac:dyDescent="0.25">
      <c r="D1284" s="12"/>
      <c r="E1284" s="14"/>
      <c r="H1284" s="16"/>
      <c r="I1284" s="11"/>
      <c r="J1284" s="33"/>
      <c r="K1284" s="33"/>
      <c r="L1284" s="8"/>
      <c r="AE1284" s="8"/>
      <c r="AG1284" s="30"/>
      <c r="AI1284" s="30"/>
      <c r="AJ1284" s="21"/>
      <c r="AR1284" s="40"/>
      <c r="AT1284" s="40"/>
      <c r="AV1284" s="18"/>
      <c r="AX1284" s="18"/>
      <c r="AY1284" s="18"/>
      <c r="BF1284" s="18"/>
      <c r="BI1284" s="18"/>
      <c r="BT1284" s="18"/>
      <c r="BX1284" s="18"/>
      <c r="CC1284" s="18"/>
      <c r="CN1284" s="18"/>
      <c r="CY1284" s="34"/>
    </row>
    <row r="1285" spans="4:103" x14ac:dyDescent="0.25">
      <c r="D1285" s="12"/>
      <c r="E1285" s="14"/>
      <c r="H1285" s="16"/>
      <c r="I1285" s="11"/>
      <c r="J1285" s="33"/>
      <c r="K1285" s="33"/>
      <c r="L1285" s="8"/>
      <c r="AE1285" s="8"/>
      <c r="AG1285" s="30"/>
      <c r="AI1285" s="30"/>
      <c r="AJ1285" s="21"/>
      <c r="AR1285" s="40"/>
      <c r="AT1285" s="40"/>
      <c r="AV1285" s="18"/>
      <c r="AX1285" s="18"/>
      <c r="AY1285" s="18"/>
      <c r="BF1285" s="18"/>
      <c r="BI1285" s="18"/>
      <c r="BT1285" s="18"/>
      <c r="BX1285" s="18"/>
      <c r="CC1285" s="18"/>
      <c r="CN1285" s="18"/>
      <c r="CY1285" s="34"/>
    </row>
    <row r="1286" spans="4:103" x14ac:dyDescent="0.25">
      <c r="D1286" s="12"/>
      <c r="E1286" s="14"/>
      <c r="H1286" s="16"/>
      <c r="I1286" s="11"/>
      <c r="J1286" s="33"/>
      <c r="K1286" s="33"/>
      <c r="L1286" s="8"/>
      <c r="AE1286" s="8"/>
      <c r="AG1286" s="30"/>
      <c r="AI1286" s="30"/>
      <c r="AJ1286" s="21"/>
      <c r="AR1286" s="40"/>
      <c r="AT1286" s="40"/>
      <c r="AV1286" s="18"/>
      <c r="AX1286" s="18"/>
      <c r="AY1286" s="18"/>
      <c r="BF1286" s="18"/>
      <c r="BI1286" s="18"/>
      <c r="BT1286" s="18"/>
      <c r="BX1286" s="18"/>
      <c r="CC1286" s="18"/>
      <c r="CN1286" s="18"/>
      <c r="CY1286" s="34"/>
    </row>
    <row r="1287" spans="4:103" x14ac:dyDescent="0.25">
      <c r="D1287" s="12"/>
      <c r="E1287" s="14"/>
      <c r="H1287" s="16"/>
      <c r="I1287" s="11"/>
      <c r="J1287" s="33"/>
      <c r="K1287" s="33"/>
      <c r="L1287" s="8"/>
      <c r="AE1287" s="8"/>
      <c r="AG1287" s="30"/>
      <c r="AI1287" s="30"/>
      <c r="AJ1287" s="21"/>
      <c r="AR1287" s="40"/>
      <c r="AT1287" s="40"/>
      <c r="AV1287" s="18"/>
      <c r="AX1287" s="18"/>
      <c r="AY1287" s="18"/>
      <c r="BF1287" s="18"/>
      <c r="BI1287" s="18"/>
      <c r="BT1287" s="18"/>
      <c r="BX1287" s="18"/>
      <c r="CC1287" s="18"/>
      <c r="CN1287" s="18"/>
      <c r="CY1287" s="34"/>
    </row>
    <row r="1288" spans="4:103" x14ac:dyDescent="0.25">
      <c r="D1288" s="12"/>
      <c r="E1288" s="14"/>
      <c r="H1288" s="16"/>
      <c r="I1288" s="11"/>
      <c r="J1288" s="33"/>
      <c r="K1288" s="33"/>
      <c r="L1288" s="8"/>
      <c r="AE1288" s="8"/>
      <c r="AG1288" s="30"/>
      <c r="AI1288" s="30"/>
      <c r="AJ1288" s="21"/>
      <c r="AR1288" s="40"/>
      <c r="AT1288" s="40"/>
      <c r="AV1288" s="18"/>
      <c r="AX1288" s="18"/>
      <c r="AY1288" s="18"/>
      <c r="BF1288" s="18"/>
      <c r="BI1288" s="18"/>
      <c r="BT1288" s="18"/>
      <c r="BX1288" s="18"/>
      <c r="CC1288" s="18"/>
      <c r="CN1288" s="18"/>
      <c r="CY1288" s="34"/>
    </row>
    <row r="1289" spans="4:103" x14ac:dyDescent="0.25">
      <c r="D1289" s="12"/>
      <c r="E1289" s="14"/>
      <c r="H1289" s="16"/>
      <c r="I1289" s="11"/>
      <c r="J1289" s="33"/>
      <c r="K1289" s="33"/>
      <c r="L1289" s="8"/>
      <c r="AE1289" s="8"/>
      <c r="AG1289" s="30"/>
      <c r="AI1289" s="30"/>
      <c r="AJ1289" s="21"/>
      <c r="AR1289" s="40"/>
      <c r="AT1289" s="40"/>
      <c r="AV1289" s="18"/>
      <c r="AX1289" s="18"/>
      <c r="AY1289" s="18"/>
      <c r="BF1289" s="18"/>
      <c r="BI1289" s="18"/>
      <c r="BT1289" s="18"/>
      <c r="BX1289" s="18"/>
      <c r="CC1289" s="18"/>
      <c r="CN1289" s="18"/>
      <c r="CY1289" s="34"/>
    </row>
    <row r="1290" spans="4:103" x14ac:dyDescent="0.25">
      <c r="D1290" s="12"/>
      <c r="E1290" s="14"/>
      <c r="H1290" s="16"/>
      <c r="I1290" s="11"/>
      <c r="J1290" s="33"/>
      <c r="K1290" s="33"/>
      <c r="L1290" s="8"/>
      <c r="AE1290" s="8"/>
      <c r="AG1290" s="30"/>
      <c r="AI1290" s="30"/>
      <c r="AJ1290" s="21"/>
      <c r="AR1290" s="40"/>
      <c r="AT1290" s="40"/>
      <c r="AV1290" s="18"/>
      <c r="AX1290" s="18"/>
      <c r="AY1290" s="18"/>
      <c r="BF1290" s="18"/>
      <c r="BI1290" s="18"/>
      <c r="BT1290" s="18"/>
      <c r="BX1290" s="18"/>
      <c r="CC1290" s="18"/>
      <c r="CN1290" s="18"/>
      <c r="CY1290" s="34"/>
    </row>
    <row r="1291" spans="4:103" x14ac:dyDescent="0.25">
      <c r="D1291" s="12"/>
      <c r="E1291" s="14"/>
      <c r="H1291" s="16"/>
      <c r="I1291" s="11"/>
      <c r="J1291" s="33"/>
      <c r="K1291" s="33"/>
      <c r="L1291" s="8"/>
      <c r="AE1291" s="8"/>
      <c r="AG1291" s="30"/>
      <c r="AI1291" s="30"/>
      <c r="AJ1291" s="21"/>
      <c r="AR1291" s="40"/>
      <c r="AT1291" s="40"/>
      <c r="AV1291" s="18"/>
      <c r="AX1291" s="18"/>
      <c r="AY1291" s="18"/>
      <c r="BF1291" s="18"/>
      <c r="BI1291" s="18"/>
      <c r="BT1291" s="18"/>
      <c r="BX1291" s="18"/>
      <c r="CC1291" s="18"/>
      <c r="CN1291" s="18"/>
      <c r="CY1291" s="34"/>
    </row>
    <row r="1292" spans="4:103" x14ac:dyDescent="0.25">
      <c r="D1292" s="12"/>
      <c r="E1292" s="14"/>
      <c r="H1292" s="16"/>
      <c r="I1292" s="11"/>
      <c r="J1292" s="33"/>
      <c r="K1292" s="33"/>
      <c r="L1292" s="8"/>
      <c r="AE1292" s="8"/>
      <c r="AG1292" s="30"/>
      <c r="AI1292" s="30"/>
      <c r="AJ1292" s="21"/>
      <c r="AR1292" s="40"/>
      <c r="AT1292" s="40"/>
      <c r="AV1292" s="18"/>
      <c r="AX1292" s="18"/>
      <c r="AY1292" s="18"/>
      <c r="BF1292" s="18"/>
      <c r="BI1292" s="18"/>
      <c r="BT1292" s="18"/>
      <c r="BX1292" s="18"/>
      <c r="CC1292" s="18"/>
      <c r="CN1292" s="18"/>
      <c r="CY1292" s="34"/>
    </row>
    <row r="1293" spans="4:103" x14ac:dyDescent="0.25">
      <c r="D1293" s="12"/>
      <c r="E1293" s="14"/>
      <c r="H1293" s="16"/>
      <c r="I1293" s="11"/>
      <c r="J1293" s="33"/>
      <c r="K1293" s="33"/>
      <c r="L1293" s="8"/>
      <c r="AE1293" s="8"/>
      <c r="AG1293" s="30"/>
      <c r="AI1293" s="30"/>
      <c r="AJ1293" s="21"/>
      <c r="AR1293" s="40"/>
      <c r="AT1293" s="40"/>
      <c r="AV1293" s="18"/>
      <c r="AX1293" s="18"/>
      <c r="AY1293" s="18"/>
      <c r="BF1293" s="18"/>
      <c r="BI1293" s="18"/>
      <c r="BT1293" s="18"/>
      <c r="BX1293" s="18"/>
      <c r="CC1293" s="18"/>
      <c r="CN1293" s="18"/>
      <c r="CY1293" s="34"/>
    </row>
    <row r="1294" spans="4:103" x14ac:dyDescent="0.25">
      <c r="D1294" s="12"/>
      <c r="E1294" s="14"/>
      <c r="H1294" s="16"/>
      <c r="I1294" s="11"/>
      <c r="J1294" s="33"/>
      <c r="K1294" s="33"/>
      <c r="L1294" s="8"/>
      <c r="AE1294" s="8"/>
      <c r="AG1294" s="30"/>
      <c r="AI1294" s="30"/>
      <c r="AJ1294" s="21"/>
      <c r="AR1294" s="40"/>
      <c r="AT1294" s="40"/>
      <c r="AV1294" s="18"/>
      <c r="AX1294" s="18"/>
      <c r="AY1294" s="18"/>
      <c r="BF1294" s="18"/>
      <c r="BI1294" s="18"/>
      <c r="BT1294" s="18"/>
      <c r="BX1294" s="18"/>
      <c r="CC1294" s="18"/>
      <c r="CN1294" s="18"/>
      <c r="CY1294" s="34"/>
    </row>
    <row r="1295" spans="4:103" x14ac:dyDescent="0.25">
      <c r="D1295" s="12"/>
      <c r="E1295" s="14"/>
      <c r="H1295" s="16"/>
      <c r="I1295" s="11"/>
      <c r="J1295" s="33"/>
      <c r="K1295" s="33"/>
      <c r="L1295" s="8"/>
      <c r="AE1295" s="8"/>
      <c r="AG1295" s="30"/>
      <c r="AI1295" s="30"/>
      <c r="AJ1295" s="21"/>
      <c r="AR1295" s="40"/>
      <c r="AT1295" s="40"/>
      <c r="AV1295" s="18"/>
      <c r="AX1295" s="18"/>
      <c r="AY1295" s="18"/>
      <c r="BF1295" s="18"/>
      <c r="BI1295" s="18"/>
      <c r="BT1295" s="18"/>
      <c r="BX1295" s="18"/>
      <c r="CC1295" s="18"/>
      <c r="CN1295" s="18"/>
      <c r="CY1295" s="34"/>
    </row>
    <row r="1296" spans="4:103" x14ac:dyDescent="0.25">
      <c r="D1296" s="12"/>
      <c r="E1296" s="14"/>
      <c r="H1296" s="16"/>
      <c r="I1296" s="11"/>
      <c r="J1296" s="33"/>
      <c r="K1296" s="33"/>
      <c r="L1296" s="8"/>
      <c r="AE1296" s="8"/>
      <c r="AG1296" s="30"/>
      <c r="AI1296" s="30"/>
      <c r="AJ1296" s="21"/>
      <c r="AR1296" s="40"/>
      <c r="AT1296" s="40"/>
      <c r="AV1296" s="18"/>
      <c r="AX1296" s="18"/>
      <c r="AY1296" s="18"/>
      <c r="BF1296" s="18"/>
      <c r="BI1296" s="18"/>
      <c r="BT1296" s="18"/>
      <c r="BX1296" s="18"/>
      <c r="CC1296" s="18"/>
      <c r="CN1296" s="18"/>
      <c r="CY1296" s="34"/>
    </row>
    <row r="1297" spans="4:103" x14ac:dyDescent="0.25">
      <c r="D1297" s="12"/>
      <c r="E1297" s="14"/>
      <c r="H1297" s="16"/>
      <c r="I1297" s="11"/>
      <c r="J1297" s="33"/>
      <c r="K1297" s="33"/>
      <c r="L1297" s="8"/>
      <c r="AE1297" s="8"/>
      <c r="AG1297" s="30"/>
      <c r="AI1297" s="30"/>
      <c r="AJ1297" s="21"/>
      <c r="AR1297" s="40"/>
      <c r="AT1297" s="40"/>
      <c r="AV1297" s="18"/>
      <c r="AX1297" s="18"/>
      <c r="AY1297" s="18"/>
      <c r="BF1297" s="18"/>
      <c r="BI1297" s="18"/>
      <c r="BT1297" s="18"/>
      <c r="BX1297" s="18"/>
      <c r="CC1297" s="18"/>
      <c r="CN1297" s="18"/>
      <c r="CY1297" s="34"/>
    </row>
    <row r="1298" spans="4:103" x14ac:dyDescent="0.25">
      <c r="D1298" s="12"/>
      <c r="E1298" s="14"/>
      <c r="H1298" s="16"/>
      <c r="I1298" s="11"/>
      <c r="J1298" s="33"/>
      <c r="K1298" s="33"/>
      <c r="L1298" s="8"/>
      <c r="AE1298" s="8"/>
      <c r="AG1298" s="30"/>
      <c r="AI1298" s="30"/>
      <c r="AJ1298" s="21"/>
      <c r="AR1298" s="40"/>
      <c r="AT1298" s="40"/>
      <c r="AV1298" s="18"/>
      <c r="AX1298" s="18"/>
      <c r="AY1298" s="18"/>
      <c r="BF1298" s="18"/>
      <c r="BI1298" s="18"/>
      <c r="BT1298" s="18"/>
      <c r="BX1298" s="18"/>
      <c r="CC1298" s="18"/>
      <c r="CN1298" s="18"/>
      <c r="CY1298" s="34"/>
    </row>
    <row r="1299" spans="4:103" x14ac:dyDescent="0.25">
      <c r="D1299" s="12"/>
      <c r="E1299" s="14"/>
      <c r="H1299" s="16"/>
      <c r="I1299" s="11"/>
      <c r="J1299" s="33"/>
      <c r="K1299" s="33"/>
      <c r="L1299" s="8"/>
      <c r="AE1299" s="8"/>
      <c r="AG1299" s="30"/>
      <c r="AI1299" s="30"/>
      <c r="AJ1299" s="21"/>
      <c r="AR1299" s="40"/>
      <c r="AT1299" s="40"/>
      <c r="AV1299" s="18"/>
      <c r="AX1299" s="18"/>
      <c r="AY1299" s="18"/>
      <c r="BF1299" s="18"/>
      <c r="BI1299" s="18"/>
      <c r="BT1299" s="18"/>
      <c r="BX1299" s="18"/>
      <c r="CC1299" s="18"/>
      <c r="CN1299" s="18"/>
      <c r="CY1299" s="34"/>
    </row>
    <row r="1300" spans="4:103" x14ac:dyDescent="0.25">
      <c r="D1300" s="12"/>
      <c r="E1300" s="14"/>
      <c r="H1300" s="16"/>
      <c r="I1300" s="11"/>
      <c r="J1300" s="33"/>
      <c r="K1300" s="33"/>
      <c r="L1300" s="8"/>
      <c r="AE1300" s="8"/>
      <c r="AG1300" s="30"/>
      <c r="AI1300" s="30"/>
      <c r="AJ1300" s="21"/>
      <c r="AR1300" s="40"/>
      <c r="AT1300" s="40"/>
      <c r="AV1300" s="18"/>
      <c r="AX1300" s="18"/>
      <c r="AY1300" s="18"/>
      <c r="BF1300" s="18"/>
      <c r="BI1300" s="18"/>
      <c r="BT1300" s="18"/>
      <c r="BX1300" s="18"/>
      <c r="CC1300" s="18"/>
      <c r="CN1300" s="18"/>
      <c r="CY1300" s="34"/>
    </row>
    <row r="1301" spans="4:103" x14ac:dyDescent="0.25">
      <c r="D1301" s="12"/>
      <c r="E1301" s="14"/>
      <c r="H1301" s="16"/>
      <c r="I1301" s="11"/>
      <c r="J1301" s="33"/>
      <c r="K1301" s="33"/>
      <c r="L1301" s="8"/>
      <c r="AE1301" s="8"/>
      <c r="AG1301" s="30"/>
      <c r="AI1301" s="30"/>
      <c r="AJ1301" s="21"/>
      <c r="AR1301" s="40"/>
      <c r="AT1301" s="40"/>
      <c r="AV1301" s="18"/>
      <c r="AX1301" s="18"/>
      <c r="AY1301" s="18"/>
      <c r="BF1301" s="18"/>
      <c r="BI1301" s="18"/>
      <c r="BT1301" s="18"/>
      <c r="BX1301" s="18"/>
      <c r="CC1301" s="18"/>
      <c r="CN1301" s="18"/>
      <c r="CY1301" s="34"/>
    </row>
    <row r="1302" spans="4:103" x14ac:dyDescent="0.25">
      <c r="D1302" s="12"/>
      <c r="E1302" s="14"/>
      <c r="H1302" s="16"/>
      <c r="I1302" s="11"/>
      <c r="J1302" s="33"/>
      <c r="K1302" s="33"/>
      <c r="L1302" s="8"/>
      <c r="AE1302" s="8"/>
      <c r="AG1302" s="30"/>
      <c r="AI1302" s="30"/>
      <c r="AJ1302" s="21"/>
      <c r="AR1302" s="40"/>
      <c r="AT1302" s="40"/>
      <c r="AV1302" s="18"/>
      <c r="AX1302" s="18"/>
      <c r="AY1302" s="18"/>
      <c r="BF1302" s="18"/>
      <c r="BI1302" s="18"/>
      <c r="BT1302" s="18"/>
      <c r="BX1302" s="18"/>
      <c r="CC1302" s="18"/>
      <c r="CN1302" s="18"/>
      <c r="CY1302" s="34"/>
    </row>
    <row r="1303" spans="4:103" x14ac:dyDescent="0.25">
      <c r="D1303" s="12"/>
      <c r="E1303" s="14"/>
      <c r="H1303" s="16"/>
      <c r="I1303" s="11"/>
      <c r="J1303" s="33"/>
      <c r="K1303" s="33"/>
      <c r="L1303" s="8"/>
      <c r="AE1303" s="8"/>
      <c r="AG1303" s="30"/>
      <c r="AI1303" s="30"/>
      <c r="AJ1303" s="21"/>
      <c r="AR1303" s="40"/>
      <c r="AT1303" s="40"/>
      <c r="AV1303" s="18"/>
      <c r="AX1303" s="18"/>
      <c r="AY1303" s="18"/>
      <c r="BF1303" s="18"/>
      <c r="BI1303" s="18"/>
      <c r="BT1303" s="18"/>
      <c r="BX1303" s="18"/>
      <c r="CC1303" s="18"/>
      <c r="CN1303" s="18"/>
      <c r="CY1303" s="34"/>
    </row>
    <row r="1304" spans="4:103" x14ac:dyDescent="0.25">
      <c r="D1304" s="12"/>
      <c r="E1304" s="14"/>
      <c r="H1304" s="16"/>
      <c r="I1304" s="11"/>
      <c r="J1304" s="33"/>
      <c r="K1304" s="33"/>
      <c r="L1304" s="8"/>
      <c r="AE1304" s="8"/>
      <c r="AG1304" s="30"/>
      <c r="AI1304" s="30"/>
      <c r="AJ1304" s="21"/>
      <c r="AR1304" s="40"/>
      <c r="AT1304" s="40"/>
      <c r="AV1304" s="18"/>
      <c r="AX1304" s="18"/>
      <c r="AY1304" s="18"/>
      <c r="BF1304" s="18"/>
      <c r="BI1304" s="18"/>
      <c r="BT1304" s="18"/>
      <c r="BX1304" s="18"/>
      <c r="CC1304" s="18"/>
      <c r="CN1304" s="18"/>
      <c r="CY1304" s="34"/>
    </row>
    <row r="1305" spans="4:103" x14ac:dyDescent="0.25">
      <c r="D1305" s="12"/>
      <c r="E1305" s="14"/>
      <c r="H1305" s="16"/>
      <c r="I1305" s="11"/>
      <c r="J1305" s="33"/>
      <c r="K1305" s="33"/>
      <c r="L1305" s="8"/>
      <c r="AE1305" s="8"/>
      <c r="AG1305" s="30"/>
      <c r="AI1305" s="30"/>
      <c r="AJ1305" s="21"/>
      <c r="AR1305" s="40"/>
      <c r="AT1305" s="40"/>
      <c r="AV1305" s="18"/>
      <c r="AX1305" s="18"/>
      <c r="AY1305" s="18"/>
      <c r="BF1305" s="18"/>
      <c r="BI1305" s="18"/>
      <c r="BT1305" s="18"/>
      <c r="BX1305" s="18"/>
      <c r="CC1305" s="18"/>
      <c r="CN1305" s="18"/>
      <c r="CY1305" s="34"/>
    </row>
    <row r="1306" spans="4:103" x14ac:dyDescent="0.25">
      <c r="D1306" s="12"/>
      <c r="E1306" s="14"/>
      <c r="H1306" s="16"/>
      <c r="I1306" s="11"/>
      <c r="J1306" s="33"/>
      <c r="K1306" s="33"/>
      <c r="L1306" s="8"/>
      <c r="AE1306" s="8"/>
      <c r="AG1306" s="30"/>
      <c r="AI1306" s="30"/>
      <c r="AJ1306" s="21"/>
      <c r="AR1306" s="40"/>
      <c r="AT1306" s="40"/>
      <c r="AV1306" s="18"/>
      <c r="AX1306" s="18"/>
      <c r="AY1306" s="18"/>
      <c r="BF1306" s="18"/>
      <c r="BI1306" s="18"/>
      <c r="BT1306" s="18"/>
      <c r="BX1306" s="18"/>
      <c r="CC1306" s="18"/>
      <c r="CN1306" s="18"/>
      <c r="CY1306" s="34"/>
    </row>
    <row r="1307" spans="4:103" x14ac:dyDescent="0.25">
      <c r="D1307" s="12"/>
      <c r="E1307" s="14"/>
      <c r="H1307" s="16"/>
      <c r="I1307" s="11"/>
      <c r="J1307" s="33"/>
      <c r="K1307" s="33"/>
      <c r="L1307" s="8"/>
      <c r="AE1307" s="8"/>
      <c r="AG1307" s="30"/>
      <c r="AI1307" s="30"/>
      <c r="AJ1307" s="21"/>
      <c r="AR1307" s="40"/>
      <c r="AT1307" s="40"/>
      <c r="AV1307" s="18"/>
      <c r="AX1307" s="18"/>
      <c r="AY1307" s="18"/>
      <c r="BF1307" s="18"/>
      <c r="BI1307" s="18"/>
      <c r="BT1307" s="18"/>
      <c r="BX1307" s="18"/>
      <c r="CC1307" s="18"/>
      <c r="CN1307" s="18"/>
      <c r="CY1307" s="34"/>
    </row>
    <row r="1308" spans="4:103" x14ac:dyDescent="0.25">
      <c r="D1308" s="12"/>
      <c r="E1308" s="14"/>
      <c r="H1308" s="16"/>
      <c r="I1308" s="11"/>
      <c r="J1308" s="33"/>
      <c r="K1308" s="33"/>
      <c r="L1308" s="8"/>
      <c r="AE1308" s="8"/>
      <c r="AG1308" s="30"/>
      <c r="AI1308" s="30"/>
      <c r="AJ1308" s="21"/>
      <c r="AR1308" s="40"/>
      <c r="AT1308" s="40"/>
      <c r="AV1308" s="18"/>
      <c r="AX1308" s="18"/>
      <c r="AY1308" s="18"/>
      <c r="BF1308" s="18"/>
      <c r="BI1308" s="18"/>
      <c r="BT1308" s="18"/>
      <c r="BX1308" s="18"/>
      <c r="CC1308" s="18"/>
      <c r="CN1308" s="18"/>
      <c r="CY1308" s="34"/>
    </row>
    <row r="1309" spans="4:103" x14ac:dyDescent="0.25">
      <c r="D1309" s="12"/>
      <c r="E1309" s="14"/>
      <c r="H1309" s="16"/>
      <c r="I1309" s="11"/>
      <c r="J1309" s="33"/>
      <c r="K1309" s="33"/>
      <c r="L1309" s="8"/>
      <c r="AE1309" s="8"/>
      <c r="AG1309" s="30"/>
      <c r="AI1309" s="30"/>
      <c r="AJ1309" s="21"/>
      <c r="AR1309" s="40"/>
      <c r="AT1309" s="40"/>
      <c r="AV1309" s="18"/>
      <c r="AX1309" s="18"/>
      <c r="AY1309" s="18"/>
      <c r="BF1309" s="18"/>
      <c r="BI1309" s="18"/>
      <c r="BT1309" s="18"/>
      <c r="BX1309" s="18"/>
      <c r="CC1309" s="18"/>
      <c r="CN1309" s="18"/>
      <c r="CY1309" s="34"/>
    </row>
    <row r="1310" spans="4:103" x14ac:dyDescent="0.25">
      <c r="D1310" s="12"/>
      <c r="E1310" s="14"/>
      <c r="H1310" s="16"/>
      <c r="I1310" s="11"/>
      <c r="J1310" s="33"/>
      <c r="K1310" s="33"/>
      <c r="L1310" s="8"/>
      <c r="AE1310" s="8"/>
      <c r="AG1310" s="30"/>
      <c r="AI1310" s="30"/>
      <c r="AJ1310" s="21"/>
      <c r="AR1310" s="40"/>
      <c r="AT1310" s="40"/>
      <c r="AV1310" s="18"/>
      <c r="AX1310" s="18"/>
      <c r="AY1310" s="18"/>
      <c r="BF1310" s="18"/>
      <c r="BI1310" s="18"/>
      <c r="BT1310" s="18"/>
      <c r="BX1310" s="18"/>
      <c r="CC1310" s="18"/>
      <c r="CN1310" s="18"/>
      <c r="CY1310" s="34"/>
    </row>
    <row r="1311" spans="4:103" x14ac:dyDescent="0.25">
      <c r="D1311" s="12"/>
      <c r="E1311" s="14"/>
      <c r="H1311" s="16"/>
      <c r="I1311" s="11"/>
      <c r="J1311" s="33"/>
      <c r="K1311" s="33"/>
      <c r="L1311" s="8"/>
      <c r="AE1311" s="8"/>
      <c r="AG1311" s="30"/>
      <c r="AI1311" s="30"/>
      <c r="AJ1311" s="21"/>
      <c r="AR1311" s="40"/>
      <c r="AT1311" s="40"/>
      <c r="AV1311" s="18"/>
      <c r="AX1311" s="18"/>
      <c r="AY1311" s="18"/>
      <c r="BF1311" s="18"/>
      <c r="BI1311" s="18"/>
      <c r="BT1311" s="18"/>
      <c r="BX1311" s="18"/>
      <c r="CC1311" s="18"/>
      <c r="CN1311" s="18"/>
      <c r="CY1311" s="34"/>
    </row>
    <row r="1312" spans="4:103" x14ac:dyDescent="0.25">
      <c r="D1312" s="12"/>
      <c r="E1312" s="14"/>
      <c r="H1312" s="16"/>
      <c r="I1312" s="11"/>
      <c r="J1312" s="33"/>
      <c r="K1312" s="33"/>
      <c r="L1312" s="8"/>
      <c r="AE1312" s="8"/>
      <c r="AG1312" s="30"/>
      <c r="AI1312" s="30"/>
      <c r="AJ1312" s="21"/>
      <c r="AR1312" s="40"/>
      <c r="AT1312" s="40"/>
      <c r="AV1312" s="18"/>
      <c r="AX1312" s="18"/>
      <c r="AY1312" s="18"/>
      <c r="BF1312" s="18"/>
      <c r="BI1312" s="18"/>
      <c r="BT1312" s="18"/>
      <c r="BX1312" s="18"/>
      <c r="CC1312" s="18"/>
      <c r="CN1312" s="18"/>
      <c r="CY1312" s="34"/>
    </row>
    <row r="1313" spans="4:103" x14ac:dyDescent="0.25">
      <c r="D1313" s="12"/>
      <c r="E1313" s="14"/>
      <c r="H1313" s="16"/>
      <c r="I1313" s="11"/>
      <c r="J1313" s="33"/>
      <c r="K1313" s="33"/>
      <c r="L1313" s="8"/>
      <c r="AE1313" s="8"/>
      <c r="AG1313" s="30"/>
      <c r="AI1313" s="30"/>
      <c r="AJ1313" s="21"/>
      <c r="AR1313" s="40"/>
      <c r="AT1313" s="40"/>
      <c r="AV1313" s="18"/>
      <c r="AX1313" s="18"/>
      <c r="AY1313" s="18"/>
      <c r="BF1313" s="18"/>
      <c r="BI1313" s="18"/>
      <c r="BT1313" s="18"/>
      <c r="BX1313" s="18"/>
      <c r="CC1313" s="18"/>
      <c r="CN1313" s="18"/>
      <c r="CY1313" s="34"/>
    </row>
    <row r="1314" spans="4:103" x14ac:dyDescent="0.25">
      <c r="D1314" s="12"/>
      <c r="E1314" s="14"/>
      <c r="H1314" s="16"/>
      <c r="I1314" s="11"/>
      <c r="J1314" s="33"/>
      <c r="K1314" s="33"/>
      <c r="L1314" s="8"/>
      <c r="AE1314" s="8"/>
      <c r="AG1314" s="30"/>
      <c r="AI1314" s="30"/>
      <c r="AJ1314" s="21"/>
      <c r="AR1314" s="40"/>
      <c r="AT1314" s="40"/>
      <c r="AV1314" s="18"/>
      <c r="AX1314" s="18"/>
      <c r="AY1314" s="18"/>
      <c r="BF1314" s="18"/>
      <c r="BI1314" s="18"/>
      <c r="BT1314" s="18"/>
      <c r="BX1314" s="18"/>
      <c r="CC1314" s="18"/>
      <c r="CN1314" s="18"/>
      <c r="CY1314" s="34"/>
    </row>
    <row r="1315" spans="4:103" x14ac:dyDescent="0.25">
      <c r="D1315" s="12"/>
      <c r="E1315" s="14"/>
      <c r="H1315" s="16"/>
      <c r="I1315" s="11"/>
      <c r="J1315" s="33"/>
      <c r="K1315" s="33"/>
      <c r="L1315" s="8"/>
      <c r="AE1315" s="8"/>
      <c r="AG1315" s="30"/>
      <c r="AI1315" s="30"/>
      <c r="AJ1315" s="21"/>
      <c r="AR1315" s="40"/>
      <c r="AT1315" s="40"/>
      <c r="AV1315" s="18"/>
      <c r="AX1315" s="18"/>
      <c r="AY1315" s="18"/>
      <c r="BF1315" s="18"/>
      <c r="BI1315" s="18"/>
      <c r="BT1315" s="18"/>
      <c r="BX1315" s="18"/>
      <c r="CC1315" s="18"/>
      <c r="CN1315" s="18"/>
      <c r="CY1315" s="34"/>
    </row>
    <row r="1316" spans="4:103" x14ac:dyDescent="0.25">
      <c r="D1316" s="12"/>
      <c r="E1316" s="14"/>
      <c r="H1316" s="16"/>
      <c r="I1316" s="11"/>
      <c r="J1316" s="33"/>
      <c r="K1316" s="33"/>
      <c r="L1316" s="8"/>
      <c r="AE1316" s="8"/>
      <c r="AG1316" s="30"/>
      <c r="AI1316" s="30"/>
      <c r="AJ1316" s="21"/>
      <c r="AR1316" s="40"/>
      <c r="AT1316" s="40"/>
      <c r="AV1316" s="18"/>
      <c r="AX1316" s="18"/>
      <c r="AY1316" s="18"/>
      <c r="BF1316" s="18"/>
      <c r="BI1316" s="18"/>
      <c r="BT1316" s="18"/>
      <c r="BX1316" s="18"/>
      <c r="CC1316" s="18"/>
      <c r="CN1316" s="18"/>
      <c r="CY1316" s="34"/>
    </row>
    <row r="1317" spans="4:103" x14ac:dyDescent="0.25">
      <c r="D1317" s="12"/>
      <c r="E1317" s="14"/>
      <c r="H1317" s="16"/>
      <c r="I1317" s="11"/>
      <c r="J1317" s="33"/>
      <c r="K1317" s="33"/>
      <c r="L1317" s="8"/>
      <c r="AE1317" s="8"/>
      <c r="AG1317" s="30"/>
      <c r="AI1317" s="30"/>
      <c r="AJ1317" s="21"/>
      <c r="AR1317" s="40"/>
      <c r="AT1317" s="40"/>
      <c r="AV1317" s="18"/>
      <c r="AX1317" s="18"/>
      <c r="AY1317" s="18"/>
      <c r="BF1317" s="18"/>
      <c r="BI1317" s="18"/>
      <c r="BT1317" s="18"/>
      <c r="BX1317" s="18"/>
      <c r="CC1317" s="18"/>
      <c r="CN1317" s="18"/>
      <c r="CY1317" s="34"/>
    </row>
    <row r="1318" spans="4:103" x14ac:dyDescent="0.25">
      <c r="D1318" s="12"/>
      <c r="E1318" s="14"/>
      <c r="H1318" s="16"/>
      <c r="I1318" s="11"/>
      <c r="J1318" s="33"/>
      <c r="K1318" s="33"/>
      <c r="L1318" s="8"/>
      <c r="AE1318" s="8"/>
      <c r="AG1318" s="30"/>
      <c r="AI1318" s="30"/>
      <c r="AJ1318" s="21"/>
      <c r="AR1318" s="40"/>
      <c r="AT1318" s="40"/>
      <c r="AV1318" s="18"/>
      <c r="AX1318" s="18"/>
      <c r="AY1318" s="18"/>
      <c r="BF1318" s="18"/>
      <c r="BI1318" s="18"/>
      <c r="BT1318" s="18"/>
      <c r="BX1318" s="18"/>
      <c r="CC1318" s="18"/>
      <c r="CN1318" s="18"/>
      <c r="CY1318" s="34"/>
    </row>
    <row r="1319" spans="4:103" x14ac:dyDescent="0.25">
      <c r="D1319" s="12"/>
      <c r="E1319" s="14"/>
      <c r="H1319" s="16"/>
      <c r="I1319" s="11"/>
      <c r="J1319" s="33"/>
      <c r="K1319" s="33"/>
      <c r="L1319" s="8"/>
      <c r="AE1319" s="8"/>
      <c r="AG1319" s="30"/>
      <c r="AI1319" s="30"/>
      <c r="AJ1319" s="21"/>
      <c r="AR1319" s="40"/>
      <c r="AT1319" s="40"/>
      <c r="AV1319" s="18"/>
      <c r="AX1319" s="18"/>
      <c r="AY1319" s="18"/>
      <c r="BF1319" s="18"/>
      <c r="BI1319" s="18"/>
      <c r="BT1319" s="18"/>
      <c r="BX1319" s="18"/>
      <c r="CC1319" s="18"/>
      <c r="CN1319" s="18"/>
      <c r="CY1319" s="34"/>
    </row>
    <row r="1320" spans="4:103" x14ac:dyDescent="0.25">
      <c r="D1320" s="12"/>
      <c r="E1320" s="14"/>
      <c r="H1320" s="16"/>
      <c r="I1320" s="11"/>
      <c r="J1320" s="33"/>
      <c r="K1320" s="33"/>
      <c r="L1320" s="8"/>
      <c r="AE1320" s="8"/>
      <c r="AG1320" s="30"/>
      <c r="AI1320" s="30"/>
      <c r="AJ1320" s="21"/>
      <c r="AR1320" s="40"/>
      <c r="AT1320" s="40"/>
      <c r="AV1320" s="18"/>
      <c r="AX1320" s="18"/>
      <c r="AY1320" s="18"/>
      <c r="BF1320" s="18"/>
      <c r="BI1320" s="18"/>
      <c r="BT1320" s="18"/>
      <c r="BX1320" s="18"/>
      <c r="CC1320" s="18"/>
      <c r="CN1320" s="18"/>
      <c r="CY1320" s="34"/>
    </row>
    <row r="1321" spans="4:103" x14ac:dyDescent="0.25">
      <c r="D1321" s="12"/>
      <c r="E1321" s="14"/>
      <c r="H1321" s="16"/>
      <c r="I1321" s="11"/>
      <c r="J1321" s="33"/>
      <c r="K1321" s="33"/>
      <c r="L1321" s="8"/>
      <c r="AE1321" s="8"/>
      <c r="AG1321" s="30"/>
      <c r="AI1321" s="30"/>
      <c r="AJ1321" s="21"/>
      <c r="AR1321" s="40"/>
      <c r="AT1321" s="40"/>
      <c r="AV1321" s="18"/>
      <c r="AX1321" s="18"/>
      <c r="AY1321" s="18"/>
      <c r="BF1321" s="18"/>
      <c r="BI1321" s="18"/>
      <c r="BT1321" s="18"/>
      <c r="BX1321" s="18"/>
      <c r="CC1321" s="18"/>
      <c r="CN1321" s="18"/>
      <c r="CY1321" s="34"/>
    </row>
    <row r="1322" spans="4:103" x14ac:dyDescent="0.25">
      <c r="D1322" s="12"/>
      <c r="E1322" s="14"/>
      <c r="H1322" s="16"/>
      <c r="I1322" s="11"/>
      <c r="J1322" s="33"/>
      <c r="K1322" s="33"/>
      <c r="L1322" s="8"/>
      <c r="AE1322" s="8"/>
      <c r="AG1322" s="30"/>
      <c r="AI1322" s="30"/>
      <c r="AJ1322" s="21"/>
      <c r="AR1322" s="40"/>
      <c r="AT1322" s="40"/>
      <c r="AV1322" s="18"/>
      <c r="AX1322" s="18"/>
      <c r="AY1322" s="18"/>
      <c r="BF1322" s="18"/>
      <c r="BI1322" s="18"/>
      <c r="BT1322" s="18"/>
      <c r="BX1322" s="18"/>
      <c r="CC1322" s="18"/>
      <c r="CN1322" s="18"/>
      <c r="CY1322" s="34"/>
    </row>
    <row r="1323" spans="4:103" x14ac:dyDescent="0.25">
      <c r="D1323" s="12"/>
      <c r="E1323" s="14"/>
      <c r="H1323" s="16"/>
      <c r="I1323" s="11"/>
      <c r="J1323" s="33"/>
      <c r="K1323" s="33"/>
      <c r="L1323" s="8"/>
      <c r="AE1323" s="8"/>
      <c r="AG1323" s="30"/>
      <c r="AI1323" s="30"/>
      <c r="AJ1323" s="21"/>
      <c r="AR1323" s="40"/>
      <c r="AT1323" s="40"/>
      <c r="AV1323" s="18"/>
      <c r="AX1323" s="18"/>
      <c r="AY1323" s="18"/>
      <c r="BF1323" s="18"/>
      <c r="BI1323" s="18"/>
      <c r="BT1323" s="18"/>
      <c r="BX1323" s="18"/>
      <c r="CC1323" s="18"/>
      <c r="CN1323" s="18"/>
      <c r="CY1323" s="34"/>
    </row>
    <row r="1324" spans="4:103" x14ac:dyDescent="0.25">
      <c r="D1324" s="12"/>
      <c r="E1324" s="14"/>
      <c r="H1324" s="16"/>
      <c r="I1324" s="11"/>
      <c r="J1324" s="33"/>
      <c r="K1324" s="33"/>
      <c r="L1324" s="8"/>
      <c r="AE1324" s="8"/>
      <c r="AG1324" s="30"/>
      <c r="AI1324" s="30"/>
      <c r="AJ1324" s="21"/>
      <c r="AR1324" s="40"/>
      <c r="AT1324" s="40"/>
      <c r="AV1324" s="18"/>
      <c r="AX1324" s="18"/>
      <c r="AY1324" s="18"/>
      <c r="BF1324" s="18"/>
      <c r="BI1324" s="18"/>
      <c r="BT1324" s="18"/>
      <c r="BX1324" s="18"/>
      <c r="CC1324" s="18"/>
      <c r="CN1324" s="18"/>
      <c r="CY1324" s="34"/>
    </row>
    <row r="1325" spans="4:103" x14ac:dyDescent="0.25">
      <c r="D1325" s="12"/>
      <c r="E1325" s="14"/>
      <c r="H1325" s="16"/>
      <c r="I1325" s="11"/>
      <c r="J1325" s="33"/>
      <c r="K1325" s="33"/>
      <c r="L1325" s="8"/>
      <c r="AE1325" s="8"/>
      <c r="AG1325" s="30"/>
      <c r="AI1325" s="30"/>
      <c r="AJ1325" s="21"/>
      <c r="AR1325" s="40"/>
      <c r="AT1325" s="40"/>
      <c r="AV1325" s="18"/>
      <c r="AX1325" s="18"/>
      <c r="AY1325" s="18"/>
      <c r="BF1325" s="18"/>
      <c r="BI1325" s="18"/>
      <c r="BT1325" s="18"/>
      <c r="BX1325" s="18"/>
      <c r="CC1325" s="18"/>
      <c r="CN1325" s="18"/>
      <c r="CY1325" s="34"/>
    </row>
    <row r="1326" spans="4:103" x14ac:dyDescent="0.25">
      <c r="D1326" s="12"/>
      <c r="E1326" s="14"/>
      <c r="H1326" s="16"/>
      <c r="I1326" s="11"/>
      <c r="J1326" s="33"/>
      <c r="K1326" s="33"/>
      <c r="L1326" s="8"/>
      <c r="AE1326" s="8"/>
      <c r="AG1326" s="30"/>
      <c r="AI1326" s="30"/>
      <c r="AJ1326" s="21"/>
      <c r="AR1326" s="40"/>
      <c r="AT1326" s="40"/>
      <c r="AV1326" s="18"/>
      <c r="AX1326" s="18"/>
      <c r="AY1326" s="18"/>
      <c r="BF1326" s="18"/>
      <c r="BI1326" s="18"/>
      <c r="BT1326" s="18"/>
      <c r="BX1326" s="18"/>
      <c r="CC1326" s="18"/>
      <c r="CN1326" s="18"/>
      <c r="CY1326" s="34"/>
    </row>
    <row r="1327" spans="4:103" x14ac:dyDescent="0.25">
      <c r="D1327" s="12"/>
      <c r="E1327" s="14"/>
      <c r="H1327" s="16"/>
      <c r="I1327" s="11"/>
      <c r="J1327" s="33"/>
      <c r="K1327" s="33"/>
      <c r="L1327" s="8"/>
      <c r="AE1327" s="8"/>
      <c r="AG1327" s="30"/>
      <c r="AI1327" s="30"/>
      <c r="AJ1327" s="21"/>
      <c r="AR1327" s="40"/>
      <c r="AT1327" s="40"/>
      <c r="AV1327" s="18"/>
      <c r="AX1327" s="18"/>
      <c r="AY1327" s="18"/>
      <c r="BF1327" s="18"/>
      <c r="BI1327" s="18"/>
      <c r="BT1327" s="18"/>
      <c r="BX1327" s="18"/>
      <c r="CC1327" s="18"/>
      <c r="CN1327" s="18"/>
      <c r="CY1327" s="34"/>
    </row>
    <row r="1328" spans="4:103" x14ac:dyDescent="0.25">
      <c r="D1328" s="12"/>
      <c r="E1328" s="14"/>
      <c r="H1328" s="16"/>
      <c r="I1328" s="11"/>
      <c r="J1328" s="33"/>
      <c r="K1328" s="33"/>
      <c r="L1328" s="8"/>
      <c r="AE1328" s="8"/>
      <c r="AG1328" s="30"/>
      <c r="AI1328" s="30"/>
      <c r="AJ1328" s="21"/>
      <c r="AR1328" s="40"/>
      <c r="AT1328" s="40"/>
      <c r="AV1328" s="18"/>
      <c r="AX1328" s="18"/>
      <c r="AY1328" s="18"/>
      <c r="BF1328" s="18"/>
      <c r="BI1328" s="18"/>
      <c r="BT1328" s="18"/>
      <c r="BX1328" s="18"/>
      <c r="CC1328" s="18"/>
      <c r="CN1328" s="18"/>
      <c r="CY1328" s="34"/>
    </row>
    <row r="1329" spans="4:103" x14ac:dyDescent="0.25">
      <c r="D1329" s="12"/>
      <c r="E1329" s="14"/>
      <c r="H1329" s="16"/>
      <c r="I1329" s="11"/>
      <c r="J1329" s="33"/>
      <c r="K1329" s="33"/>
      <c r="L1329" s="8"/>
      <c r="AE1329" s="8"/>
      <c r="AG1329" s="30"/>
      <c r="AI1329" s="30"/>
      <c r="AJ1329" s="21"/>
      <c r="AR1329" s="40"/>
      <c r="AT1329" s="40"/>
      <c r="AV1329" s="18"/>
      <c r="AX1329" s="18"/>
      <c r="AY1329" s="18"/>
      <c r="BF1329" s="18"/>
      <c r="BI1329" s="18"/>
      <c r="BT1329" s="18"/>
      <c r="BX1329" s="18"/>
      <c r="CC1329" s="18"/>
      <c r="CN1329" s="18"/>
      <c r="CY1329" s="34"/>
    </row>
    <row r="1330" spans="4:103" x14ac:dyDescent="0.25">
      <c r="D1330" s="12"/>
      <c r="E1330" s="14"/>
      <c r="H1330" s="16"/>
      <c r="I1330" s="11"/>
      <c r="J1330" s="33"/>
      <c r="K1330" s="33"/>
      <c r="L1330" s="8"/>
      <c r="AE1330" s="8"/>
      <c r="AG1330" s="30"/>
      <c r="AI1330" s="30"/>
      <c r="AJ1330" s="21"/>
      <c r="AR1330" s="40"/>
      <c r="AT1330" s="40"/>
      <c r="AV1330" s="18"/>
      <c r="AX1330" s="18"/>
      <c r="AY1330" s="18"/>
      <c r="BF1330" s="18"/>
      <c r="BI1330" s="18"/>
      <c r="BT1330" s="18"/>
      <c r="BX1330" s="18"/>
      <c r="CC1330" s="18"/>
      <c r="CN1330" s="18"/>
      <c r="CY1330" s="34"/>
    </row>
    <row r="1331" spans="4:103" x14ac:dyDescent="0.25">
      <c r="D1331" s="12"/>
      <c r="E1331" s="14"/>
      <c r="H1331" s="16"/>
      <c r="I1331" s="11"/>
      <c r="J1331" s="33"/>
      <c r="K1331" s="33"/>
      <c r="L1331" s="8"/>
      <c r="AE1331" s="8"/>
      <c r="AG1331" s="30"/>
      <c r="AI1331" s="30"/>
      <c r="AJ1331" s="21"/>
      <c r="AR1331" s="40"/>
      <c r="AT1331" s="40"/>
      <c r="AV1331" s="18"/>
      <c r="AX1331" s="18"/>
      <c r="AY1331" s="18"/>
      <c r="BF1331" s="18"/>
      <c r="BI1331" s="18"/>
      <c r="BT1331" s="18"/>
      <c r="BX1331" s="18"/>
      <c r="CC1331" s="18"/>
      <c r="CN1331" s="18"/>
      <c r="CY1331" s="34"/>
    </row>
    <row r="1332" spans="4:103" x14ac:dyDescent="0.25">
      <c r="D1332" s="12"/>
      <c r="E1332" s="14"/>
      <c r="H1332" s="16"/>
      <c r="I1332" s="11"/>
      <c r="J1332" s="33"/>
      <c r="K1332" s="33"/>
      <c r="L1332" s="8"/>
      <c r="AE1332" s="8"/>
      <c r="AG1332" s="30"/>
      <c r="AI1332" s="30"/>
      <c r="AJ1332" s="21"/>
      <c r="AR1332" s="40"/>
      <c r="AT1332" s="40"/>
      <c r="AV1332" s="18"/>
      <c r="AX1332" s="18"/>
      <c r="AY1332" s="18"/>
      <c r="BF1332" s="18"/>
      <c r="BI1332" s="18"/>
      <c r="BT1332" s="18"/>
      <c r="BX1332" s="18"/>
      <c r="CC1332" s="18"/>
      <c r="CN1332" s="18"/>
      <c r="CY1332" s="34"/>
    </row>
    <row r="1333" spans="4:103" x14ac:dyDescent="0.25">
      <c r="D1333" s="12"/>
      <c r="E1333" s="14"/>
      <c r="H1333" s="16"/>
      <c r="I1333" s="11"/>
      <c r="J1333" s="33"/>
      <c r="K1333" s="33"/>
      <c r="L1333" s="8"/>
      <c r="AE1333" s="8"/>
      <c r="AG1333" s="30"/>
      <c r="AI1333" s="30"/>
      <c r="AJ1333" s="21"/>
      <c r="AR1333" s="40"/>
      <c r="AT1333" s="40"/>
      <c r="AV1333" s="18"/>
      <c r="AX1333" s="18"/>
      <c r="AY1333" s="18"/>
      <c r="BF1333" s="18"/>
      <c r="BI1333" s="18"/>
      <c r="BT1333" s="18"/>
      <c r="BX1333" s="18"/>
      <c r="CC1333" s="18"/>
      <c r="CN1333" s="18"/>
      <c r="CY1333" s="34"/>
    </row>
    <row r="1334" spans="4:103" x14ac:dyDescent="0.25">
      <c r="D1334" s="12"/>
      <c r="E1334" s="14"/>
      <c r="H1334" s="16"/>
      <c r="I1334" s="11"/>
      <c r="J1334" s="33"/>
      <c r="K1334" s="33"/>
      <c r="L1334" s="8"/>
      <c r="AE1334" s="8"/>
      <c r="AG1334" s="30"/>
      <c r="AI1334" s="30"/>
      <c r="AJ1334" s="21"/>
      <c r="AR1334" s="40"/>
      <c r="AT1334" s="40"/>
      <c r="AV1334" s="18"/>
      <c r="AX1334" s="18"/>
      <c r="AY1334" s="18"/>
      <c r="BF1334" s="18"/>
      <c r="BI1334" s="18"/>
      <c r="BT1334" s="18"/>
      <c r="BX1334" s="18"/>
      <c r="CC1334" s="18"/>
      <c r="CN1334" s="18"/>
      <c r="CY1334" s="34"/>
    </row>
    <row r="1335" spans="4:103" x14ac:dyDescent="0.25">
      <c r="D1335" s="12"/>
      <c r="E1335" s="14"/>
      <c r="H1335" s="16"/>
      <c r="I1335" s="11"/>
      <c r="J1335" s="33"/>
      <c r="K1335" s="33"/>
      <c r="L1335" s="8"/>
      <c r="AE1335" s="8"/>
      <c r="AG1335" s="30"/>
      <c r="AI1335" s="30"/>
      <c r="AJ1335" s="21"/>
      <c r="AR1335" s="40"/>
      <c r="AT1335" s="40"/>
      <c r="AV1335" s="18"/>
      <c r="AX1335" s="18"/>
      <c r="AY1335" s="18"/>
      <c r="BF1335" s="18"/>
      <c r="BI1335" s="18"/>
      <c r="BT1335" s="18"/>
      <c r="BX1335" s="18"/>
      <c r="CC1335" s="18"/>
      <c r="CN1335" s="18"/>
      <c r="CY1335" s="34"/>
    </row>
    <row r="1336" spans="4:103" x14ac:dyDescent="0.25">
      <c r="D1336" s="12"/>
      <c r="E1336" s="14"/>
      <c r="H1336" s="16"/>
      <c r="I1336" s="11"/>
      <c r="J1336" s="33"/>
      <c r="K1336" s="33"/>
      <c r="L1336" s="8"/>
      <c r="AE1336" s="8"/>
      <c r="AG1336" s="30"/>
      <c r="AI1336" s="30"/>
      <c r="AJ1336" s="21"/>
      <c r="AR1336" s="40"/>
      <c r="AT1336" s="40"/>
      <c r="AV1336" s="18"/>
      <c r="AX1336" s="18"/>
      <c r="AY1336" s="18"/>
      <c r="BF1336" s="18"/>
      <c r="BI1336" s="18"/>
      <c r="BT1336" s="18"/>
      <c r="BX1336" s="18"/>
      <c r="CC1336" s="18"/>
      <c r="CN1336" s="18"/>
      <c r="CY1336" s="34"/>
    </row>
    <row r="1337" spans="4:103" x14ac:dyDescent="0.25">
      <c r="D1337" s="12"/>
      <c r="E1337" s="14"/>
      <c r="H1337" s="16"/>
      <c r="I1337" s="11"/>
      <c r="J1337" s="33"/>
      <c r="K1337" s="33"/>
      <c r="L1337" s="8"/>
      <c r="AE1337" s="8"/>
      <c r="AG1337" s="30"/>
      <c r="AI1337" s="30"/>
      <c r="AJ1337" s="21"/>
      <c r="AR1337" s="40"/>
      <c r="AT1337" s="40"/>
      <c r="AV1337" s="18"/>
      <c r="AX1337" s="18"/>
      <c r="AY1337" s="18"/>
      <c r="BF1337" s="18"/>
      <c r="BI1337" s="18"/>
      <c r="BT1337" s="18"/>
      <c r="BX1337" s="18"/>
      <c r="CC1337" s="18"/>
      <c r="CN1337" s="18"/>
      <c r="CY1337" s="34"/>
    </row>
    <row r="1338" spans="4:103" x14ac:dyDescent="0.25">
      <c r="D1338" s="12"/>
      <c r="E1338" s="14"/>
      <c r="H1338" s="16"/>
      <c r="I1338" s="11"/>
      <c r="J1338" s="33"/>
      <c r="K1338" s="33"/>
      <c r="L1338" s="8"/>
      <c r="AE1338" s="8"/>
      <c r="AG1338" s="30"/>
      <c r="AI1338" s="30"/>
      <c r="AJ1338" s="21"/>
      <c r="AR1338" s="40"/>
      <c r="AT1338" s="40"/>
      <c r="AV1338" s="18"/>
      <c r="AX1338" s="18"/>
      <c r="AY1338" s="18"/>
      <c r="BF1338" s="18"/>
      <c r="BI1338" s="18"/>
      <c r="BT1338" s="18"/>
      <c r="BX1338" s="18"/>
      <c r="CC1338" s="18"/>
      <c r="CN1338" s="18"/>
      <c r="CY1338" s="34"/>
    </row>
    <row r="1339" spans="4:103" x14ac:dyDescent="0.25">
      <c r="D1339" s="12"/>
      <c r="E1339" s="14"/>
      <c r="H1339" s="16"/>
      <c r="I1339" s="11"/>
      <c r="J1339" s="33"/>
      <c r="K1339" s="33"/>
      <c r="L1339" s="8"/>
      <c r="AE1339" s="8"/>
      <c r="AG1339" s="30"/>
      <c r="AI1339" s="30"/>
      <c r="AJ1339" s="21"/>
      <c r="AR1339" s="40"/>
      <c r="AT1339" s="40"/>
      <c r="AV1339" s="18"/>
      <c r="AX1339" s="18"/>
      <c r="AY1339" s="18"/>
      <c r="BF1339" s="18"/>
      <c r="BI1339" s="18"/>
      <c r="BT1339" s="18"/>
      <c r="BX1339" s="18"/>
      <c r="CC1339" s="18"/>
      <c r="CN1339" s="18"/>
      <c r="CY1339" s="34"/>
    </row>
    <row r="1340" spans="4:103" x14ac:dyDescent="0.25">
      <c r="D1340" s="12"/>
      <c r="E1340" s="14"/>
      <c r="H1340" s="16"/>
      <c r="I1340" s="11"/>
      <c r="J1340" s="33"/>
      <c r="K1340" s="33"/>
      <c r="L1340" s="8"/>
      <c r="AE1340" s="8"/>
      <c r="AG1340" s="30"/>
      <c r="AI1340" s="30"/>
      <c r="AJ1340" s="21"/>
      <c r="AR1340" s="40"/>
      <c r="AT1340" s="40"/>
      <c r="AV1340" s="18"/>
      <c r="AX1340" s="18"/>
      <c r="AY1340" s="18"/>
      <c r="BF1340" s="18"/>
      <c r="BI1340" s="18"/>
      <c r="BT1340" s="18"/>
      <c r="BX1340" s="18"/>
      <c r="CC1340" s="18"/>
      <c r="CN1340" s="18"/>
      <c r="CY1340" s="34"/>
    </row>
    <row r="1341" spans="4:103" x14ac:dyDescent="0.25">
      <c r="D1341" s="12"/>
      <c r="E1341" s="14"/>
      <c r="H1341" s="16"/>
      <c r="I1341" s="11"/>
      <c r="J1341" s="33"/>
      <c r="K1341" s="33"/>
      <c r="L1341" s="8"/>
      <c r="AE1341" s="8"/>
      <c r="AG1341" s="30"/>
      <c r="AI1341" s="30"/>
      <c r="AJ1341" s="21"/>
      <c r="AR1341" s="40"/>
      <c r="AT1341" s="40"/>
      <c r="AV1341" s="18"/>
      <c r="AX1341" s="18"/>
      <c r="AY1341" s="18"/>
      <c r="BF1341" s="18"/>
      <c r="BI1341" s="18"/>
      <c r="BT1341" s="18"/>
      <c r="BX1341" s="18"/>
      <c r="CC1341" s="18"/>
      <c r="CN1341" s="18"/>
      <c r="CY1341" s="34"/>
    </row>
    <row r="1342" spans="4:103" x14ac:dyDescent="0.25">
      <c r="D1342" s="12"/>
      <c r="E1342" s="14"/>
      <c r="H1342" s="16"/>
      <c r="I1342" s="11"/>
      <c r="J1342" s="33"/>
      <c r="K1342" s="33"/>
      <c r="L1342" s="8"/>
      <c r="AE1342" s="8"/>
      <c r="AG1342" s="30"/>
      <c r="AI1342" s="30"/>
      <c r="AJ1342" s="21"/>
      <c r="AR1342" s="40"/>
      <c r="AT1342" s="40"/>
      <c r="AV1342" s="18"/>
      <c r="AX1342" s="18"/>
      <c r="AY1342" s="18"/>
      <c r="BF1342" s="18"/>
      <c r="BI1342" s="18"/>
      <c r="BT1342" s="18"/>
      <c r="BX1342" s="18"/>
      <c r="CC1342" s="18"/>
      <c r="CN1342" s="18"/>
      <c r="CY1342" s="34"/>
    </row>
    <row r="1343" spans="4:103" x14ac:dyDescent="0.25">
      <c r="D1343" s="12"/>
      <c r="E1343" s="14"/>
      <c r="H1343" s="16"/>
      <c r="I1343" s="11"/>
      <c r="J1343" s="33"/>
      <c r="K1343" s="33"/>
      <c r="L1343" s="8"/>
      <c r="AE1343" s="8"/>
      <c r="AG1343" s="30"/>
      <c r="AI1343" s="30"/>
      <c r="AJ1343" s="21"/>
      <c r="AR1343" s="40"/>
      <c r="AT1343" s="40"/>
      <c r="AV1343" s="18"/>
      <c r="AX1343" s="18"/>
      <c r="AY1343" s="18"/>
      <c r="BF1343" s="18"/>
      <c r="BI1343" s="18"/>
      <c r="BT1343" s="18"/>
      <c r="BX1343" s="18"/>
      <c r="CC1343" s="18"/>
      <c r="CN1343" s="18"/>
      <c r="CY1343" s="34"/>
    </row>
    <row r="1344" spans="4:103" x14ac:dyDescent="0.25">
      <c r="D1344" s="12"/>
      <c r="E1344" s="14"/>
      <c r="H1344" s="16"/>
      <c r="I1344" s="11"/>
      <c r="J1344" s="33"/>
      <c r="K1344" s="33"/>
      <c r="L1344" s="8"/>
      <c r="AE1344" s="8"/>
      <c r="AG1344" s="30"/>
      <c r="AI1344" s="30"/>
      <c r="AJ1344" s="21"/>
      <c r="AR1344" s="40"/>
      <c r="AT1344" s="40"/>
      <c r="AV1344" s="18"/>
      <c r="AX1344" s="18"/>
      <c r="AY1344" s="18"/>
      <c r="BF1344" s="18"/>
      <c r="BI1344" s="18"/>
      <c r="BT1344" s="18"/>
      <c r="BX1344" s="18"/>
      <c r="CC1344" s="18"/>
      <c r="CN1344" s="18"/>
      <c r="CY1344" s="34"/>
    </row>
    <row r="1345" spans="4:103" x14ac:dyDescent="0.25">
      <c r="D1345" s="12"/>
      <c r="E1345" s="14"/>
      <c r="H1345" s="16"/>
      <c r="I1345" s="11"/>
      <c r="J1345" s="33"/>
      <c r="K1345" s="33"/>
      <c r="L1345" s="8"/>
      <c r="AE1345" s="8"/>
      <c r="AG1345" s="30"/>
      <c r="AI1345" s="30"/>
      <c r="AJ1345" s="21"/>
      <c r="AR1345" s="40"/>
      <c r="AT1345" s="40"/>
      <c r="AV1345" s="18"/>
      <c r="AX1345" s="18"/>
      <c r="AY1345" s="18"/>
      <c r="BF1345" s="18"/>
      <c r="BI1345" s="18"/>
      <c r="BT1345" s="18"/>
      <c r="BX1345" s="18"/>
      <c r="CC1345" s="18"/>
      <c r="CN1345" s="18"/>
      <c r="CY1345" s="34"/>
    </row>
    <row r="1346" spans="4:103" x14ac:dyDescent="0.25">
      <c r="D1346" s="12"/>
      <c r="E1346" s="14"/>
      <c r="H1346" s="16"/>
      <c r="I1346" s="11"/>
      <c r="J1346" s="33"/>
      <c r="K1346" s="33"/>
      <c r="L1346" s="8"/>
      <c r="AE1346" s="8"/>
      <c r="AG1346" s="30"/>
      <c r="AI1346" s="30"/>
      <c r="AJ1346" s="21"/>
      <c r="AR1346" s="40"/>
      <c r="AT1346" s="40"/>
      <c r="AV1346" s="18"/>
      <c r="AX1346" s="18"/>
      <c r="AY1346" s="18"/>
      <c r="BF1346" s="18"/>
      <c r="BI1346" s="18"/>
      <c r="BT1346" s="18"/>
      <c r="BX1346" s="18"/>
      <c r="CC1346" s="18"/>
      <c r="CN1346" s="18"/>
      <c r="CY1346" s="34"/>
    </row>
    <row r="1347" spans="4:103" x14ac:dyDescent="0.25">
      <c r="D1347" s="12"/>
      <c r="E1347" s="14"/>
      <c r="H1347" s="16"/>
      <c r="I1347" s="11"/>
      <c r="J1347" s="33"/>
      <c r="K1347" s="33"/>
      <c r="L1347" s="8"/>
      <c r="AE1347" s="8"/>
      <c r="AG1347" s="30"/>
      <c r="AI1347" s="30"/>
      <c r="AJ1347" s="21"/>
      <c r="AR1347" s="40"/>
      <c r="AT1347" s="40"/>
      <c r="AV1347" s="18"/>
      <c r="AX1347" s="18"/>
      <c r="AY1347" s="18"/>
      <c r="BF1347" s="18"/>
      <c r="BI1347" s="18"/>
      <c r="BT1347" s="18"/>
      <c r="BX1347" s="18"/>
      <c r="CC1347" s="18"/>
      <c r="CN1347" s="18"/>
      <c r="CY1347" s="34"/>
    </row>
    <row r="1348" spans="4:103" x14ac:dyDescent="0.25">
      <c r="D1348" s="12"/>
      <c r="E1348" s="14"/>
      <c r="H1348" s="16"/>
      <c r="I1348" s="11"/>
      <c r="J1348" s="33"/>
      <c r="K1348" s="33"/>
      <c r="L1348" s="8"/>
      <c r="AE1348" s="8"/>
      <c r="AG1348" s="30"/>
      <c r="AI1348" s="30"/>
      <c r="AJ1348" s="21"/>
      <c r="AR1348" s="40"/>
      <c r="AT1348" s="40"/>
      <c r="AV1348" s="18"/>
      <c r="AX1348" s="18"/>
      <c r="AY1348" s="18"/>
      <c r="BF1348" s="18"/>
      <c r="BI1348" s="18"/>
      <c r="BT1348" s="18"/>
      <c r="BX1348" s="18"/>
      <c r="CC1348" s="18"/>
      <c r="CN1348" s="18"/>
      <c r="CY1348" s="34"/>
    </row>
    <row r="1349" spans="4:103" x14ac:dyDescent="0.25">
      <c r="D1349" s="12"/>
      <c r="E1349" s="14"/>
      <c r="H1349" s="16"/>
      <c r="I1349" s="11"/>
      <c r="J1349" s="33"/>
      <c r="K1349" s="33"/>
      <c r="L1349" s="8"/>
      <c r="AE1349" s="8"/>
      <c r="AG1349" s="30"/>
      <c r="AI1349" s="30"/>
      <c r="AJ1349" s="21"/>
      <c r="AR1349" s="40"/>
      <c r="AT1349" s="40"/>
      <c r="AV1349" s="18"/>
      <c r="AX1349" s="18"/>
      <c r="AY1349" s="18"/>
      <c r="BF1349" s="18"/>
      <c r="BI1349" s="18"/>
      <c r="BT1349" s="18"/>
      <c r="BX1349" s="18"/>
      <c r="CC1349" s="18"/>
      <c r="CN1349" s="18"/>
      <c r="CY1349" s="34"/>
    </row>
    <row r="1350" spans="4:103" x14ac:dyDescent="0.25">
      <c r="D1350" s="12"/>
      <c r="E1350" s="14"/>
      <c r="H1350" s="16"/>
      <c r="I1350" s="11"/>
      <c r="J1350" s="33"/>
      <c r="K1350" s="33"/>
      <c r="L1350" s="8"/>
      <c r="AE1350" s="8"/>
      <c r="AG1350" s="30"/>
      <c r="AI1350" s="30"/>
      <c r="AJ1350" s="21"/>
      <c r="AR1350" s="40"/>
      <c r="AT1350" s="40"/>
      <c r="AV1350" s="18"/>
      <c r="AX1350" s="18"/>
      <c r="AY1350" s="18"/>
      <c r="BF1350" s="18"/>
      <c r="BI1350" s="18"/>
      <c r="BT1350" s="18"/>
      <c r="BX1350" s="18"/>
      <c r="CC1350" s="18"/>
      <c r="CN1350" s="18"/>
      <c r="CY1350" s="34"/>
    </row>
    <row r="1351" spans="4:103" x14ac:dyDescent="0.25">
      <c r="D1351" s="12"/>
      <c r="E1351" s="14"/>
      <c r="H1351" s="16"/>
      <c r="I1351" s="11"/>
      <c r="J1351" s="33"/>
      <c r="K1351" s="33"/>
      <c r="L1351" s="8"/>
      <c r="AE1351" s="8"/>
      <c r="AG1351" s="30"/>
      <c r="AI1351" s="30"/>
      <c r="AJ1351" s="21"/>
      <c r="AR1351" s="40"/>
      <c r="AT1351" s="40"/>
      <c r="AV1351" s="18"/>
      <c r="AX1351" s="18"/>
      <c r="AY1351" s="18"/>
      <c r="BF1351" s="18"/>
      <c r="BI1351" s="18"/>
      <c r="BT1351" s="18"/>
      <c r="BX1351" s="18"/>
      <c r="CC1351" s="18"/>
      <c r="CN1351" s="18"/>
      <c r="CY1351" s="34"/>
    </row>
    <row r="1352" spans="4:103" x14ac:dyDescent="0.25">
      <c r="D1352" s="12"/>
      <c r="E1352" s="14"/>
      <c r="H1352" s="16"/>
      <c r="I1352" s="11"/>
      <c r="J1352" s="33"/>
      <c r="K1352" s="33"/>
      <c r="L1352" s="8"/>
      <c r="AE1352" s="8"/>
      <c r="AG1352" s="30"/>
      <c r="AI1352" s="30"/>
      <c r="AJ1352" s="21"/>
      <c r="AR1352" s="40"/>
      <c r="AT1352" s="40"/>
      <c r="AV1352" s="18"/>
      <c r="AX1352" s="18"/>
      <c r="AY1352" s="18"/>
      <c r="BF1352" s="18"/>
      <c r="BI1352" s="18"/>
      <c r="BT1352" s="18"/>
      <c r="BX1352" s="18"/>
      <c r="CC1352" s="18"/>
      <c r="CN1352" s="18"/>
      <c r="CY1352" s="34"/>
    </row>
    <row r="1353" spans="4:103" x14ac:dyDescent="0.25">
      <c r="D1353" s="12"/>
      <c r="E1353" s="14"/>
      <c r="H1353" s="16"/>
      <c r="I1353" s="11"/>
      <c r="J1353" s="33"/>
      <c r="K1353" s="33"/>
      <c r="L1353" s="8"/>
      <c r="AE1353" s="8"/>
      <c r="AG1353" s="30"/>
      <c r="AI1353" s="30"/>
      <c r="AJ1353" s="21"/>
      <c r="AR1353" s="40"/>
      <c r="AT1353" s="40"/>
      <c r="AV1353" s="18"/>
      <c r="AX1353" s="18"/>
      <c r="AY1353" s="18"/>
      <c r="BF1353" s="18"/>
      <c r="BI1353" s="18"/>
      <c r="BT1353" s="18"/>
      <c r="BX1353" s="18"/>
      <c r="CC1353" s="18"/>
      <c r="CN1353" s="18"/>
      <c r="CY1353" s="34"/>
    </row>
    <row r="1354" spans="4:103" x14ac:dyDescent="0.25">
      <c r="D1354" s="12"/>
      <c r="E1354" s="14"/>
      <c r="H1354" s="16"/>
      <c r="I1354" s="11"/>
      <c r="J1354" s="33"/>
      <c r="K1354" s="33"/>
      <c r="L1354" s="8"/>
      <c r="AE1354" s="8"/>
      <c r="AG1354" s="30"/>
      <c r="AI1354" s="30"/>
      <c r="AJ1354" s="21"/>
      <c r="AR1354" s="40"/>
      <c r="AT1354" s="40"/>
      <c r="AV1354" s="18"/>
      <c r="AX1354" s="18"/>
      <c r="AY1354" s="18"/>
      <c r="BF1354" s="18"/>
      <c r="BI1354" s="18"/>
      <c r="BT1354" s="18"/>
      <c r="BX1354" s="18"/>
      <c r="CC1354" s="18"/>
      <c r="CN1354" s="18"/>
      <c r="CY1354" s="34"/>
    </row>
    <row r="1355" spans="4:103" x14ac:dyDescent="0.25">
      <c r="D1355" s="12"/>
      <c r="E1355" s="14"/>
      <c r="H1355" s="16"/>
      <c r="I1355" s="11"/>
      <c r="J1355" s="33"/>
      <c r="K1355" s="33"/>
      <c r="L1355" s="8"/>
      <c r="AE1355" s="8"/>
      <c r="AG1355" s="30"/>
      <c r="AI1355" s="30"/>
      <c r="AJ1355" s="21"/>
      <c r="AR1355" s="40"/>
      <c r="AT1355" s="40"/>
      <c r="AV1355" s="18"/>
      <c r="AX1355" s="18"/>
      <c r="AY1355" s="18"/>
      <c r="BF1355" s="18"/>
      <c r="BI1355" s="18"/>
      <c r="BT1355" s="18"/>
      <c r="BX1355" s="18"/>
      <c r="CC1355" s="18"/>
      <c r="CN1355" s="18"/>
      <c r="CY1355" s="34"/>
    </row>
    <row r="1356" spans="4:103" x14ac:dyDescent="0.25">
      <c r="D1356" s="12"/>
      <c r="E1356" s="14"/>
      <c r="H1356" s="16"/>
      <c r="I1356" s="11"/>
      <c r="J1356" s="33"/>
      <c r="K1356" s="33"/>
      <c r="L1356" s="8"/>
      <c r="AE1356" s="8"/>
      <c r="AG1356" s="30"/>
      <c r="AI1356" s="30"/>
      <c r="AJ1356" s="21"/>
      <c r="AR1356" s="40"/>
      <c r="AT1356" s="40"/>
      <c r="AV1356" s="18"/>
      <c r="AX1356" s="18"/>
      <c r="AY1356" s="18"/>
      <c r="BF1356" s="18"/>
      <c r="BI1356" s="18"/>
      <c r="BT1356" s="18"/>
      <c r="BX1356" s="18"/>
      <c r="CC1356" s="18"/>
      <c r="CN1356" s="18"/>
      <c r="CY1356" s="34"/>
    </row>
    <row r="1357" spans="4:103" x14ac:dyDescent="0.25">
      <c r="D1357" s="12"/>
      <c r="E1357" s="14"/>
      <c r="H1357" s="16"/>
      <c r="I1357" s="11"/>
      <c r="J1357" s="33"/>
      <c r="K1357" s="33"/>
      <c r="L1357" s="8"/>
      <c r="AE1357" s="8"/>
      <c r="AG1357" s="30"/>
      <c r="AI1357" s="30"/>
      <c r="AJ1357" s="21"/>
      <c r="AR1357" s="40"/>
      <c r="AT1357" s="40"/>
      <c r="AV1357" s="18"/>
      <c r="AX1357" s="18"/>
      <c r="AY1357" s="18"/>
      <c r="BF1357" s="18"/>
      <c r="BI1357" s="18"/>
      <c r="BT1357" s="18"/>
      <c r="BX1357" s="18"/>
      <c r="CC1357" s="18"/>
      <c r="CN1357" s="18"/>
      <c r="CY1357" s="34"/>
    </row>
    <row r="1358" spans="4:103" x14ac:dyDescent="0.25">
      <c r="D1358" s="12"/>
      <c r="E1358" s="14"/>
      <c r="H1358" s="16"/>
      <c r="I1358" s="11"/>
      <c r="J1358" s="33"/>
      <c r="K1358" s="33"/>
      <c r="L1358" s="8"/>
      <c r="AE1358" s="8"/>
      <c r="AG1358" s="30"/>
      <c r="AI1358" s="30"/>
      <c r="AJ1358" s="21"/>
      <c r="AR1358" s="40"/>
      <c r="AT1358" s="40"/>
      <c r="AV1358" s="18"/>
      <c r="AX1358" s="18"/>
      <c r="AY1358" s="18"/>
      <c r="BF1358" s="18"/>
      <c r="BI1358" s="18"/>
      <c r="BT1358" s="18"/>
      <c r="BX1358" s="18"/>
      <c r="CC1358" s="18"/>
      <c r="CN1358" s="18"/>
      <c r="CY1358" s="34"/>
    </row>
    <row r="1359" spans="4:103" x14ac:dyDescent="0.25">
      <c r="D1359" s="12"/>
      <c r="E1359" s="14"/>
      <c r="H1359" s="16"/>
      <c r="I1359" s="11"/>
      <c r="J1359" s="33"/>
      <c r="K1359" s="33"/>
      <c r="L1359" s="8"/>
      <c r="AE1359" s="8"/>
      <c r="AG1359" s="30"/>
      <c r="AI1359" s="30"/>
      <c r="AJ1359" s="21"/>
      <c r="AR1359" s="40"/>
      <c r="AT1359" s="40"/>
      <c r="AV1359" s="18"/>
      <c r="AX1359" s="18"/>
      <c r="AY1359" s="18"/>
      <c r="BF1359" s="18"/>
      <c r="BI1359" s="18"/>
      <c r="BT1359" s="18"/>
      <c r="BX1359" s="18"/>
      <c r="CC1359" s="18"/>
      <c r="CN1359" s="18"/>
      <c r="CY1359" s="34"/>
    </row>
    <row r="1360" spans="4:103" x14ac:dyDescent="0.25">
      <c r="D1360" s="12"/>
      <c r="E1360" s="14"/>
      <c r="H1360" s="16"/>
      <c r="I1360" s="11"/>
      <c r="J1360" s="33"/>
      <c r="K1360" s="33"/>
      <c r="L1360" s="8"/>
      <c r="AE1360" s="8"/>
      <c r="AG1360" s="30"/>
      <c r="AI1360" s="30"/>
      <c r="AJ1360" s="21"/>
      <c r="AR1360" s="40"/>
      <c r="AT1360" s="40"/>
      <c r="AV1360" s="18"/>
      <c r="AX1360" s="18"/>
      <c r="AY1360" s="18"/>
      <c r="BF1360" s="18"/>
      <c r="BI1360" s="18"/>
      <c r="BT1360" s="18"/>
      <c r="BX1360" s="18"/>
      <c r="CC1360" s="18"/>
      <c r="CN1360" s="18"/>
      <c r="CY1360" s="34"/>
    </row>
    <row r="1361" spans="4:103" x14ac:dyDescent="0.25">
      <c r="D1361" s="12"/>
      <c r="E1361" s="14"/>
      <c r="H1361" s="16"/>
      <c r="I1361" s="11"/>
      <c r="J1361" s="33"/>
      <c r="K1361" s="33"/>
      <c r="L1361" s="8"/>
      <c r="AE1361" s="8"/>
      <c r="AG1361" s="30"/>
      <c r="AI1361" s="30"/>
      <c r="AJ1361" s="21"/>
      <c r="AR1361" s="40"/>
      <c r="AT1361" s="40"/>
      <c r="AV1361" s="18"/>
      <c r="AX1361" s="18"/>
      <c r="AY1361" s="18"/>
      <c r="BF1361" s="18"/>
      <c r="BI1361" s="18"/>
      <c r="BT1361" s="18"/>
      <c r="BX1361" s="18"/>
      <c r="CC1361" s="18"/>
      <c r="CN1361" s="18"/>
      <c r="CY1361" s="34"/>
    </row>
    <row r="1362" spans="4:103" x14ac:dyDescent="0.25">
      <c r="D1362" s="12"/>
      <c r="E1362" s="14"/>
      <c r="H1362" s="16"/>
      <c r="I1362" s="11"/>
      <c r="J1362" s="33"/>
      <c r="K1362" s="33"/>
      <c r="L1362" s="8"/>
      <c r="AE1362" s="8"/>
      <c r="AG1362" s="30"/>
      <c r="AI1362" s="30"/>
      <c r="AJ1362" s="21"/>
      <c r="AR1362" s="40"/>
      <c r="AT1362" s="40"/>
      <c r="AV1362" s="18"/>
      <c r="AX1362" s="18"/>
      <c r="AY1362" s="18"/>
      <c r="BF1362" s="18"/>
      <c r="BI1362" s="18"/>
      <c r="BT1362" s="18"/>
      <c r="BX1362" s="18"/>
      <c r="CC1362" s="18"/>
      <c r="CN1362" s="18"/>
      <c r="CY1362" s="34"/>
    </row>
    <row r="1363" spans="4:103" x14ac:dyDescent="0.25">
      <c r="D1363" s="12"/>
      <c r="E1363" s="14"/>
      <c r="H1363" s="16"/>
      <c r="I1363" s="11"/>
      <c r="J1363" s="33"/>
      <c r="K1363" s="33"/>
      <c r="L1363" s="8"/>
      <c r="AE1363" s="8"/>
      <c r="AG1363" s="30"/>
      <c r="AI1363" s="30"/>
      <c r="AJ1363" s="21"/>
      <c r="AR1363" s="40"/>
      <c r="AT1363" s="40"/>
      <c r="AV1363" s="18"/>
      <c r="AX1363" s="18"/>
      <c r="AY1363" s="18"/>
      <c r="BF1363" s="18"/>
      <c r="BI1363" s="18"/>
      <c r="BT1363" s="18"/>
      <c r="BX1363" s="18"/>
      <c r="CC1363" s="18"/>
      <c r="CN1363" s="18"/>
      <c r="CY1363" s="34"/>
    </row>
    <row r="1364" spans="4:103" x14ac:dyDescent="0.25">
      <c r="D1364" s="12"/>
      <c r="E1364" s="14"/>
      <c r="H1364" s="16"/>
      <c r="I1364" s="11"/>
      <c r="J1364" s="33"/>
      <c r="K1364" s="33"/>
      <c r="L1364" s="8"/>
      <c r="AE1364" s="8"/>
      <c r="AG1364" s="30"/>
      <c r="AI1364" s="30"/>
      <c r="AJ1364" s="21"/>
      <c r="AR1364" s="40"/>
      <c r="AT1364" s="40"/>
      <c r="AV1364" s="18"/>
      <c r="AX1364" s="18"/>
      <c r="AY1364" s="18"/>
      <c r="BF1364" s="18"/>
      <c r="BI1364" s="18"/>
      <c r="BT1364" s="18"/>
      <c r="BX1364" s="18"/>
      <c r="CC1364" s="18"/>
      <c r="CN1364" s="18"/>
      <c r="CY1364" s="34"/>
    </row>
    <row r="1365" spans="4:103" x14ac:dyDescent="0.25">
      <c r="D1365" s="12"/>
      <c r="E1365" s="14"/>
      <c r="H1365" s="16"/>
      <c r="I1365" s="11"/>
      <c r="J1365" s="33"/>
      <c r="K1365" s="33"/>
      <c r="L1365" s="8"/>
      <c r="AE1365" s="8"/>
      <c r="AG1365" s="30"/>
      <c r="AI1365" s="30"/>
      <c r="AJ1365" s="21"/>
      <c r="AR1365" s="40"/>
      <c r="AT1365" s="40"/>
      <c r="AV1365" s="18"/>
      <c r="AX1365" s="18"/>
      <c r="AY1365" s="18"/>
      <c r="BF1365" s="18"/>
      <c r="BI1365" s="18"/>
      <c r="BT1365" s="18"/>
      <c r="BX1365" s="18"/>
      <c r="CC1365" s="18"/>
      <c r="CN1365" s="18"/>
      <c r="CY1365" s="34"/>
    </row>
    <row r="1366" spans="4:103" x14ac:dyDescent="0.25">
      <c r="D1366" s="12"/>
      <c r="E1366" s="14"/>
      <c r="H1366" s="16"/>
      <c r="I1366" s="11"/>
      <c r="J1366" s="33"/>
      <c r="K1366" s="33"/>
      <c r="L1366" s="8"/>
      <c r="AE1366" s="8"/>
      <c r="AG1366" s="30"/>
      <c r="AI1366" s="30"/>
      <c r="AJ1366" s="21"/>
      <c r="AR1366" s="40"/>
      <c r="AT1366" s="40"/>
      <c r="AV1366" s="18"/>
      <c r="AX1366" s="18"/>
      <c r="AY1366" s="18"/>
      <c r="BF1366" s="18"/>
      <c r="BI1366" s="18"/>
      <c r="BT1366" s="18"/>
      <c r="BX1366" s="18"/>
      <c r="CC1366" s="18"/>
      <c r="CN1366" s="18"/>
      <c r="CY1366" s="34"/>
    </row>
    <row r="1367" spans="4:103" x14ac:dyDescent="0.25">
      <c r="D1367" s="12"/>
      <c r="E1367" s="14"/>
      <c r="H1367" s="16"/>
      <c r="I1367" s="11"/>
      <c r="J1367" s="33"/>
      <c r="K1367" s="33"/>
      <c r="L1367" s="8"/>
      <c r="AE1367" s="8"/>
      <c r="AG1367" s="30"/>
      <c r="AI1367" s="30"/>
      <c r="AJ1367" s="21"/>
      <c r="AR1367" s="40"/>
      <c r="AT1367" s="40"/>
      <c r="AV1367" s="18"/>
      <c r="AX1367" s="18"/>
      <c r="AY1367" s="18"/>
      <c r="BF1367" s="18"/>
      <c r="BI1367" s="18"/>
      <c r="BT1367" s="18"/>
      <c r="BX1367" s="18"/>
      <c r="CC1367" s="18"/>
      <c r="CN1367" s="18"/>
      <c r="CY1367" s="34"/>
    </row>
    <row r="1368" spans="4:103" x14ac:dyDescent="0.25">
      <c r="D1368" s="12"/>
      <c r="E1368" s="14"/>
      <c r="H1368" s="16"/>
      <c r="I1368" s="11"/>
      <c r="J1368" s="33"/>
      <c r="K1368" s="33"/>
      <c r="L1368" s="8"/>
      <c r="AE1368" s="8"/>
      <c r="AG1368" s="30"/>
      <c r="AI1368" s="30"/>
      <c r="AJ1368" s="21"/>
      <c r="AR1368" s="40"/>
      <c r="AT1368" s="40"/>
      <c r="AV1368" s="18"/>
      <c r="AX1368" s="18"/>
      <c r="AY1368" s="18"/>
      <c r="BF1368" s="18"/>
      <c r="BI1368" s="18"/>
      <c r="BT1368" s="18"/>
      <c r="BX1368" s="18"/>
      <c r="CC1368" s="18"/>
      <c r="CN1368" s="18"/>
      <c r="CY1368" s="34"/>
    </row>
    <row r="1369" spans="4:103" x14ac:dyDescent="0.25">
      <c r="D1369" s="12"/>
      <c r="E1369" s="14"/>
      <c r="H1369" s="16"/>
      <c r="I1369" s="11"/>
      <c r="J1369" s="33"/>
      <c r="K1369" s="33"/>
      <c r="L1369" s="8"/>
      <c r="AE1369" s="8"/>
      <c r="AG1369" s="30"/>
      <c r="AI1369" s="30"/>
      <c r="AJ1369" s="21"/>
      <c r="AR1369" s="40"/>
      <c r="AT1369" s="40"/>
      <c r="AV1369" s="18"/>
      <c r="AX1369" s="18"/>
      <c r="AY1369" s="18"/>
      <c r="BF1369" s="18"/>
      <c r="BI1369" s="18"/>
      <c r="BT1369" s="18"/>
      <c r="BX1369" s="18"/>
      <c r="CC1369" s="18"/>
      <c r="CN1369" s="18"/>
      <c r="CY1369" s="34"/>
    </row>
    <row r="1370" spans="4:103" x14ac:dyDescent="0.25">
      <c r="D1370" s="12"/>
      <c r="E1370" s="14"/>
      <c r="H1370" s="16"/>
      <c r="I1370" s="11"/>
      <c r="J1370" s="33"/>
      <c r="K1370" s="33"/>
      <c r="L1370" s="8"/>
      <c r="AE1370" s="8"/>
      <c r="AG1370" s="30"/>
      <c r="AI1370" s="30"/>
      <c r="AJ1370" s="21"/>
      <c r="AR1370" s="40"/>
      <c r="AT1370" s="40"/>
      <c r="AV1370" s="18"/>
      <c r="AX1370" s="18"/>
      <c r="AY1370" s="18"/>
      <c r="BF1370" s="18"/>
      <c r="BI1370" s="18"/>
      <c r="BT1370" s="18"/>
      <c r="BX1370" s="18"/>
      <c r="CC1370" s="18"/>
      <c r="CN1370" s="18"/>
      <c r="CY1370" s="34"/>
    </row>
    <row r="1371" spans="4:103" x14ac:dyDescent="0.25">
      <c r="D1371" s="12"/>
      <c r="E1371" s="14"/>
      <c r="H1371" s="16"/>
      <c r="I1371" s="11"/>
      <c r="J1371" s="33"/>
      <c r="K1371" s="33"/>
      <c r="L1371" s="8"/>
      <c r="AE1371" s="8"/>
      <c r="AG1371" s="30"/>
      <c r="AI1371" s="30"/>
      <c r="AJ1371" s="21"/>
      <c r="AR1371" s="40"/>
      <c r="AT1371" s="40"/>
      <c r="AV1371" s="18"/>
      <c r="AX1371" s="18"/>
      <c r="AY1371" s="18"/>
      <c r="BF1371" s="18"/>
      <c r="BI1371" s="18"/>
      <c r="BT1371" s="18"/>
      <c r="BX1371" s="18"/>
      <c r="CC1371" s="18"/>
      <c r="CN1371" s="18"/>
      <c r="CY1371" s="34"/>
    </row>
    <row r="1372" spans="4:103" x14ac:dyDescent="0.25">
      <c r="D1372" s="12"/>
      <c r="E1372" s="14"/>
      <c r="H1372" s="16"/>
      <c r="I1372" s="11"/>
      <c r="J1372" s="33"/>
      <c r="K1372" s="33"/>
      <c r="L1372" s="8"/>
      <c r="AE1372" s="8"/>
      <c r="AG1372" s="30"/>
      <c r="AI1372" s="30"/>
      <c r="AJ1372" s="21"/>
      <c r="AR1372" s="40"/>
      <c r="AT1372" s="40"/>
      <c r="AV1372" s="18"/>
      <c r="AX1372" s="18"/>
      <c r="AY1372" s="18"/>
      <c r="BF1372" s="18"/>
      <c r="BI1372" s="18"/>
      <c r="BT1372" s="18"/>
      <c r="BX1372" s="18"/>
      <c r="CC1372" s="18"/>
      <c r="CN1372" s="18"/>
      <c r="CY1372" s="34"/>
    </row>
    <row r="1373" spans="4:103" x14ac:dyDescent="0.25">
      <c r="D1373" s="12"/>
      <c r="E1373" s="14"/>
      <c r="H1373" s="16"/>
      <c r="I1373" s="11"/>
      <c r="J1373" s="33"/>
      <c r="K1373" s="33"/>
      <c r="L1373" s="8"/>
      <c r="AE1373" s="8"/>
      <c r="AG1373" s="30"/>
      <c r="AI1373" s="30"/>
      <c r="AJ1373" s="21"/>
      <c r="AR1373" s="40"/>
      <c r="AT1373" s="40"/>
      <c r="AV1373" s="18"/>
      <c r="AX1373" s="18"/>
      <c r="AY1373" s="18"/>
      <c r="BF1373" s="18"/>
      <c r="BI1373" s="18"/>
      <c r="BT1373" s="18"/>
      <c r="BX1373" s="18"/>
      <c r="CC1373" s="18"/>
      <c r="CN1373" s="18"/>
      <c r="CY1373" s="34"/>
    </row>
    <row r="1374" spans="4:103" x14ac:dyDescent="0.25">
      <c r="D1374" s="12"/>
      <c r="E1374" s="14"/>
      <c r="H1374" s="16"/>
      <c r="I1374" s="11"/>
      <c r="J1374" s="33"/>
      <c r="K1374" s="33"/>
      <c r="L1374" s="8"/>
      <c r="AE1374" s="8"/>
      <c r="AG1374" s="30"/>
      <c r="AI1374" s="30"/>
      <c r="AJ1374" s="21"/>
      <c r="AR1374" s="40"/>
      <c r="AT1374" s="40"/>
      <c r="AV1374" s="18"/>
      <c r="AX1374" s="18"/>
      <c r="AY1374" s="18"/>
      <c r="BF1374" s="18"/>
      <c r="BI1374" s="18"/>
      <c r="BT1374" s="18"/>
      <c r="BX1374" s="18"/>
      <c r="CC1374" s="18"/>
      <c r="CN1374" s="18"/>
      <c r="CY1374" s="34"/>
    </row>
    <row r="1375" spans="4:103" x14ac:dyDescent="0.25">
      <c r="D1375" s="12"/>
      <c r="E1375" s="14"/>
      <c r="H1375" s="16"/>
      <c r="I1375" s="11"/>
      <c r="J1375" s="33"/>
      <c r="K1375" s="33"/>
      <c r="L1375" s="8"/>
      <c r="AE1375" s="8"/>
      <c r="AG1375" s="30"/>
      <c r="AI1375" s="30"/>
      <c r="AJ1375" s="21"/>
      <c r="AR1375" s="40"/>
      <c r="AT1375" s="40"/>
      <c r="AV1375" s="18"/>
      <c r="AX1375" s="18"/>
      <c r="AY1375" s="18"/>
      <c r="BF1375" s="18"/>
      <c r="BI1375" s="18"/>
      <c r="BT1375" s="18"/>
      <c r="BX1375" s="18"/>
      <c r="CC1375" s="18"/>
      <c r="CN1375" s="18"/>
      <c r="CY1375" s="34"/>
    </row>
    <row r="1376" spans="4:103" x14ac:dyDescent="0.25">
      <c r="D1376" s="12"/>
      <c r="E1376" s="14"/>
      <c r="H1376" s="16"/>
      <c r="I1376" s="11"/>
      <c r="J1376" s="33"/>
      <c r="K1376" s="33"/>
      <c r="L1376" s="8"/>
      <c r="AE1376" s="8"/>
      <c r="AG1376" s="30"/>
      <c r="AI1376" s="30"/>
      <c r="AJ1376" s="21"/>
      <c r="AR1376" s="40"/>
      <c r="AT1376" s="40"/>
      <c r="AV1376" s="18"/>
      <c r="AX1376" s="18"/>
      <c r="AY1376" s="18"/>
      <c r="BF1376" s="18"/>
      <c r="BI1376" s="18"/>
      <c r="BT1376" s="18"/>
      <c r="BX1376" s="18"/>
      <c r="CC1376" s="18"/>
      <c r="CN1376" s="18"/>
      <c r="CY1376" s="34"/>
    </row>
    <row r="1377" spans="4:103" x14ac:dyDescent="0.25">
      <c r="D1377" s="12"/>
      <c r="E1377" s="14"/>
      <c r="H1377" s="16"/>
      <c r="I1377" s="11"/>
      <c r="J1377" s="33"/>
      <c r="K1377" s="33"/>
      <c r="L1377" s="8"/>
      <c r="AE1377" s="8"/>
      <c r="AG1377" s="30"/>
      <c r="AI1377" s="30"/>
      <c r="AJ1377" s="21"/>
      <c r="AR1377" s="40"/>
      <c r="AT1377" s="40"/>
      <c r="AV1377" s="18"/>
      <c r="AX1377" s="18"/>
      <c r="AY1377" s="18"/>
      <c r="BF1377" s="18"/>
      <c r="BI1377" s="18"/>
      <c r="BT1377" s="18"/>
      <c r="BX1377" s="18"/>
      <c r="CC1377" s="18"/>
      <c r="CN1377" s="18"/>
      <c r="CY1377" s="34"/>
    </row>
    <row r="1378" spans="4:103" x14ac:dyDescent="0.25">
      <c r="D1378" s="12"/>
      <c r="E1378" s="14"/>
      <c r="H1378" s="16"/>
      <c r="I1378" s="11"/>
      <c r="J1378" s="33"/>
      <c r="K1378" s="33"/>
      <c r="L1378" s="8"/>
      <c r="AE1378" s="8"/>
      <c r="AG1378" s="30"/>
      <c r="AI1378" s="30"/>
      <c r="AJ1378" s="21"/>
      <c r="AR1378" s="40"/>
      <c r="AT1378" s="40"/>
      <c r="AV1378" s="18"/>
      <c r="AX1378" s="18"/>
      <c r="AY1378" s="18"/>
      <c r="BF1378" s="18"/>
      <c r="BI1378" s="18"/>
      <c r="BT1378" s="18"/>
      <c r="BX1378" s="18"/>
      <c r="CC1378" s="18"/>
      <c r="CN1378" s="18"/>
      <c r="CY1378" s="34"/>
    </row>
    <row r="1379" spans="4:103" x14ac:dyDescent="0.25">
      <c r="D1379" s="12"/>
      <c r="E1379" s="14"/>
      <c r="H1379" s="16"/>
      <c r="I1379" s="11"/>
      <c r="J1379" s="33"/>
      <c r="K1379" s="33"/>
      <c r="L1379" s="8"/>
      <c r="AE1379" s="8"/>
      <c r="AG1379" s="30"/>
      <c r="AI1379" s="30"/>
      <c r="AJ1379" s="21"/>
      <c r="AR1379" s="40"/>
      <c r="AT1379" s="40"/>
      <c r="AV1379" s="18"/>
      <c r="AX1379" s="18"/>
      <c r="AY1379" s="18"/>
      <c r="BF1379" s="18"/>
      <c r="BI1379" s="18"/>
      <c r="BT1379" s="18"/>
      <c r="BX1379" s="18"/>
      <c r="CC1379" s="18"/>
      <c r="CN1379" s="18"/>
      <c r="CY1379" s="34"/>
    </row>
    <row r="1380" spans="4:103" x14ac:dyDescent="0.25">
      <c r="D1380" s="12"/>
      <c r="E1380" s="14"/>
      <c r="H1380" s="16"/>
      <c r="I1380" s="11"/>
      <c r="J1380" s="33"/>
      <c r="K1380" s="33"/>
      <c r="L1380" s="8"/>
      <c r="AE1380" s="8"/>
      <c r="AG1380" s="30"/>
      <c r="AI1380" s="30"/>
      <c r="AJ1380" s="21"/>
      <c r="AR1380" s="40"/>
      <c r="AT1380" s="40"/>
      <c r="AV1380" s="18"/>
      <c r="AX1380" s="18"/>
      <c r="AY1380" s="18"/>
      <c r="BF1380" s="18"/>
      <c r="BI1380" s="18"/>
      <c r="BT1380" s="18"/>
      <c r="BX1380" s="18"/>
      <c r="CC1380" s="18"/>
      <c r="CN1380" s="18"/>
      <c r="CY1380" s="34"/>
    </row>
    <row r="1381" spans="4:103" x14ac:dyDescent="0.25">
      <c r="D1381" s="12"/>
      <c r="E1381" s="14"/>
      <c r="H1381" s="16"/>
      <c r="I1381" s="11"/>
      <c r="J1381" s="33"/>
      <c r="K1381" s="33"/>
      <c r="L1381" s="8"/>
      <c r="AE1381" s="8"/>
      <c r="AG1381" s="30"/>
      <c r="AI1381" s="30"/>
      <c r="AJ1381" s="21"/>
      <c r="AR1381" s="40"/>
      <c r="AT1381" s="40"/>
      <c r="AV1381" s="18"/>
      <c r="AX1381" s="18"/>
      <c r="AY1381" s="18"/>
      <c r="BF1381" s="18"/>
      <c r="BI1381" s="18"/>
      <c r="BT1381" s="18"/>
      <c r="BX1381" s="18"/>
      <c r="CC1381" s="18"/>
      <c r="CN1381" s="18"/>
      <c r="CY1381" s="34"/>
    </row>
    <row r="1382" spans="4:103" x14ac:dyDescent="0.25">
      <c r="D1382" s="12"/>
      <c r="E1382" s="14"/>
      <c r="H1382" s="16"/>
      <c r="I1382" s="11"/>
      <c r="J1382" s="33"/>
      <c r="K1382" s="33"/>
      <c r="L1382" s="8"/>
      <c r="AE1382" s="8"/>
      <c r="AG1382" s="30"/>
      <c r="AI1382" s="30"/>
      <c r="AJ1382" s="21"/>
      <c r="AR1382" s="40"/>
      <c r="AT1382" s="40"/>
      <c r="AV1382" s="18"/>
      <c r="AX1382" s="18"/>
      <c r="AY1382" s="18"/>
      <c r="BF1382" s="18"/>
      <c r="BI1382" s="18"/>
      <c r="BT1382" s="18"/>
      <c r="BX1382" s="18"/>
      <c r="CC1382" s="18"/>
      <c r="CN1382" s="18"/>
      <c r="CY1382" s="34"/>
    </row>
    <row r="1383" spans="4:103" x14ac:dyDescent="0.25">
      <c r="D1383" s="12"/>
      <c r="E1383" s="14"/>
      <c r="H1383" s="16"/>
      <c r="I1383" s="11"/>
      <c r="J1383" s="33"/>
      <c r="K1383" s="33"/>
      <c r="L1383" s="8"/>
      <c r="AE1383" s="8"/>
      <c r="AG1383" s="30"/>
      <c r="AI1383" s="30"/>
      <c r="AJ1383" s="21"/>
      <c r="AR1383" s="40"/>
      <c r="AT1383" s="40"/>
      <c r="AV1383" s="18"/>
      <c r="AX1383" s="18"/>
      <c r="AY1383" s="18"/>
      <c r="BF1383" s="18"/>
      <c r="BI1383" s="18"/>
      <c r="BT1383" s="18"/>
      <c r="BX1383" s="18"/>
      <c r="CC1383" s="18"/>
      <c r="CN1383" s="18"/>
      <c r="CY1383" s="34"/>
    </row>
    <row r="1384" spans="4:103" x14ac:dyDescent="0.25">
      <c r="D1384" s="12"/>
      <c r="E1384" s="14"/>
      <c r="H1384" s="16"/>
      <c r="I1384" s="11"/>
      <c r="J1384" s="33"/>
      <c r="K1384" s="33"/>
      <c r="L1384" s="8"/>
      <c r="AE1384" s="8"/>
      <c r="AG1384" s="30"/>
      <c r="AI1384" s="30"/>
      <c r="AJ1384" s="21"/>
      <c r="AR1384" s="40"/>
      <c r="AT1384" s="40"/>
      <c r="AV1384" s="18"/>
      <c r="AX1384" s="18"/>
      <c r="AY1384" s="18"/>
      <c r="BF1384" s="18"/>
      <c r="BI1384" s="18"/>
      <c r="BT1384" s="18"/>
      <c r="BX1384" s="18"/>
      <c r="CC1384" s="18"/>
      <c r="CN1384" s="18"/>
      <c r="CY1384" s="34"/>
    </row>
    <row r="1385" spans="4:103" x14ac:dyDescent="0.25">
      <c r="D1385" s="12"/>
      <c r="E1385" s="14"/>
      <c r="H1385" s="16"/>
      <c r="I1385" s="11"/>
      <c r="J1385" s="33"/>
      <c r="K1385" s="33"/>
      <c r="L1385" s="8"/>
      <c r="AE1385" s="8"/>
      <c r="AG1385" s="30"/>
      <c r="AI1385" s="30"/>
      <c r="AJ1385" s="21"/>
      <c r="AR1385" s="40"/>
      <c r="AT1385" s="40"/>
      <c r="AV1385" s="18"/>
      <c r="AX1385" s="18"/>
      <c r="AY1385" s="18"/>
      <c r="BF1385" s="18"/>
      <c r="BI1385" s="18"/>
      <c r="BT1385" s="18"/>
      <c r="BX1385" s="18"/>
      <c r="CC1385" s="18"/>
      <c r="CN1385" s="18"/>
      <c r="CY1385" s="34"/>
    </row>
    <row r="1386" spans="4:103" x14ac:dyDescent="0.25">
      <c r="D1386" s="12"/>
      <c r="E1386" s="14"/>
      <c r="H1386" s="16"/>
      <c r="I1386" s="11"/>
      <c r="J1386" s="33"/>
      <c r="K1386" s="33"/>
      <c r="L1386" s="8"/>
      <c r="AE1386" s="8"/>
      <c r="AG1386" s="30"/>
      <c r="AI1386" s="30"/>
      <c r="AJ1386" s="21"/>
      <c r="AR1386" s="40"/>
      <c r="AT1386" s="40"/>
      <c r="AV1386" s="18"/>
      <c r="AX1386" s="18"/>
      <c r="AY1386" s="18"/>
      <c r="BF1386" s="18"/>
      <c r="BI1386" s="18"/>
      <c r="BT1386" s="18"/>
      <c r="BX1386" s="18"/>
      <c r="CC1386" s="18"/>
      <c r="CN1386" s="18"/>
      <c r="CY1386" s="34"/>
    </row>
    <row r="1387" spans="4:103" x14ac:dyDescent="0.25">
      <c r="D1387" s="12"/>
      <c r="E1387" s="14"/>
      <c r="H1387" s="16"/>
      <c r="I1387" s="11"/>
      <c r="J1387" s="33"/>
      <c r="K1387" s="33"/>
      <c r="L1387" s="8"/>
      <c r="AE1387" s="8"/>
      <c r="AG1387" s="30"/>
      <c r="AI1387" s="30"/>
      <c r="AJ1387" s="21"/>
      <c r="AR1387" s="40"/>
      <c r="AT1387" s="40"/>
      <c r="AV1387" s="18"/>
      <c r="AX1387" s="18"/>
      <c r="AY1387" s="18"/>
      <c r="BF1387" s="18"/>
      <c r="BI1387" s="18"/>
      <c r="BT1387" s="18"/>
      <c r="BX1387" s="18"/>
      <c r="CC1387" s="18"/>
      <c r="CN1387" s="18"/>
      <c r="CY1387" s="34"/>
    </row>
    <row r="1388" spans="4:103" x14ac:dyDescent="0.25">
      <c r="D1388" s="12"/>
      <c r="E1388" s="14"/>
      <c r="H1388" s="16"/>
      <c r="I1388" s="11"/>
      <c r="J1388" s="33"/>
      <c r="K1388" s="33"/>
      <c r="L1388" s="8"/>
      <c r="AE1388" s="8"/>
      <c r="AG1388" s="30"/>
      <c r="AI1388" s="30"/>
      <c r="AJ1388" s="21"/>
      <c r="AR1388" s="40"/>
      <c r="AT1388" s="40"/>
      <c r="AV1388" s="18"/>
      <c r="AX1388" s="18"/>
      <c r="AY1388" s="18"/>
      <c r="BF1388" s="18"/>
      <c r="BI1388" s="18"/>
      <c r="BT1388" s="18"/>
      <c r="BX1388" s="18"/>
      <c r="CC1388" s="18"/>
      <c r="CN1388" s="18"/>
      <c r="CY1388" s="34"/>
    </row>
    <row r="1389" spans="4:103" x14ac:dyDescent="0.25">
      <c r="D1389" s="12"/>
      <c r="E1389" s="14"/>
      <c r="H1389" s="16"/>
      <c r="I1389" s="11"/>
      <c r="J1389" s="33"/>
      <c r="K1389" s="33"/>
      <c r="L1389" s="8"/>
      <c r="AE1389" s="8"/>
      <c r="AG1389" s="30"/>
      <c r="AI1389" s="30"/>
      <c r="AJ1389" s="21"/>
      <c r="AR1389" s="40"/>
      <c r="AT1389" s="40"/>
      <c r="AV1389" s="18"/>
      <c r="AX1389" s="18"/>
      <c r="AY1389" s="18"/>
      <c r="BF1389" s="18"/>
      <c r="BI1389" s="18"/>
      <c r="BT1389" s="18"/>
      <c r="BX1389" s="18"/>
      <c r="CC1389" s="18"/>
      <c r="CN1389" s="18"/>
      <c r="CY1389" s="34"/>
    </row>
    <row r="1390" spans="4:103" x14ac:dyDescent="0.25">
      <c r="D1390" s="12"/>
      <c r="E1390" s="14"/>
      <c r="H1390" s="16"/>
      <c r="I1390" s="11"/>
      <c r="J1390" s="33"/>
      <c r="K1390" s="33"/>
      <c r="L1390" s="8"/>
      <c r="AE1390" s="8"/>
      <c r="AG1390" s="30"/>
      <c r="AI1390" s="30"/>
      <c r="AJ1390" s="21"/>
      <c r="AR1390" s="40"/>
      <c r="AT1390" s="40"/>
      <c r="AV1390" s="18"/>
      <c r="AX1390" s="18"/>
      <c r="AY1390" s="18"/>
      <c r="BF1390" s="18"/>
      <c r="BI1390" s="18"/>
      <c r="BT1390" s="18"/>
      <c r="BX1390" s="18"/>
      <c r="CC1390" s="18"/>
      <c r="CN1390" s="18"/>
      <c r="CY1390" s="34"/>
    </row>
    <row r="1391" spans="4:103" x14ac:dyDescent="0.25">
      <c r="D1391" s="12"/>
      <c r="E1391" s="14"/>
      <c r="H1391" s="16"/>
      <c r="I1391" s="11"/>
      <c r="J1391" s="33"/>
      <c r="K1391" s="33"/>
      <c r="L1391" s="8"/>
      <c r="AE1391" s="8"/>
      <c r="AG1391" s="30"/>
      <c r="AI1391" s="30"/>
      <c r="AJ1391" s="21"/>
      <c r="AR1391" s="40"/>
      <c r="AT1391" s="40"/>
      <c r="AV1391" s="18"/>
      <c r="AX1391" s="18"/>
      <c r="AY1391" s="18"/>
      <c r="BF1391" s="18"/>
      <c r="BI1391" s="18"/>
      <c r="BT1391" s="18"/>
      <c r="BX1391" s="18"/>
      <c r="CC1391" s="18"/>
      <c r="CN1391" s="18"/>
      <c r="CY1391" s="34"/>
    </row>
    <row r="1392" spans="4:103" x14ac:dyDescent="0.25">
      <c r="D1392" s="12"/>
      <c r="E1392" s="14"/>
      <c r="H1392" s="16"/>
      <c r="I1392" s="11"/>
      <c r="J1392" s="33"/>
      <c r="K1392" s="33"/>
      <c r="L1392" s="8"/>
      <c r="AE1392" s="8"/>
      <c r="AG1392" s="30"/>
      <c r="AI1392" s="30"/>
      <c r="AJ1392" s="21"/>
      <c r="AR1392" s="40"/>
      <c r="AT1392" s="40"/>
      <c r="AV1392" s="18"/>
      <c r="AX1392" s="18"/>
      <c r="AY1392" s="18"/>
      <c r="BF1392" s="18"/>
      <c r="BI1392" s="18"/>
      <c r="BT1392" s="18"/>
      <c r="BX1392" s="18"/>
      <c r="CC1392" s="18"/>
      <c r="CN1392" s="18"/>
      <c r="CY1392" s="34"/>
    </row>
    <row r="1393" spans="4:103" x14ac:dyDescent="0.25">
      <c r="D1393" s="12"/>
      <c r="E1393" s="14"/>
      <c r="H1393" s="16"/>
      <c r="I1393" s="11"/>
      <c r="J1393" s="33"/>
      <c r="K1393" s="33"/>
      <c r="L1393" s="8"/>
      <c r="AE1393" s="8"/>
      <c r="AG1393" s="30"/>
      <c r="AI1393" s="30"/>
      <c r="AJ1393" s="21"/>
      <c r="AR1393" s="40"/>
      <c r="AT1393" s="40"/>
      <c r="AV1393" s="18"/>
      <c r="AX1393" s="18"/>
      <c r="AY1393" s="18"/>
      <c r="BF1393" s="18"/>
      <c r="BI1393" s="18"/>
      <c r="BT1393" s="18"/>
      <c r="BX1393" s="18"/>
      <c r="CC1393" s="18"/>
      <c r="CN1393" s="18"/>
      <c r="CY1393" s="34"/>
    </row>
    <row r="1394" spans="4:103" x14ac:dyDescent="0.25">
      <c r="D1394" s="12"/>
      <c r="E1394" s="14"/>
      <c r="H1394" s="16"/>
      <c r="I1394" s="11"/>
      <c r="J1394" s="33"/>
      <c r="K1394" s="33"/>
      <c r="L1394" s="8"/>
      <c r="AE1394" s="8"/>
      <c r="AG1394" s="30"/>
      <c r="AI1394" s="30"/>
      <c r="AJ1394" s="21"/>
      <c r="AR1394" s="40"/>
      <c r="AT1394" s="40"/>
      <c r="AV1394" s="18"/>
      <c r="AX1394" s="18"/>
      <c r="AY1394" s="18"/>
      <c r="BF1394" s="18"/>
      <c r="BI1394" s="18"/>
      <c r="BT1394" s="18"/>
      <c r="BX1394" s="18"/>
      <c r="CC1394" s="18"/>
      <c r="CN1394" s="18"/>
      <c r="CY1394" s="34"/>
    </row>
    <row r="1395" spans="4:103" x14ac:dyDescent="0.25">
      <c r="D1395" s="12"/>
      <c r="E1395" s="14"/>
      <c r="H1395" s="16"/>
      <c r="I1395" s="11"/>
      <c r="J1395" s="33"/>
      <c r="K1395" s="33"/>
      <c r="L1395" s="8"/>
      <c r="AE1395" s="8"/>
      <c r="AG1395" s="30"/>
      <c r="AI1395" s="30"/>
      <c r="AJ1395" s="21"/>
      <c r="AR1395" s="40"/>
      <c r="AT1395" s="40"/>
      <c r="AV1395" s="18"/>
      <c r="AX1395" s="18"/>
      <c r="AY1395" s="18"/>
      <c r="BF1395" s="18"/>
      <c r="BI1395" s="18"/>
      <c r="BT1395" s="18"/>
      <c r="BX1395" s="18"/>
      <c r="CC1395" s="18"/>
      <c r="CN1395" s="18"/>
      <c r="CY1395" s="34"/>
    </row>
    <row r="1396" spans="4:103" x14ac:dyDescent="0.25">
      <c r="D1396" s="12"/>
      <c r="E1396" s="14"/>
      <c r="H1396" s="16"/>
      <c r="I1396" s="11"/>
      <c r="J1396" s="33"/>
      <c r="K1396" s="33"/>
      <c r="L1396" s="8"/>
      <c r="AE1396" s="8"/>
      <c r="AG1396" s="30"/>
      <c r="AI1396" s="30"/>
      <c r="AJ1396" s="21"/>
      <c r="AR1396" s="40"/>
      <c r="AT1396" s="40"/>
      <c r="AV1396" s="18"/>
      <c r="AX1396" s="18"/>
      <c r="AY1396" s="18"/>
      <c r="BF1396" s="18"/>
      <c r="BI1396" s="18"/>
      <c r="BT1396" s="18"/>
      <c r="BX1396" s="18"/>
      <c r="CC1396" s="18"/>
      <c r="CN1396" s="18"/>
      <c r="CY1396" s="34"/>
    </row>
    <row r="1397" spans="4:103" x14ac:dyDescent="0.25">
      <c r="D1397" s="12"/>
      <c r="E1397" s="14"/>
      <c r="H1397" s="16"/>
      <c r="I1397" s="11"/>
      <c r="J1397" s="33"/>
      <c r="K1397" s="33"/>
      <c r="L1397" s="8"/>
      <c r="AE1397" s="8"/>
      <c r="AG1397" s="30"/>
      <c r="AI1397" s="30"/>
      <c r="AJ1397" s="21"/>
      <c r="AR1397" s="40"/>
      <c r="AT1397" s="40"/>
      <c r="AV1397" s="18"/>
      <c r="AX1397" s="18"/>
      <c r="AY1397" s="18"/>
      <c r="BF1397" s="18"/>
      <c r="BI1397" s="18"/>
      <c r="BT1397" s="18"/>
      <c r="BX1397" s="18"/>
      <c r="CC1397" s="18"/>
      <c r="CN1397" s="18"/>
      <c r="CY1397" s="34"/>
    </row>
    <row r="1398" spans="4:103" x14ac:dyDescent="0.25">
      <c r="D1398" s="12"/>
      <c r="E1398" s="14"/>
      <c r="H1398" s="16"/>
      <c r="I1398" s="11"/>
      <c r="J1398" s="33"/>
      <c r="K1398" s="33"/>
      <c r="L1398" s="8"/>
      <c r="AE1398" s="8"/>
      <c r="AG1398" s="30"/>
      <c r="AI1398" s="30"/>
      <c r="AJ1398" s="21"/>
      <c r="AR1398" s="40"/>
      <c r="AT1398" s="40"/>
      <c r="AV1398" s="18"/>
      <c r="AX1398" s="18"/>
      <c r="AY1398" s="18"/>
      <c r="BF1398" s="18"/>
      <c r="BI1398" s="18"/>
      <c r="BT1398" s="18"/>
      <c r="BX1398" s="18"/>
      <c r="CC1398" s="18"/>
      <c r="CN1398" s="18"/>
      <c r="CY1398" s="34"/>
    </row>
    <row r="1399" spans="4:103" x14ac:dyDescent="0.25">
      <c r="D1399" s="12"/>
      <c r="E1399" s="14"/>
      <c r="H1399" s="16"/>
      <c r="I1399" s="11"/>
      <c r="J1399" s="33"/>
      <c r="K1399" s="33"/>
      <c r="L1399" s="8"/>
      <c r="AE1399" s="8"/>
      <c r="AG1399" s="30"/>
      <c r="AI1399" s="30"/>
      <c r="AJ1399" s="21"/>
      <c r="AR1399" s="40"/>
      <c r="AT1399" s="40"/>
      <c r="AV1399" s="18"/>
      <c r="AX1399" s="18"/>
      <c r="AY1399" s="18"/>
      <c r="BF1399" s="18"/>
      <c r="BI1399" s="18"/>
      <c r="BT1399" s="18"/>
      <c r="BX1399" s="18"/>
      <c r="CC1399" s="18"/>
      <c r="CN1399" s="18"/>
      <c r="CY1399" s="34"/>
    </row>
    <row r="1400" spans="4:103" x14ac:dyDescent="0.25">
      <c r="D1400" s="12"/>
      <c r="E1400" s="14"/>
      <c r="H1400" s="16"/>
      <c r="I1400" s="11"/>
      <c r="J1400" s="33"/>
      <c r="K1400" s="33"/>
      <c r="L1400" s="8"/>
      <c r="AE1400" s="8"/>
      <c r="AG1400" s="30"/>
      <c r="AI1400" s="30"/>
      <c r="AJ1400" s="21"/>
      <c r="AR1400" s="40"/>
      <c r="AT1400" s="40"/>
      <c r="AV1400" s="18"/>
      <c r="AX1400" s="18"/>
      <c r="AY1400" s="18"/>
      <c r="BF1400" s="18"/>
      <c r="BI1400" s="18"/>
      <c r="BT1400" s="18"/>
      <c r="BX1400" s="18"/>
      <c r="CC1400" s="18"/>
      <c r="CN1400" s="18"/>
      <c r="CY1400" s="34"/>
    </row>
    <row r="1401" spans="4:103" x14ac:dyDescent="0.25">
      <c r="D1401" s="12"/>
      <c r="E1401" s="14"/>
      <c r="H1401" s="16"/>
      <c r="I1401" s="11"/>
      <c r="J1401" s="33"/>
      <c r="K1401" s="33"/>
      <c r="L1401" s="8"/>
      <c r="AE1401" s="8"/>
      <c r="AG1401" s="30"/>
      <c r="AI1401" s="30"/>
      <c r="AJ1401" s="21"/>
      <c r="AR1401" s="40"/>
      <c r="AT1401" s="40"/>
      <c r="AV1401" s="18"/>
      <c r="AX1401" s="18"/>
      <c r="AY1401" s="18"/>
      <c r="BF1401" s="18"/>
      <c r="BI1401" s="18"/>
      <c r="BT1401" s="18"/>
      <c r="BX1401" s="18"/>
      <c r="CC1401" s="18"/>
      <c r="CN1401" s="18"/>
      <c r="CY1401" s="34"/>
    </row>
    <row r="1402" spans="4:103" x14ac:dyDescent="0.25">
      <c r="D1402" s="12"/>
      <c r="E1402" s="14"/>
      <c r="H1402" s="16"/>
      <c r="I1402" s="11"/>
      <c r="J1402" s="33"/>
      <c r="K1402" s="33"/>
      <c r="L1402" s="8"/>
      <c r="AE1402" s="8"/>
      <c r="AG1402" s="30"/>
      <c r="AI1402" s="30"/>
      <c r="AJ1402" s="21"/>
      <c r="AR1402" s="40"/>
      <c r="AT1402" s="40"/>
      <c r="AV1402" s="18"/>
      <c r="AX1402" s="18"/>
      <c r="AY1402" s="18"/>
      <c r="BF1402" s="18"/>
      <c r="BI1402" s="18"/>
      <c r="BT1402" s="18"/>
      <c r="BX1402" s="18"/>
      <c r="CC1402" s="18"/>
      <c r="CN1402" s="18"/>
      <c r="CY1402" s="34"/>
    </row>
    <row r="1403" spans="4:103" x14ac:dyDescent="0.25">
      <c r="D1403" s="12"/>
      <c r="E1403" s="14"/>
      <c r="H1403" s="16"/>
      <c r="I1403" s="11"/>
      <c r="J1403" s="33"/>
      <c r="K1403" s="33"/>
      <c r="L1403" s="8"/>
      <c r="AE1403" s="8"/>
      <c r="AG1403" s="30"/>
      <c r="AI1403" s="30"/>
      <c r="AJ1403" s="21"/>
      <c r="AR1403" s="40"/>
      <c r="AT1403" s="40"/>
      <c r="AV1403" s="18"/>
      <c r="AX1403" s="18"/>
      <c r="AY1403" s="18"/>
      <c r="BF1403" s="18"/>
      <c r="BI1403" s="18"/>
      <c r="BT1403" s="18"/>
      <c r="BX1403" s="18"/>
      <c r="CC1403" s="18"/>
      <c r="CN1403" s="18"/>
      <c r="CY1403" s="34"/>
    </row>
    <row r="1404" spans="4:103" x14ac:dyDescent="0.25">
      <c r="D1404" s="12"/>
      <c r="E1404" s="14"/>
      <c r="H1404" s="16"/>
      <c r="I1404" s="11"/>
      <c r="J1404" s="33"/>
      <c r="K1404" s="33"/>
      <c r="L1404" s="8"/>
      <c r="AE1404" s="8"/>
      <c r="AG1404" s="30"/>
      <c r="AI1404" s="30"/>
      <c r="AJ1404" s="21"/>
      <c r="AR1404" s="40"/>
      <c r="AT1404" s="40"/>
      <c r="AV1404" s="18"/>
      <c r="AX1404" s="18"/>
      <c r="AY1404" s="18"/>
      <c r="BF1404" s="18"/>
      <c r="BI1404" s="18"/>
      <c r="BT1404" s="18"/>
      <c r="BX1404" s="18"/>
      <c r="CC1404" s="18"/>
      <c r="CN1404" s="18"/>
      <c r="CY1404" s="34"/>
    </row>
    <row r="1405" spans="4:103" x14ac:dyDescent="0.25">
      <c r="D1405" s="12"/>
      <c r="E1405" s="14"/>
      <c r="H1405" s="16"/>
      <c r="I1405" s="11"/>
      <c r="J1405" s="33"/>
      <c r="K1405" s="33"/>
      <c r="L1405" s="8"/>
      <c r="AE1405" s="8"/>
      <c r="AG1405" s="30"/>
      <c r="AI1405" s="30"/>
      <c r="AJ1405" s="21"/>
      <c r="AR1405" s="40"/>
      <c r="AT1405" s="40"/>
      <c r="AV1405" s="18"/>
      <c r="AX1405" s="18"/>
      <c r="AY1405" s="18"/>
      <c r="BF1405" s="18"/>
      <c r="BI1405" s="18"/>
      <c r="BT1405" s="18"/>
      <c r="BX1405" s="18"/>
      <c r="CC1405" s="18"/>
      <c r="CN1405" s="18"/>
      <c r="CY1405" s="34"/>
    </row>
    <row r="1406" spans="4:103" x14ac:dyDescent="0.25">
      <c r="D1406" s="12"/>
      <c r="E1406" s="14"/>
      <c r="H1406" s="16"/>
      <c r="I1406" s="11"/>
      <c r="J1406" s="33"/>
      <c r="K1406" s="33"/>
      <c r="L1406" s="8"/>
      <c r="AE1406" s="8"/>
      <c r="AG1406" s="30"/>
      <c r="AI1406" s="30"/>
      <c r="AJ1406" s="21"/>
      <c r="AR1406" s="40"/>
      <c r="AT1406" s="40"/>
      <c r="AV1406" s="18"/>
      <c r="AX1406" s="18"/>
      <c r="AY1406" s="18"/>
      <c r="BF1406" s="18"/>
      <c r="BI1406" s="18"/>
      <c r="BT1406" s="18"/>
      <c r="BX1406" s="18"/>
      <c r="CC1406" s="18"/>
      <c r="CN1406" s="18"/>
      <c r="CY1406" s="34"/>
    </row>
    <row r="1407" spans="4:103" x14ac:dyDescent="0.25">
      <c r="D1407" s="12"/>
      <c r="E1407" s="14"/>
      <c r="H1407" s="16"/>
      <c r="I1407" s="11"/>
      <c r="J1407" s="33"/>
      <c r="K1407" s="33"/>
      <c r="L1407" s="8"/>
      <c r="AE1407" s="8"/>
      <c r="AG1407" s="30"/>
      <c r="AI1407" s="30"/>
      <c r="AJ1407" s="21"/>
      <c r="AR1407" s="40"/>
      <c r="AT1407" s="40"/>
      <c r="AV1407" s="18"/>
      <c r="AX1407" s="18"/>
      <c r="AY1407" s="18"/>
      <c r="BF1407" s="18"/>
      <c r="BI1407" s="18"/>
      <c r="BT1407" s="18"/>
      <c r="BX1407" s="18"/>
      <c r="CC1407" s="18"/>
      <c r="CN1407" s="18"/>
      <c r="CY1407" s="34"/>
    </row>
    <row r="1408" spans="4:103" x14ac:dyDescent="0.25">
      <c r="D1408" s="12"/>
      <c r="E1408" s="14"/>
      <c r="H1408" s="16"/>
      <c r="I1408" s="11"/>
      <c r="J1408" s="33"/>
      <c r="K1408" s="33"/>
      <c r="L1408" s="8"/>
      <c r="AE1408" s="8"/>
      <c r="AG1408" s="30"/>
      <c r="AI1408" s="30"/>
      <c r="AJ1408" s="21"/>
      <c r="AR1408" s="40"/>
      <c r="AT1408" s="40"/>
      <c r="AV1408" s="18"/>
      <c r="AX1408" s="18"/>
      <c r="AY1408" s="18"/>
      <c r="BF1408" s="18"/>
      <c r="BI1408" s="18"/>
      <c r="BT1408" s="18"/>
      <c r="BX1408" s="18"/>
      <c r="CC1408" s="18"/>
      <c r="CN1408" s="18"/>
      <c r="CY1408" s="34"/>
    </row>
    <row r="1409" spans="4:103" x14ac:dyDescent="0.25">
      <c r="D1409" s="12"/>
      <c r="E1409" s="14"/>
      <c r="H1409" s="16"/>
      <c r="I1409" s="11"/>
      <c r="J1409" s="33"/>
      <c r="K1409" s="33"/>
      <c r="L1409" s="8"/>
      <c r="AE1409" s="8"/>
      <c r="AG1409" s="30"/>
      <c r="AI1409" s="30"/>
      <c r="AJ1409" s="21"/>
      <c r="AR1409" s="40"/>
      <c r="AT1409" s="40"/>
      <c r="AV1409" s="18"/>
      <c r="AX1409" s="18"/>
      <c r="AY1409" s="18"/>
      <c r="BF1409" s="18"/>
      <c r="BI1409" s="18"/>
      <c r="BT1409" s="18"/>
      <c r="BX1409" s="18"/>
      <c r="CC1409" s="18"/>
      <c r="CN1409" s="18"/>
      <c r="CY1409" s="34"/>
    </row>
    <row r="1410" spans="4:103" x14ac:dyDescent="0.25">
      <c r="D1410" s="12"/>
      <c r="E1410" s="14"/>
      <c r="H1410" s="16"/>
      <c r="I1410" s="11"/>
      <c r="J1410" s="33"/>
      <c r="K1410" s="33"/>
      <c r="L1410" s="8"/>
      <c r="AE1410" s="8"/>
      <c r="AG1410" s="30"/>
      <c r="AI1410" s="30"/>
      <c r="AJ1410" s="21"/>
      <c r="AR1410" s="40"/>
      <c r="AT1410" s="40"/>
      <c r="AV1410" s="18"/>
      <c r="AX1410" s="18"/>
      <c r="AY1410" s="18"/>
      <c r="BF1410" s="18"/>
      <c r="BI1410" s="18"/>
      <c r="BT1410" s="18"/>
      <c r="BX1410" s="18"/>
      <c r="CC1410" s="18"/>
      <c r="CN1410" s="18"/>
      <c r="CY1410" s="34"/>
    </row>
    <row r="1411" spans="4:103" x14ac:dyDescent="0.25">
      <c r="D1411" s="12"/>
      <c r="E1411" s="14"/>
      <c r="H1411" s="16"/>
      <c r="I1411" s="11"/>
      <c r="J1411" s="33"/>
      <c r="K1411" s="33"/>
      <c r="L1411" s="8"/>
      <c r="AE1411" s="8"/>
      <c r="AG1411" s="30"/>
      <c r="AI1411" s="30"/>
      <c r="AJ1411" s="21"/>
      <c r="AR1411" s="40"/>
      <c r="AT1411" s="40"/>
      <c r="AV1411" s="18"/>
      <c r="AX1411" s="18"/>
      <c r="AY1411" s="18"/>
      <c r="BF1411" s="18"/>
      <c r="BI1411" s="18"/>
      <c r="BT1411" s="18"/>
      <c r="BX1411" s="18"/>
      <c r="CC1411" s="18"/>
      <c r="CN1411" s="18"/>
      <c r="CY1411" s="34"/>
    </row>
    <row r="1412" spans="4:103" x14ac:dyDescent="0.25">
      <c r="D1412" s="12"/>
      <c r="E1412" s="14"/>
      <c r="H1412" s="16"/>
      <c r="I1412" s="11"/>
      <c r="J1412" s="33"/>
      <c r="K1412" s="33"/>
      <c r="L1412" s="8"/>
      <c r="AE1412" s="8"/>
      <c r="AG1412" s="30"/>
      <c r="AI1412" s="30"/>
      <c r="AJ1412" s="21"/>
      <c r="AR1412" s="40"/>
      <c r="AT1412" s="40"/>
      <c r="AV1412" s="18"/>
      <c r="AX1412" s="18"/>
      <c r="AY1412" s="18"/>
      <c r="BF1412" s="18"/>
      <c r="BI1412" s="18"/>
      <c r="BT1412" s="18"/>
      <c r="BX1412" s="18"/>
      <c r="CC1412" s="18"/>
      <c r="CN1412" s="18"/>
      <c r="CY1412" s="34"/>
    </row>
    <row r="1413" spans="4:103" x14ac:dyDescent="0.25">
      <c r="D1413" s="12"/>
      <c r="E1413" s="14"/>
      <c r="H1413" s="16"/>
      <c r="I1413" s="11"/>
      <c r="J1413" s="33"/>
      <c r="K1413" s="33"/>
      <c r="L1413" s="8"/>
      <c r="AE1413" s="8"/>
      <c r="AG1413" s="30"/>
      <c r="AI1413" s="30"/>
      <c r="AJ1413" s="21"/>
      <c r="AR1413" s="40"/>
      <c r="AT1413" s="40"/>
      <c r="AV1413" s="18"/>
      <c r="AX1413" s="18"/>
      <c r="AY1413" s="18"/>
      <c r="BF1413" s="18"/>
      <c r="BI1413" s="18"/>
      <c r="BT1413" s="18"/>
      <c r="BX1413" s="18"/>
      <c r="CC1413" s="18"/>
      <c r="CN1413" s="18"/>
      <c r="CY1413" s="34"/>
    </row>
    <row r="1414" spans="4:103" x14ac:dyDescent="0.25">
      <c r="D1414" s="12"/>
      <c r="E1414" s="14"/>
      <c r="H1414" s="16"/>
      <c r="I1414" s="11"/>
      <c r="J1414" s="33"/>
      <c r="K1414" s="33"/>
      <c r="L1414" s="8"/>
      <c r="AE1414" s="8"/>
      <c r="AG1414" s="30"/>
      <c r="AI1414" s="30"/>
      <c r="AJ1414" s="21"/>
      <c r="AR1414" s="40"/>
      <c r="AT1414" s="40"/>
      <c r="AV1414" s="18"/>
      <c r="AX1414" s="18"/>
      <c r="AY1414" s="18"/>
      <c r="BF1414" s="18"/>
      <c r="BI1414" s="18"/>
      <c r="BT1414" s="18"/>
      <c r="BX1414" s="18"/>
      <c r="CC1414" s="18"/>
      <c r="CN1414" s="18"/>
      <c r="CY1414" s="34"/>
    </row>
    <row r="1415" spans="4:103" x14ac:dyDescent="0.25">
      <c r="D1415" s="12"/>
      <c r="E1415" s="14"/>
      <c r="H1415" s="16"/>
      <c r="I1415" s="11"/>
      <c r="J1415" s="33"/>
      <c r="K1415" s="33"/>
      <c r="L1415" s="8"/>
      <c r="AE1415" s="8"/>
      <c r="AG1415" s="30"/>
      <c r="AI1415" s="30"/>
      <c r="AJ1415" s="21"/>
      <c r="AR1415" s="40"/>
      <c r="AT1415" s="40"/>
      <c r="AV1415" s="18"/>
      <c r="AX1415" s="18"/>
      <c r="AY1415" s="18"/>
      <c r="BF1415" s="18"/>
      <c r="BI1415" s="18"/>
      <c r="BT1415" s="18"/>
      <c r="BX1415" s="18"/>
      <c r="CC1415" s="18"/>
      <c r="CN1415" s="18"/>
      <c r="CY1415" s="34"/>
    </row>
    <row r="1416" spans="4:103" x14ac:dyDescent="0.25">
      <c r="D1416" s="12"/>
      <c r="E1416" s="14"/>
      <c r="H1416" s="16"/>
      <c r="I1416" s="11"/>
      <c r="J1416" s="33"/>
      <c r="K1416" s="33"/>
      <c r="L1416" s="8"/>
      <c r="AE1416" s="8"/>
      <c r="AG1416" s="30"/>
      <c r="AI1416" s="30"/>
      <c r="AJ1416" s="21"/>
      <c r="AR1416" s="40"/>
      <c r="AT1416" s="40"/>
      <c r="AV1416" s="18"/>
      <c r="AX1416" s="18"/>
      <c r="AY1416" s="18"/>
      <c r="BF1416" s="18"/>
      <c r="BI1416" s="18"/>
      <c r="BT1416" s="18"/>
      <c r="BX1416" s="18"/>
      <c r="CC1416" s="18"/>
      <c r="CN1416" s="18"/>
      <c r="CY1416" s="34"/>
    </row>
    <row r="1417" spans="4:103" x14ac:dyDescent="0.25">
      <c r="D1417" s="12"/>
      <c r="E1417" s="14"/>
      <c r="H1417" s="16"/>
      <c r="I1417" s="11"/>
      <c r="J1417" s="33"/>
      <c r="K1417" s="33"/>
      <c r="L1417" s="8"/>
      <c r="AE1417" s="8"/>
      <c r="AG1417" s="30"/>
      <c r="AI1417" s="30"/>
      <c r="AJ1417" s="21"/>
      <c r="AR1417" s="40"/>
      <c r="AT1417" s="40"/>
      <c r="AV1417" s="18"/>
      <c r="AX1417" s="18"/>
      <c r="AY1417" s="18"/>
      <c r="BF1417" s="18"/>
      <c r="BI1417" s="18"/>
      <c r="BT1417" s="18"/>
      <c r="BX1417" s="18"/>
      <c r="CC1417" s="18"/>
      <c r="CN1417" s="18"/>
      <c r="CY1417" s="34"/>
    </row>
    <row r="1418" spans="4:103" x14ac:dyDescent="0.25">
      <c r="D1418" s="12"/>
      <c r="E1418" s="14"/>
      <c r="H1418" s="16"/>
      <c r="I1418" s="11"/>
      <c r="J1418" s="33"/>
      <c r="K1418" s="33"/>
      <c r="L1418" s="8"/>
      <c r="AE1418" s="8"/>
      <c r="AG1418" s="30"/>
      <c r="AI1418" s="30"/>
      <c r="AJ1418" s="21"/>
      <c r="AR1418" s="40"/>
      <c r="AT1418" s="40"/>
      <c r="AV1418" s="18"/>
      <c r="AX1418" s="18"/>
      <c r="AY1418" s="18"/>
      <c r="BF1418" s="18"/>
      <c r="BI1418" s="18"/>
      <c r="BT1418" s="18"/>
      <c r="BX1418" s="18"/>
      <c r="CC1418" s="18"/>
      <c r="CN1418" s="18"/>
      <c r="CY1418" s="34"/>
    </row>
    <row r="1419" spans="4:103" x14ac:dyDescent="0.25">
      <c r="D1419" s="12"/>
      <c r="E1419" s="14"/>
      <c r="H1419" s="16"/>
      <c r="I1419" s="11"/>
      <c r="J1419" s="33"/>
      <c r="K1419" s="33"/>
      <c r="L1419" s="8"/>
      <c r="AE1419" s="8"/>
      <c r="AG1419" s="30"/>
      <c r="AI1419" s="30"/>
      <c r="AJ1419" s="21"/>
      <c r="AR1419" s="40"/>
      <c r="AT1419" s="40"/>
      <c r="AV1419" s="18"/>
      <c r="AX1419" s="18"/>
      <c r="AY1419" s="18"/>
      <c r="BF1419" s="18"/>
      <c r="BI1419" s="18"/>
      <c r="BT1419" s="18"/>
      <c r="BX1419" s="18"/>
      <c r="CC1419" s="18"/>
      <c r="CN1419" s="18"/>
      <c r="CY1419" s="34"/>
    </row>
    <row r="1420" spans="4:103" x14ac:dyDescent="0.25">
      <c r="D1420" s="12"/>
      <c r="E1420" s="14"/>
      <c r="H1420" s="16"/>
      <c r="I1420" s="11"/>
      <c r="J1420" s="33"/>
      <c r="K1420" s="33"/>
      <c r="L1420" s="8"/>
      <c r="AE1420" s="8"/>
      <c r="AG1420" s="30"/>
      <c r="AI1420" s="30"/>
      <c r="AJ1420" s="21"/>
      <c r="AR1420" s="40"/>
      <c r="AT1420" s="40"/>
      <c r="AV1420" s="18"/>
      <c r="AX1420" s="18"/>
      <c r="AY1420" s="18"/>
      <c r="BF1420" s="18"/>
      <c r="BI1420" s="18"/>
      <c r="BT1420" s="18"/>
      <c r="BX1420" s="18"/>
      <c r="CC1420" s="18"/>
      <c r="CN1420" s="18"/>
      <c r="CY1420" s="34"/>
    </row>
    <row r="1421" spans="4:103" x14ac:dyDescent="0.25">
      <c r="D1421" s="12"/>
      <c r="E1421" s="14"/>
      <c r="H1421" s="16"/>
      <c r="I1421" s="11"/>
      <c r="J1421" s="33"/>
      <c r="K1421" s="33"/>
      <c r="L1421" s="8"/>
      <c r="AE1421" s="8"/>
      <c r="AG1421" s="30"/>
      <c r="AI1421" s="30"/>
      <c r="AJ1421" s="21"/>
      <c r="AR1421" s="40"/>
      <c r="AT1421" s="40"/>
      <c r="AV1421" s="18"/>
      <c r="AX1421" s="18"/>
      <c r="AY1421" s="18"/>
      <c r="BF1421" s="18"/>
      <c r="BI1421" s="18"/>
      <c r="BT1421" s="18"/>
      <c r="BX1421" s="18"/>
      <c r="CC1421" s="18"/>
      <c r="CN1421" s="18"/>
      <c r="CY1421" s="34"/>
    </row>
    <row r="1422" spans="4:103" x14ac:dyDescent="0.25">
      <c r="D1422" s="12"/>
      <c r="E1422" s="14"/>
      <c r="H1422" s="16"/>
      <c r="I1422" s="11"/>
      <c r="J1422" s="33"/>
      <c r="K1422" s="33"/>
      <c r="L1422" s="8"/>
      <c r="AE1422" s="8"/>
      <c r="AG1422" s="30"/>
      <c r="AI1422" s="30"/>
      <c r="AJ1422" s="21"/>
      <c r="AR1422" s="40"/>
      <c r="AT1422" s="40"/>
      <c r="AV1422" s="18"/>
      <c r="AX1422" s="18"/>
      <c r="AY1422" s="18"/>
      <c r="BF1422" s="18"/>
      <c r="BI1422" s="18"/>
      <c r="BT1422" s="18"/>
      <c r="BX1422" s="18"/>
      <c r="CC1422" s="18"/>
      <c r="CN1422" s="18"/>
      <c r="CY1422" s="34"/>
    </row>
    <row r="1423" spans="4:103" x14ac:dyDescent="0.25">
      <c r="D1423" s="12"/>
      <c r="E1423" s="14"/>
      <c r="H1423" s="16"/>
      <c r="I1423" s="11"/>
      <c r="J1423" s="33"/>
      <c r="K1423" s="33"/>
      <c r="L1423" s="8"/>
      <c r="AE1423" s="8"/>
      <c r="AG1423" s="30"/>
      <c r="AI1423" s="30"/>
      <c r="AJ1423" s="21"/>
      <c r="AR1423" s="40"/>
      <c r="AT1423" s="40"/>
      <c r="AV1423" s="18"/>
      <c r="AX1423" s="18"/>
      <c r="AY1423" s="18"/>
      <c r="BF1423" s="18"/>
      <c r="BI1423" s="18"/>
      <c r="BT1423" s="18"/>
      <c r="BX1423" s="18"/>
      <c r="CC1423" s="18"/>
      <c r="CN1423" s="18"/>
      <c r="CY1423" s="34"/>
    </row>
    <row r="1424" spans="4:103" x14ac:dyDescent="0.25">
      <c r="D1424" s="12"/>
      <c r="E1424" s="14"/>
      <c r="H1424" s="16"/>
      <c r="I1424" s="11"/>
      <c r="J1424" s="33"/>
      <c r="K1424" s="33"/>
      <c r="L1424" s="8"/>
      <c r="AE1424" s="8"/>
      <c r="AG1424" s="30"/>
      <c r="AI1424" s="30"/>
      <c r="AJ1424" s="21"/>
      <c r="AR1424" s="40"/>
      <c r="AT1424" s="40"/>
      <c r="AV1424" s="18"/>
      <c r="AX1424" s="18"/>
      <c r="AY1424" s="18"/>
      <c r="BF1424" s="18"/>
      <c r="BI1424" s="18"/>
      <c r="BT1424" s="18"/>
      <c r="BX1424" s="18"/>
      <c r="CC1424" s="18"/>
      <c r="CN1424" s="18"/>
      <c r="CY1424" s="34"/>
    </row>
    <row r="1425" spans="4:103" x14ac:dyDescent="0.25">
      <c r="D1425" s="12"/>
      <c r="E1425" s="14"/>
      <c r="H1425" s="16"/>
      <c r="I1425" s="11"/>
      <c r="J1425" s="33"/>
      <c r="K1425" s="33"/>
      <c r="L1425" s="8"/>
      <c r="AE1425" s="8"/>
      <c r="AG1425" s="30"/>
      <c r="AI1425" s="30"/>
      <c r="AJ1425" s="21"/>
      <c r="AR1425" s="40"/>
      <c r="AT1425" s="40"/>
      <c r="AV1425" s="18"/>
      <c r="AX1425" s="18"/>
      <c r="AY1425" s="18"/>
      <c r="BF1425" s="18"/>
      <c r="BI1425" s="18"/>
      <c r="BT1425" s="18"/>
      <c r="BX1425" s="18"/>
      <c r="CC1425" s="18"/>
      <c r="CN1425" s="18"/>
      <c r="CY1425" s="34"/>
    </row>
    <row r="1426" spans="4:103" x14ac:dyDescent="0.25">
      <c r="D1426" s="12"/>
      <c r="E1426" s="14"/>
      <c r="H1426" s="16"/>
      <c r="I1426" s="11"/>
      <c r="J1426" s="33"/>
      <c r="K1426" s="33"/>
      <c r="L1426" s="8"/>
      <c r="AE1426" s="8"/>
      <c r="AG1426" s="30"/>
      <c r="AI1426" s="30"/>
      <c r="AJ1426" s="21"/>
      <c r="AR1426" s="40"/>
      <c r="AT1426" s="40"/>
      <c r="AV1426" s="18"/>
      <c r="AX1426" s="18"/>
      <c r="AY1426" s="18"/>
      <c r="BF1426" s="18"/>
      <c r="BI1426" s="18"/>
      <c r="BT1426" s="18"/>
      <c r="BX1426" s="18"/>
      <c r="CC1426" s="18"/>
      <c r="CN1426" s="18"/>
      <c r="CY1426" s="34"/>
    </row>
    <row r="1427" spans="4:103" x14ac:dyDescent="0.25">
      <c r="D1427" s="12"/>
      <c r="E1427" s="14"/>
      <c r="H1427" s="16"/>
      <c r="I1427" s="11"/>
      <c r="J1427" s="33"/>
      <c r="K1427" s="33"/>
      <c r="L1427" s="8"/>
      <c r="AE1427" s="8"/>
      <c r="AG1427" s="30"/>
      <c r="AI1427" s="30"/>
      <c r="AJ1427" s="21"/>
      <c r="AR1427" s="40"/>
      <c r="AT1427" s="40"/>
      <c r="AV1427" s="18"/>
      <c r="AX1427" s="18"/>
      <c r="AY1427" s="18"/>
      <c r="BF1427" s="18"/>
      <c r="BI1427" s="18"/>
      <c r="BT1427" s="18"/>
      <c r="BX1427" s="18"/>
      <c r="CC1427" s="18"/>
      <c r="CN1427" s="18"/>
      <c r="CY1427" s="34"/>
    </row>
    <row r="1428" spans="4:103" x14ac:dyDescent="0.25">
      <c r="D1428" s="12"/>
      <c r="E1428" s="14"/>
      <c r="H1428" s="16"/>
      <c r="I1428" s="11"/>
      <c r="J1428" s="33"/>
      <c r="K1428" s="33"/>
      <c r="L1428" s="8"/>
      <c r="AE1428" s="8"/>
      <c r="AG1428" s="30"/>
      <c r="AI1428" s="30"/>
      <c r="AJ1428" s="21"/>
      <c r="AR1428" s="40"/>
      <c r="AT1428" s="40"/>
      <c r="AV1428" s="18"/>
      <c r="AX1428" s="18"/>
      <c r="AY1428" s="18"/>
      <c r="BF1428" s="18"/>
      <c r="BI1428" s="18"/>
      <c r="BT1428" s="18"/>
      <c r="BX1428" s="18"/>
      <c r="CC1428" s="18"/>
      <c r="CN1428" s="18"/>
      <c r="CY1428" s="34"/>
    </row>
    <row r="1429" spans="4:103" x14ac:dyDescent="0.25">
      <c r="D1429" s="12"/>
      <c r="E1429" s="14"/>
      <c r="H1429" s="16"/>
      <c r="I1429" s="11"/>
      <c r="J1429" s="33"/>
      <c r="K1429" s="33"/>
      <c r="L1429" s="8"/>
      <c r="AE1429" s="8"/>
      <c r="AG1429" s="30"/>
      <c r="AI1429" s="30"/>
      <c r="AJ1429" s="21"/>
      <c r="AR1429" s="40"/>
      <c r="AT1429" s="40"/>
      <c r="AV1429" s="18"/>
      <c r="AX1429" s="18"/>
      <c r="AY1429" s="18"/>
      <c r="BF1429" s="18"/>
      <c r="BI1429" s="18"/>
      <c r="BT1429" s="18"/>
      <c r="BX1429" s="18"/>
      <c r="CC1429" s="18"/>
      <c r="CN1429" s="18"/>
      <c r="CY1429" s="34"/>
    </row>
    <row r="1430" spans="4:103" x14ac:dyDescent="0.25">
      <c r="D1430" s="12"/>
      <c r="E1430" s="14"/>
      <c r="H1430" s="16"/>
      <c r="I1430" s="11"/>
      <c r="J1430" s="33"/>
      <c r="K1430" s="33"/>
      <c r="L1430" s="8"/>
      <c r="AE1430" s="8"/>
      <c r="AG1430" s="30"/>
      <c r="AI1430" s="30"/>
      <c r="AJ1430" s="21"/>
      <c r="AR1430" s="40"/>
      <c r="AT1430" s="40"/>
      <c r="AV1430" s="18"/>
      <c r="AX1430" s="18"/>
      <c r="AY1430" s="18"/>
      <c r="BF1430" s="18"/>
      <c r="BI1430" s="18"/>
      <c r="BT1430" s="18"/>
      <c r="BX1430" s="18"/>
      <c r="CC1430" s="18"/>
      <c r="CN1430" s="18"/>
      <c r="CY1430" s="34"/>
    </row>
    <row r="1431" spans="4:103" x14ac:dyDescent="0.25">
      <c r="D1431" s="12"/>
      <c r="E1431" s="14"/>
      <c r="H1431" s="16"/>
      <c r="I1431" s="11"/>
      <c r="J1431" s="33"/>
      <c r="K1431" s="33"/>
      <c r="L1431" s="8"/>
      <c r="AE1431" s="8"/>
      <c r="AG1431" s="30"/>
      <c r="AI1431" s="30"/>
      <c r="AJ1431" s="21"/>
      <c r="AR1431" s="40"/>
      <c r="AT1431" s="40"/>
      <c r="AV1431" s="18"/>
      <c r="AX1431" s="18"/>
      <c r="AY1431" s="18"/>
      <c r="BF1431" s="18"/>
      <c r="BI1431" s="18"/>
      <c r="BT1431" s="18"/>
      <c r="BX1431" s="18"/>
      <c r="CC1431" s="18"/>
      <c r="CN1431" s="18"/>
      <c r="CY1431" s="34"/>
    </row>
    <row r="1432" spans="4:103" x14ac:dyDescent="0.25">
      <c r="D1432" s="12"/>
      <c r="E1432" s="14"/>
      <c r="H1432" s="16"/>
      <c r="I1432" s="11"/>
      <c r="J1432" s="33"/>
      <c r="K1432" s="33"/>
      <c r="L1432" s="8"/>
      <c r="AE1432" s="8"/>
      <c r="AG1432" s="30"/>
      <c r="AI1432" s="30"/>
      <c r="AJ1432" s="21"/>
      <c r="AR1432" s="40"/>
      <c r="AT1432" s="40"/>
      <c r="AV1432" s="18"/>
      <c r="AX1432" s="18"/>
      <c r="AY1432" s="18"/>
      <c r="BF1432" s="18"/>
      <c r="BI1432" s="18"/>
      <c r="BT1432" s="18"/>
      <c r="BX1432" s="18"/>
      <c r="CC1432" s="18"/>
      <c r="CN1432" s="18"/>
      <c r="CY1432" s="34"/>
    </row>
    <row r="1433" spans="4:103" x14ac:dyDescent="0.25">
      <c r="D1433" s="12"/>
      <c r="E1433" s="14"/>
      <c r="H1433" s="16"/>
      <c r="I1433" s="11"/>
      <c r="J1433" s="33"/>
      <c r="K1433" s="33"/>
      <c r="L1433" s="8"/>
      <c r="AE1433" s="8"/>
      <c r="AG1433" s="30"/>
      <c r="AI1433" s="30"/>
      <c r="AJ1433" s="21"/>
      <c r="AR1433" s="40"/>
      <c r="AT1433" s="40"/>
      <c r="AV1433" s="18"/>
      <c r="AX1433" s="18"/>
      <c r="AY1433" s="18"/>
      <c r="BF1433" s="18"/>
      <c r="BI1433" s="18"/>
      <c r="BT1433" s="18"/>
      <c r="BX1433" s="18"/>
      <c r="CC1433" s="18"/>
      <c r="CN1433" s="18"/>
      <c r="CY1433" s="34"/>
    </row>
    <row r="1434" spans="4:103" x14ac:dyDescent="0.25">
      <c r="D1434" s="12"/>
      <c r="E1434" s="14"/>
      <c r="H1434" s="16"/>
      <c r="I1434" s="11"/>
      <c r="J1434" s="33"/>
      <c r="K1434" s="33"/>
      <c r="L1434" s="8"/>
      <c r="AE1434" s="8"/>
      <c r="AG1434" s="30"/>
      <c r="AI1434" s="30"/>
      <c r="AJ1434" s="21"/>
      <c r="AR1434" s="40"/>
      <c r="AT1434" s="40"/>
      <c r="AV1434" s="18"/>
      <c r="AX1434" s="18"/>
      <c r="AY1434" s="18"/>
      <c r="BF1434" s="18"/>
      <c r="BI1434" s="18"/>
      <c r="BT1434" s="18"/>
      <c r="BX1434" s="18"/>
      <c r="CC1434" s="18"/>
      <c r="CN1434" s="18"/>
      <c r="CY1434" s="34"/>
    </row>
    <row r="1435" spans="4:103" x14ac:dyDescent="0.25">
      <c r="D1435" s="12"/>
      <c r="E1435" s="14"/>
      <c r="H1435" s="16"/>
      <c r="I1435" s="11"/>
      <c r="J1435" s="33"/>
      <c r="K1435" s="33"/>
      <c r="L1435" s="8"/>
      <c r="AE1435" s="8"/>
      <c r="AG1435" s="30"/>
      <c r="AI1435" s="30"/>
      <c r="AJ1435" s="21"/>
      <c r="AR1435" s="40"/>
      <c r="AT1435" s="40"/>
      <c r="AV1435" s="18"/>
      <c r="AX1435" s="18"/>
      <c r="AY1435" s="18"/>
      <c r="BF1435" s="18"/>
      <c r="BI1435" s="18"/>
      <c r="BT1435" s="18"/>
      <c r="BX1435" s="18"/>
      <c r="CC1435" s="18"/>
      <c r="CN1435" s="18"/>
      <c r="CY1435" s="34"/>
    </row>
    <row r="1436" spans="4:103" x14ac:dyDescent="0.25">
      <c r="D1436" s="12"/>
      <c r="E1436" s="14"/>
      <c r="H1436" s="16"/>
      <c r="I1436" s="11"/>
      <c r="J1436" s="33"/>
      <c r="K1436" s="33"/>
      <c r="L1436" s="8"/>
      <c r="AE1436" s="8"/>
      <c r="AG1436" s="30"/>
      <c r="AI1436" s="30"/>
      <c r="AJ1436" s="21"/>
      <c r="AR1436" s="40"/>
      <c r="AT1436" s="40"/>
      <c r="AV1436" s="18"/>
      <c r="AX1436" s="18"/>
      <c r="AY1436" s="18"/>
      <c r="BF1436" s="18"/>
      <c r="BI1436" s="18"/>
      <c r="BT1436" s="18"/>
      <c r="BX1436" s="18"/>
      <c r="CC1436" s="18"/>
      <c r="CN1436" s="18"/>
      <c r="CY1436" s="34"/>
    </row>
    <row r="1437" spans="4:103" x14ac:dyDescent="0.25">
      <c r="D1437" s="12"/>
      <c r="E1437" s="14"/>
      <c r="H1437" s="16"/>
      <c r="I1437" s="11"/>
      <c r="J1437" s="33"/>
      <c r="K1437" s="33"/>
      <c r="L1437" s="8"/>
      <c r="AE1437" s="8"/>
      <c r="AG1437" s="30"/>
      <c r="AI1437" s="30"/>
      <c r="AJ1437" s="21"/>
      <c r="AR1437" s="40"/>
      <c r="AT1437" s="40"/>
      <c r="AV1437" s="18"/>
      <c r="AX1437" s="18"/>
      <c r="AY1437" s="18"/>
      <c r="BF1437" s="18"/>
      <c r="BI1437" s="18"/>
      <c r="BT1437" s="18"/>
      <c r="BX1437" s="18"/>
      <c r="CC1437" s="18"/>
      <c r="CN1437" s="18"/>
      <c r="CY1437" s="34"/>
    </row>
    <row r="1438" spans="4:103" x14ac:dyDescent="0.25">
      <c r="D1438" s="12"/>
      <c r="E1438" s="14"/>
      <c r="H1438" s="16"/>
      <c r="I1438" s="11"/>
      <c r="J1438" s="33"/>
      <c r="K1438" s="33"/>
      <c r="L1438" s="8"/>
      <c r="AE1438" s="8"/>
      <c r="AG1438" s="30"/>
      <c r="AI1438" s="30"/>
      <c r="AJ1438" s="21"/>
      <c r="AR1438" s="40"/>
      <c r="AT1438" s="40"/>
      <c r="AV1438" s="18"/>
      <c r="AX1438" s="18"/>
      <c r="AY1438" s="18"/>
      <c r="BF1438" s="18"/>
      <c r="BI1438" s="18"/>
      <c r="BT1438" s="18"/>
      <c r="BX1438" s="18"/>
      <c r="CC1438" s="18"/>
      <c r="CN1438" s="18"/>
      <c r="CY1438" s="34"/>
    </row>
    <row r="1439" spans="4:103" x14ac:dyDescent="0.25">
      <c r="D1439" s="12"/>
      <c r="E1439" s="14"/>
      <c r="H1439" s="16"/>
      <c r="I1439" s="11"/>
      <c r="J1439" s="33"/>
      <c r="K1439" s="33"/>
      <c r="L1439" s="8"/>
      <c r="AE1439" s="8"/>
      <c r="AG1439" s="30"/>
      <c r="AI1439" s="30"/>
      <c r="AJ1439" s="21"/>
      <c r="AR1439" s="40"/>
      <c r="AT1439" s="40"/>
      <c r="AV1439" s="18"/>
      <c r="AX1439" s="18"/>
      <c r="AY1439" s="18"/>
      <c r="BF1439" s="18"/>
      <c r="BI1439" s="18"/>
      <c r="BT1439" s="18"/>
      <c r="BX1439" s="18"/>
      <c r="CC1439" s="18"/>
      <c r="CN1439" s="18"/>
      <c r="CY1439" s="34"/>
    </row>
    <row r="1440" spans="4:103" x14ac:dyDescent="0.25">
      <c r="D1440" s="12"/>
      <c r="E1440" s="14"/>
      <c r="H1440" s="16"/>
      <c r="I1440" s="11"/>
      <c r="J1440" s="33"/>
      <c r="K1440" s="33"/>
      <c r="L1440" s="8"/>
      <c r="AE1440" s="8"/>
      <c r="AG1440" s="30"/>
      <c r="AI1440" s="30"/>
      <c r="AJ1440" s="21"/>
      <c r="AR1440" s="40"/>
      <c r="AT1440" s="40"/>
      <c r="AV1440" s="18"/>
      <c r="AX1440" s="18"/>
      <c r="AY1440" s="18"/>
      <c r="BF1440" s="18"/>
      <c r="BI1440" s="18"/>
      <c r="BT1440" s="18"/>
      <c r="BX1440" s="18"/>
      <c r="CC1440" s="18"/>
      <c r="CN1440" s="18"/>
      <c r="CY1440" s="34"/>
    </row>
    <row r="1441" spans="4:103" x14ac:dyDescent="0.25">
      <c r="D1441" s="12"/>
      <c r="E1441" s="14"/>
      <c r="H1441" s="16"/>
      <c r="I1441" s="11"/>
      <c r="J1441" s="33"/>
      <c r="K1441" s="33"/>
      <c r="L1441" s="8"/>
      <c r="AE1441" s="8"/>
      <c r="AG1441" s="30"/>
      <c r="AI1441" s="30"/>
      <c r="AJ1441" s="21"/>
      <c r="AR1441" s="40"/>
      <c r="AT1441" s="40"/>
      <c r="AV1441" s="18"/>
      <c r="AX1441" s="18"/>
      <c r="AY1441" s="18"/>
      <c r="BF1441" s="18"/>
      <c r="BI1441" s="18"/>
      <c r="BT1441" s="18"/>
      <c r="BX1441" s="18"/>
      <c r="CC1441" s="18"/>
      <c r="CN1441" s="18"/>
      <c r="CY1441" s="34"/>
    </row>
    <row r="1442" spans="4:103" x14ac:dyDescent="0.25">
      <c r="D1442" s="12"/>
      <c r="E1442" s="14"/>
      <c r="H1442" s="16"/>
      <c r="I1442" s="11"/>
      <c r="J1442" s="33"/>
      <c r="K1442" s="33"/>
      <c r="L1442" s="8"/>
      <c r="AE1442" s="8"/>
      <c r="AG1442" s="30"/>
      <c r="AI1442" s="30"/>
      <c r="AJ1442" s="21"/>
      <c r="AR1442" s="40"/>
      <c r="AT1442" s="40"/>
      <c r="AV1442" s="18"/>
      <c r="AX1442" s="18"/>
      <c r="AY1442" s="18"/>
      <c r="BF1442" s="18"/>
      <c r="BI1442" s="18"/>
      <c r="BT1442" s="18"/>
      <c r="BX1442" s="18"/>
      <c r="CC1442" s="18"/>
      <c r="CN1442" s="18"/>
      <c r="CY1442" s="34"/>
    </row>
    <row r="1443" spans="4:103" x14ac:dyDescent="0.25">
      <c r="D1443" s="12"/>
      <c r="E1443" s="14"/>
      <c r="H1443" s="16"/>
      <c r="I1443" s="11"/>
      <c r="J1443" s="33"/>
      <c r="K1443" s="33"/>
      <c r="L1443" s="8"/>
      <c r="AE1443" s="8"/>
      <c r="AG1443" s="30"/>
      <c r="AI1443" s="30"/>
      <c r="AJ1443" s="21"/>
      <c r="AR1443" s="40"/>
      <c r="AT1443" s="40"/>
      <c r="AV1443" s="18"/>
      <c r="AX1443" s="18"/>
      <c r="AY1443" s="18"/>
      <c r="BF1443" s="18"/>
      <c r="BI1443" s="18"/>
      <c r="BT1443" s="18"/>
      <c r="BX1443" s="18"/>
      <c r="CC1443" s="18"/>
      <c r="CN1443" s="18"/>
      <c r="CY1443" s="34"/>
    </row>
    <row r="1444" spans="4:103" x14ac:dyDescent="0.25">
      <c r="D1444" s="12"/>
      <c r="E1444" s="14"/>
      <c r="H1444" s="16"/>
      <c r="I1444" s="11"/>
      <c r="J1444" s="33"/>
      <c r="K1444" s="33"/>
      <c r="L1444" s="8"/>
      <c r="AE1444" s="8"/>
      <c r="AG1444" s="30"/>
      <c r="AI1444" s="30"/>
      <c r="AJ1444" s="21"/>
      <c r="AR1444" s="40"/>
      <c r="AT1444" s="40"/>
      <c r="AV1444" s="18"/>
      <c r="AX1444" s="18"/>
      <c r="AY1444" s="18"/>
      <c r="BF1444" s="18"/>
      <c r="BI1444" s="18"/>
      <c r="BT1444" s="18"/>
      <c r="BX1444" s="18"/>
      <c r="CC1444" s="18"/>
      <c r="CN1444" s="18"/>
      <c r="CY1444" s="34"/>
    </row>
    <row r="1445" spans="4:103" x14ac:dyDescent="0.25">
      <c r="D1445" s="12"/>
      <c r="E1445" s="14"/>
      <c r="H1445" s="16"/>
      <c r="I1445" s="11"/>
      <c r="J1445" s="33"/>
      <c r="K1445" s="33"/>
      <c r="L1445" s="8"/>
      <c r="AE1445" s="8"/>
      <c r="AG1445" s="30"/>
      <c r="AI1445" s="30"/>
      <c r="AJ1445" s="21"/>
      <c r="AR1445" s="40"/>
      <c r="AT1445" s="40"/>
      <c r="AV1445" s="18"/>
      <c r="AX1445" s="18"/>
      <c r="AY1445" s="18"/>
      <c r="BF1445" s="18"/>
      <c r="BI1445" s="18"/>
      <c r="BT1445" s="18"/>
      <c r="BX1445" s="18"/>
      <c r="CC1445" s="18"/>
      <c r="CN1445" s="18"/>
      <c r="CY1445" s="34"/>
    </row>
    <row r="1446" spans="4:103" x14ac:dyDescent="0.25">
      <c r="D1446" s="12"/>
      <c r="E1446" s="14"/>
      <c r="H1446" s="16"/>
      <c r="I1446" s="11"/>
      <c r="J1446" s="33"/>
      <c r="K1446" s="33"/>
      <c r="L1446" s="8"/>
      <c r="AE1446" s="8"/>
      <c r="AG1446" s="30"/>
      <c r="AI1446" s="30"/>
      <c r="AJ1446" s="21"/>
      <c r="AR1446" s="40"/>
      <c r="AT1446" s="40"/>
      <c r="AV1446" s="18"/>
      <c r="AX1446" s="18"/>
      <c r="AY1446" s="18"/>
      <c r="BF1446" s="18"/>
      <c r="BI1446" s="18"/>
      <c r="BT1446" s="18"/>
      <c r="BX1446" s="18"/>
      <c r="CC1446" s="18"/>
      <c r="CN1446" s="18"/>
      <c r="CY1446" s="34"/>
    </row>
    <row r="1447" spans="4:103" x14ac:dyDescent="0.25">
      <c r="D1447" s="12"/>
      <c r="E1447" s="14"/>
      <c r="H1447" s="16"/>
      <c r="I1447" s="11"/>
      <c r="J1447" s="33"/>
      <c r="K1447" s="33"/>
      <c r="L1447" s="8"/>
      <c r="AE1447" s="8"/>
      <c r="AG1447" s="30"/>
      <c r="AI1447" s="30"/>
      <c r="AJ1447" s="21"/>
      <c r="AR1447" s="40"/>
      <c r="AT1447" s="40"/>
      <c r="AV1447" s="18"/>
      <c r="AX1447" s="18"/>
      <c r="AY1447" s="18"/>
      <c r="BF1447" s="18"/>
      <c r="BI1447" s="18"/>
      <c r="BT1447" s="18"/>
      <c r="BX1447" s="18"/>
      <c r="CC1447" s="18"/>
      <c r="CN1447" s="18"/>
      <c r="CY1447" s="34"/>
    </row>
    <row r="1448" spans="4:103" x14ac:dyDescent="0.25">
      <c r="D1448" s="12"/>
      <c r="E1448" s="14"/>
      <c r="H1448" s="16"/>
      <c r="I1448" s="11"/>
      <c r="J1448" s="33"/>
      <c r="K1448" s="33"/>
      <c r="L1448" s="8"/>
      <c r="AE1448" s="8"/>
      <c r="AG1448" s="30"/>
      <c r="AI1448" s="30"/>
      <c r="AJ1448" s="21"/>
      <c r="AR1448" s="40"/>
      <c r="AT1448" s="40"/>
      <c r="AV1448" s="18"/>
      <c r="AX1448" s="18"/>
      <c r="AY1448" s="18"/>
      <c r="BF1448" s="18"/>
      <c r="BI1448" s="18"/>
      <c r="BT1448" s="18"/>
      <c r="BX1448" s="18"/>
      <c r="CC1448" s="18"/>
      <c r="CN1448" s="18"/>
      <c r="CY1448" s="34"/>
    </row>
    <row r="1449" spans="4:103" x14ac:dyDescent="0.25">
      <c r="D1449" s="12"/>
      <c r="E1449" s="14"/>
      <c r="H1449" s="16"/>
      <c r="I1449" s="11"/>
      <c r="J1449" s="33"/>
      <c r="K1449" s="33"/>
      <c r="L1449" s="8"/>
      <c r="AE1449" s="8"/>
      <c r="AG1449" s="30"/>
      <c r="AI1449" s="30"/>
      <c r="AJ1449" s="21"/>
      <c r="AR1449" s="40"/>
      <c r="AT1449" s="40"/>
      <c r="AV1449" s="18"/>
      <c r="AX1449" s="18"/>
      <c r="AY1449" s="18"/>
      <c r="BF1449" s="18"/>
      <c r="BI1449" s="18"/>
      <c r="BT1449" s="18"/>
      <c r="BX1449" s="18"/>
      <c r="CC1449" s="18"/>
      <c r="CN1449" s="18"/>
      <c r="CY1449" s="34"/>
    </row>
    <row r="1450" spans="4:103" x14ac:dyDescent="0.25">
      <c r="D1450" s="12"/>
      <c r="E1450" s="14"/>
      <c r="H1450" s="16"/>
      <c r="I1450" s="11"/>
      <c r="J1450" s="33"/>
      <c r="K1450" s="33"/>
      <c r="L1450" s="8"/>
      <c r="AE1450" s="8"/>
      <c r="AG1450" s="30"/>
      <c r="AI1450" s="30"/>
      <c r="AJ1450" s="21"/>
      <c r="AR1450" s="40"/>
      <c r="AT1450" s="40"/>
      <c r="AV1450" s="18"/>
      <c r="AX1450" s="18"/>
      <c r="AY1450" s="18"/>
      <c r="BF1450" s="18"/>
      <c r="BI1450" s="18"/>
      <c r="BT1450" s="18"/>
      <c r="BX1450" s="18"/>
      <c r="CC1450" s="18"/>
      <c r="CN1450" s="18"/>
      <c r="CY1450" s="34"/>
    </row>
    <row r="1451" spans="4:103" x14ac:dyDescent="0.25">
      <c r="D1451" s="12"/>
      <c r="E1451" s="14"/>
      <c r="H1451" s="16"/>
      <c r="I1451" s="11"/>
      <c r="J1451" s="33"/>
      <c r="K1451" s="33"/>
      <c r="L1451" s="8"/>
      <c r="AE1451" s="8"/>
      <c r="AG1451" s="30"/>
      <c r="AI1451" s="30"/>
      <c r="AJ1451" s="21"/>
      <c r="AR1451" s="40"/>
      <c r="AT1451" s="40"/>
      <c r="AV1451" s="18"/>
      <c r="AX1451" s="18"/>
      <c r="AY1451" s="18"/>
      <c r="BF1451" s="18"/>
      <c r="BI1451" s="18"/>
      <c r="BT1451" s="18"/>
      <c r="BX1451" s="18"/>
      <c r="CC1451" s="18"/>
      <c r="CN1451" s="18"/>
      <c r="CY1451" s="34"/>
    </row>
    <row r="1452" spans="4:103" x14ac:dyDescent="0.25">
      <c r="D1452" s="12"/>
      <c r="E1452" s="14"/>
      <c r="H1452" s="16"/>
      <c r="I1452" s="11"/>
      <c r="J1452" s="33"/>
      <c r="K1452" s="33"/>
      <c r="L1452" s="8"/>
      <c r="AE1452" s="8"/>
      <c r="AG1452" s="30"/>
      <c r="AI1452" s="30"/>
      <c r="AJ1452" s="21"/>
      <c r="AR1452" s="40"/>
      <c r="AT1452" s="40"/>
      <c r="AV1452" s="18"/>
      <c r="AX1452" s="18"/>
      <c r="AY1452" s="18"/>
      <c r="BF1452" s="18"/>
      <c r="BI1452" s="18"/>
      <c r="BT1452" s="18"/>
      <c r="BX1452" s="18"/>
      <c r="CC1452" s="18"/>
      <c r="CN1452" s="18"/>
      <c r="CY1452" s="34"/>
    </row>
    <row r="1453" spans="4:103" x14ac:dyDescent="0.25">
      <c r="D1453" s="12"/>
      <c r="E1453" s="14"/>
      <c r="H1453" s="16"/>
      <c r="I1453" s="11"/>
      <c r="J1453" s="33"/>
      <c r="K1453" s="33"/>
      <c r="L1453" s="8"/>
      <c r="AE1453" s="8"/>
      <c r="AG1453" s="30"/>
      <c r="AI1453" s="30"/>
      <c r="AJ1453" s="21"/>
      <c r="AR1453" s="40"/>
      <c r="AT1453" s="40"/>
      <c r="AV1453" s="18"/>
      <c r="AX1453" s="18"/>
      <c r="AY1453" s="18"/>
      <c r="BF1453" s="18"/>
      <c r="BI1453" s="18"/>
      <c r="BT1453" s="18"/>
      <c r="BX1453" s="18"/>
      <c r="CC1453" s="18"/>
      <c r="CN1453" s="18"/>
      <c r="CY1453" s="34"/>
    </row>
    <row r="1454" spans="4:103" x14ac:dyDescent="0.25">
      <c r="D1454" s="12"/>
      <c r="E1454" s="14"/>
      <c r="H1454" s="16"/>
      <c r="I1454" s="11"/>
      <c r="J1454" s="33"/>
      <c r="K1454" s="33"/>
      <c r="L1454" s="8"/>
      <c r="AE1454" s="8"/>
      <c r="AG1454" s="30"/>
      <c r="AI1454" s="30"/>
      <c r="AJ1454" s="21"/>
      <c r="AR1454" s="40"/>
      <c r="AT1454" s="40"/>
      <c r="AV1454" s="18"/>
      <c r="AX1454" s="18"/>
      <c r="AY1454" s="18"/>
      <c r="BF1454" s="18"/>
      <c r="BI1454" s="18"/>
      <c r="BT1454" s="18"/>
      <c r="BX1454" s="18"/>
      <c r="CC1454" s="18"/>
      <c r="CN1454" s="18"/>
      <c r="CY1454" s="34"/>
    </row>
    <row r="1455" spans="4:103" x14ac:dyDescent="0.25">
      <c r="D1455" s="12"/>
      <c r="E1455" s="14"/>
      <c r="H1455" s="16"/>
      <c r="I1455" s="11"/>
      <c r="J1455" s="33"/>
      <c r="K1455" s="33"/>
      <c r="L1455" s="8"/>
      <c r="AE1455" s="8"/>
      <c r="AG1455" s="30"/>
      <c r="AI1455" s="30"/>
      <c r="AJ1455" s="21"/>
      <c r="AR1455" s="40"/>
      <c r="AT1455" s="40"/>
      <c r="AV1455" s="18"/>
      <c r="AX1455" s="18"/>
      <c r="AY1455" s="18"/>
      <c r="BF1455" s="18"/>
      <c r="BI1455" s="18"/>
      <c r="BT1455" s="18"/>
      <c r="BX1455" s="18"/>
      <c r="CC1455" s="18"/>
      <c r="CN1455" s="18"/>
      <c r="CY1455" s="34"/>
    </row>
    <row r="1456" spans="4:103" x14ac:dyDescent="0.25">
      <c r="D1456" s="12"/>
      <c r="E1456" s="14"/>
      <c r="H1456" s="16"/>
      <c r="I1456" s="11"/>
      <c r="J1456" s="33"/>
      <c r="K1456" s="33"/>
      <c r="L1456" s="8"/>
      <c r="AE1456" s="8"/>
      <c r="AG1456" s="30"/>
      <c r="AI1456" s="30"/>
      <c r="AJ1456" s="21"/>
      <c r="AR1456" s="40"/>
      <c r="AT1456" s="40"/>
      <c r="AV1456" s="18"/>
      <c r="AX1456" s="18"/>
      <c r="AY1456" s="18"/>
      <c r="BF1456" s="18"/>
      <c r="BI1456" s="18"/>
      <c r="BT1456" s="18"/>
      <c r="BX1456" s="18"/>
      <c r="CC1456" s="18"/>
      <c r="CN1456" s="18"/>
      <c r="CY1456" s="34"/>
    </row>
    <row r="1457" spans="4:103" x14ac:dyDescent="0.25">
      <c r="D1457" s="12"/>
      <c r="E1457" s="14"/>
      <c r="H1457" s="16"/>
      <c r="I1457" s="11"/>
      <c r="J1457" s="33"/>
      <c r="K1457" s="33"/>
      <c r="L1457" s="8"/>
      <c r="AE1457" s="8"/>
      <c r="AG1457" s="30"/>
      <c r="AI1457" s="30"/>
      <c r="AJ1457" s="21"/>
      <c r="AR1457" s="40"/>
      <c r="AT1457" s="40"/>
      <c r="AV1457" s="18"/>
      <c r="AX1457" s="18"/>
      <c r="AY1457" s="18"/>
      <c r="BF1457" s="18"/>
      <c r="BI1457" s="18"/>
      <c r="BT1457" s="18"/>
      <c r="BX1457" s="18"/>
      <c r="CC1457" s="18"/>
      <c r="CN1457" s="18"/>
      <c r="CY1457" s="34"/>
    </row>
    <row r="1458" spans="4:103" x14ac:dyDescent="0.25">
      <c r="D1458" s="12"/>
      <c r="E1458" s="14"/>
      <c r="H1458" s="16"/>
      <c r="I1458" s="11"/>
      <c r="J1458" s="33"/>
      <c r="K1458" s="33"/>
      <c r="L1458" s="8"/>
      <c r="AE1458" s="8"/>
      <c r="AG1458" s="30"/>
      <c r="AI1458" s="30"/>
      <c r="AJ1458" s="21"/>
      <c r="AR1458" s="40"/>
      <c r="AT1458" s="40"/>
      <c r="AV1458" s="18"/>
      <c r="AX1458" s="18"/>
      <c r="AY1458" s="18"/>
      <c r="BF1458" s="18"/>
      <c r="BI1458" s="18"/>
      <c r="BT1458" s="18"/>
      <c r="BX1458" s="18"/>
      <c r="CC1458" s="18"/>
      <c r="CN1458" s="18"/>
      <c r="CY1458" s="34"/>
    </row>
    <row r="1459" spans="4:103" x14ac:dyDescent="0.25">
      <c r="D1459" s="12"/>
      <c r="E1459" s="14"/>
      <c r="H1459" s="16"/>
      <c r="I1459" s="11"/>
      <c r="J1459" s="33"/>
      <c r="K1459" s="33"/>
      <c r="L1459" s="8"/>
      <c r="AE1459" s="8"/>
      <c r="AG1459" s="30"/>
      <c r="AI1459" s="30"/>
      <c r="AJ1459" s="21"/>
      <c r="AR1459" s="40"/>
      <c r="AT1459" s="40"/>
      <c r="AV1459" s="18"/>
      <c r="AX1459" s="18"/>
      <c r="AY1459" s="18"/>
      <c r="BF1459" s="18"/>
      <c r="BI1459" s="18"/>
      <c r="BT1459" s="18"/>
      <c r="BX1459" s="18"/>
      <c r="CC1459" s="18"/>
      <c r="CN1459" s="18"/>
      <c r="CY1459" s="34"/>
    </row>
    <row r="1460" spans="4:103" x14ac:dyDescent="0.25">
      <c r="D1460" s="12"/>
      <c r="E1460" s="14"/>
      <c r="H1460" s="16"/>
      <c r="I1460" s="11"/>
      <c r="J1460" s="33"/>
      <c r="K1460" s="33"/>
      <c r="L1460" s="8"/>
      <c r="AE1460" s="8"/>
      <c r="AG1460" s="30"/>
      <c r="AI1460" s="30"/>
      <c r="AJ1460" s="21"/>
      <c r="AR1460" s="40"/>
      <c r="AT1460" s="40"/>
      <c r="AV1460" s="18"/>
      <c r="AX1460" s="18"/>
      <c r="AY1460" s="18"/>
      <c r="BF1460" s="18"/>
      <c r="BI1460" s="18"/>
      <c r="BT1460" s="18"/>
      <c r="BX1460" s="18"/>
      <c r="CC1460" s="18"/>
      <c r="CN1460" s="18"/>
      <c r="CY1460" s="34"/>
    </row>
    <row r="1461" spans="4:103" x14ac:dyDescent="0.25">
      <c r="D1461" s="12"/>
      <c r="E1461" s="14"/>
      <c r="H1461" s="16"/>
      <c r="I1461" s="11"/>
      <c r="J1461" s="33"/>
      <c r="K1461" s="33"/>
      <c r="L1461" s="8"/>
      <c r="AE1461" s="8"/>
      <c r="AG1461" s="30"/>
      <c r="AI1461" s="30"/>
      <c r="AJ1461" s="21"/>
      <c r="AR1461" s="40"/>
      <c r="AT1461" s="40"/>
      <c r="AV1461" s="18"/>
      <c r="AX1461" s="18"/>
      <c r="AY1461" s="18"/>
      <c r="BF1461" s="18"/>
      <c r="BI1461" s="18"/>
      <c r="BT1461" s="18"/>
      <c r="BX1461" s="18"/>
      <c r="CC1461" s="18"/>
      <c r="CN1461" s="18"/>
      <c r="CY1461" s="34"/>
    </row>
    <row r="1462" spans="4:103" x14ac:dyDescent="0.25">
      <c r="D1462" s="12"/>
      <c r="E1462" s="14"/>
      <c r="H1462" s="16"/>
      <c r="I1462" s="11"/>
      <c r="J1462" s="33"/>
      <c r="K1462" s="33"/>
      <c r="L1462" s="8"/>
      <c r="AE1462" s="8"/>
      <c r="AG1462" s="30"/>
      <c r="AI1462" s="30"/>
      <c r="AJ1462" s="21"/>
      <c r="AR1462" s="40"/>
      <c r="AT1462" s="40"/>
      <c r="AV1462" s="18"/>
      <c r="AX1462" s="18"/>
      <c r="AY1462" s="18"/>
      <c r="BF1462" s="18"/>
      <c r="BI1462" s="18"/>
      <c r="BT1462" s="18"/>
      <c r="BX1462" s="18"/>
      <c r="CC1462" s="18"/>
      <c r="CN1462" s="18"/>
      <c r="CY1462" s="34"/>
    </row>
    <row r="1463" spans="4:103" x14ac:dyDescent="0.25">
      <c r="D1463" s="12"/>
      <c r="E1463" s="14"/>
      <c r="H1463" s="16"/>
      <c r="I1463" s="11"/>
      <c r="J1463" s="33"/>
      <c r="K1463" s="33"/>
      <c r="L1463" s="8"/>
      <c r="AE1463" s="8"/>
      <c r="AG1463" s="30"/>
      <c r="AI1463" s="30"/>
      <c r="AJ1463" s="21"/>
      <c r="AR1463" s="40"/>
      <c r="AT1463" s="40"/>
      <c r="AV1463" s="18"/>
      <c r="AX1463" s="18"/>
      <c r="AY1463" s="18"/>
      <c r="BF1463" s="18"/>
      <c r="BI1463" s="18"/>
      <c r="BT1463" s="18"/>
      <c r="BX1463" s="18"/>
      <c r="CC1463" s="18"/>
      <c r="CN1463" s="18"/>
      <c r="CY1463" s="34"/>
    </row>
    <row r="1464" spans="4:103" x14ac:dyDescent="0.25">
      <c r="D1464" s="12"/>
      <c r="E1464" s="14"/>
      <c r="H1464" s="16"/>
      <c r="I1464" s="11"/>
      <c r="J1464" s="33"/>
      <c r="K1464" s="33"/>
      <c r="L1464" s="8"/>
      <c r="AE1464" s="8"/>
      <c r="AG1464" s="30"/>
      <c r="AI1464" s="30"/>
      <c r="AJ1464" s="21"/>
      <c r="AR1464" s="40"/>
      <c r="AT1464" s="40"/>
      <c r="AV1464" s="18"/>
      <c r="AX1464" s="18"/>
      <c r="AY1464" s="18"/>
      <c r="BF1464" s="18"/>
      <c r="BI1464" s="18"/>
      <c r="BT1464" s="18"/>
      <c r="BX1464" s="18"/>
      <c r="CC1464" s="18"/>
      <c r="CN1464" s="18"/>
      <c r="CY1464" s="34"/>
    </row>
    <row r="1465" spans="4:103" x14ac:dyDescent="0.25">
      <c r="D1465" s="12"/>
      <c r="E1465" s="14"/>
      <c r="H1465" s="16"/>
      <c r="I1465" s="11"/>
      <c r="J1465" s="33"/>
      <c r="K1465" s="33"/>
      <c r="L1465" s="8"/>
      <c r="AE1465" s="8"/>
      <c r="AG1465" s="30"/>
      <c r="AI1465" s="30"/>
      <c r="AJ1465" s="21"/>
      <c r="AR1465" s="40"/>
      <c r="AT1465" s="40"/>
      <c r="AV1465" s="18"/>
      <c r="AX1465" s="18"/>
      <c r="AY1465" s="18"/>
      <c r="BF1465" s="18"/>
      <c r="BI1465" s="18"/>
      <c r="BT1465" s="18"/>
      <c r="BX1465" s="18"/>
      <c r="CC1465" s="18"/>
      <c r="CN1465" s="18"/>
      <c r="CY1465" s="34"/>
    </row>
    <row r="1466" spans="4:103" x14ac:dyDescent="0.25">
      <c r="D1466" s="12"/>
      <c r="E1466" s="14"/>
      <c r="H1466" s="16"/>
      <c r="I1466" s="11"/>
      <c r="J1466" s="33"/>
      <c r="K1466" s="33"/>
      <c r="L1466" s="8"/>
      <c r="AE1466" s="8"/>
      <c r="AG1466" s="30"/>
      <c r="AI1466" s="30"/>
      <c r="AJ1466" s="21"/>
      <c r="AR1466" s="40"/>
      <c r="AT1466" s="40"/>
      <c r="AV1466" s="18"/>
      <c r="AX1466" s="18"/>
      <c r="AY1466" s="18"/>
      <c r="BF1466" s="18"/>
      <c r="BI1466" s="18"/>
      <c r="BT1466" s="18"/>
      <c r="BX1466" s="18"/>
      <c r="CC1466" s="18"/>
      <c r="CN1466" s="18"/>
      <c r="CY1466" s="34"/>
    </row>
    <row r="1467" spans="4:103" x14ac:dyDescent="0.25">
      <c r="D1467" s="12"/>
      <c r="E1467" s="14"/>
      <c r="H1467" s="16"/>
      <c r="I1467" s="11"/>
      <c r="J1467" s="33"/>
      <c r="K1467" s="33"/>
      <c r="L1467" s="8"/>
      <c r="AE1467" s="8"/>
      <c r="AG1467" s="30"/>
      <c r="AI1467" s="30"/>
      <c r="AJ1467" s="21"/>
      <c r="AR1467" s="40"/>
      <c r="AT1467" s="40"/>
      <c r="AV1467" s="18"/>
      <c r="AX1467" s="18"/>
      <c r="AY1467" s="18"/>
      <c r="BF1467" s="18"/>
      <c r="BI1467" s="18"/>
      <c r="BT1467" s="18"/>
      <c r="BX1467" s="18"/>
      <c r="CC1467" s="18"/>
      <c r="CN1467" s="18"/>
      <c r="CY1467" s="34"/>
    </row>
    <row r="1468" spans="4:103" x14ac:dyDescent="0.25">
      <c r="D1468" s="12"/>
      <c r="E1468" s="14"/>
      <c r="H1468" s="16"/>
      <c r="I1468" s="11"/>
      <c r="J1468" s="33"/>
      <c r="K1468" s="33"/>
      <c r="L1468" s="8"/>
      <c r="AE1468" s="8"/>
      <c r="AG1468" s="30"/>
      <c r="AI1468" s="30"/>
      <c r="AJ1468" s="21"/>
      <c r="AR1468" s="40"/>
      <c r="AT1468" s="40"/>
      <c r="AV1468" s="18"/>
      <c r="AX1468" s="18"/>
      <c r="AY1468" s="18"/>
      <c r="BF1468" s="18"/>
      <c r="BI1468" s="18"/>
      <c r="BT1468" s="18"/>
      <c r="BX1468" s="18"/>
      <c r="CC1468" s="18"/>
      <c r="CN1468" s="18"/>
      <c r="CY1468" s="34"/>
    </row>
    <row r="1469" spans="4:103" x14ac:dyDescent="0.25">
      <c r="D1469" s="12"/>
      <c r="E1469" s="14"/>
      <c r="H1469" s="16"/>
      <c r="I1469" s="11"/>
      <c r="J1469" s="33"/>
      <c r="K1469" s="33"/>
      <c r="L1469" s="8"/>
      <c r="AE1469" s="8"/>
      <c r="AG1469" s="30"/>
      <c r="AI1469" s="30"/>
      <c r="AJ1469" s="21"/>
      <c r="AR1469" s="40"/>
      <c r="AT1469" s="40"/>
      <c r="AV1469" s="18"/>
      <c r="AX1469" s="18"/>
      <c r="AY1469" s="18"/>
      <c r="BF1469" s="18"/>
      <c r="BI1469" s="18"/>
      <c r="BT1469" s="18"/>
      <c r="BX1469" s="18"/>
      <c r="CC1469" s="18"/>
      <c r="CN1469" s="18"/>
      <c r="CY1469" s="34"/>
    </row>
    <row r="1470" spans="4:103" x14ac:dyDescent="0.25">
      <c r="D1470" s="12"/>
      <c r="E1470" s="14"/>
      <c r="H1470" s="16"/>
      <c r="I1470" s="11"/>
      <c r="J1470" s="33"/>
      <c r="K1470" s="33"/>
      <c r="L1470" s="8"/>
      <c r="AE1470" s="8"/>
      <c r="AG1470" s="30"/>
      <c r="AI1470" s="30"/>
      <c r="AJ1470" s="21"/>
      <c r="AR1470" s="40"/>
      <c r="AT1470" s="40"/>
      <c r="AV1470" s="18"/>
      <c r="AX1470" s="18"/>
      <c r="AY1470" s="18"/>
      <c r="BF1470" s="18"/>
      <c r="BI1470" s="18"/>
      <c r="BT1470" s="18"/>
      <c r="BX1470" s="18"/>
      <c r="CC1470" s="18"/>
      <c r="CN1470" s="18"/>
      <c r="CY1470" s="34"/>
    </row>
    <row r="1471" spans="4:103" x14ac:dyDescent="0.25">
      <c r="D1471" s="12"/>
      <c r="E1471" s="14"/>
      <c r="H1471" s="16"/>
      <c r="I1471" s="11"/>
      <c r="J1471" s="33"/>
      <c r="K1471" s="33"/>
      <c r="L1471" s="8"/>
      <c r="AE1471" s="8"/>
      <c r="AG1471" s="30"/>
      <c r="AI1471" s="30"/>
      <c r="AJ1471" s="21"/>
      <c r="AR1471" s="40"/>
      <c r="AT1471" s="40"/>
      <c r="AV1471" s="18"/>
      <c r="AX1471" s="18"/>
      <c r="AY1471" s="18"/>
      <c r="BF1471" s="18"/>
      <c r="BI1471" s="18"/>
      <c r="BT1471" s="18"/>
      <c r="BX1471" s="18"/>
      <c r="CC1471" s="18"/>
      <c r="CN1471" s="18"/>
      <c r="CY1471" s="34"/>
    </row>
    <row r="1472" spans="4:103" x14ac:dyDescent="0.25">
      <c r="D1472" s="12"/>
      <c r="E1472" s="14"/>
      <c r="H1472" s="16"/>
      <c r="I1472" s="11"/>
      <c r="J1472" s="33"/>
      <c r="K1472" s="33"/>
      <c r="L1472" s="8"/>
      <c r="AE1472" s="8"/>
      <c r="AG1472" s="30"/>
      <c r="AI1472" s="30"/>
      <c r="AJ1472" s="21"/>
      <c r="AR1472" s="40"/>
      <c r="AT1472" s="40"/>
      <c r="AV1472" s="18"/>
      <c r="AX1472" s="18"/>
      <c r="AY1472" s="18"/>
      <c r="BF1472" s="18"/>
      <c r="BI1472" s="18"/>
      <c r="BT1472" s="18"/>
      <c r="BX1472" s="18"/>
      <c r="CC1472" s="18"/>
      <c r="CN1472" s="18"/>
      <c r="CY1472" s="34"/>
    </row>
    <row r="1473" spans="4:103" x14ac:dyDescent="0.25">
      <c r="D1473" s="12"/>
      <c r="E1473" s="14"/>
      <c r="H1473" s="16"/>
      <c r="I1473" s="11"/>
      <c r="J1473" s="33"/>
      <c r="K1473" s="33"/>
      <c r="L1473" s="8"/>
      <c r="AE1473" s="8"/>
      <c r="AG1473" s="30"/>
      <c r="AI1473" s="30"/>
      <c r="AJ1473" s="21"/>
      <c r="AR1473" s="40"/>
      <c r="AT1473" s="40"/>
      <c r="AV1473" s="18"/>
      <c r="AX1473" s="18"/>
      <c r="AY1473" s="18"/>
      <c r="BF1473" s="18"/>
      <c r="BI1473" s="18"/>
      <c r="BT1473" s="18"/>
      <c r="BX1473" s="18"/>
      <c r="CC1473" s="18"/>
      <c r="CN1473" s="18"/>
      <c r="CY1473" s="34"/>
    </row>
    <row r="1474" spans="4:103" x14ac:dyDescent="0.25">
      <c r="D1474" s="12"/>
      <c r="E1474" s="14"/>
      <c r="H1474" s="16"/>
      <c r="I1474" s="11"/>
      <c r="J1474" s="33"/>
      <c r="K1474" s="33"/>
      <c r="L1474" s="8"/>
      <c r="AE1474" s="8"/>
      <c r="AG1474" s="30"/>
      <c r="AI1474" s="30"/>
      <c r="AJ1474" s="21"/>
      <c r="AR1474" s="40"/>
      <c r="AT1474" s="40"/>
      <c r="AV1474" s="18"/>
      <c r="AX1474" s="18"/>
      <c r="AY1474" s="18"/>
      <c r="BF1474" s="18"/>
      <c r="BI1474" s="18"/>
      <c r="BT1474" s="18"/>
      <c r="BX1474" s="18"/>
      <c r="CC1474" s="18"/>
      <c r="CN1474" s="18"/>
      <c r="CY1474" s="34"/>
    </row>
    <row r="1475" spans="4:103" x14ac:dyDescent="0.25">
      <c r="D1475" s="12"/>
      <c r="E1475" s="14"/>
      <c r="H1475" s="16"/>
      <c r="I1475" s="11"/>
      <c r="J1475" s="33"/>
      <c r="K1475" s="33"/>
      <c r="L1475" s="8"/>
      <c r="AE1475" s="8"/>
      <c r="AG1475" s="30"/>
      <c r="AI1475" s="30"/>
      <c r="AJ1475" s="21"/>
      <c r="AR1475" s="40"/>
      <c r="AT1475" s="40"/>
      <c r="AV1475" s="18"/>
      <c r="AX1475" s="18"/>
      <c r="AY1475" s="18"/>
      <c r="BF1475" s="18"/>
      <c r="BI1475" s="18"/>
      <c r="BT1475" s="18"/>
      <c r="BX1475" s="18"/>
      <c r="CC1475" s="18"/>
      <c r="CN1475" s="18"/>
      <c r="CY1475" s="34"/>
    </row>
    <row r="1476" spans="4:103" x14ac:dyDescent="0.25">
      <c r="D1476" s="12"/>
      <c r="E1476" s="14"/>
      <c r="H1476" s="16"/>
      <c r="I1476" s="11"/>
      <c r="J1476" s="33"/>
      <c r="K1476" s="33"/>
      <c r="L1476" s="8"/>
      <c r="AE1476" s="8"/>
      <c r="AG1476" s="30"/>
      <c r="AI1476" s="30"/>
      <c r="AJ1476" s="21"/>
      <c r="AR1476" s="40"/>
      <c r="AT1476" s="40"/>
      <c r="AV1476" s="18"/>
      <c r="AX1476" s="18"/>
      <c r="AY1476" s="18"/>
      <c r="BF1476" s="18"/>
      <c r="BI1476" s="18"/>
      <c r="BT1476" s="18"/>
      <c r="BX1476" s="18"/>
      <c r="CC1476" s="18"/>
      <c r="CN1476" s="18"/>
      <c r="CY1476" s="34"/>
    </row>
    <row r="1477" spans="4:103" x14ac:dyDescent="0.25">
      <c r="D1477" s="12"/>
      <c r="E1477" s="14"/>
      <c r="H1477" s="16"/>
      <c r="I1477" s="11"/>
      <c r="J1477" s="33"/>
      <c r="K1477" s="33"/>
      <c r="L1477" s="8"/>
      <c r="AE1477" s="8"/>
      <c r="AG1477" s="30"/>
      <c r="AI1477" s="30"/>
      <c r="AJ1477" s="21"/>
      <c r="AR1477" s="40"/>
      <c r="AT1477" s="40"/>
      <c r="AV1477" s="18"/>
      <c r="AX1477" s="18"/>
      <c r="AY1477" s="18"/>
      <c r="BF1477" s="18"/>
      <c r="BI1477" s="18"/>
      <c r="BT1477" s="18"/>
      <c r="BX1477" s="18"/>
      <c r="CC1477" s="18"/>
      <c r="CN1477" s="18"/>
      <c r="CY1477" s="34"/>
    </row>
    <row r="1478" spans="4:103" x14ac:dyDescent="0.25">
      <c r="D1478" s="12"/>
      <c r="E1478" s="14"/>
      <c r="H1478" s="16"/>
      <c r="I1478" s="11"/>
      <c r="J1478" s="33"/>
      <c r="K1478" s="33"/>
      <c r="L1478" s="8"/>
      <c r="AE1478" s="8"/>
      <c r="AG1478" s="30"/>
      <c r="AI1478" s="30"/>
      <c r="AJ1478" s="21"/>
      <c r="AR1478" s="40"/>
      <c r="AT1478" s="40"/>
      <c r="AV1478" s="18"/>
      <c r="AX1478" s="18"/>
      <c r="AY1478" s="18"/>
      <c r="BF1478" s="18"/>
      <c r="BI1478" s="18"/>
      <c r="BT1478" s="18"/>
      <c r="BX1478" s="18"/>
      <c r="CC1478" s="18"/>
      <c r="CN1478" s="18"/>
      <c r="CY1478" s="34"/>
    </row>
    <row r="1479" spans="4:103" x14ac:dyDescent="0.25">
      <c r="D1479" s="12"/>
      <c r="E1479" s="14"/>
      <c r="H1479" s="16"/>
      <c r="I1479" s="11"/>
      <c r="J1479" s="33"/>
      <c r="K1479" s="33"/>
      <c r="L1479" s="8"/>
      <c r="AE1479" s="8"/>
      <c r="AG1479" s="30"/>
      <c r="AI1479" s="30"/>
      <c r="AJ1479" s="21"/>
      <c r="AR1479" s="40"/>
      <c r="AT1479" s="40"/>
      <c r="AV1479" s="18"/>
      <c r="AX1479" s="18"/>
      <c r="AY1479" s="18"/>
      <c r="BF1479" s="18"/>
      <c r="BI1479" s="18"/>
      <c r="BT1479" s="18"/>
      <c r="BX1479" s="18"/>
      <c r="CC1479" s="18"/>
      <c r="CN1479" s="18"/>
      <c r="CY1479" s="34"/>
    </row>
    <row r="1480" spans="4:103" x14ac:dyDescent="0.25">
      <c r="D1480" s="12"/>
      <c r="E1480" s="14"/>
      <c r="H1480" s="16"/>
      <c r="I1480" s="11"/>
      <c r="J1480" s="33"/>
      <c r="K1480" s="33"/>
      <c r="L1480" s="8"/>
      <c r="AE1480" s="8"/>
      <c r="AG1480" s="30"/>
      <c r="AI1480" s="30"/>
      <c r="AJ1480" s="21"/>
      <c r="AR1480" s="40"/>
      <c r="AT1480" s="40"/>
      <c r="AV1480" s="18"/>
      <c r="AX1480" s="18"/>
      <c r="AY1480" s="18"/>
      <c r="BF1480" s="18"/>
      <c r="BI1480" s="18"/>
      <c r="BT1480" s="18"/>
      <c r="BX1480" s="18"/>
      <c r="CC1480" s="18"/>
      <c r="CN1480" s="18"/>
      <c r="CY1480" s="34"/>
    </row>
    <row r="1481" spans="4:103" x14ac:dyDescent="0.25">
      <c r="D1481" s="12"/>
      <c r="E1481" s="14"/>
      <c r="H1481" s="16"/>
      <c r="I1481" s="11"/>
      <c r="J1481" s="33"/>
      <c r="K1481" s="33"/>
      <c r="L1481" s="8"/>
      <c r="AE1481" s="8"/>
      <c r="AG1481" s="30"/>
      <c r="AI1481" s="30"/>
      <c r="AJ1481" s="21"/>
      <c r="AR1481" s="40"/>
      <c r="AT1481" s="40"/>
      <c r="AV1481" s="18"/>
      <c r="AX1481" s="18"/>
      <c r="AY1481" s="18"/>
      <c r="BF1481" s="18"/>
      <c r="BI1481" s="18"/>
      <c r="BT1481" s="18"/>
      <c r="BX1481" s="18"/>
      <c r="CC1481" s="18"/>
      <c r="CN1481" s="18"/>
      <c r="CY1481" s="34"/>
    </row>
    <row r="1482" spans="4:103" x14ac:dyDescent="0.25">
      <c r="D1482" s="12"/>
      <c r="E1482" s="14"/>
      <c r="H1482" s="16"/>
      <c r="I1482" s="11"/>
      <c r="J1482" s="33"/>
      <c r="K1482" s="33"/>
      <c r="L1482" s="8"/>
      <c r="AE1482" s="8"/>
      <c r="AG1482" s="30"/>
      <c r="AI1482" s="30"/>
      <c r="AJ1482" s="21"/>
      <c r="AR1482" s="40"/>
      <c r="AT1482" s="40"/>
      <c r="AV1482" s="18"/>
      <c r="AX1482" s="18"/>
      <c r="AY1482" s="18"/>
      <c r="BF1482" s="18"/>
      <c r="BI1482" s="18"/>
      <c r="BT1482" s="18"/>
      <c r="BX1482" s="18"/>
      <c r="CC1482" s="18"/>
      <c r="CN1482" s="18"/>
      <c r="CY1482" s="34"/>
    </row>
    <row r="1483" spans="4:103" x14ac:dyDescent="0.25">
      <c r="D1483" s="12"/>
      <c r="E1483" s="14"/>
      <c r="H1483" s="16"/>
      <c r="I1483" s="11"/>
      <c r="J1483" s="33"/>
      <c r="K1483" s="33"/>
      <c r="L1483" s="8"/>
      <c r="AE1483" s="8"/>
      <c r="AG1483" s="30"/>
      <c r="AI1483" s="30"/>
      <c r="AJ1483" s="21"/>
      <c r="AR1483" s="40"/>
      <c r="AT1483" s="40"/>
      <c r="AV1483" s="18"/>
      <c r="AX1483" s="18"/>
      <c r="AY1483" s="18"/>
      <c r="BF1483" s="18"/>
      <c r="BI1483" s="18"/>
      <c r="BT1483" s="18"/>
      <c r="BX1483" s="18"/>
      <c r="CC1483" s="18"/>
      <c r="CN1483" s="18"/>
      <c r="CY1483" s="34"/>
    </row>
    <row r="1484" spans="4:103" x14ac:dyDescent="0.25">
      <c r="D1484" s="12"/>
      <c r="E1484" s="14"/>
      <c r="H1484" s="16"/>
      <c r="I1484" s="11"/>
      <c r="J1484" s="33"/>
      <c r="K1484" s="33"/>
      <c r="L1484" s="8"/>
      <c r="AE1484" s="8"/>
      <c r="AG1484" s="30"/>
      <c r="AI1484" s="30"/>
      <c r="AJ1484" s="21"/>
      <c r="AR1484" s="40"/>
      <c r="AT1484" s="40"/>
      <c r="AV1484" s="18"/>
      <c r="AX1484" s="18"/>
      <c r="AY1484" s="18"/>
      <c r="BF1484" s="18"/>
      <c r="BI1484" s="18"/>
      <c r="BT1484" s="18"/>
      <c r="BX1484" s="18"/>
      <c r="CC1484" s="18"/>
      <c r="CN1484" s="18"/>
      <c r="CY1484" s="34"/>
    </row>
    <row r="1485" spans="4:103" x14ac:dyDescent="0.25">
      <c r="D1485" s="12"/>
      <c r="E1485" s="14"/>
      <c r="H1485" s="16"/>
      <c r="I1485" s="11"/>
      <c r="J1485" s="33"/>
      <c r="K1485" s="33"/>
      <c r="L1485" s="8"/>
      <c r="AE1485" s="8"/>
      <c r="AG1485" s="30"/>
      <c r="AI1485" s="30"/>
      <c r="AJ1485" s="21"/>
      <c r="AR1485" s="40"/>
      <c r="AT1485" s="40"/>
      <c r="AV1485" s="18"/>
      <c r="AX1485" s="18"/>
      <c r="AY1485" s="18"/>
      <c r="BF1485" s="18"/>
      <c r="BI1485" s="18"/>
      <c r="BT1485" s="18"/>
      <c r="BX1485" s="18"/>
      <c r="CC1485" s="18"/>
      <c r="CN1485" s="18"/>
      <c r="CY1485" s="34"/>
    </row>
    <row r="1486" spans="4:103" x14ac:dyDescent="0.25">
      <c r="D1486" s="12"/>
      <c r="E1486" s="14"/>
      <c r="H1486" s="16"/>
      <c r="I1486" s="11"/>
      <c r="J1486" s="33"/>
      <c r="K1486" s="33"/>
      <c r="L1486" s="8"/>
      <c r="AE1486" s="8"/>
      <c r="AG1486" s="30"/>
      <c r="AI1486" s="30"/>
      <c r="AJ1486" s="21"/>
      <c r="AR1486" s="40"/>
      <c r="AT1486" s="40"/>
      <c r="AV1486" s="18"/>
      <c r="AX1486" s="18"/>
      <c r="AY1486" s="18"/>
      <c r="BF1486" s="18"/>
      <c r="BI1486" s="18"/>
      <c r="BT1486" s="18"/>
      <c r="BX1486" s="18"/>
      <c r="CC1486" s="18"/>
      <c r="CN1486" s="18"/>
      <c r="CY1486" s="34"/>
    </row>
    <row r="1487" spans="4:103" x14ac:dyDescent="0.25">
      <c r="D1487" s="12"/>
      <c r="E1487" s="14"/>
      <c r="H1487" s="16"/>
      <c r="I1487" s="11"/>
      <c r="J1487" s="33"/>
      <c r="K1487" s="33"/>
      <c r="L1487" s="8"/>
      <c r="AE1487" s="8"/>
      <c r="AG1487" s="30"/>
      <c r="AI1487" s="30"/>
      <c r="AJ1487" s="21"/>
      <c r="AR1487" s="40"/>
      <c r="AT1487" s="40"/>
      <c r="AV1487" s="18"/>
      <c r="AX1487" s="18"/>
      <c r="AY1487" s="18"/>
      <c r="BF1487" s="18"/>
      <c r="BI1487" s="18"/>
      <c r="BT1487" s="18"/>
      <c r="BX1487" s="18"/>
      <c r="CC1487" s="18"/>
      <c r="CN1487" s="18"/>
      <c r="CY1487" s="34"/>
    </row>
    <row r="1488" spans="4:103" x14ac:dyDescent="0.25">
      <c r="D1488" s="12"/>
      <c r="E1488" s="14"/>
      <c r="H1488" s="16"/>
      <c r="I1488" s="11"/>
      <c r="J1488" s="33"/>
      <c r="K1488" s="33"/>
      <c r="L1488" s="8"/>
      <c r="AE1488" s="8"/>
      <c r="AG1488" s="30"/>
      <c r="AI1488" s="30"/>
      <c r="AJ1488" s="21"/>
      <c r="AR1488" s="40"/>
      <c r="AT1488" s="40"/>
      <c r="AV1488" s="18"/>
      <c r="AX1488" s="18"/>
      <c r="AY1488" s="18"/>
      <c r="BF1488" s="18"/>
      <c r="BI1488" s="18"/>
      <c r="BT1488" s="18"/>
      <c r="BX1488" s="18"/>
      <c r="CC1488" s="18"/>
      <c r="CN1488" s="18"/>
      <c r="CY1488" s="34"/>
    </row>
    <row r="1489" spans="4:103" x14ac:dyDescent="0.25">
      <c r="D1489" s="12"/>
      <c r="E1489" s="14"/>
      <c r="H1489" s="16"/>
      <c r="I1489" s="11"/>
      <c r="J1489" s="33"/>
      <c r="K1489" s="33"/>
      <c r="L1489" s="8"/>
      <c r="AE1489" s="8"/>
      <c r="AG1489" s="30"/>
      <c r="AI1489" s="30"/>
      <c r="AJ1489" s="21"/>
      <c r="AR1489" s="40"/>
      <c r="AT1489" s="40"/>
      <c r="AV1489" s="18"/>
      <c r="AX1489" s="18"/>
      <c r="AY1489" s="18"/>
      <c r="BF1489" s="18"/>
      <c r="BI1489" s="18"/>
      <c r="BT1489" s="18"/>
      <c r="BX1489" s="18"/>
      <c r="CC1489" s="18"/>
      <c r="CN1489" s="18"/>
      <c r="CY1489" s="34"/>
    </row>
    <row r="1490" spans="4:103" x14ac:dyDescent="0.25">
      <c r="D1490" s="12"/>
      <c r="E1490" s="14"/>
      <c r="H1490" s="16"/>
      <c r="I1490" s="11"/>
      <c r="J1490" s="33"/>
      <c r="K1490" s="33"/>
      <c r="L1490" s="8"/>
      <c r="AE1490" s="8"/>
      <c r="AG1490" s="30"/>
      <c r="AI1490" s="30"/>
      <c r="AJ1490" s="21"/>
      <c r="AR1490" s="40"/>
      <c r="AT1490" s="40"/>
      <c r="AV1490" s="18"/>
      <c r="AX1490" s="18"/>
      <c r="AY1490" s="18"/>
      <c r="BF1490" s="18"/>
      <c r="BI1490" s="18"/>
      <c r="BT1490" s="18"/>
      <c r="BX1490" s="18"/>
      <c r="CC1490" s="18"/>
      <c r="CN1490" s="18"/>
      <c r="CY1490" s="34"/>
    </row>
    <row r="1491" spans="4:103" x14ac:dyDescent="0.25">
      <c r="D1491" s="12"/>
      <c r="E1491" s="14"/>
      <c r="H1491" s="16"/>
      <c r="I1491" s="11"/>
      <c r="J1491" s="33"/>
      <c r="K1491" s="33"/>
      <c r="L1491" s="8"/>
      <c r="AE1491" s="8"/>
      <c r="AG1491" s="30"/>
      <c r="AI1491" s="30"/>
      <c r="AJ1491" s="21"/>
      <c r="AR1491" s="40"/>
      <c r="AT1491" s="40"/>
      <c r="AV1491" s="18"/>
      <c r="AX1491" s="18"/>
      <c r="AY1491" s="18"/>
      <c r="BF1491" s="18"/>
      <c r="BI1491" s="18"/>
      <c r="BT1491" s="18"/>
      <c r="BX1491" s="18"/>
      <c r="CC1491" s="18"/>
      <c r="CN1491" s="18"/>
      <c r="CY1491" s="34"/>
    </row>
    <row r="1492" spans="4:103" x14ac:dyDescent="0.25">
      <c r="D1492" s="12"/>
      <c r="E1492" s="14"/>
      <c r="H1492" s="16"/>
      <c r="I1492" s="11"/>
      <c r="J1492" s="33"/>
      <c r="K1492" s="33"/>
      <c r="L1492" s="8"/>
      <c r="AE1492" s="8"/>
      <c r="AG1492" s="30"/>
      <c r="AI1492" s="30"/>
      <c r="AJ1492" s="21"/>
      <c r="AR1492" s="40"/>
      <c r="AT1492" s="40"/>
      <c r="AV1492" s="18"/>
      <c r="AX1492" s="18"/>
      <c r="AY1492" s="18"/>
      <c r="BF1492" s="18"/>
      <c r="BI1492" s="18"/>
      <c r="BT1492" s="18"/>
      <c r="BX1492" s="18"/>
      <c r="CC1492" s="18"/>
      <c r="CN1492" s="18"/>
      <c r="CY1492" s="34"/>
    </row>
    <row r="1493" spans="4:103" x14ac:dyDescent="0.25">
      <c r="D1493" s="12"/>
      <c r="E1493" s="14"/>
      <c r="H1493" s="16"/>
      <c r="I1493" s="11"/>
      <c r="J1493" s="33"/>
      <c r="K1493" s="33"/>
      <c r="L1493" s="8"/>
      <c r="AE1493" s="8"/>
      <c r="AG1493" s="30"/>
      <c r="AI1493" s="30"/>
      <c r="AJ1493" s="21"/>
      <c r="AR1493" s="40"/>
      <c r="AT1493" s="40"/>
      <c r="AV1493" s="18"/>
      <c r="AX1493" s="18"/>
      <c r="AY1493" s="18"/>
      <c r="BF1493" s="18"/>
      <c r="BI1493" s="18"/>
      <c r="BT1493" s="18"/>
      <c r="BX1493" s="18"/>
      <c r="CC1493" s="18"/>
      <c r="CN1493" s="18"/>
      <c r="CY1493" s="34"/>
    </row>
    <row r="1494" spans="4:103" x14ac:dyDescent="0.25">
      <c r="D1494" s="12"/>
      <c r="E1494" s="14"/>
      <c r="H1494" s="16"/>
      <c r="I1494" s="11"/>
      <c r="J1494" s="33"/>
      <c r="K1494" s="33"/>
      <c r="L1494" s="8"/>
      <c r="AE1494" s="8"/>
      <c r="AG1494" s="30"/>
      <c r="AI1494" s="30"/>
      <c r="AJ1494" s="21"/>
      <c r="AR1494" s="40"/>
      <c r="AT1494" s="40"/>
      <c r="AV1494" s="18"/>
      <c r="AX1494" s="18"/>
      <c r="AY1494" s="18"/>
      <c r="BF1494" s="18"/>
      <c r="BI1494" s="18"/>
      <c r="BT1494" s="18"/>
      <c r="BX1494" s="18"/>
      <c r="CC1494" s="18"/>
      <c r="CN1494" s="18"/>
      <c r="CY1494" s="34"/>
    </row>
    <row r="1495" spans="4:103" x14ac:dyDescent="0.25">
      <c r="D1495" s="12"/>
      <c r="E1495" s="14"/>
      <c r="H1495" s="16"/>
      <c r="I1495" s="11"/>
      <c r="J1495" s="33"/>
      <c r="K1495" s="33"/>
      <c r="L1495" s="8"/>
      <c r="AE1495" s="8"/>
      <c r="AG1495" s="30"/>
      <c r="AI1495" s="30"/>
      <c r="AJ1495" s="21"/>
      <c r="AR1495" s="40"/>
      <c r="AT1495" s="40"/>
      <c r="AV1495" s="18"/>
      <c r="AX1495" s="18"/>
      <c r="AY1495" s="18"/>
      <c r="BF1495" s="18"/>
      <c r="BI1495" s="18"/>
      <c r="BT1495" s="18"/>
      <c r="BX1495" s="18"/>
      <c r="CC1495" s="18"/>
      <c r="CN1495" s="18"/>
      <c r="CY1495" s="34"/>
    </row>
    <row r="1496" spans="4:103" x14ac:dyDescent="0.25">
      <c r="D1496" s="12"/>
      <c r="E1496" s="14"/>
      <c r="H1496" s="16"/>
      <c r="I1496" s="11"/>
      <c r="J1496" s="33"/>
      <c r="K1496" s="33"/>
      <c r="L1496" s="8"/>
      <c r="AE1496" s="8"/>
      <c r="AG1496" s="30"/>
      <c r="AI1496" s="30"/>
      <c r="AJ1496" s="21"/>
      <c r="AR1496" s="40"/>
      <c r="AT1496" s="40"/>
      <c r="AV1496" s="18"/>
      <c r="AX1496" s="18"/>
      <c r="AY1496" s="18"/>
      <c r="BF1496" s="18"/>
      <c r="BI1496" s="18"/>
      <c r="BT1496" s="18"/>
      <c r="BX1496" s="18"/>
      <c r="CC1496" s="18"/>
      <c r="CN1496" s="18"/>
      <c r="CY1496" s="34"/>
    </row>
    <row r="1497" spans="4:103" x14ac:dyDescent="0.25">
      <c r="D1497" s="12"/>
      <c r="E1497" s="14"/>
      <c r="H1497" s="16"/>
      <c r="I1497" s="11"/>
      <c r="J1497" s="33"/>
      <c r="K1497" s="33"/>
      <c r="L1497" s="8"/>
      <c r="AE1497" s="8"/>
      <c r="AG1497" s="30"/>
      <c r="AI1497" s="30"/>
      <c r="AJ1497" s="21"/>
      <c r="AR1497" s="40"/>
      <c r="AT1497" s="40"/>
      <c r="AV1497" s="18"/>
      <c r="AX1497" s="18"/>
      <c r="AY1497" s="18"/>
      <c r="BF1497" s="18"/>
      <c r="BI1497" s="18"/>
      <c r="BT1497" s="18"/>
      <c r="BX1497" s="18"/>
      <c r="CC1497" s="18"/>
      <c r="CN1497" s="18"/>
      <c r="CY1497" s="34"/>
    </row>
    <row r="1498" spans="4:103" x14ac:dyDescent="0.25">
      <c r="D1498" s="12"/>
      <c r="E1498" s="14"/>
      <c r="H1498" s="16"/>
      <c r="I1498" s="11"/>
      <c r="J1498" s="33"/>
      <c r="K1498" s="33"/>
      <c r="L1498" s="8"/>
      <c r="AE1498" s="8"/>
      <c r="AG1498" s="30"/>
      <c r="AI1498" s="30"/>
      <c r="AJ1498" s="21"/>
      <c r="AR1498" s="40"/>
      <c r="AT1498" s="40"/>
      <c r="AV1498" s="18"/>
      <c r="AX1498" s="18"/>
      <c r="AY1498" s="18"/>
      <c r="BF1498" s="18"/>
      <c r="BI1498" s="18"/>
      <c r="BT1498" s="18"/>
      <c r="BX1498" s="18"/>
      <c r="CC1498" s="18"/>
      <c r="CN1498" s="18"/>
      <c r="CY1498" s="34"/>
    </row>
    <row r="1499" spans="4:103" x14ac:dyDescent="0.25">
      <c r="D1499" s="12"/>
      <c r="E1499" s="14"/>
      <c r="H1499" s="16"/>
      <c r="I1499" s="11"/>
      <c r="J1499" s="33"/>
      <c r="K1499" s="33"/>
      <c r="L1499" s="8"/>
      <c r="AE1499" s="8"/>
      <c r="AG1499" s="30"/>
      <c r="AI1499" s="30"/>
      <c r="AJ1499" s="21"/>
      <c r="AR1499" s="40"/>
      <c r="AT1499" s="40"/>
      <c r="AV1499" s="18"/>
      <c r="AX1499" s="18"/>
      <c r="AY1499" s="18"/>
      <c r="BF1499" s="18"/>
      <c r="BI1499" s="18"/>
      <c r="BT1499" s="18"/>
      <c r="BX1499" s="18"/>
      <c r="CC1499" s="18"/>
      <c r="CN1499" s="18"/>
      <c r="CY1499" s="34"/>
    </row>
    <row r="1500" spans="4:103" x14ac:dyDescent="0.25">
      <c r="D1500" s="12"/>
      <c r="E1500" s="14"/>
      <c r="H1500" s="16"/>
      <c r="I1500" s="11"/>
      <c r="J1500" s="33"/>
      <c r="K1500" s="33"/>
      <c r="L1500" s="8"/>
      <c r="AE1500" s="8"/>
      <c r="AG1500" s="30"/>
      <c r="AI1500" s="30"/>
      <c r="AJ1500" s="21"/>
      <c r="AR1500" s="40"/>
      <c r="AT1500" s="40"/>
      <c r="AV1500" s="18"/>
      <c r="AX1500" s="18"/>
      <c r="AY1500" s="18"/>
      <c r="BF1500" s="18"/>
      <c r="BI1500" s="18"/>
      <c r="BT1500" s="18"/>
      <c r="BX1500" s="18"/>
      <c r="CC1500" s="18"/>
      <c r="CN1500" s="18"/>
      <c r="CY1500" s="34"/>
    </row>
    <row r="1501" spans="4:103" x14ac:dyDescent="0.25">
      <c r="D1501" s="12"/>
      <c r="E1501" s="14"/>
      <c r="H1501" s="16"/>
      <c r="I1501" s="11"/>
      <c r="J1501" s="33"/>
      <c r="K1501" s="33"/>
      <c r="L1501" s="8"/>
      <c r="AE1501" s="8"/>
      <c r="AG1501" s="30"/>
      <c r="AI1501" s="30"/>
      <c r="AJ1501" s="21"/>
      <c r="AR1501" s="40"/>
      <c r="AT1501" s="40"/>
      <c r="AV1501" s="18"/>
      <c r="AX1501" s="18"/>
      <c r="AY1501" s="18"/>
      <c r="BF1501" s="18"/>
      <c r="BI1501" s="18"/>
      <c r="BT1501" s="18"/>
      <c r="BX1501" s="18"/>
      <c r="CC1501" s="18"/>
      <c r="CN1501" s="18"/>
      <c r="CY1501" s="34"/>
    </row>
    <row r="1502" spans="4:103" x14ac:dyDescent="0.25">
      <c r="D1502" s="12"/>
      <c r="E1502" s="14"/>
      <c r="H1502" s="16"/>
      <c r="I1502" s="11"/>
      <c r="J1502" s="33"/>
      <c r="K1502" s="33"/>
      <c r="L1502" s="8"/>
      <c r="AE1502" s="8"/>
      <c r="AG1502" s="30"/>
      <c r="AI1502" s="30"/>
      <c r="AJ1502" s="21"/>
      <c r="AR1502" s="40"/>
      <c r="AT1502" s="40"/>
      <c r="AV1502" s="18"/>
      <c r="AX1502" s="18"/>
      <c r="AY1502" s="18"/>
      <c r="BF1502" s="18"/>
      <c r="BI1502" s="18"/>
      <c r="BT1502" s="18"/>
      <c r="BX1502" s="18"/>
      <c r="CC1502" s="18"/>
      <c r="CN1502" s="18"/>
      <c r="CY1502" s="34"/>
    </row>
    <row r="1503" spans="4:103" x14ac:dyDescent="0.25">
      <c r="D1503" s="12"/>
      <c r="E1503" s="14"/>
      <c r="H1503" s="16"/>
      <c r="I1503" s="11"/>
      <c r="J1503" s="33"/>
      <c r="K1503" s="33"/>
      <c r="L1503" s="8"/>
      <c r="AE1503" s="8"/>
      <c r="AG1503" s="30"/>
      <c r="AI1503" s="30"/>
      <c r="AJ1503" s="21"/>
      <c r="AR1503" s="40"/>
      <c r="AT1503" s="40"/>
      <c r="AV1503" s="18"/>
      <c r="AX1503" s="18"/>
      <c r="AY1503" s="18"/>
      <c r="BF1503" s="18"/>
      <c r="BI1503" s="18"/>
      <c r="BT1503" s="18"/>
      <c r="BX1503" s="18"/>
      <c r="CC1503" s="18"/>
      <c r="CN1503" s="18"/>
      <c r="CY1503" s="34"/>
    </row>
    <row r="1504" spans="4:103" x14ac:dyDescent="0.25">
      <c r="D1504" s="12"/>
      <c r="E1504" s="14"/>
      <c r="H1504" s="16"/>
      <c r="I1504" s="11"/>
      <c r="J1504" s="33"/>
      <c r="K1504" s="33"/>
      <c r="L1504" s="8"/>
      <c r="AE1504" s="8"/>
      <c r="AG1504" s="30"/>
      <c r="AI1504" s="30"/>
      <c r="AJ1504" s="21"/>
      <c r="AR1504" s="40"/>
      <c r="AT1504" s="40"/>
      <c r="AV1504" s="18"/>
      <c r="AX1504" s="18"/>
      <c r="AY1504" s="18"/>
      <c r="BF1504" s="18"/>
      <c r="BI1504" s="18"/>
      <c r="BT1504" s="18"/>
      <c r="BX1504" s="18"/>
      <c r="CC1504" s="18"/>
      <c r="CN1504" s="18"/>
      <c r="CY1504" s="34"/>
    </row>
    <row r="1505" spans="4:103" x14ac:dyDescent="0.25">
      <c r="D1505" s="12"/>
      <c r="E1505" s="14"/>
      <c r="H1505" s="16"/>
      <c r="I1505" s="11"/>
      <c r="J1505" s="33"/>
      <c r="K1505" s="33"/>
      <c r="L1505" s="8"/>
      <c r="AE1505" s="8"/>
      <c r="AG1505" s="30"/>
      <c r="AI1505" s="30"/>
      <c r="AJ1505" s="21"/>
      <c r="AR1505" s="40"/>
      <c r="AT1505" s="40"/>
      <c r="AV1505" s="18"/>
      <c r="AX1505" s="18"/>
      <c r="AY1505" s="18"/>
      <c r="BF1505" s="18"/>
      <c r="BI1505" s="18"/>
      <c r="BT1505" s="18"/>
      <c r="BX1505" s="18"/>
      <c r="CC1505" s="18"/>
      <c r="CN1505" s="18"/>
      <c r="CY1505" s="34"/>
    </row>
    <row r="1506" spans="4:103" x14ac:dyDescent="0.25">
      <c r="D1506" s="12"/>
      <c r="E1506" s="14"/>
      <c r="H1506" s="16"/>
      <c r="I1506" s="11"/>
      <c r="J1506" s="33"/>
      <c r="K1506" s="33"/>
      <c r="L1506" s="8"/>
      <c r="AE1506" s="8"/>
      <c r="AG1506" s="30"/>
      <c r="AI1506" s="30"/>
      <c r="AJ1506" s="21"/>
      <c r="AR1506" s="40"/>
      <c r="AT1506" s="40"/>
      <c r="AV1506" s="18"/>
      <c r="AX1506" s="18"/>
      <c r="AY1506" s="18"/>
      <c r="BF1506" s="18"/>
      <c r="BI1506" s="18"/>
      <c r="BT1506" s="18"/>
      <c r="BX1506" s="18"/>
      <c r="CC1506" s="18"/>
      <c r="CN1506" s="18"/>
      <c r="CY1506" s="34"/>
    </row>
    <row r="1507" spans="4:103" x14ac:dyDescent="0.25">
      <c r="D1507" s="12"/>
      <c r="E1507" s="14"/>
      <c r="H1507" s="16"/>
      <c r="I1507" s="11"/>
      <c r="J1507" s="33"/>
      <c r="K1507" s="33"/>
      <c r="L1507" s="8"/>
      <c r="AE1507" s="8"/>
      <c r="AG1507" s="30"/>
      <c r="AI1507" s="30"/>
      <c r="AJ1507" s="21"/>
      <c r="AR1507" s="40"/>
      <c r="AT1507" s="40"/>
      <c r="AV1507" s="18"/>
      <c r="AX1507" s="18"/>
      <c r="AY1507" s="18"/>
      <c r="BF1507" s="18"/>
      <c r="BI1507" s="18"/>
      <c r="BT1507" s="18"/>
      <c r="BX1507" s="18"/>
      <c r="CC1507" s="18"/>
      <c r="CN1507" s="18"/>
      <c r="CY1507" s="34"/>
    </row>
    <row r="1508" spans="4:103" x14ac:dyDescent="0.25">
      <c r="D1508" s="12"/>
      <c r="E1508" s="14"/>
      <c r="H1508" s="16"/>
      <c r="I1508" s="11"/>
      <c r="J1508" s="33"/>
      <c r="K1508" s="33"/>
      <c r="L1508" s="8"/>
      <c r="AE1508" s="8"/>
      <c r="AG1508" s="30"/>
      <c r="AI1508" s="30"/>
      <c r="AJ1508" s="21"/>
      <c r="AR1508" s="40"/>
      <c r="AT1508" s="40"/>
      <c r="AV1508" s="18"/>
      <c r="AX1508" s="18"/>
      <c r="AY1508" s="18"/>
      <c r="BF1508" s="18"/>
      <c r="BI1508" s="18"/>
      <c r="BT1508" s="18"/>
      <c r="BX1508" s="18"/>
      <c r="CC1508" s="18"/>
      <c r="CN1508" s="18"/>
      <c r="CY1508" s="34"/>
    </row>
    <row r="1509" spans="4:103" x14ac:dyDescent="0.25">
      <c r="D1509" s="12"/>
      <c r="E1509" s="14"/>
      <c r="H1509" s="16"/>
      <c r="I1509" s="11"/>
      <c r="J1509" s="33"/>
      <c r="K1509" s="33"/>
      <c r="L1509" s="8"/>
      <c r="AE1509" s="8"/>
      <c r="AG1509" s="30"/>
      <c r="AI1509" s="30"/>
      <c r="AJ1509" s="21"/>
      <c r="AR1509" s="40"/>
      <c r="AT1509" s="40"/>
      <c r="AV1509" s="18"/>
      <c r="AX1509" s="18"/>
      <c r="AY1509" s="18"/>
      <c r="BF1509" s="18"/>
      <c r="BI1509" s="18"/>
      <c r="BT1509" s="18"/>
      <c r="BX1509" s="18"/>
      <c r="CC1509" s="18"/>
      <c r="CN1509" s="18"/>
      <c r="CY1509" s="34"/>
    </row>
    <row r="1510" spans="4:103" x14ac:dyDescent="0.25">
      <c r="D1510" s="12"/>
      <c r="E1510" s="14"/>
      <c r="H1510" s="16"/>
      <c r="I1510" s="11"/>
      <c r="J1510" s="33"/>
      <c r="K1510" s="33"/>
      <c r="L1510" s="8"/>
      <c r="AE1510" s="8"/>
      <c r="AG1510" s="30"/>
      <c r="AI1510" s="30"/>
      <c r="AJ1510" s="21"/>
      <c r="AR1510" s="40"/>
      <c r="AT1510" s="40"/>
      <c r="AV1510" s="18"/>
      <c r="AX1510" s="18"/>
      <c r="AY1510" s="18"/>
      <c r="BF1510" s="18"/>
      <c r="BI1510" s="18"/>
      <c r="BT1510" s="18"/>
      <c r="BX1510" s="18"/>
      <c r="CC1510" s="18"/>
      <c r="CN1510" s="18"/>
      <c r="CY1510" s="34"/>
    </row>
    <row r="1511" spans="4:103" x14ac:dyDescent="0.25">
      <c r="D1511" s="12"/>
      <c r="E1511" s="14"/>
      <c r="H1511" s="16"/>
      <c r="I1511" s="11"/>
      <c r="J1511" s="33"/>
      <c r="K1511" s="33"/>
      <c r="L1511" s="8"/>
      <c r="AE1511" s="8"/>
      <c r="AG1511" s="30"/>
      <c r="AI1511" s="30"/>
      <c r="AJ1511" s="21"/>
      <c r="AR1511" s="40"/>
      <c r="AT1511" s="40"/>
      <c r="AV1511" s="18"/>
      <c r="AX1511" s="18"/>
      <c r="AY1511" s="18"/>
      <c r="BF1511" s="18"/>
      <c r="BI1511" s="18"/>
      <c r="BT1511" s="18"/>
      <c r="BX1511" s="18"/>
      <c r="CC1511" s="18"/>
      <c r="CN1511" s="18"/>
      <c r="CY1511" s="34"/>
    </row>
    <row r="1512" spans="4:103" x14ac:dyDescent="0.25">
      <c r="D1512" s="12"/>
      <c r="E1512" s="14"/>
      <c r="H1512" s="16"/>
      <c r="I1512" s="11"/>
      <c r="J1512" s="33"/>
      <c r="K1512" s="33"/>
      <c r="L1512" s="8"/>
      <c r="AE1512" s="8"/>
      <c r="AG1512" s="30"/>
      <c r="AI1512" s="30"/>
      <c r="AJ1512" s="21"/>
      <c r="AR1512" s="40"/>
      <c r="AT1512" s="40"/>
      <c r="AV1512" s="18"/>
      <c r="AX1512" s="18"/>
      <c r="AY1512" s="18"/>
      <c r="BF1512" s="18"/>
      <c r="BI1512" s="18"/>
      <c r="BT1512" s="18"/>
      <c r="BX1512" s="18"/>
      <c r="CC1512" s="18"/>
      <c r="CN1512" s="18"/>
      <c r="CY1512" s="34"/>
    </row>
    <row r="1513" spans="4:103" x14ac:dyDescent="0.25">
      <c r="D1513" s="12"/>
      <c r="E1513" s="14"/>
      <c r="H1513" s="16"/>
      <c r="I1513" s="11"/>
      <c r="J1513" s="33"/>
      <c r="K1513" s="33"/>
      <c r="L1513" s="8"/>
      <c r="AE1513" s="8"/>
      <c r="AG1513" s="30"/>
      <c r="AI1513" s="30"/>
      <c r="AJ1513" s="21"/>
      <c r="AR1513" s="40"/>
      <c r="AT1513" s="40"/>
      <c r="AV1513" s="18"/>
      <c r="AX1513" s="18"/>
      <c r="AY1513" s="18"/>
      <c r="BF1513" s="18"/>
      <c r="BI1513" s="18"/>
      <c r="BT1513" s="18"/>
      <c r="BX1513" s="18"/>
      <c r="CC1513" s="18"/>
      <c r="CN1513" s="18"/>
      <c r="CY1513" s="34"/>
    </row>
    <row r="1514" spans="4:103" x14ac:dyDescent="0.25">
      <c r="D1514" s="12"/>
      <c r="E1514" s="14"/>
      <c r="H1514" s="16"/>
      <c r="I1514" s="11"/>
      <c r="J1514" s="33"/>
      <c r="K1514" s="33"/>
      <c r="L1514" s="8"/>
      <c r="AE1514" s="8"/>
      <c r="AG1514" s="30"/>
      <c r="AI1514" s="30"/>
      <c r="AJ1514" s="21"/>
      <c r="AR1514" s="40"/>
      <c r="AT1514" s="40"/>
      <c r="AV1514" s="18"/>
      <c r="AX1514" s="18"/>
      <c r="AY1514" s="18"/>
      <c r="BF1514" s="18"/>
      <c r="BI1514" s="18"/>
      <c r="BT1514" s="18"/>
      <c r="BX1514" s="18"/>
      <c r="CC1514" s="18"/>
      <c r="CN1514" s="18"/>
      <c r="CY1514" s="34"/>
    </row>
    <row r="1515" spans="4:103" x14ac:dyDescent="0.25">
      <c r="D1515" s="12"/>
      <c r="E1515" s="14"/>
      <c r="H1515" s="16"/>
      <c r="I1515" s="11"/>
      <c r="J1515" s="33"/>
      <c r="K1515" s="33"/>
      <c r="L1515" s="8"/>
      <c r="AE1515" s="8"/>
      <c r="AG1515" s="30"/>
      <c r="AI1515" s="30"/>
      <c r="AJ1515" s="21"/>
      <c r="AR1515" s="40"/>
      <c r="AT1515" s="40"/>
      <c r="AV1515" s="18"/>
      <c r="AX1515" s="18"/>
      <c r="AY1515" s="18"/>
      <c r="BF1515" s="18"/>
      <c r="BI1515" s="18"/>
      <c r="BT1515" s="18"/>
      <c r="BX1515" s="18"/>
      <c r="CC1515" s="18"/>
      <c r="CN1515" s="18"/>
      <c r="CY1515" s="34"/>
    </row>
    <row r="1516" spans="4:103" x14ac:dyDescent="0.25">
      <c r="D1516" s="12"/>
      <c r="E1516" s="14"/>
      <c r="H1516" s="16"/>
      <c r="I1516" s="11"/>
      <c r="J1516" s="33"/>
      <c r="K1516" s="33"/>
      <c r="L1516" s="8"/>
      <c r="AE1516" s="8"/>
      <c r="AG1516" s="30"/>
      <c r="AI1516" s="30"/>
      <c r="AJ1516" s="21"/>
      <c r="AR1516" s="40"/>
      <c r="AT1516" s="40"/>
      <c r="AV1516" s="18"/>
      <c r="AX1516" s="18"/>
      <c r="AY1516" s="18"/>
      <c r="BF1516" s="18"/>
      <c r="BI1516" s="18"/>
      <c r="BT1516" s="18"/>
      <c r="BX1516" s="18"/>
      <c r="CC1516" s="18"/>
      <c r="CN1516" s="18"/>
      <c r="CY1516" s="34"/>
    </row>
    <row r="1517" spans="4:103" x14ac:dyDescent="0.25">
      <c r="D1517" s="12"/>
      <c r="E1517" s="14"/>
      <c r="H1517" s="16"/>
      <c r="I1517" s="11"/>
      <c r="J1517" s="33"/>
      <c r="K1517" s="33"/>
      <c r="L1517" s="8"/>
      <c r="AE1517" s="8"/>
      <c r="AG1517" s="30"/>
      <c r="AI1517" s="30"/>
      <c r="AJ1517" s="21"/>
      <c r="AR1517" s="40"/>
      <c r="AT1517" s="40"/>
      <c r="AV1517" s="18"/>
      <c r="AX1517" s="18"/>
      <c r="AY1517" s="18"/>
      <c r="BF1517" s="18"/>
      <c r="BI1517" s="18"/>
      <c r="BT1517" s="18"/>
      <c r="BX1517" s="18"/>
      <c r="CC1517" s="18"/>
      <c r="CN1517" s="18"/>
      <c r="CY1517" s="34"/>
    </row>
    <row r="1518" spans="4:103" x14ac:dyDescent="0.25">
      <c r="D1518" s="12"/>
      <c r="E1518" s="14"/>
      <c r="H1518" s="16"/>
      <c r="I1518" s="11"/>
      <c r="J1518" s="33"/>
      <c r="K1518" s="33"/>
      <c r="L1518" s="8"/>
      <c r="AE1518" s="8"/>
      <c r="AG1518" s="30"/>
      <c r="AI1518" s="30"/>
      <c r="AJ1518" s="21"/>
      <c r="AR1518" s="40"/>
      <c r="AT1518" s="40"/>
      <c r="AV1518" s="18"/>
      <c r="AX1518" s="18"/>
      <c r="AY1518" s="18"/>
      <c r="BF1518" s="18"/>
      <c r="BI1518" s="18"/>
      <c r="BT1518" s="18"/>
      <c r="BX1518" s="18"/>
      <c r="CC1518" s="18"/>
      <c r="CN1518" s="18"/>
      <c r="CY1518" s="34"/>
    </row>
    <row r="1519" spans="4:103" x14ac:dyDescent="0.25">
      <c r="D1519" s="12"/>
      <c r="E1519" s="14"/>
      <c r="H1519" s="16"/>
      <c r="I1519" s="11"/>
      <c r="J1519" s="33"/>
      <c r="K1519" s="33"/>
      <c r="L1519" s="8"/>
      <c r="AE1519" s="8"/>
      <c r="AG1519" s="30"/>
      <c r="AI1519" s="30"/>
      <c r="AJ1519" s="21"/>
      <c r="AR1519" s="40"/>
      <c r="AT1519" s="40"/>
      <c r="AV1519" s="18"/>
      <c r="AX1519" s="18"/>
      <c r="AY1519" s="18"/>
      <c r="BF1519" s="18"/>
      <c r="BI1519" s="18"/>
      <c r="BT1519" s="18"/>
      <c r="BX1519" s="18"/>
      <c r="CC1519" s="18"/>
      <c r="CN1519" s="18"/>
      <c r="CY1519" s="34"/>
    </row>
    <row r="1520" spans="4:103" x14ac:dyDescent="0.25">
      <c r="D1520" s="12"/>
      <c r="E1520" s="14"/>
      <c r="H1520" s="16"/>
      <c r="I1520" s="11"/>
      <c r="J1520" s="33"/>
      <c r="K1520" s="33"/>
      <c r="L1520" s="8"/>
      <c r="AE1520" s="8"/>
      <c r="AG1520" s="30"/>
      <c r="AI1520" s="30"/>
      <c r="AJ1520" s="21"/>
      <c r="AR1520" s="40"/>
      <c r="AT1520" s="40"/>
      <c r="AV1520" s="18"/>
      <c r="AX1520" s="18"/>
      <c r="AY1520" s="18"/>
      <c r="BF1520" s="18"/>
      <c r="BI1520" s="18"/>
      <c r="BT1520" s="18"/>
      <c r="BX1520" s="18"/>
      <c r="CC1520" s="18"/>
      <c r="CN1520" s="18"/>
      <c r="CY1520" s="34"/>
    </row>
    <row r="1521" spans="4:103" x14ac:dyDescent="0.25">
      <c r="D1521" s="12"/>
      <c r="E1521" s="14"/>
      <c r="H1521" s="16"/>
      <c r="I1521" s="11"/>
      <c r="J1521" s="33"/>
      <c r="K1521" s="33"/>
      <c r="L1521" s="8"/>
      <c r="AE1521" s="8"/>
      <c r="AG1521" s="30"/>
      <c r="AI1521" s="30"/>
      <c r="AJ1521" s="21"/>
      <c r="AR1521" s="40"/>
      <c r="AT1521" s="40"/>
      <c r="AV1521" s="18"/>
      <c r="AX1521" s="18"/>
      <c r="AY1521" s="18"/>
      <c r="BF1521" s="18"/>
      <c r="BI1521" s="18"/>
      <c r="BT1521" s="18"/>
      <c r="BX1521" s="18"/>
      <c r="CC1521" s="18"/>
      <c r="CN1521" s="18"/>
      <c r="CY1521" s="34"/>
    </row>
    <row r="1522" spans="4:103" x14ac:dyDescent="0.25">
      <c r="D1522" s="12"/>
      <c r="E1522" s="14"/>
      <c r="H1522" s="16"/>
      <c r="I1522" s="11"/>
      <c r="J1522" s="33"/>
      <c r="K1522" s="33"/>
      <c r="L1522" s="8"/>
      <c r="AE1522" s="8"/>
      <c r="AG1522" s="30"/>
      <c r="AI1522" s="30"/>
      <c r="AJ1522" s="21"/>
      <c r="AR1522" s="40"/>
      <c r="AT1522" s="40"/>
      <c r="AV1522" s="18"/>
      <c r="AX1522" s="18"/>
      <c r="AY1522" s="18"/>
      <c r="BF1522" s="18"/>
      <c r="BI1522" s="18"/>
      <c r="BT1522" s="18"/>
      <c r="BX1522" s="18"/>
      <c r="CC1522" s="18"/>
      <c r="CN1522" s="18"/>
      <c r="CY1522" s="34"/>
    </row>
    <row r="1523" spans="4:103" x14ac:dyDescent="0.25">
      <c r="D1523" s="12"/>
      <c r="E1523" s="14"/>
      <c r="H1523" s="16"/>
      <c r="I1523" s="11"/>
      <c r="J1523" s="33"/>
      <c r="K1523" s="33"/>
      <c r="L1523" s="8"/>
      <c r="AE1523" s="8"/>
      <c r="AG1523" s="30"/>
      <c r="AI1523" s="30"/>
      <c r="AJ1523" s="21"/>
      <c r="AR1523" s="40"/>
      <c r="AT1523" s="40"/>
      <c r="AV1523" s="18"/>
      <c r="AX1523" s="18"/>
      <c r="AY1523" s="18"/>
      <c r="BF1523" s="18"/>
      <c r="BI1523" s="18"/>
      <c r="BT1523" s="18"/>
      <c r="BX1523" s="18"/>
      <c r="CC1523" s="18"/>
      <c r="CN1523" s="18"/>
      <c r="CY1523" s="34"/>
    </row>
    <row r="1524" spans="4:103" x14ac:dyDescent="0.25">
      <c r="D1524" s="12"/>
      <c r="E1524" s="14"/>
      <c r="H1524" s="16"/>
      <c r="I1524" s="11"/>
      <c r="J1524" s="33"/>
      <c r="K1524" s="33"/>
      <c r="L1524" s="8"/>
      <c r="AE1524" s="8"/>
      <c r="AG1524" s="30"/>
      <c r="AI1524" s="30"/>
      <c r="AJ1524" s="21"/>
      <c r="AR1524" s="40"/>
      <c r="AT1524" s="40"/>
      <c r="AV1524" s="18"/>
      <c r="AX1524" s="18"/>
      <c r="AY1524" s="18"/>
      <c r="BF1524" s="18"/>
      <c r="BI1524" s="18"/>
      <c r="BT1524" s="18"/>
      <c r="BX1524" s="18"/>
      <c r="CC1524" s="18"/>
      <c r="CN1524" s="18"/>
      <c r="CY1524" s="34"/>
    </row>
    <row r="1525" spans="4:103" x14ac:dyDescent="0.25">
      <c r="D1525" s="12"/>
      <c r="E1525" s="14"/>
      <c r="H1525" s="16"/>
      <c r="I1525" s="11"/>
      <c r="J1525" s="33"/>
      <c r="K1525" s="33"/>
      <c r="L1525" s="8"/>
      <c r="AE1525" s="8"/>
      <c r="AG1525" s="30"/>
      <c r="AI1525" s="30"/>
      <c r="AJ1525" s="21"/>
      <c r="AR1525" s="40"/>
      <c r="AT1525" s="40"/>
      <c r="AV1525" s="18"/>
      <c r="AX1525" s="18"/>
      <c r="AY1525" s="18"/>
      <c r="BF1525" s="18"/>
      <c r="BI1525" s="18"/>
      <c r="BT1525" s="18"/>
      <c r="BX1525" s="18"/>
      <c r="CC1525" s="18"/>
      <c r="CN1525" s="18"/>
      <c r="CY1525" s="34"/>
    </row>
    <row r="1526" spans="4:103" x14ac:dyDescent="0.25">
      <c r="D1526" s="12"/>
      <c r="E1526" s="14"/>
      <c r="H1526" s="16"/>
      <c r="I1526" s="11"/>
      <c r="J1526" s="33"/>
      <c r="K1526" s="33"/>
      <c r="L1526" s="8"/>
      <c r="AE1526" s="8"/>
      <c r="AG1526" s="30"/>
      <c r="AI1526" s="30"/>
      <c r="AJ1526" s="21"/>
      <c r="AR1526" s="40"/>
      <c r="AT1526" s="40"/>
      <c r="AV1526" s="18"/>
      <c r="AX1526" s="18"/>
      <c r="AY1526" s="18"/>
      <c r="BF1526" s="18"/>
      <c r="BI1526" s="18"/>
      <c r="BT1526" s="18"/>
      <c r="BX1526" s="18"/>
      <c r="CC1526" s="18"/>
      <c r="CN1526" s="18"/>
      <c r="CY1526" s="34"/>
    </row>
    <row r="1527" spans="4:103" x14ac:dyDescent="0.25">
      <c r="D1527" s="12"/>
      <c r="E1527" s="14"/>
      <c r="H1527" s="16"/>
      <c r="I1527" s="11"/>
      <c r="J1527" s="33"/>
      <c r="K1527" s="33"/>
      <c r="L1527" s="8"/>
      <c r="AE1527" s="8"/>
      <c r="AG1527" s="30"/>
      <c r="AI1527" s="30"/>
      <c r="AJ1527" s="21"/>
      <c r="AR1527" s="40"/>
      <c r="AT1527" s="40"/>
      <c r="AV1527" s="18"/>
      <c r="AX1527" s="18"/>
      <c r="AY1527" s="18"/>
      <c r="BF1527" s="18"/>
      <c r="BI1527" s="18"/>
      <c r="BT1527" s="18"/>
      <c r="BX1527" s="18"/>
      <c r="CC1527" s="18"/>
      <c r="CN1527" s="18"/>
      <c r="CY1527" s="34"/>
    </row>
    <row r="1528" spans="4:103" x14ac:dyDescent="0.25">
      <c r="D1528" s="12"/>
      <c r="E1528" s="14"/>
      <c r="H1528" s="16"/>
      <c r="I1528" s="11"/>
      <c r="J1528" s="33"/>
      <c r="K1528" s="33"/>
      <c r="L1528" s="8"/>
      <c r="AE1528" s="8"/>
      <c r="AG1528" s="30"/>
      <c r="AI1528" s="30"/>
      <c r="AJ1528" s="21"/>
      <c r="AR1528" s="40"/>
      <c r="AT1528" s="40"/>
      <c r="AV1528" s="18"/>
      <c r="AX1528" s="18"/>
      <c r="AY1528" s="18"/>
      <c r="BF1528" s="18"/>
      <c r="BI1528" s="18"/>
      <c r="BT1528" s="18"/>
      <c r="BX1528" s="18"/>
      <c r="CC1528" s="18"/>
      <c r="CN1528" s="18"/>
      <c r="CY1528" s="34"/>
    </row>
    <row r="1529" spans="4:103" x14ac:dyDescent="0.25">
      <c r="D1529" s="12"/>
      <c r="E1529" s="14"/>
      <c r="H1529" s="16"/>
      <c r="I1529" s="11"/>
      <c r="J1529" s="33"/>
      <c r="K1529" s="33"/>
      <c r="L1529" s="8"/>
      <c r="AE1529" s="8"/>
      <c r="AG1529" s="30"/>
      <c r="AI1529" s="30"/>
      <c r="AJ1529" s="21"/>
      <c r="AR1529" s="40"/>
      <c r="AT1529" s="40"/>
      <c r="AV1529" s="18"/>
      <c r="AX1529" s="18"/>
      <c r="AY1529" s="18"/>
      <c r="BF1529" s="18"/>
      <c r="BI1529" s="18"/>
      <c r="BT1529" s="18"/>
      <c r="BX1529" s="18"/>
      <c r="CC1529" s="18"/>
      <c r="CN1529" s="18"/>
      <c r="CY1529" s="34"/>
    </row>
    <row r="1530" spans="4:103" x14ac:dyDescent="0.25">
      <c r="D1530" s="12"/>
      <c r="E1530" s="14"/>
      <c r="H1530" s="16"/>
      <c r="I1530" s="11"/>
      <c r="J1530" s="33"/>
      <c r="K1530" s="33"/>
      <c r="L1530" s="8"/>
      <c r="AE1530" s="8"/>
      <c r="AG1530" s="30"/>
      <c r="AI1530" s="30"/>
      <c r="AJ1530" s="21"/>
      <c r="AR1530" s="40"/>
      <c r="AT1530" s="40"/>
      <c r="AV1530" s="18"/>
      <c r="AX1530" s="18"/>
      <c r="AY1530" s="18"/>
      <c r="BF1530" s="18"/>
      <c r="BI1530" s="18"/>
      <c r="BT1530" s="18"/>
      <c r="BX1530" s="18"/>
      <c r="CC1530" s="18"/>
      <c r="CN1530" s="18"/>
      <c r="CY1530" s="34"/>
    </row>
    <row r="1531" spans="4:103" x14ac:dyDescent="0.25">
      <c r="D1531" s="12"/>
      <c r="E1531" s="14"/>
      <c r="H1531" s="16"/>
      <c r="I1531" s="11"/>
      <c r="J1531" s="33"/>
      <c r="K1531" s="33"/>
      <c r="L1531" s="8"/>
      <c r="AE1531" s="8"/>
      <c r="AG1531" s="30"/>
      <c r="AI1531" s="30"/>
      <c r="AJ1531" s="21"/>
      <c r="AR1531" s="40"/>
      <c r="AT1531" s="40"/>
      <c r="AV1531" s="18"/>
      <c r="AX1531" s="18"/>
      <c r="AY1531" s="18"/>
      <c r="BF1531" s="18"/>
      <c r="BI1531" s="18"/>
      <c r="BT1531" s="18"/>
      <c r="BX1531" s="18"/>
      <c r="CC1531" s="18"/>
      <c r="CN1531" s="18"/>
      <c r="CY1531" s="34"/>
    </row>
    <row r="1532" spans="4:103" x14ac:dyDescent="0.25">
      <c r="D1532" s="12"/>
      <c r="E1532" s="14"/>
      <c r="H1532" s="16"/>
      <c r="I1532" s="11"/>
      <c r="J1532" s="33"/>
      <c r="K1532" s="33"/>
      <c r="L1532" s="8"/>
      <c r="AE1532" s="8"/>
      <c r="AG1532" s="30"/>
      <c r="AI1532" s="30"/>
      <c r="AJ1532" s="21"/>
      <c r="AR1532" s="40"/>
      <c r="AT1532" s="40"/>
      <c r="AV1532" s="18"/>
      <c r="AX1532" s="18"/>
      <c r="AY1532" s="18"/>
      <c r="BF1532" s="18"/>
      <c r="BI1532" s="18"/>
      <c r="BT1532" s="18"/>
      <c r="BX1532" s="18"/>
      <c r="CC1532" s="18"/>
      <c r="CN1532" s="18"/>
      <c r="CY1532" s="34"/>
    </row>
    <row r="1533" spans="4:103" x14ac:dyDescent="0.25">
      <c r="D1533" s="12"/>
      <c r="E1533" s="14"/>
      <c r="H1533" s="16"/>
      <c r="I1533" s="11"/>
      <c r="J1533" s="33"/>
      <c r="K1533" s="33"/>
      <c r="L1533" s="8"/>
      <c r="AE1533" s="8"/>
      <c r="AG1533" s="30"/>
      <c r="AI1533" s="30"/>
      <c r="AJ1533" s="21"/>
      <c r="AR1533" s="40"/>
      <c r="AT1533" s="40"/>
      <c r="AV1533" s="18"/>
      <c r="AX1533" s="18"/>
      <c r="AY1533" s="18"/>
      <c r="BF1533" s="18"/>
      <c r="BI1533" s="18"/>
      <c r="BT1533" s="18"/>
      <c r="BX1533" s="18"/>
      <c r="CC1533" s="18"/>
      <c r="CN1533" s="18"/>
      <c r="CY1533" s="34"/>
    </row>
    <row r="1534" spans="4:103" x14ac:dyDescent="0.25">
      <c r="D1534" s="12"/>
      <c r="E1534" s="14"/>
      <c r="H1534" s="16"/>
      <c r="I1534" s="11"/>
      <c r="J1534" s="33"/>
      <c r="K1534" s="33"/>
      <c r="L1534" s="8"/>
      <c r="AE1534" s="8"/>
      <c r="AG1534" s="30"/>
      <c r="AI1534" s="30"/>
      <c r="AJ1534" s="21"/>
      <c r="AR1534" s="40"/>
      <c r="AT1534" s="40"/>
      <c r="AV1534" s="18"/>
      <c r="AX1534" s="18"/>
      <c r="AY1534" s="18"/>
      <c r="BF1534" s="18"/>
      <c r="BI1534" s="18"/>
      <c r="BT1534" s="18"/>
      <c r="BX1534" s="18"/>
      <c r="CC1534" s="18"/>
      <c r="CN1534" s="18"/>
      <c r="CY1534" s="34"/>
    </row>
    <row r="1535" spans="4:103" x14ac:dyDescent="0.25">
      <c r="D1535" s="12"/>
      <c r="E1535" s="14"/>
      <c r="H1535" s="16"/>
      <c r="I1535" s="11"/>
      <c r="J1535" s="33"/>
      <c r="K1535" s="33"/>
      <c r="L1535" s="8"/>
      <c r="AE1535" s="8"/>
      <c r="AG1535" s="30"/>
      <c r="AI1535" s="30"/>
      <c r="AJ1535" s="21"/>
      <c r="AR1535" s="40"/>
      <c r="AT1535" s="40"/>
      <c r="AV1535" s="18"/>
      <c r="AX1535" s="18"/>
      <c r="AY1535" s="18"/>
      <c r="BF1535" s="18"/>
      <c r="BI1535" s="18"/>
      <c r="BT1535" s="18"/>
      <c r="BX1535" s="18"/>
      <c r="CC1535" s="18"/>
      <c r="CN1535" s="18"/>
      <c r="CY1535" s="34"/>
    </row>
    <row r="1536" spans="4:103" x14ac:dyDescent="0.25">
      <c r="D1536" s="12"/>
      <c r="E1536" s="14"/>
      <c r="H1536" s="16"/>
      <c r="I1536" s="11"/>
      <c r="J1536" s="33"/>
      <c r="K1536" s="33"/>
      <c r="L1536" s="8"/>
      <c r="AE1536" s="8"/>
      <c r="AG1536" s="30"/>
      <c r="AI1536" s="30"/>
      <c r="AJ1536" s="21"/>
      <c r="AR1536" s="40"/>
      <c r="AT1536" s="40"/>
      <c r="AV1536" s="18"/>
      <c r="AX1536" s="18"/>
      <c r="AY1536" s="18"/>
      <c r="BF1536" s="18"/>
      <c r="BI1536" s="18"/>
      <c r="BT1536" s="18"/>
      <c r="BX1536" s="18"/>
      <c r="CC1536" s="18"/>
      <c r="CN1536" s="18"/>
      <c r="CY1536" s="34"/>
    </row>
    <row r="1537" spans="4:103" x14ac:dyDescent="0.25">
      <c r="D1537" s="12"/>
      <c r="E1537" s="14"/>
      <c r="H1537" s="16"/>
      <c r="I1537" s="11"/>
      <c r="J1537" s="33"/>
      <c r="K1537" s="33"/>
      <c r="L1537" s="8"/>
      <c r="AE1537" s="8"/>
      <c r="AG1537" s="30"/>
      <c r="AI1537" s="30"/>
      <c r="AJ1537" s="21"/>
      <c r="AR1537" s="40"/>
      <c r="AT1537" s="40"/>
      <c r="AV1537" s="18"/>
      <c r="AX1537" s="18"/>
      <c r="AY1537" s="18"/>
      <c r="BF1537" s="18"/>
      <c r="BI1537" s="18"/>
      <c r="BT1537" s="18"/>
      <c r="BX1537" s="18"/>
      <c r="CC1537" s="18"/>
      <c r="CN1537" s="18"/>
      <c r="CY1537" s="34"/>
    </row>
    <row r="1538" spans="4:103" x14ac:dyDescent="0.25">
      <c r="D1538" s="12"/>
      <c r="E1538" s="14"/>
      <c r="H1538" s="16"/>
      <c r="I1538" s="11"/>
      <c r="J1538" s="33"/>
      <c r="K1538" s="33"/>
      <c r="L1538" s="8"/>
      <c r="AE1538" s="8"/>
      <c r="AG1538" s="30"/>
      <c r="AI1538" s="30"/>
      <c r="AJ1538" s="21"/>
      <c r="AR1538" s="40"/>
      <c r="AT1538" s="40"/>
      <c r="AV1538" s="18"/>
      <c r="AX1538" s="18"/>
      <c r="AY1538" s="18"/>
      <c r="BF1538" s="18"/>
      <c r="BI1538" s="18"/>
      <c r="BT1538" s="18"/>
      <c r="BX1538" s="18"/>
      <c r="CC1538" s="18"/>
      <c r="CN1538" s="18"/>
      <c r="CY1538" s="34"/>
    </row>
    <row r="1539" spans="4:103" x14ac:dyDescent="0.25">
      <c r="D1539" s="12"/>
      <c r="E1539" s="14"/>
      <c r="H1539" s="16"/>
      <c r="I1539" s="11"/>
      <c r="J1539" s="33"/>
      <c r="K1539" s="33"/>
      <c r="L1539" s="8"/>
      <c r="AE1539" s="8"/>
      <c r="AG1539" s="30"/>
      <c r="AI1539" s="30"/>
      <c r="AJ1539" s="21"/>
      <c r="AR1539" s="40"/>
      <c r="AT1539" s="40"/>
      <c r="AV1539" s="18"/>
      <c r="AX1539" s="18"/>
      <c r="AY1539" s="18"/>
      <c r="BF1539" s="18"/>
      <c r="BI1539" s="18"/>
      <c r="BT1539" s="18"/>
      <c r="BX1539" s="18"/>
      <c r="CC1539" s="18"/>
      <c r="CN1539" s="18"/>
      <c r="CY1539" s="34"/>
    </row>
    <row r="1540" spans="4:103" x14ac:dyDescent="0.25">
      <c r="D1540" s="12"/>
      <c r="E1540" s="14"/>
      <c r="H1540" s="16"/>
      <c r="I1540" s="11"/>
      <c r="J1540" s="33"/>
      <c r="K1540" s="33"/>
      <c r="L1540" s="8"/>
      <c r="AE1540" s="8"/>
      <c r="AG1540" s="30"/>
      <c r="AI1540" s="30"/>
      <c r="AJ1540" s="21"/>
      <c r="AR1540" s="40"/>
      <c r="AT1540" s="40"/>
      <c r="AV1540" s="18"/>
      <c r="AX1540" s="18"/>
      <c r="AY1540" s="18"/>
      <c r="BF1540" s="18"/>
      <c r="BI1540" s="18"/>
      <c r="BT1540" s="18"/>
      <c r="BX1540" s="18"/>
      <c r="CC1540" s="18"/>
      <c r="CN1540" s="18"/>
      <c r="CY1540" s="34"/>
    </row>
    <row r="1541" spans="4:103" x14ac:dyDescent="0.25">
      <c r="D1541" s="12"/>
      <c r="E1541" s="14"/>
      <c r="H1541" s="16"/>
      <c r="I1541" s="11"/>
      <c r="J1541" s="33"/>
      <c r="K1541" s="33"/>
      <c r="L1541" s="8"/>
      <c r="AE1541" s="8"/>
      <c r="AG1541" s="30"/>
      <c r="AI1541" s="30"/>
      <c r="AJ1541" s="21"/>
      <c r="AR1541" s="40"/>
      <c r="AT1541" s="40"/>
      <c r="AV1541" s="18"/>
      <c r="AX1541" s="18"/>
      <c r="AY1541" s="18"/>
      <c r="BF1541" s="18"/>
      <c r="BI1541" s="18"/>
      <c r="BT1541" s="18"/>
      <c r="BX1541" s="18"/>
      <c r="CC1541" s="18"/>
      <c r="CN1541" s="18"/>
      <c r="CY1541" s="34"/>
    </row>
    <row r="1542" spans="4:103" x14ac:dyDescent="0.25">
      <c r="D1542" s="12"/>
      <c r="E1542" s="14"/>
      <c r="H1542" s="16"/>
      <c r="I1542" s="11"/>
      <c r="J1542" s="33"/>
      <c r="K1542" s="33"/>
      <c r="L1542" s="8"/>
      <c r="AE1542" s="8"/>
      <c r="AG1542" s="30"/>
      <c r="AI1542" s="30"/>
      <c r="AJ1542" s="21"/>
      <c r="AR1542" s="40"/>
      <c r="AT1542" s="40"/>
      <c r="AV1542" s="18"/>
      <c r="AX1542" s="18"/>
      <c r="AY1542" s="18"/>
      <c r="BF1542" s="18"/>
      <c r="BI1542" s="18"/>
      <c r="BT1542" s="18"/>
      <c r="BX1542" s="18"/>
      <c r="CC1542" s="18"/>
      <c r="CN1542" s="18"/>
      <c r="CY1542" s="34"/>
    </row>
    <row r="1543" spans="4:103" x14ac:dyDescent="0.25">
      <c r="D1543" s="12"/>
      <c r="E1543" s="14"/>
      <c r="H1543" s="16"/>
      <c r="I1543" s="11"/>
      <c r="J1543" s="33"/>
      <c r="K1543" s="33"/>
      <c r="L1543" s="8"/>
      <c r="AE1543" s="8"/>
      <c r="AG1543" s="30"/>
      <c r="AI1543" s="30"/>
      <c r="AJ1543" s="21"/>
      <c r="AR1543" s="40"/>
      <c r="AT1543" s="40"/>
      <c r="AV1543" s="18"/>
      <c r="AX1543" s="18"/>
      <c r="AY1543" s="18"/>
      <c r="BF1543" s="18"/>
      <c r="BI1543" s="18"/>
      <c r="BT1543" s="18"/>
      <c r="BX1543" s="18"/>
      <c r="CC1543" s="18"/>
      <c r="CN1543" s="18"/>
      <c r="CY1543" s="34"/>
    </row>
    <row r="1544" spans="4:103" x14ac:dyDescent="0.25">
      <c r="D1544" s="12"/>
      <c r="E1544" s="14"/>
      <c r="H1544" s="16"/>
      <c r="I1544" s="11"/>
      <c r="J1544" s="33"/>
      <c r="K1544" s="33"/>
      <c r="L1544" s="8"/>
      <c r="AE1544" s="8"/>
      <c r="AG1544" s="30"/>
      <c r="AI1544" s="30"/>
      <c r="AJ1544" s="21"/>
      <c r="AR1544" s="40"/>
      <c r="AT1544" s="40"/>
      <c r="AV1544" s="18"/>
      <c r="AX1544" s="18"/>
      <c r="AY1544" s="18"/>
      <c r="BF1544" s="18"/>
      <c r="BI1544" s="18"/>
      <c r="BT1544" s="18"/>
      <c r="BX1544" s="18"/>
      <c r="CC1544" s="18"/>
      <c r="CN1544" s="18"/>
      <c r="CY1544" s="34"/>
    </row>
    <row r="1545" spans="4:103" x14ac:dyDescent="0.25">
      <c r="D1545" s="12"/>
      <c r="E1545" s="14"/>
      <c r="H1545" s="16"/>
      <c r="I1545" s="11"/>
      <c r="J1545" s="33"/>
      <c r="K1545" s="33"/>
      <c r="L1545" s="8"/>
      <c r="AE1545" s="8"/>
      <c r="AG1545" s="30"/>
      <c r="AI1545" s="30"/>
      <c r="AJ1545" s="21"/>
      <c r="AR1545" s="40"/>
      <c r="AT1545" s="40"/>
      <c r="AV1545" s="18"/>
      <c r="AX1545" s="18"/>
      <c r="AY1545" s="18"/>
      <c r="BF1545" s="18"/>
      <c r="BI1545" s="18"/>
      <c r="BT1545" s="18"/>
      <c r="BX1545" s="18"/>
      <c r="CC1545" s="18"/>
      <c r="CN1545" s="18"/>
      <c r="CY1545" s="34"/>
    </row>
    <row r="1546" spans="4:103" x14ac:dyDescent="0.25">
      <c r="D1546" s="12"/>
      <c r="E1546" s="14"/>
      <c r="H1546" s="16"/>
      <c r="I1546" s="11"/>
      <c r="J1546" s="33"/>
      <c r="K1546" s="33"/>
      <c r="L1546" s="8"/>
      <c r="AE1546" s="8"/>
      <c r="AG1546" s="30"/>
      <c r="AI1546" s="30"/>
      <c r="AJ1546" s="21"/>
      <c r="AR1546" s="40"/>
      <c r="AT1546" s="40"/>
      <c r="AV1546" s="18"/>
      <c r="AX1546" s="18"/>
      <c r="AY1546" s="18"/>
      <c r="BF1546" s="18"/>
      <c r="BI1546" s="18"/>
      <c r="BT1546" s="18"/>
      <c r="BX1546" s="18"/>
      <c r="CC1546" s="18"/>
      <c r="CN1546" s="18"/>
      <c r="CY1546" s="34"/>
    </row>
    <row r="1547" spans="4:103" x14ac:dyDescent="0.25">
      <c r="D1547" s="12"/>
      <c r="E1547" s="14"/>
      <c r="H1547" s="16"/>
      <c r="I1547" s="11"/>
      <c r="J1547" s="33"/>
      <c r="K1547" s="33"/>
      <c r="L1547" s="8"/>
      <c r="AE1547" s="8"/>
      <c r="AG1547" s="30"/>
      <c r="AI1547" s="30"/>
      <c r="AJ1547" s="21"/>
      <c r="AR1547" s="40"/>
      <c r="AT1547" s="40"/>
      <c r="AV1547" s="18"/>
      <c r="AX1547" s="18"/>
      <c r="AY1547" s="18"/>
      <c r="BF1547" s="18"/>
      <c r="BI1547" s="18"/>
      <c r="BT1547" s="18"/>
      <c r="BX1547" s="18"/>
      <c r="CC1547" s="18"/>
      <c r="CN1547" s="18"/>
      <c r="CY1547" s="34"/>
    </row>
    <row r="1548" spans="4:103" x14ac:dyDescent="0.25">
      <c r="D1548" s="12"/>
      <c r="E1548" s="14"/>
      <c r="H1548" s="16"/>
      <c r="I1548" s="11"/>
      <c r="J1548" s="33"/>
      <c r="K1548" s="33"/>
      <c r="L1548" s="8"/>
      <c r="AE1548" s="8"/>
      <c r="AG1548" s="30"/>
      <c r="AI1548" s="30"/>
      <c r="AJ1548" s="21"/>
      <c r="AR1548" s="40"/>
      <c r="AT1548" s="40"/>
      <c r="AV1548" s="18"/>
      <c r="AX1548" s="18"/>
      <c r="AY1548" s="18"/>
      <c r="BF1548" s="18"/>
      <c r="BI1548" s="18"/>
      <c r="BT1548" s="18"/>
      <c r="BX1548" s="18"/>
      <c r="CC1548" s="18"/>
      <c r="CN1548" s="18"/>
      <c r="CY1548" s="34"/>
    </row>
    <row r="1549" spans="4:103" x14ac:dyDescent="0.25">
      <c r="D1549" s="12"/>
      <c r="E1549" s="14"/>
      <c r="H1549" s="16"/>
      <c r="I1549" s="11"/>
      <c r="J1549" s="33"/>
      <c r="K1549" s="33"/>
      <c r="L1549" s="8"/>
      <c r="AE1549" s="8"/>
      <c r="AG1549" s="30"/>
      <c r="AI1549" s="30"/>
      <c r="AJ1549" s="21"/>
      <c r="AR1549" s="40"/>
      <c r="AT1549" s="40"/>
      <c r="AV1549" s="18"/>
      <c r="AX1549" s="18"/>
      <c r="AY1549" s="18"/>
      <c r="BF1549" s="18"/>
      <c r="BI1549" s="18"/>
      <c r="BT1549" s="18"/>
      <c r="BX1549" s="18"/>
      <c r="CC1549" s="18"/>
      <c r="CN1549" s="18"/>
      <c r="CY1549" s="34"/>
    </row>
    <row r="1550" spans="4:103" x14ac:dyDescent="0.25">
      <c r="D1550" s="12"/>
      <c r="E1550" s="14"/>
      <c r="H1550" s="16"/>
      <c r="I1550" s="11"/>
      <c r="J1550" s="33"/>
      <c r="K1550" s="33"/>
      <c r="L1550" s="8"/>
      <c r="AE1550" s="8"/>
      <c r="AG1550" s="30"/>
      <c r="AI1550" s="30"/>
      <c r="AJ1550" s="21"/>
      <c r="AR1550" s="40"/>
      <c r="AT1550" s="40"/>
      <c r="AV1550" s="18"/>
      <c r="AX1550" s="18"/>
      <c r="AY1550" s="18"/>
      <c r="BF1550" s="18"/>
      <c r="BI1550" s="18"/>
      <c r="BT1550" s="18"/>
      <c r="BX1550" s="18"/>
      <c r="CC1550" s="18"/>
      <c r="CN1550" s="18"/>
      <c r="CY1550" s="34"/>
    </row>
    <row r="1551" spans="4:103" x14ac:dyDescent="0.25">
      <c r="D1551" s="12"/>
      <c r="E1551" s="14"/>
      <c r="H1551" s="16"/>
      <c r="I1551" s="11"/>
      <c r="J1551" s="33"/>
      <c r="K1551" s="33"/>
      <c r="L1551" s="8"/>
      <c r="AE1551" s="8"/>
      <c r="AG1551" s="30"/>
      <c r="AI1551" s="30"/>
      <c r="AJ1551" s="21"/>
      <c r="AR1551" s="40"/>
      <c r="AT1551" s="40"/>
      <c r="AV1551" s="18"/>
      <c r="AX1551" s="18"/>
      <c r="AY1551" s="18"/>
      <c r="BF1551" s="18"/>
      <c r="BI1551" s="18"/>
      <c r="BT1551" s="18"/>
      <c r="BX1551" s="18"/>
      <c r="CC1551" s="18"/>
      <c r="CN1551" s="18"/>
      <c r="CY1551" s="34"/>
    </row>
    <row r="1552" spans="4:103" x14ac:dyDescent="0.25">
      <c r="D1552" s="12"/>
      <c r="E1552" s="14"/>
      <c r="H1552" s="16"/>
      <c r="I1552" s="11"/>
      <c r="J1552" s="33"/>
      <c r="K1552" s="33"/>
      <c r="L1552" s="8"/>
      <c r="AE1552" s="8"/>
      <c r="AG1552" s="30"/>
      <c r="AI1552" s="30"/>
      <c r="AJ1552" s="21"/>
      <c r="AR1552" s="40"/>
      <c r="AT1552" s="40"/>
      <c r="AV1552" s="18"/>
      <c r="AX1552" s="18"/>
      <c r="AY1552" s="18"/>
      <c r="BF1552" s="18"/>
      <c r="BI1552" s="18"/>
      <c r="BT1552" s="18"/>
      <c r="BX1552" s="18"/>
      <c r="CC1552" s="18"/>
      <c r="CN1552" s="18"/>
      <c r="CY1552" s="34"/>
    </row>
    <row r="1553" spans="4:103" x14ac:dyDescent="0.25">
      <c r="D1553" s="12"/>
      <c r="E1553" s="14"/>
      <c r="H1553" s="16"/>
      <c r="I1553" s="11"/>
      <c r="J1553" s="33"/>
      <c r="K1553" s="33"/>
      <c r="L1553" s="8"/>
      <c r="AE1553" s="8"/>
      <c r="AG1553" s="30"/>
      <c r="AI1553" s="30"/>
      <c r="AJ1553" s="21"/>
      <c r="AR1553" s="40"/>
      <c r="AT1553" s="40"/>
      <c r="AV1553" s="18"/>
      <c r="AX1553" s="18"/>
      <c r="AY1553" s="18"/>
      <c r="BF1553" s="18"/>
      <c r="BI1553" s="18"/>
      <c r="BT1553" s="18"/>
      <c r="BX1553" s="18"/>
      <c r="CC1553" s="18"/>
      <c r="CN1553" s="18"/>
      <c r="CY1553" s="34"/>
    </row>
    <row r="1554" spans="4:103" x14ac:dyDescent="0.25">
      <c r="D1554" s="12"/>
      <c r="E1554" s="14"/>
      <c r="H1554" s="16"/>
      <c r="I1554" s="11"/>
      <c r="J1554" s="33"/>
      <c r="K1554" s="33"/>
      <c r="L1554" s="8"/>
      <c r="AE1554" s="8"/>
      <c r="AG1554" s="30"/>
      <c r="AI1554" s="30"/>
      <c r="AJ1554" s="21"/>
      <c r="AR1554" s="40"/>
      <c r="AT1554" s="40"/>
      <c r="AV1554" s="18"/>
      <c r="AX1554" s="18"/>
      <c r="AY1554" s="18"/>
      <c r="BF1554" s="18"/>
      <c r="BI1554" s="18"/>
      <c r="BT1554" s="18"/>
      <c r="BX1554" s="18"/>
      <c r="CC1554" s="18"/>
      <c r="CN1554" s="18"/>
      <c r="CY1554" s="34"/>
    </row>
    <row r="1555" spans="4:103" x14ac:dyDescent="0.25">
      <c r="D1555" s="12"/>
      <c r="E1555" s="14"/>
      <c r="H1555" s="16"/>
      <c r="I1555" s="11"/>
      <c r="J1555" s="33"/>
      <c r="K1555" s="33"/>
      <c r="L1555" s="8"/>
      <c r="AE1555" s="8"/>
      <c r="AG1555" s="30"/>
      <c r="AI1555" s="30"/>
      <c r="AJ1555" s="21"/>
      <c r="AR1555" s="40"/>
      <c r="AT1555" s="40"/>
      <c r="AV1555" s="18"/>
      <c r="AX1555" s="18"/>
      <c r="AY1555" s="18"/>
      <c r="BF1555" s="18"/>
      <c r="BI1555" s="18"/>
      <c r="BT1555" s="18"/>
      <c r="BX1555" s="18"/>
      <c r="CC1555" s="18"/>
      <c r="CN1555" s="18"/>
      <c r="CY1555" s="34"/>
    </row>
    <row r="1556" spans="4:103" x14ac:dyDescent="0.25">
      <c r="D1556" s="12"/>
      <c r="E1556" s="14"/>
      <c r="H1556" s="16"/>
      <c r="I1556" s="11"/>
      <c r="J1556" s="33"/>
      <c r="K1556" s="33"/>
      <c r="L1556" s="8"/>
      <c r="AE1556" s="8"/>
      <c r="AG1556" s="30"/>
      <c r="AI1556" s="30"/>
      <c r="AJ1556" s="21"/>
      <c r="AR1556" s="40"/>
      <c r="AT1556" s="40"/>
      <c r="AV1556" s="18"/>
      <c r="AX1556" s="18"/>
      <c r="AY1556" s="18"/>
      <c r="BF1556" s="18"/>
      <c r="BI1556" s="18"/>
      <c r="BT1556" s="18"/>
      <c r="BX1556" s="18"/>
      <c r="CC1556" s="18"/>
      <c r="CN1556" s="18"/>
      <c r="CY1556" s="34"/>
    </row>
    <row r="1557" spans="4:103" x14ac:dyDescent="0.25">
      <c r="D1557" s="12"/>
      <c r="E1557" s="14"/>
      <c r="H1557" s="16"/>
      <c r="I1557" s="11"/>
      <c r="J1557" s="33"/>
      <c r="K1557" s="33"/>
      <c r="L1557" s="8"/>
      <c r="AE1557" s="8"/>
      <c r="AG1557" s="30"/>
      <c r="AI1557" s="30"/>
      <c r="AJ1557" s="21"/>
      <c r="AR1557" s="40"/>
      <c r="AT1557" s="40"/>
      <c r="AV1557" s="18"/>
      <c r="AX1557" s="18"/>
      <c r="AY1557" s="18"/>
      <c r="BF1557" s="18"/>
      <c r="BI1557" s="18"/>
      <c r="BT1557" s="18"/>
      <c r="BX1557" s="18"/>
      <c r="CC1557" s="18"/>
      <c r="CN1557" s="18"/>
      <c r="CY1557" s="34"/>
    </row>
    <row r="1558" spans="4:103" x14ac:dyDescent="0.25">
      <c r="D1558" s="12"/>
      <c r="E1558" s="14"/>
      <c r="H1558" s="16"/>
      <c r="I1558" s="11"/>
      <c r="J1558" s="33"/>
      <c r="K1558" s="33"/>
      <c r="L1558" s="8"/>
      <c r="AE1558" s="8"/>
      <c r="AG1558" s="30"/>
      <c r="AI1558" s="30"/>
      <c r="AJ1558" s="21"/>
      <c r="AR1558" s="40"/>
      <c r="AT1558" s="40"/>
      <c r="AV1558" s="18"/>
      <c r="AX1558" s="18"/>
      <c r="AY1558" s="18"/>
      <c r="BF1558" s="18"/>
      <c r="BI1558" s="18"/>
      <c r="BT1558" s="18"/>
      <c r="BX1558" s="18"/>
      <c r="CC1558" s="18"/>
      <c r="CN1558" s="18"/>
      <c r="CY1558" s="34"/>
    </row>
    <row r="1559" spans="4:103" x14ac:dyDescent="0.25">
      <c r="D1559" s="12"/>
      <c r="E1559" s="14"/>
      <c r="H1559" s="16"/>
      <c r="I1559" s="11"/>
      <c r="J1559" s="33"/>
      <c r="K1559" s="33"/>
      <c r="L1559" s="8"/>
      <c r="AE1559" s="8"/>
      <c r="AG1559" s="30"/>
      <c r="AI1559" s="30"/>
      <c r="AJ1559" s="21"/>
      <c r="AR1559" s="40"/>
      <c r="AT1559" s="40"/>
      <c r="AV1559" s="18"/>
      <c r="AX1559" s="18"/>
      <c r="AY1559" s="18"/>
      <c r="BF1559" s="18"/>
      <c r="BI1559" s="18"/>
      <c r="BT1559" s="18"/>
      <c r="BX1559" s="18"/>
      <c r="CC1559" s="18"/>
      <c r="CN1559" s="18"/>
      <c r="CY1559" s="34"/>
    </row>
    <row r="1560" spans="4:103" x14ac:dyDescent="0.25">
      <c r="D1560" s="12"/>
      <c r="E1560" s="14"/>
      <c r="H1560" s="16"/>
      <c r="I1560" s="11"/>
      <c r="J1560" s="33"/>
      <c r="K1560" s="33"/>
      <c r="L1560" s="8"/>
      <c r="AE1560" s="8"/>
      <c r="AG1560" s="30"/>
      <c r="AI1560" s="30"/>
      <c r="AJ1560" s="21"/>
      <c r="AR1560" s="40"/>
      <c r="AT1560" s="40"/>
      <c r="AV1560" s="18"/>
      <c r="AX1560" s="18"/>
      <c r="AY1560" s="18"/>
      <c r="BF1560" s="18"/>
      <c r="BI1560" s="18"/>
      <c r="BT1560" s="18"/>
      <c r="BX1560" s="18"/>
      <c r="CC1560" s="18"/>
      <c r="CN1560" s="18"/>
      <c r="CY1560" s="34"/>
    </row>
    <row r="1561" spans="4:103" x14ac:dyDescent="0.25">
      <c r="D1561" s="12"/>
      <c r="E1561" s="14"/>
      <c r="H1561" s="16"/>
      <c r="I1561" s="11"/>
      <c r="J1561" s="33"/>
      <c r="K1561" s="33"/>
      <c r="L1561" s="8"/>
      <c r="AE1561" s="8"/>
      <c r="AG1561" s="30"/>
      <c r="AI1561" s="30"/>
      <c r="AJ1561" s="21"/>
      <c r="AR1561" s="40"/>
      <c r="AT1561" s="40"/>
      <c r="AV1561" s="18"/>
      <c r="AX1561" s="18"/>
      <c r="AY1561" s="18"/>
      <c r="BF1561" s="18"/>
      <c r="BI1561" s="18"/>
      <c r="BT1561" s="18"/>
      <c r="BX1561" s="18"/>
      <c r="CC1561" s="18"/>
      <c r="CN1561" s="18"/>
      <c r="CY1561" s="34"/>
    </row>
    <row r="1562" spans="4:103" x14ac:dyDescent="0.25">
      <c r="D1562" s="12"/>
      <c r="E1562" s="14"/>
      <c r="H1562" s="16"/>
      <c r="I1562" s="11"/>
      <c r="J1562" s="33"/>
      <c r="K1562" s="33"/>
      <c r="L1562" s="8"/>
      <c r="AE1562" s="8"/>
      <c r="AG1562" s="30"/>
      <c r="AI1562" s="30"/>
      <c r="AJ1562" s="21"/>
      <c r="AR1562" s="40"/>
      <c r="AT1562" s="40"/>
      <c r="AV1562" s="18"/>
      <c r="AX1562" s="18"/>
      <c r="AY1562" s="18"/>
      <c r="BF1562" s="18"/>
      <c r="BI1562" s="18"/>
      <c r="BT1562" s="18"/>
      <c r="BX1562" s="18"/>
      <c r="CC1562" s="18"/>
      <c r="CN1562" s="18"/>
      <c r="CY1562" s="34"/>
    </row>
    <row r="1563" spans="4:103" x14ac:dyDescent="0.25">
      <c r="D1563" s="12"/>
      <c r="E1563" s="14"/>
      <c r="H1563" s="16"/>
      <c r="I1563" s="11"/>
      <c r="J1563" s="33"/>
      <c r="K1563" s="33"/>
      <c r="L1563" s="8"/>
      <c r="AE1563" s="8"/>
      <c r="AG1563" s="30"/>
      <c r="AI1563" s="30"/>
      <c r="AJ1563" s="21"/>
      <c r="AR1563" s="40"/>
      <c r="AT1563" s="40"/>
      <c r="AV1563" s="18"/>
      <c r="AX1563" s="18"/>
      <c r="AY1563" s="18"/>
      <c r="BF1563" s="18"/>
      <c r="BI1563" s="18"/>
      <c r="BT1563" s="18"/>
      <c r="BX1563" s="18"/>
      <c r="CC1563" s="18"/>
      <c r="CN1563" s="18"/>
      <c r="CY1563" s="34"/>
    </row>
    <row r="1564" spans="4:103" x14ac:dyDescent="0.25">
      <c r="D1564" s="12"/>
      <c r="E1564" s="14"/>
      <c r="H1564" s="16"/>
      <c r="I1564" s="11"/>
      <c r="J1564" s="33"/>
      <c r="K1564" s="33"/>
      <c r="L1564" s="8"/>
      <c r="AE1564" s="8"/>
      <c r="AG1564" s="30"/>
      <c r="AI1564" s="30"/>
      <c r="AJ1564" s="21"/>
      <c r="AR1564" s="40"/>
      <c r="AT1564" s="40"/>
      <c r="AV1564" s="18"/>
      <c r="AX1564" s="18"/>
      <c r="AY1564" s="18"/>
      <c r="BF1564" s="18"/>
      <c r="BI1564" s="18"/>
      <c r="BT1564" s="18"/>
      <c r="BX1564" s="18"/>
      <c r="CC1564" s="18"/>
      <c r="CN1564" s="18"/>
      <c r="CY1564" s="34"/>
    </row>
    <row r="1565" spans="4:103" x14ac:dyDescent="0.25">
      <c r="D1565" s="12"/>
      <c r="E1565" s="14"/>
      <c r="H1565" s="16"/>
      <c r="I1565" s="11"/>
      <c r="J1565" s="33"/>
      <c r="K1565" s="33"/>
      <c r="L1565" s="8"/>
      <c r="AE1565" s="8"/>
      <c r="AG1565" s="30"/>
      <c r="AI1565" s="30"/>
      <c r="AJ1565" s="21"/>
      <c r="AR1565" s="40"/>
      <c r="AT1565" s="40"/>
      <c r="AV1565" s="18"/>
      <c r="AX1565" s="18"/>
      <c r="AY1565" s="18"/>
      <c r="BF1565" s="18"/>
      <c r="BI1565" s="18"/>
      <c r="BT1565" s="18"/>
      <c r="BX1565" s="18"/>
      <c r="CC1565" s="18"/>
      <c r="CN1565" s="18"/>
      <c r="CY1565" s="34"/>
    </row>
    <row r="1566" spans="4:103" x14ac:dyDescent="0.25">
      <c r="D1566" s="12"/>
      <c r="E1566" s="14"/>
      <c r="H1566" s="16"/>
      <c r="I1566" s="11"/>
      <c r="J1566" s="33"/>
      <c r="K1566" s="33"/>
      <c r="L1566" s="8"/>
      <c r="AE1566" s="8"/>
      <c r="AG1566" s="30"/>
      <c r="AI1566" s="30"/>
      <c r="AJ1566" s="21"/>
      <c r="AR1566" s="40"/>
      <c r="AT1566" s="40"/>
      <c r="AV1566" s="18"/>
      <c r="AX1566" s="18"/>
      <c r="AY1566" s="18"/>
      <c r="BF1566" s="18"/>
      <c r="BI1566" s="18"/>
      <c r="BT1566" s="18"/>
      <c r="BX1566" s="18"/>
      <c r="CC1566" s="18"/>
      <c r="CN1566" s="18"/>
      <c r="CY1566" s="34"/>
    </row>
    <row r="1567" spans="4:103" x14ac:dyDescent="0.25">
      <c r="D1567" s="12"/>
      <c r="E1567" s="14"/>
      <c r="H1567" s="16"/>
      <c r="I1567" s="11"/>
      <c r="J1567" s="33"/>
      <c r="K1567" s="33"/>
      <c r="L1567" s="8"/>
      <c r="AE1567" s="8"/>
      <c r="AG1567" s="30"/>
      <c r="AI1567" s="30"/>
      <c r="AJ1567" s="21"/>
      <c r="AR1567" s="40"/>
      <c r="AT1567" s="40"/>
      <c r="AV1567" s="18"/>
      <c r="AX1567" s="18"/>
      <c r="AY1567" s="18"/>
      <c r="BF1567" s="18"/>
      <c r="BI1567" s="18"/>
      <c r="BT1567" s="18"/>
      <c r="BX1567" s="18"/>
      <c r="CC1567" s="18"/>
      <c r="CN1567" s="18"/>
      <c r="CY1567" s="34"/>
    </row>
    <row r="1568" spans="4:103" x14ac:dyDescent="0.25">
      <c r="D1568" s="12"/>
      <c r="E1568" s="14"/>
      <c r="H1568" s="16"/>
      <c r="I1568" s="11"/>
      <c r="J1568" s="33"/>
      <c r="K1568" s="33"/>
      <c r="L1568" s="8"/>
      <c r="AE1568" s="8"/>
      <c r="AG1568" s="30"/>
      <c r="AI1568" s="30"/>
      <c r="AJ1568" s="21"/>
      <c r="AR1568" s="40"/>
      <c r="AT1568" s="40"/>
      <c r="AV1568" s="18"/>
      <c r="AX1568" s="18"/>
      <c r="AY1568" s="18"/>
      <c r="BF1568" s="18"/>
      <c r="BI1568" s="18"/>
      <c r="BT1568" s="18"/>
      <c r="BX1568" s="18"/>
      <c r="CC1568" s="18"/>
      <c r="CN1568" s="18"/>
      <c r="CY1568" s="34"/>
    </row>
    <row r="1569" spans="4:103" x14ac:dyDescent="0.25">
      <c r="D1569" s="12"/>
      <c r="E1569" s="14"/>
      <c r="H1569" s="16"/>
      <c r="I1569" s="11"/>
      <c r="J1569" s="33"/>
      <c r="K1569" s="33"/>
      <c r="L1569" s="8"/>
      <c r="AE1569" s="8"/>
      <c r="AG1569" s="30"/>
      <c r="AI1569" s="30"/>
      <c r="AJ1569" s="21"/>
      <c r="AR1569" s="40"/>
      <c r="AT1569" s="40"/>
      <c r="AV1569" s="18"/>
      <c r="AX1569" s="18"/>
      <c r="AY1569" s="18"/>
      <c r="BF1569" s="18"/>
      <c r="BI1569" s="18"/>
      <c r="BT1569" s="18"/>
      <c r="BX1569" s="18"/>
      <c r="CC1569" s="18"/>
      <c r="CN1569" s="18"/>
      <c r="CY1569" s="34"/>
    </row>
    <row r="1570" spans="4:103" x14ac:dyDescent="0.25">
      <c r="D1570" s="12"/>
      <c r="E1570" s="14"/>
      <c r="H1570" s="16"/>
      <c r="I1570" s="11"/>
      <c r="J1570" s="33"/>
      <c r="K1570" s="33"/>
      <c r="L1570" s="8"/>
      <c r="AE1570" s="8"/>
      <c r="AG1570" s="30"/>
      <c r="AI1570" s="30"/>
      <c r="AJ1570" s="21"/>
      <c r="AR1570" s="40"/>
      <c r="AT1570" s="40"/>
      <c r="AV1570" s="18"/>
      <c r="AX1570" s="18"/>
      <c r="AY1570" s="18"/>
      <c r="BF1570" s="18"/>
      <c r="BI1570" s="18"/>
      <c r="BT1570" s="18"/>
      <c r="BX1570" s="18"/>
      <c r="CC1570" s="18"/>
      <c r="CN1570" s="18"/>
      <c r="CY1570" s="34"/>
    </row>
    <row r="1571" spans="4:103" x14ac:dyDescent="0.25">
      <c r="D1571" s="12"/>
      <c r="E1571" s="14"/>
      <c r="H1571" s="16"/>
      <c r="I1571" s="11"/>
      <c r="J1571" s="33"/>
      <c r="K1571" s="33"/>
      <c r="L1571" s="8"/>
      <c r="AE1571" s="8"/>
      <c r="AG1571" s="30"/>
      <c r="AI1571" s="30"/>
      <c r="AJ1571" s="21"/>
      <c r="AR1571" s="40"/>
      <c r="AT1571" s="40"/>
      <c r="AV1571" s="18"/>
      <c r="AX1571" s="18"/>
      <c r="AY1571" s="18"/>
      <c r="BF1571" s="18"/>
      <c r="BI1571" s="18"/>
      <c r="BT1571" s="18"/>
      <c r="BX1571" s="18"/>
      <c r="CC1571" s="18"/>
      <c r="CN1571" s="18"/>
      <c r="CY1571" s="34"/>
    </row>
    <row r="1572" spans="4:103" x14ac:dyDescent="0.25">
      <c r="D1572" s="12"/>
      <c r="E1572" s="14"/>
      <c r="H1572" s="16"/>
      <c r="I1572" s="11"/>
      <c r="J1572" s="33"/>
      <c r="K1572" s="33"/>
      <c r="L1572" s="8"/>
      <c r="AE1572" s="8"/>
      <c r="AG1572" s="30"/>
      <c r="AI1572" s="30"/>
      <c r="AJ1572" s="21"/>
      <c r="AR1572" s="40"/>
      <c r="AT1572" s="40"/>
      <c r="AV1572" s="18"/>
      <c r="AX1572" s="18"/>
      <c r="AY1572" s="18"/>
      <c r="BF1572" s="18"/>
      <c r="BI1572" s="18"/>
      <c r="BT1572" s="18"/>
      <c r="BX1572" s="18"/>
      <c r="CC1572" s="18"/>
      <c r="CN1572" s="18"/>
      <c r="CY1572" s="34"/>
    </row>
    <row r="1573" spans="4:103" x14ac:dyDescent="0.25">
      <c r="D1573" s="12"/>
      <c r="E1573" s="14"/>
      <c r="H1573" s="16"/>
      <c r="I1573" s="11"/>
      <c r="J1573" s="33"/>
      <c r="K1573" s="33"/>
      <c r="L1573" s="8"/>
      <c r="AE1573" s="8"/>
      <c r="AG1573" s="30"/>
      <c r="AI1573" s="30"/>
      <c r="AJ1573" s="21"/>
      <c r="AR1573" s="40"/>
      <c r="AT1573" s="40"/>
      <c r="AV1573" s="18"/>
      <c r="AX1573" s="18"/>
      <c r="AY1573" s="18"/>
      <c r="BF1573" s="18"/>
      <c r="BI1573" s="18"/>
      <c r="BT1573" s="18"/>
      <c r="BX1573" s="18"/>
      <c r="CC1573" s="18"/>
      <c r="CN1573" s="18"/>
      <c r="CY1573" s="34"/>
    </row>
    <row r="1574" spans="4:103" x14ac:dyDescent="0.25">
      <c r="D1574" s="12"/>
      <c r="E1574" s="14"/>
      <c r="H1574" s="16"/>
      <c r="I1574" s="11"/>
      <c r="J1574" s="33"/>
      <c r="K1574" s="33"/>
      <c r="L1574" s="8"/>
      <c r="AE1574" s="8"/>
      <c r="AG1574" s="30"/>
      <c r="AI1574" s="30"/>
      <c r="AJ1574" s="21"/>
      <c r="AR1574" s="40"/>
      <c r="AT1574" s="40"/>
      <c r="AV1574" s="18"/>
      <c r="AX1574" s="18"/>
      <c r="AY1574" s="18"/>
      <c r="BF1574" s="18"/>
      <c r="BI1574" s="18"/>
      <c r="BT1574" s="18"/>
      <c r="BX1574" s="18"/>
      <c r="CC1574" s="18"/>
      <c r="CN1574" s="18"/>
      <c r="CY1574" s="34"/>
    </row>
    <row r="1575" spans="4:103" x14ac:dyDescent="0.25">
      <c r="D1575" s="12"/>
      <c r="E1575" s="14"/>
      <c r="H1575" s="16"/>
      <c r="I1575" s="11"/>
      <c r="J1575" s="33"/>
      <c r="K1575" s="33"/>
      <c r="L1575" s="8"/>
      <c r="AE1575" s="8"/>
      <c r="AG1575" s="30"/>
      <c r="AI1575" s="30"/>
      <c r="AJ1575" s="21"/>
      <c r="AR1575" s="40"/>
      <c r="AT1575" s="40"/>
      <c r="AV1575" s="18"/>
      <c r="AX1575" s="18"/>
      <c r="AY1575" s="18"/>
      <c r="BF1575" s="18"/>
      <c r="BI1575" s="18"/>
      <c r="BT1575" s="18"/>
      <c r="BX1575" s="18"/>
      <c r="CC1575" s="18"/>
      <c r="CN1575" s="18"/>
      <c r="CY1575" s="34"/>
    </row>
    <row r="1576" spans="4:103" x14ac:dyDescent="0.25">
      <c r="D1576" s="12"/>
      <c r="E1576" s="14"/>
      <c r="H1576" s="16"/>
      <c r="I1576" s="11"/>
      <c r="J1576" s="33"/>
      <c r="K1576" s="33"/>
      <c r="L1576" s="8"/>
      <c r="AE1576" s="8"/>
      <c r="AG1576" s="30"/>
      <c r="AI1576" s="30"/>
      <c r="AJ1576" s="21"/>
      <c r="AR1576" s="40"/>
      <c r="AT1576" s="40"/>
      <c r="AV1576" s="18"/>
      <c r="AX1576" s="18"/>
      <c r="AY1576" s="18"/>
      <c r="BF1576" s="18"/>
      <c r="BI1576" s="18"/>
      <c r="BT1576" s="18"/>
      <c r="BX1576" s="18"/>
      <c r="CC1576" s="18"/>
      <c r="CN1576" s="18"/>
      <c r="CY1576" s="34"/>
    </row>
    <row r="1577" spans="4:103" x14ac:dyDescent="0.25">
      <c r="D1577" s="12"/>
      <c r="E1577" s="14"/>
      <c r="H1577" s="16"/>
      <c r="I1577" s="11"/>
      <c r="J1577" s="33"/>
      <c r="K1577" s="33"/>
      <c r="L1577" s="8"/>
      <c r="AE1577" s="8"/>
      <c r="AG1577" s="30"/>
      <c r="AI1577" s="30"/>
      <c r="AJ1577" s="21"/>
      <c r="AR1577" s="40"/>
      <c r="AT1577" s="40"/>
      <c r="AV1577" s="18"/>
      <c r="AX1577" s="18"/>
      <c r="AY1577" s="18"/>
      <c r="BF1577" s="18"/>
      <c r="BI1577" s="18"/>
      <c r="BT1577" s="18"/>
      <c r="BX1577" s="18"/>
      <c r="CC1577" s="18"/>
      <c r="CN1577" s="18"/>
      <c r="CY1577" s="34"/>
    </row>
    <row r="1578" spans="4:103" x14ac:dyDescent="0.25">
      <c r="D1578" s="12"/>
      <c r="E1578" s="14"/>
      <c r="H1578" s="16"/>
      <c r="I1578" s="11"/>
      <c r="J1578" s="33"/>
      <c r="K1578" s="33"/>
      <c r="L1578" s="8"/>
      <c r="AE1578" s="8"/>
      <c r="AG1578" s="30"/>
      <c r="AI1578" s="30"/>
      <c r="AJ1578" s="21"/>
      <c r="AR1578" s="40"/>
      <c r="AT1578" s="40"/>
      <c r="AV1578" s="18"/>
      <c r="AX1578" s="18"/>
      <c r="AY1578" s="18"/>
      <c r="BF1578" s="18"/>
      <c r="BI1578" s="18"/>
      <c r="BT1578" s="18"/>
      <c r="BX1578" s="18"/>
      <c r="CC1578" s="18"/>
      <c r="CN1578" s="18"/>
      <c r="CY1578" s="34"/>
    </row>
    <row r="1579" spans="4:103" x14ac:dyDescent="0.25">
      <c r="D1579" s="12"/>
      <c r="E1579" s="14"/>
      <c r="H1579" s="16"/>
      <c r="I1579" s="11"/>
      <c r="J1579" s="33"/>
      <c r="K1579" s="33"/>
      <c r="L1579" s="8"/>
      <c r="AE1579" s="8"/>
      <c r="AG1579" s="30"/>
      <c r="AI1579" s="30"/>
      <c r="AJ1579" s="21"/>
      <c r="AR1579" s="40"/>
      <c r="AT1579" s="40"/>
      <c r="AV1579" s="18"/>
      <c r="AX1579" s="18"/>
      <c r="AY1579" s="18"/>
      <c r="BF1579" s="18"/>
      <c r="BI1579" s="18"/>
      <c r="BT1579" s="18"/>
      <c r="BX1579" s="18"/>
      <c r="CC1579" s="18"/>
      <c r="CN1579" s="18"/>
      <c r="CY1579" s="34"/>
    </row>
    <row r="1580" spans="4:103" x14ac:dyDescent="0.25">
      <c r="D1580" s="12"/>
      <c r="E1580" s="14"/>
      <c r="H1580" s="16"/>
      <c r="I1580" s="11"/>
      <c r="J1580" s="33"/>
      <c r="K1580" s="33"/>
      <c r="L1580" s="8"/>
      <c r="AE1580" s="8"/>
      <c r="AG1580" s="30"/>
      <c r="AI1580" s="30"/>
      <c r="AJ1580" s="21"/>
      <c r="AR1580" s="40"/>
      <c r="AT1580" s="40"/>
      <c r="AV1580" s="18"/>
      <c r="AX1580" s="18"/>
      <c r="AY1580" s="18"/>
      <c r="BF1580" s="18"/>
      <c r="BI1580" s="18"/>
      <c r="BT1580" s="18"/>
      <c r="BX1580" s="18"/>
      <c r="CC1580" s="18"/>
      <c r="CN1580" s="18"/>
      <c r="CY1580" s="34"/>
    </row>
    <row r="1581" spans="4:103" x14ac:dyDescent="0.25">
      <c r="D1581" s="12"/>
      <c r="E1581" s="14"/>
      <c r="H1581" s="16"/>
      <c r="I1581" s="11"/>
      <c r="J1581" s="33"/>
      <c r="K1581" s="33"/>
      <c r="L1581" s="8"/>
      <c r="AE1581" s="8"/>
      <c r="AG1581" s="30"/>
      <c r="AI1581" s="30"/>
      <c r="AJ1581" s="21"/>
      <c r="AR1581" s="40"/>
      <c r="AT1581" s="40"/>
      <c r="AV1581" s="18"/>
      <c r="AX1581" s="18"/>
      <c r="AY1581" s="18"/>
      <c r="BF1581" s="18"/>
      <c r="BI1581" s="18"/>
      <c r="BT1581" s="18"/>
      <c r="BX1581" s="18"/>
      <c r="CC1581" s="18"/>
      <c r="CN1581" s="18"/>
      <c r="CY1581" s="34"/>
    </row>
    <row r="1582" spans="4:103" x14ac:dyDescent="0.25">
      <c r="D1582" s="12"/>
      <c r="E1582" s="14"/>
      <c r="H1582" s="16"/>
      <c r="I1582" s="11"/>
      <c r="J1582" s="33"/>
      <c r="K1582" s="33"/>
      <c r="L1582" s="8"/>
      <c r="AE1582" s="8"/>
      <c r="AG1582" s="30"/>
      <c r="AI1582" s="30"/>
      <c r="AJ1582" s="21"/>
      <c r="AR1582" s="40"/>
      <c r="AT1582" s="40"/>
      <c r="AV1582" s="18"/>
      <c r="AX1582" s="18"/>
      <c r="AY1582" s="18"/>
      <c r="BF1582" s="18"/>
      <c r="BI1582" s="18"/>
      <c r="BT1582" s="18"/>
      <c r="BX1582" s="18"/>
      <c r="CC1582" s="18"/>
      <c r="CN1582" s="18"/>
      <c r="CY1582" s="34"/>
    </row>
    <row r="1583" spans="4:103" x14ac:dyDescent="0.25">
      <c r="D1583" s="12"/>
      <c r="E1583" s="14"/>
      <c r="H1583" s="16"/>
      <c r="I1583" s="11"/>
      <c r="J1583" s="33"/>
      <c r="K1583" s="33"/>
      <c r="L1583" s="8"/>
      <c r="AE1583" s="8"/>
      <c r="AG1583" s="30"/>
      <c r="AI1583" s="30"/>
      <c r="AJ1583" s="21"/>
      <c r="AR1583" s="40"/>
      <c r="AT1583" s="40"/>
      <c r="AV1583" s="18"/>
      <c r="AX1583" s="18"/>
      <c r="AY1583" s="18"/>
      <c r="BF1583" s="18"/>
      <c r="BI1583" s="18"/>
      <c r="BT1583" s="18"/>
      <c r="BX1583" s="18"/>
      <c r="CC1583" s="18"/>
      <c r="CN1583" s="18"/>
      <c r="CY1583" s="34"/>
    </row>
    <row r="1584" spans="4:103" x14ac:dyDescent="0.25">
      <c r="D1584" s="12"/>
      <c r="E1584" s="14"/>
      <c r="H1584" s="16"/>
      <c r="I1584" s="11"/>
      <c r="J1584" s="33"/>
      <c r="K1584" s="33"/>
      <c r="L1584" s="8"/>
      <c r="AE1584" s="8"/>
      <c r="AG1584" s="30"/>
      <c r="AI1584" s="30"/>
      <c r="AJ1584" s="21"/>
      <c r="AR1584" s="40"/>
      <c r="AT1584" s="40"/>
      <c r="AV1584" s="18"/>
      <c r="AX1584" s="18"/>
      <c r="AY1584" s="18"/>
      <c r="BF1584" s="18"/>
      <c r="BI1584" s="18"/>
      <c r="BT1584" s="18"/>
      <c r="BX1584" s="18"/>
      <c r="CC1584" s="18"/>
      <c r="CN1584" s="18"/>
      <c r="CY1584" s="34"/>
    </row>
    <row r="1585" spans="4:103" x14ac:dyDescent="0.25">
      <c r="D1585" s="12"/>
      <c r="E1585" s="14"/>
      <c r="H1585" s="16"/>
      <c r="I1585" s="11"/>
      <c r="J1585" s="33"/>
      <c r="K1585" s="33"/>
      <c r="L1585" s="8"/>
      <c r="AE1585" s="8"/>
      <c r="AG1585" s="30"/>
      <c r="AI1585" s="30"/>
      <c r="AJ1585" s="21"/>
      <c r="AR1585" s="40"/>
      <c r="AT1585" s="40"/>
      <c r="AV1585" s="18"/>
      <c r="AX1585" s="18"/>
      <c r="AY1585" s="18"/>
      <c r="BF1585" s="18"/>
      <c r="BI1585" s="18"/>
      <c r="BT1585" s="18"/>
      <c r="BX1585" s="18"/>
      <c r="CC1585" s="18"/>
      <c r="CN1585" s="18"/>
      <c r="CY1585" s="34"/>
    </row>
    <row r="1586" spans="4:103" x14ac:dyDescent="0.25">
      <c r="D1586" s="12"/>
      <c r="E1586" s="14"/>
      <c r="H1586" s="16"/>
      <c r="I1586" s="11"/>
      <c r="J1586" s="33"/>
      <c r="K1586" s="33"/>
      <c r="L1586" s="8"/>
      <c r="AE1586" s="8"/>
      <c r="AG1586" s="30"/>
      <c r="AI1586" s="30"/>
      <c r="AJ1586" s="21"/>
      <c r="AR1586" s="40"/>
      <c r="AT1586" s="40"/>
      <c r="AV1586" s="18"/>
      <c r="AX1586" s="18"/>
      <c r="AY1586" s="18"/>
      <c r="BF1586" s="18"/>
      <c r="BI1586" s="18"/>
      <c r="BT1586" s="18"/>
      <c r="BX1586" s="18"/>
      <c r="CC1586" s="18"/>
      <c r="CN1586" s="18"/>
      <c r="CY1586" s="34"/>
    </row>
    <row r="1587" spans="4:103" x14ac:dyDescent="0.25">
      <c r="D1587" s="12"/>
      <c r="E1587" s="14"/>
      <c r="H1587" s="16"/>
      <c r="I1587" s="11"/>
      <c r="J1587" s="33"/>
      <c r="K1587" s="33"/>
      <c r="L1587" s="8"/>
      <c r="AE1587" s="8"/>
      <c r="AG1587" s="30"/>
      <c r="AI1587" s="30"/>
      <c r="AJ1587" s="21"/>
      <c r="AR1587" s="40"/>
      <c r="AT1587" s="40"/>
      <c r="AV1587" s="18"/>
      <c r="AX1587" s="18"/>
      <c r="AY1587" s="18"/>
      <c r="BF1587" s="18"/>
      <c r="BI1587" s="18"/>
      <c r="BT1587" s="18"/>
      <c r="BX1587" s="18"/>
      <c r="CC1587" s="18"/>
      <c r="CN1587" s="18"/>
      <c r="CY1587" s="34"/>
    </row>
    <row r="1588" spans="4:103" x14ac:dyDescent="0.25">
      <c r="D1588" s="12"/>
      <c r="E1588" s="14"/>
      <c r="H1588" s="16"/>
      <c r="I1588" s="11"/>
      <c r="J1588" s="33"/>
      <c r="K1588" s="33"/>
      <c r="L1588" s="8"/>
      <c r="AE1588" s="8"/>
      <c r="AG1588" s="30"/>
      <c r="AI1588" s="30"/>
      <c r="AJ1588" s="21"/>
      <c r="AR1588" s="40"/>
      <c r="AT1588" s="40"/>
      <c r="AV1588" s="18"/>
      <c r="AX1588" s="18"/>
      <c r="AY1588" s="18"/>
      <c r="BF1588" s="18"/>
      <c r="BI1588" s="18"/>
      <c r="BT1588" s="18"/>
      <c r="BX1588" s="18"/>
      <c r="CC1588" s="18"/>
      <c r="CN1588" s="18"/>
      <c r="CY1588" s="34"/>
    </row>
    <row r="1589" spans="4:103" x14ac:dyDescent="0.25">
      <c r="D1589" s="12"/>
      <c r="E1589" s="14"/>
      <c r="H1589" s="16"/>
      <c r="I1589" s="11"/>
      <c r="J1589" s="33"/>
      <c r="K1589" s="33"/>
      <c r="L1589" s="8"/>
      <c r="AE1589" s="8"/>
      <c r="AG1589" s="30"/>
      <c r="AI1589" s="30"/>
      <c r="AJ1589" s="21"/>
      <c r="AR1589" s="40"/>
      <c r="AT1589" s="40"/>
      <c r="AV1589" s="18"/>
      <c r="AX1589" s="18"/>
      <c r="AY1589" s="18"/>
      <c r="BF1589" s="18"/>
      <c r="BI1589" s="18"/>
      <c r="BT1589" s="18"/>
      <c r="BX1589" s="18"/>
      <c r="CC1589" s="18"/>
      <c r="CN1589" s="18"/>
      <c r="CY1589" s="34"/>
    </row>
    <row r="1590" spans="4:103" x14ac:dyDescent="0.25">
      <c r="D1590" s="12"/>
      <c r="E1590" s="14"/>
      <c r="H1590" s="16"/>
      <c r="I1590" s="11"/>
      <c r="J1590" s="33"/>
      <c r="K1590" s="33"/>
      <c r="L1590" s="8"/>
      <c r="AE1590" s="8"/>
      <c r="AG1590" s="30"/>
      <c r="AI1590" s="30"/>
      <c r="AJ1590" s="21"/>
      <c r="AR1590" s="40"/>
      <c r="AT1590" s="40"/>
      <c r="AV1590" s="18"/>
      <c r="AX1590" s="18"/>
      <c r="AY1590" s="18"/>
      <c r="BF1590" s="18"/>
      <c r="BI1590" s="18"/>
      <c r="BT1590" s="18"/>
      <c r="BX1590" s="18"/>
      <c r="CC1590" s="18"/>
      <c r="CN1590" s="18"/>
      <c r="CY1590" s="34"/>
    </row>
    <row r="1591" spans="4:103" x14ac:dyDescent="0.25">
      <c r="D1591" s="12"/>
      <c r="E1591" s="14"/>
      <c r="H1591" s="16"/>
      <c r="I1591" s="11"/>
      <c r="J1591" s="33"/>
      <c r="K1591" s="33"/>
      <c r="L1591" s="8"/>
      <c r="AE1591" s="8"/>
      <c r="AG1591" s="30"/>
      <c r="AI1591" s="30"/>
      <c r="AJ1591" s="21"/>
      <c r="AR1591" s="40"/>
      <c r="AT1591" s="40"/>
      <c r="AV1591" s="18"/>
      <c r="AX1591" s="18"/>
      <c r="AY1591" s="18"/>
      <c r="BF1591" s="18"/>
      <c r="BI1591" s="18"/>
      <c r="BT1591" s="18"/>
      <c r="BX1591" s="18"/>
      <c r="CC1591" s="18"/>
      <c r="CN1591" s="18"/>
      <c r="CY1591" s="34"/>
    </row>
    <row r="1592" spans="4:103" x14ac:dyDescent="0.25">
      <c r="D1592" s="12"/>
      <c r="E1592" s="14"/>
      <c r="H1592" s="16"/>
      <c r="I1592" s="11"/>
      <c r="J1592" s="33"/>
      <c r="K1592" s="33"/>
      <c r="L1592" s="8"/>
      <c r="AE1592" s="8"/>
      <c r="AG1592" s="30"/>
      <c r="AI1592" s="30"/>
      <c r="AJ1592" s="21"/>
      <c r="AR1592" s="40"/>
      <c r="AT1592" s="40"/>
      <c r="AV1592" s="18"/>
      <c r="AX1592" s="18"/>
      <c r="AY1592" s="18"/>
      <c r="BF1592" s="18"/>
      <c r="BI1592" s="18"/>
      <c r="BT1592" s="18"/>
      <c r="BX1592" s="18"/>
      <c r="CC1592" s="18"/>
      <c r="CN1592" s="18"/>
      <c r="CY1592" s="34"/>
    </row>
    <row r="1593" spans="4:103" x14ac:dyDescent="0.25">
      <c r="D1593" s="12"/>
      <c r="E1593" s="14"/>
      <c r="H1593" s="16"/>
      <c r="I1593" s="11"/>
      <c r="J1593" s="33"/>
      <c r="K1593" s="33"/>
      <c r="L1593" s="8"/>
      <c r="AE1593" s="8"/>
      <c r="AG1593" s="30"/>
      <c r="AI1593" s="30"/>
      <c r="AJ1593" s="21"/>
      <c r="AR1593" s="40"/>
      <c r="AT1593" s="40"/>
      <c r="AV1593" s="18"/>
      <c r="AX1593" s="18"/>
      <c r="AY1593" s="18"/>
      <c r="BF1593" s="18"/>
      <c r="BI1593" s="18"/>
      <c r="BT1593" s="18"/>
      <c r="BX1593" s="18"/>
      <c r="CC1593" s="18"/>
      <c r="CN1593" s="18"/>
      <c r="CY1593" s="34"/>
    </row>
    <row r="1594" spans="4:103" x14ac:dyDescent="0.25">
      <c r="D1594" s="12"/>
      <c r="E1594" s="14"/>
      <c r="H1594" s="16"/>
      <c r="I1594" s="11"/>
      <c r="J1594" s="33"/>
      <c r="K1594" s="33"/>
      <c r="L1594" s="8"/>
      <c r="AE1594" s="8"/>
      <c r="AG1594" s="30"/>
      <c r="AI1594" s="30"/>
      <c r="AJ1594" s="21"/>
      <c r="AR1594" s="40"/>
      <c r="AT1594" s="40"/>
      <c r="AV1594" s="18"/>
      <c r="AX1594" s="18"/>
      <c r="AY1594" s="18"/>
      <c r="BF1594" s="18"/>
      <c r="BI1594" s="18"/>
      <c r="BT1594" s="18"/>
      <c r="BX1594" s="18"/>
      <c r="CC1594" s="18"/>
      <c r="CN1594" s="18"/>
      <c r="CY1594" s="34"/>
    </row>
    <row r="1595" spans="4:103" x14ac:dyDescent="0.25">
      <c r="D1595" s="12"/>
      <c r="E1595" s="14"/>
      <c r="H1595" s="16"/>
      <c r="I1595" s="11"/>
      <c r="J1595" s="33"/>
      <c r="K1595" s="33"/>
      <c r="L1595" s="8"/>
      <c r="AE1595" s="8"/>
      <c r="AG1595" s="30"/>
      <c r="AI1595" s="30"/>
      <c r="AJ1595" s="21"/>
      <c r="AR1595" s="40"/>
      <c r="AT1595" s="40"/>
      <c r="AV1595" s="18"/>
      <c r="AX1595" s="18"/>
      <c r="AY1595" s="18"/>
      <c r="BF1595" s="18"/>
      <c r="BI1595" s="18"/>
      <c r="BT1595" s="18"/>
      <c r="BX1595" s="18"/>
      <c r="CC1595" s="18"/>
      <c r="CN1595" s="18"/>
      <c r="CY1595" s="34"/>
    </row>
    <row r="1596" spans="4:103" x14ac:dyDescent="0.25">
      <c r="D1596" s="12"/>
      <c r="E1596" s="14"/>
      <c r="H1596" s="16"/>
      <c r="I1596" s="11"/>
      <c r="J1596" s="33"/>
      <c r="K1596" s="33"/>
      <c r="L1596" s="8"/>
      <c r="AE1596" s="8"/>
      <c r="AG1596" s="30"/>
      <c r="AI1596" s="30"/>
      <c r="AJ1596" s="21"/>
      <c r="AR1596" s="40"/>
      <c r="AT1596" s="40"/>
      <c r="AV1596" s="18"/>
      <c r="AX1596" s="18"/>
      <c r="AY1596" s="18"/>
      <c r="BF1596" s="18"/>
      <c r="BI1596" s="18"/>
      <c r="BT1596" s="18"/>
      <c r="BX1596" s="18"/>
      <c r="CC1596" s="18"/>
      <c r="CN1596" s="18"/>
      <c r="CY1596" s="34"/>
    </row>
    <row r="1597" spans="4:103" x14ac:dyDescent="0.25">
      <c r="D1597" s="12"/>
      <c r="E1597" s="14"/>
      <c r="H1597" s="16"/>
      <c r="I1597" s="11"/>
      <c r="J1597" s="33"/>
      <c r="K1597" s="33"/>
      <c r="L1597" s="8"/>
      <c r="AE1597" s="8"/>
      <c r="AG1597" s="30"/>
      <c r="AI1597" s="30"/>
      <c r="AJ1597" s="21"/>
      <c r="AR1597" s="40"/>
      <c r="AT1597" s="40"/>
      <c r="AV1597" s="18"/>
      <c r="AX1597" s="18"/>
      <c r="AY1597" s="18"/>
      <c r="BF1597" s="18"/>
      <c r="BI1597" s="18"/>
      <c r="BT1597" s="18"/>
      <c r="BX1597" s="18"/>
      <c r="CC1597" s="18"/>
      <c r="CN1597" s="18"/>
      <c r="CY1597" s="34"/>
    </row>
    <row r="1598" spans="4:103" x14ac:dyDescent="0.25">
      <c r="D1598" s="12"/>
      <c r="E1598" s="14"/>
      <c r="H1598" s="16"/>
      <c r="I1598" s="11"/>
      <c r="J1598" s="33"/>
      <c r="K1598" s="33"/>
      <c r="L1598" s="8"/>
      <c r="AE1598" s="8"/>
      <c r="AG1598" s="30"/>
      <c r="AI1598" s="30"/>
      <c r="AJ1598" s="21"/>
      <c r="AR1598" s="40"/>
      <c r="AT1598" s="40"/>
      <c r="AV1598" s="18"/>
      <c r="AX1598" s="18"/>
      <c r="AY1598" s="18"/>
      <c r="BF1598" s="18"/>
      <c r="BI1598" s="18"/>
      <c r="BT1598" s="18"/>
      <c r="BX1598" s="18"/>
      <c r="CC1598" s="18"/>
      <c r="CN1598" s="18"/>
      <c r="CY1598" s="34"/>
    </row>
    <row r="1599" spans="4:103" x14ac:dyDescent="0.25">
      <c r="D1599" s="12"/>
      <c r="E1599" s="14"/>
      <c r="H1599" s="16"/>
      <c r="I1599" s="11"/>
      <c r="J1599" s="33"/>
      <c r="K1599" s="33"/>
      <c r="L1599" s="8"/>
      <c r="AE1599" s="8"/>
      <c r="AG1599" s="30"/>
      <c r="AI1599" s="30"/>
      <c r="AJ1599" s="21"/>
      <c r="AR1599" s="40"/>
      <c r="AT1599" s="40"/>
      <c r="AV1599" s="18"/>
      <c r="AX1599" s="18"/>
      <c r="AY1599" s="18"/>
      <c r="BF1599" s="18"/>
      <c r="BI1599" s="18"/>
      <c r="BT1599" s="18"/>
      <c r="BX1599" s="18"/>
      <c r="CC1599" s="18"/>
      <c r="CN1599" s="18"/>
      <c r="CY1599" s="34"/>
    </row>
    <row r="1600" spans="4:103" x14ac:dyDescent="0.25">
      <c r="D1600" s="12"/>
      <c r="E1600" s="14"/>
      <c r="H1600" s="16"/>
      <c r="I1600" s="11"/>
      <c r="J1600" s="33"/>
      <c r="K1600" s="33"/>
      <c r="L1600" s="8"/>
      <c r="AE1600" s="8"/>
      <c r="AG1600" s="30"/>
      <c r="AI1600" s="30"/>
      <c r="AJ1600" s="21"/>
      <c r="AR1600" s="40"/>
      <c r="AT1600" s="40"/>
      <c r="AV1600" s="18"/>
      <c r="AX1600" s="18"/>
      <c r="AY1600" s="18"/>
      <c r="BF1600" s="18"/>
      <c r="BI1600" s="18"/>
      <c r="BT1600" s="18"/>
      <c r="BX1600" s="18"/>
      <c r="CC1600" s="18"/>
      <c r="CN1600" s="18"/>
      <c r="CY1600" s="34"/>
    </row>
    <row r="1601" spans="4:103" x14ac:dyDescent="0.25">
      <c r="D1601" s="12"/>
      <c r="E1601" s="14"/>
      <c r="H1601" s="16"/>
      <c r="I1601" s="11"/>
      <c r="J1601" s="33"/>
      <c r="K1601" s="33"/>
      <c r="L1601" s="8"/>
      <c r="AE1601" s="8"/>
      <c r="AG1601" s="30"/>
      <c r="AI1601" s="30"/>
      <c r="AJ1601" s="21"/>
      <c r="AR1601" s="40"/>
      <c r="AT1601" s="40"/>
      <c r="AV1601" s="18"/>
      <c r="AX1601" s="18"/>
      <c r="AY1601" s="18"/>
      <c r="BF1601" s="18"/>
      <c r="BI1601" s="18"/>
      <c r="BT1601" s="18"/>
      <c r="BX1601" s="18"/>
      <c r="CC1601" s="18"/>
      <c r="CN1601" s="18"/>
      <c r="CY1601" s="34"/>
    </row>
    <row r="1602" spans="4:103" x14ac:dyDescent="0.25">
      <c r="D1602" s="12"/>
      <c r="E1602" s="14"/>
      <c r="H1602" s="16"/>
      <c r="I1602" s="11"/>
      <c r="J1602" s="33"/>
      <c r="K1602" s="33"/>
      <c r="L1602" s="8"/>
      <c r="AE1602" s="8"/>
      <c r="AG1602" s="30"/>
      <c r="AI1602" s="30"/>
      <c r="AJ1602" s="21"/>
      <c r="AR1602" s="40"/>
      <c r="AT1602" s="40"/>
      <c r="AV1602" s="18"/>
      <c r="AX1602" s="18"/>
      <c r="AY1602" s="18"/>
      <c r="BF1602" s="18"/>
      <c r="BI1602" s="18"/>
      <c r="BT1602" s="18"/>
      <c r="BX1602" s="18"/>
      <c r="CC1602" s="18"/>
      <c r="CN1602" s="18"/>
      <c r="CY1602" s="34"/>
    </row>
    <row r="1603" spans="4:103" x14ac:dyDescent="0.25">
      <c r="D1603" s="12"/>
      <c r="E1603" s="14"/>
      <c r="H1603" s="16"/>
      <c r="I1603" s="11"/>
      <c r="J1603" s="33"/>
      <c r="K1603" s="33"/>
      <c r="L1603" s="8"/>
      <c r="AE1603" s="8"/>
      <c r="AG1603" s="30"/>
      <c r="AI1603" s="30"/>
      <c r="AJ1603" s="21"/>
      <c r="AR1603" s="40"/>
      <c r="AT1603" s="40"/>
      <c r="AV1603" s="18"/>
      <c r="AX1603" s="18"/>
      <c r="AY1603" s="18"/>
      <c r="BF1603" s="18"/>
      <c r="BI1603" s="18"/>
      <c r="BT1603" s="18"/>
      <c r="BX1603" s="18"/>
      <c r="CC1603" s="18"/>
      <c r="CN1603" s="18"/>
      <c r="CY1603" s="34"/>
    </row>
    <row r="1604" spans="4:103" x14ac:dyDescent="0.25">
      <c r="D1604" s="12"/>
      <c r="E1604" s="14"/>
      <c r="H1604" s="16"/>
      <c r="I1604" s="11"/>
      <c r="J1604" s="33"/>
      <c r="K1604" s="33"/>
      <c r="L1604" s="8"/>
      <c r="AE1604" s="8"/>
      <c r="AG1604" s="30"/>
      <c r="AI1604" s="30"/>
      <c r="AJ1604" s="21"/>
      <c r="AR1604" s="40"/>
      <c r="AT1604" s="40"/>
      <c r="AV1604" s="18"/>
      <c r="AX1604" s="18"/>
      <c r="AY1604" s="18"/>
      <c r="BF1604" s="18"/>
      <c r="BI1604" s="18"/>
      <c r="BT1604" s="18"/>
      <c r="BX1604" s="18"/>
      <c r="CC1604" s="18"/>
      <c r="CN1604" s="18"/>
      <c r="CY1604" s="34"/>
    </row>
    <row r="1605" spans="4:103" x14ac:dyDescent="0.25">
      <c r="D1605" s="12"/>
      <c r="E1605" s="14"/>
      <c r="H1605" s="16"/>
      <c r="I1605" s="11"/>
      <c r="J1605" s="33"/>
      <c r="K1605" s="33"/>
      <c r="L1605" s="8"/>
      <c r="AE1605" s="8"/>
      <c r="AG1605" s="30"/>
      <c r="AI1605" s="30"/>
      <c r="AJ1605" s="21"/>
      <c r="AR1605" s="40"/>
      <c r="AT1605" s="40"/>
      <c r="AV1605" s="18"/>
      <c r="AX1605" s="18"/>
      <c r="AY1605" s="18"/>
      <c r="BF1605" s="18"/>
      <c r="BI1605" s="18"/>
      <c r="BT1605" s="18"/>
      <c r="BX1605" s="18"/>
      <c r="CC1605" s="18"/>
      <c r="CN1605" s="18"/>
      <c r="CY1605" s="34"/>
    </row>
    <row r="1606" spans="4:103" x14ac:dyDescent="0.25">
      <c r="D1606" s="12"/>
      <c r="E1606" s="14"/>
      <c r="H1606" s="16"/>
      <c r="I1606" s="11"/>
      <c r="J1606" s="33"/>
      <c r="K1606" s="33"/>
      <c r="L1606" s="8"/>
      <c r="AE1606" s="8"/>
      <c r="AG1606" s="30"/>
      <c r="AI1606" s="30"/>
      <c r="AJ1606" s="21"/>
      <c r="AR1606" s="40"/>
      <c r="AT1606" s="40"/>
      <c r="AV1606" s="18"/>
      <c r="AX1606" s="18"/>
      <c r="AY1606" s="18"/>
      <c r="BF1606" s="18"/>
      <c r="BI1606" s="18"/>
      <c r="BT1606" s="18"/>
      <c r="BX1606" s="18"/>
      <c r="CC1606" s="18"/>
      <c r="CN1606" s="18"/>
      <c r="CY1606" s="34"/>
    </row>
    <row r="1607" spans="4:103" x14ac:dyDescent="0.25">
      <c r="D1607" s="12"/>
      <c r="E1607" s="14"/>
      <c r="H1607" s="16"/>
      <c r="I1607" s="11"/>
      <c r="J1607" s="33"/>
      <c r="K1607" s="33"/>
      <c r="L1607" s="8"/>
      <c r="AE1607" s="8"/>
      <c r="AG1607" s="30"/>
      <c r="AI1607" s="30"/>
      <c r="AJ1607" s="21"/>
      <c r="AR1607" s="40"/>
      <c r="AT1607" s="40"/>
      <c r="AV1607" s="18"/>
      <c r="AX1607" s="18"/>
      <c r="AY1607" s="18"/>
      <c r="BF1607" s="18"/>
      <c r="BI1607" s="18"/>
      <c r="BT1607" s="18"/>
      <c r="BX1607" s="18"/>
      <c r="CC1607" s="18"/>
      <c r="CN1607" s="18"/>
      <c r="CY1607" s="34"/>
    </row>
    <row r="1608" spans="4:103" x14ac:dyDescent="0.25">
      <c r="D1608" s="12"/>
      <c r="E1608" s="14"/>
      <c r="H1608" s="16"/>
      <c r="I1608" s="11"/>
      <c r="J1608" s="33"/>
      <c r="K1608" s="33"/>
      <c r="L1608" s="8"/>
      <c r="AE1608" s="8"/>
      <c r="AG1608" s="30"/>
      <c r="AI1608" s="30"/>
      <c r="AJ1608" s="21"/>
      <c r="AR1608" s="40"/>
      <c r="AT1608" s="40"/>
      <c r="AV1608" s="18"/>
      <c r="AX1608" s="18"/>
      <c r="AY1608" s="18"/>
      <c r="BF1608" s="18"/>
      <c r="BI1608" s="18"/>
      <c r="BT1608" s="18"/>
      <c r="BX1608" s="18"/>
      <c r="CC1608" s="18"/>
      <c r="CN1608" s="18"/>
      <c r="CY1608" s="34"/>
    </row>
    <row r="1609" spans="4:103" x14ac:dyDescent="0.25">
      <c r="D1609" s="12"/>
      <c r="E1609" s="14"/>
      <c r="H1609" s="16"/>
      <c r="I1609" s="11"/>
      <c r="J1609" s="33"/>
      <c r="K1609" s="33"/>
      <c r="L1609" s="8"/>
      <c r="AE1609" s="8"/>
      <c r="AG1609" s="30"/>
      <c r="AI1609" s="30"/>
      <c r="AJ1609" s="21"/>
      <c r="AR1609" s="40"/>
      <c r="AT1609" s="40"/>
      <c r="AV1609" s="18"/>
      <c r="AX1609" s="18"/>
      <c r="AY1609" s="18"/>
      <c r="BF1609" s="18"/>
      <c r="BI1609" s="18"/>
      <c r="BT1609" s="18"/>
      <c r="BX1609" s="18"/>
      <c r="CC1609" s="18"/>
      <c r="CN1609" s="18"/>
      <c r="CY1609" s="34"/>
    </row>
    <row r="1610" spans="4:103" x14ac:dyDescent="0.25">
      <c r="D1610" s="12"/>
      <c r="E1610" s="14"/>
      <c r="H1610" s="16"/>
      <c r="I1610" s="11"/>
      <c r="J1610" s="33"/>
      <c r="K1610" s="33"/>
      <c r="L1610" s="8"/>
      <c r="AE1610" s="8"/>
      <c r="AG1610" s="30"/>
      <c r="AI1610" s="30"/>
      <c r="AJ1610" s="21"/>
      <c r="AR1610" s="40"/>
      <c r="AT1610" s="40"/>
      <c r="AV1610" s="18"/>
      <c r="AX1610" s="18"/>
      <c r="AY1610" s="18"/>
      <c r="BF1610" s="18"/>
      <c r="BI1610" s="18"/>
      <c r="BT1610" s="18"/>
      <c r="BX1610" s="18"/>
      <c r="CC1610" s="18"/>
      <c r="CN1610" s="18"/>
      <c r="CY1610" s="34"/>
    </row>
    <row r="1611" spans="4:103" x14ac:dyDescent="0.25">
      <c r="D1611" s="12"/>
      <c r="E1611" s="14"/>
      <c r="H1611" s="16"/>
      <c r="I1611" s="11"/>
      <c r="J1611" s="33"/>
      <c r="K1611" s="33"/>
      <c r="L1611" s="8"/>
      <c r="AE1611" s="8"/>
      <c r="AG1611" s="30"/>
      <c r="AI1611" s="30"/>
      <c r="AJ1611" s="21"/>
      <c r="AR1611" s="40"/>
      <c r="AT1611" s="40"/>
      <c r="AV1611" s="18"/>
      <c r="AX1611" s="18"/>
      <c r="AY1611" s="18"/>
      <c r="BF1611" s="18"/>
      <c r="BI1611" s="18"/>
      <c r="BT1611" s="18"/>
      <c r="BX1611" s="18"/>
      <c r="CC1611" s="18"/>
      <c r="CN1611" s="18"/>
      <c r="CY1611" s="34"/>
    </row>
    <row r="1612" spans="4:103" x14ac:dyDescent="0.25">
      <c r="D1612" s="12"/>
      <c r="E1612" s="14"/>
      <c r="H1612" s="16"/>
      <c r="I1612" s="11"/>
      <c r="J1612" s="33"/>
      <c r="K1612" s="33"/>
      <c r="L1612" s="8"/>
      <c r="AE1612" s="8"/>
      <c r="AG1612" s="30"/>
      <c r="AI1612" s="30"/>
      <c r="AJ1612" s="21"/>
      <c r="AR1612" s="40"/>
      <c r="AT1612" s="40"/>
      <c r="AV1612" s="18"/>
      <c r="AX1612" s="18"/>
      <c r="AY1612" s="18"/>
      <c r="BF1612" s="18"/>
      <c r="BI1612" s="18"/>
      <c r="BT1612" s="18"/>
      <c r="BX1612" s="18"/>
      <c r="CC1612" s="18"/>
      <c r="CN1612" s="18"/>
      <c r="CY1612" s="34"/>
    </row>
    <row r="1613" spans="4:103" x14ac:dyDescent="0.25">
      <c r="D1613" s="12"/>
      <c r="E1613" s="14"/>
      <c r="H1613" s="16"/>
      <c r="I1613" s="11"/>
      <c r="J1613" s="33"/>
      <c r="K1613" s="33"/>
      <c r="L1613" s="8"/>
      <c r="AE1613" s="8"/>
      <c r="AG1613" s="30"/>
      <c r="AI1613" s="30"/>
      <c r="AJ1613" s="21"/>
      <c r="AR1613" s="40"/>
      <c r="AT1613" s="40"/>
      <c r="AV1613" s="18"/>
      <c r="AX1613" s="18"/>
      <c r="AY1613" s="18"/>
      <c r="BF1613" s="18"/>
      <c r="BI1613" s="18"/>
      <c r="BT1613" s="18"/>
      <c r="BX1613" s="18"/>
      <c r="CC1613" s="18"/>
      <c r="CN1613" s="18"/>
      <c r="CY1613" s="34"/>
    </row>
    <row r="1614" spans="4:103" x14ac:dyDescent="0.25">
      <c r="D1614" s="12"/>
      <c r="E1614" s="14"/>
      <c r="H1614" s="16"/>
      <c r="I1614" s="11"/>
      <c r="J1614" s="33"/>
      <c r="K1614" s="33"/>
      <c r="L1614" s="8"/>
      <c r="AE1614" s="8"/>
      <c r="AG1614" s="30"/>
      <c r="AI1614" s="30"/>
      <c r="AJ1614" s="21"/>
      <c r="AR1614" s="40"/>
      <c r="AT1614" s="40"/>
      <c r="AV1614" s="18"/>
      <c r="AX1614" s="18"/>
      <c r="AY1614" s="18"/>
      <c r="BF1614" s="18"/>
      <c r="BI1614" s="18"/>
      <c r="BT1614" s="18"/>
      <c r="BX1614" s="18"/>
      <c r="CC1614" s="18"/>
      <c r="CN1614" s="18"/>
      <c r="CY1614" s="34"/>
    </row>
    <row r="1615" spans="4:103" x14ac:dyDescent="0.25">
      <c r="D1615" s="12"/>
      <c r="E1615" s="14"/>
      <c r="H1615" s="16"/>
      <c r="I1615" s="11"/>
      <c r="J1615" s="33"/>
      <c r="K1615" s="33"/>
      <c r="L1615" s="8"/>
      <c r="AE1615" s="8"/>
      <c r="AG1615" s="30"/>
      <c r="AI1615" s="30"/>
      <c r="AJ1615" s="21"/>
      <c r="AR1615" s="40"/>
      <c r="AT1615" s="40"/>
      <c r="AV1615" s="18"/>
      <c r="AX1615" s="18"/>
      <c r="AY1615" s="18"/>
      <c r="BF1615" s="18"/>
      <c r="BI1615" s="18"/>
      <c r="BT1615" s="18"/>
      <c r="BX1615" s="18"/>
      <c r="CC1615" s="18"/>
      <c r="CN1615" s="18"/>
      <c r="CY1615" s="34"/>
    </row>
    <row r="1616" spans="4:103" x14ac:dyDescent="0.25">
      <c r="D1616" s="12"/>
      <c r="E1616" s="14"/>
      <c r="H1616" s="16"/>
      <c r="I1616" s="11"/>
      <c r="J1616" s="33"/>
      <c r="K1616" s="33"/>
      <c r="L1616" s="8"/>
      <c r="AE1616" s="8"/>
      <c r="AG1616" s="30"/>
      <c r="AI1616" s="30"/>
      <c r="AJ1616" s="21"/>
      <c r="AR1616" s="40"/>
      <c r="AT1616" s="40"/>
      <c r="AV1616" s="18"/>
      <c r="AX1616" s="18"/>
      <c r="AY1616" s="18"/>
      <c r="BF1616" s="18"/>
      <c r="BI1616" s="18"/>
      <c r="BT1616" s="18"/>
      <c r="BX1616" s="18"/>
      <c r="CC1616" s="18"/>
      <c r="CN1616" s="18"/>
      <c r="CY1616" s="34"/>
    </row>
    <row r="1617" spans="4:103" x14ac:dyDescent="0.25">
      <c r="D1617" s="12"/>
      <c r="E1617" s="14"/>
      <c r="H1617" s="16"/>
      <c r="I1617" s="11"/>
      <c r="J1617" s="33"/>
      <c r="K1617" s="33"/>
      <c r="L1617" s="8"/>
      <c r="AE1617" s="8"/>
      <c r="AG1617" s="30"/>
      <c r="AI1617" s="30"/>
      <c r="AJ1617" s="21"/>
      <c r="AR1617" s="40"/>
      <c r="AT1617" s="40"/>
      <c r="AV1617" s="18"/>
      <c r="AX1617" s="18"/>
      <c r="AY1617" s="18"/>
      <c r="BF1617" s="18"/>
      <c r="BI1617" s="18"/>
      <c r="BT1617" s="18"/>
      <c r="BX1617" s="18"/>
      <c r="CC1617" s="18"/>
      <c r="CN1617" s="18"/>
      <c r="CY1617" s="34"/>
    </row>
    <row r="1618" spans="4:103" x14ac:dyDescent="0.25">
      <c r="D1618" s="12"/>
      <c r="E1618" s="14"/>
      <c r="H1618" s="16"/>
      <c r="I1618" s="11"/>
      <c r="J1618" s="33"/>
      <c r="K1618" s="33"/>
      <c r="L1618" s="8"/>
      <c r="AE1618" s="8"/>
      <c r="AG1618" s="30"/>
      <c r="AI1618" s="30"/>
      <c r="AJ1618" s="21"/>
      <c r="AR1618" s="40"/>
      <c r="AT1618" s="40"/>
      <c r="AV1618" s="18"/>
      <c r="AX1618" s="18"/>
      <c r="AY1618" s="18"/>
      <c r="BF1618" s="18"/>
      <c r="BI1618" s="18"/>
      <c r="BT1618" s="18"/>
      <c r="BX1618" s="18"/>
      <c r="CC1618" s="18"/>
      <c r="CN1618" s="18"/>
      <c r="CY1618" s="34"/>
    </row>
    <row r="1619" spans="4:103" x14ac:dyDescent="0.25">
      <c r="D1619" s="12"/>
      <c r="E1619" s="14"/>
      <c r="H1619" s="16"/>
      <c r="I1619" s="11"/>
      <c r="J1619" s="33"/>
      <c r="K1619" s="33"/>
      <c r="L1619" s="8"/>
      <c r="AE1619" s="8"/>
      <c r="AG1619" s="30"/>
      <c r="AI1619" s="30"/>
      <c r="AJ1619" s="21"/>
      <c r="AR1619" s="40"/>
      <c r="AT1619" s="40"/>
      <c r="AV1619" s="18"/>
      <c r="AX1619" s="18"/>
      <c r="AY1619" s="18"/>
      <c r="BF1619" s="18"/>
      <c r="BI1619" s="18"/>
      <c r="BT1619" s="18"/>
      <c r="BX1619" s="18"/>
      <c r="CC1619" s="18"/>
      <c r="CN1619" s="18"/>
      <c r="CY1619" s="34"/>
    </row>
    <row r="1620" spans="4:103" x14ac:dyDescent="0.25">
      <c r="D1620" s="12"/>
      <c r="E1620" s="14"/>
      <c r="H1620" s="16"/>
      <c r="I1620" s="11"/>
      <c r="J1620" s="33"/>
      <c r="K1620" s="33"/>
      <c r="L1620" s="8"/>
      <c r="AE1620" s="8"/>
      <c r="AG1620" s="30"/>
      <c r="AI1620" s="30"/>
      <c r="AJ1620" s="21"/>
      <c r="AR1620" s="40"/>
      <c r="AT1620" s="40"/>
      <c r="AV1620" s="18"/>
      <c r="AX1620" s="18"/>
      <c r="AY1620" s="18"/>
      <c r="BF1620" s="18"/>
      <c r="BI1620" s="18"/>
      <c r="BT1620" s="18"/>
      <c r="BX1620" s="18"/>
      <c r="CC1620" s="18"/>
      <c r="CN1620" s="18"/>
      <c r="CY1620" s="34"/>
    </row>
    <row r="1621" spans="4:103" x14ac:dyDescent="0.25">
      <c r="D1621" s="12"/>
      <c r="E1621" s="14"/>
      <c r="H1621" s="16"/>
      <c r="I1621" s="11"/>
      <c r="J1621" s="33"/>
      <c r="K1621" s="33"/>
      <c r="L1621" s="8"/>
      <c r="AE1621" s="8"/>
      <c r="AG1621" s="30"/>
      <c r="AI1621" s="30"/>
      <c r="AJ1621" s="21"/>
      <c r="AR1621" s="40"/>
      <c r="AT1621" s="40"/>
      <c r="AV1621" s="18"/>
      <c r="AX1621" s="18"/>
      <c r="AY1621" s="18"/>
      <c r="BF1621" s="18"/>
      <c r="BI1621" s="18"/>
      <c r="BT1621" s="18"/>
      <c r="BX1621" s="18"/>
      <c r="CC1621" s="18"/>
      <c r="CN1621" s="18"/>
      <c r="CY1621" s="34"/>
    </row>
    <row r="1622" spans="4:103" x14ac:dyDescent="0.25">
      <c r="D1622" s="12"/>
      <c r="E1622" s="14"/>
      <c r="H1622" s="16"/>
      <c r="I1622" s="11"/>
      <c r="J1622" s="33"/>
      <c r="K1622" s="33"/>
      <c r="L1622" s="8"/>
      <c r="AE1622" s="8"/>
      <c r="AG1622" s="30"/>
      <c r="AI1622" s="30"/>
      <c r="AJ1622" s="21"/>
      <c r="AR1622" s="40"/>
      <c r="AT1622" s="40"/>
      <c r="AV1622" s="18"/>
      <c r="AX1622" s="18"/>
      <c r="AY1622" s="18"/>
      <c r="BF1622" s="18"/>
      <c r="BI1622" s="18"/>
      <c r="BT1622" s="18"/>
      <c r="BX1622" s="18"/>
      <c r="CC1622" s="18"/>
      <c r="CN1622" s="18"/>
      <c r="CY1622" s="34"/>
    </row>
    <row r="1623" spans="4:103" x14ac:dyDescent="0.25">
      <c r="D1623" s="12"/>
      <c r="E1623" s="14"/>
      <c r="H1623" s="16"/>
      <c r="I1623" s="11"/>
      <c r="J1623" s="33"/>
      <c r="K1623" s="33"/>
      <c r="L1623" s="8"/>
      <c r="AE1623" s="8"/>
      <c r="AG1623" s="30"/>
      <c r="AI1623" s="30"/>
      <c r="AJ1623" s="21"/>
      <c r="AR1623" s="40"/>
      <c r="AT1623" s="40"/>
      <c r="AV1623" s="18"/>
      <c r="AX1623" s="18"/>
      <c r="AY1623" s="18"/>
      <c r="BF1623" s="18"/>
      <c r="BI1623" s="18"/>
      <c r="BT1623" s="18"/>
      <c r="BX1623" s="18"/>
      <c r="CC1623" s="18"/>
      <c r="CN1623" s="18"/>
      <c r="CY1623" s="34"/>
    </row>
    <row r="1624" spans="4:103" x14ac:dyDescent="0.25">
      <c r="D1624" s="12"/>
      <c r="E1624" s="14"/>
      <c r="H1624" s="16"/>
      <c r="I1624" s="11"/>
      <c r="J1624" s="33"/>
      <c r="K1624" s="33"/>
      <c r="L1624" s="8"/>
      <c r="AE1624" s="8"/>
      <c r="AG1624" s="30"/>
      <c r="AI1624" s="30"/>
      <c r="AJ1624" s="21"/>
      <c r="AR1624" s="40"/>
      <c r="AT1624" s="40"/>
      <c r="AV1624" s="18"/>
      <c r="AX1624" s="18"/>
      <c r="AY1624" s="18"/>
      <c r="BF1624" s="18"/>
      <c r="BI1624" s="18"/>
      <c r="BT1624" s="18"/>
      <c r="BX1624" s="18"/>
      <c r="CC1624" s="18"/>
      <c r="CN1624" s="18"/>
      <c r="CY1624" s="34"/>
    </row>
    <row r="1625" spans="4:103" x14ac:dyDescent="0.25">
      <c r="D1625" s="12"/>
      <c r="E1625" s="14"/>
      <c r="H1625" s="16"/>
      <c r="I1625" s="11"/>
      <c r="J1625" s="33"/>
      <c r="K1625" s="33"/>
      <c r="L1625" s="8"/>
      <c r="AE1625" s="8"/>
      <c r="AG1625" s="30"/>
      <c r="AI1625" s="30"/>
      <c r="AJ1625" s="21"/>
      <c r="AR1625" s="40"/>
      <c r="AT1625" s="40"/>
      <c r="AV1625" s="18"/>
      <c r="AX1625" s="18"/>
      <c r="AY1625" s="18"/>
      <c r="BF1625" s="18"/>
      <c r="BI1625" s="18"/>
      <c r="BT1625" s="18"/>
      <c r="BX1625" s="18"/>
      <c r="CC1625" s="18"/>
      <c r="CN1625" s="18"/>
      <c r="CY1625" s="34"/>
    </row>
    <row r="1626" spans="4:103" x14ac:dyDescent="0.25">
      <c r="D1626" s="12"/>
      <c r="E1626" s="14"/>
      <c r="H1626" s="16"/>
      <c r="I1626" s="11"/>
      <c r="J1626" s="33"/>
      <c r="K1626" s="33"/>
      <c r="L1626" s="8"/>
      <c r="AE1626" s="8"/>
      <c r="AG1626" s="30"/>
      <c r="AI1626" s="30"/>
      <c r="AJ1626" s="21"/>
      <c r="AR1626" s="40"/>
      <c r="AT1626" s="40"/>
      <c r="AV1626" s="18"/>
      <c r="AX1626" s="18"/>
      <c r="AY1626" s="18"/>
      <c r="BF1626" s="18"/>
      <c r="BI1626" s="18"/>
      <c r="BT1626" s="18"/>
      <c r="BX1626" s="18"/>
      <c r="CC1626" s="18"/>
      <c r="CN1626" s="18"/>
      <c r="CY1626" s="34"/>
    </row>
    <row r="1627" spans="4:103" x14ac:dyDescent="0.25">
      <c r="D1627" s="12"/>
      <c r="E1627" s="14"/>
      <c r="H1627" s="16"/>
      <c r="I1627" s="11"/>
      <c r="J1627" s="33"/>
      <c r="K1627" s="33"/>
      <c r="L1627" s="8"/>
      <c r="AE1627" s="8"/>
      <c r="AG1627" s="30"/>
      <c r="AI1627" s="30"/>
      <c r="AJ1627" s="21"/>
      <c r="AR1627" s="40"/>
      <c r="AT1627" s="40"/>
      <c r="AV1627" s="18"/>
      <c r="AX1627" s="18"/>
      <c r="AY1627" s="18"/>
      <c r="BF1627" s="18"/>
      <c r="BI1627" s="18"/>
      <c r="BT1627" s="18"/>
      <c r="BX1627" s="18"/>
      <c r="CC1627" s="18"/>
      <c r="CN1627" s="18"/>
      <c r="CY1627" s="34"/>
    </row>
    <row r="1628" spans="4:103" x14ac:dyDescent="0.25">
      <c r="D1628" s="12"/>
      <c r="E1628" s="14"/>
      <c r="H1628" s="16"/>
      <c r="I1628" s="11"/>
      <c r="J1628" s="33"/>
      <c r="K1628" s="33"/>
      <c r="L1628" s="8"/>
      <c r="AE1628" s="8"/>
      <c r="AG1628" s="30"/>
      <c r="AI1628" s="30"/>
      <c r="AJ1628" s="21"/>
      <c r="AR1628" s="40"/>
      <c r="AT1628" s="40"/>
      <c r="AV1628" s="18"/>
      <c r="AX1628" s="18"/>
      <c r="AY1628" s="18"/>
      <c r="BF1628" s="18"/>
      <c r="BI1628" s="18"/>
      <c r="BT1628" s="18"/>
      <c r="BX1628" s="18"/>
      <c r="CC1628" s="18"/>
      <c r="CN1628" s="18"/>
      <c r="CY1628" s="34"/>
    </row>
    <row r="1629" spans="4:103" x14ac:dyDescent="0.25">
      <c r="D1629" s="12"/>
      <c r="E1629" s="14"/>
      <c r="H1629" s="16"/>
      <c r="I1629" s="11"/>
      <c r="J1629" s="33"/>
      <c r="K1629" s="33"/>
      <c r="L1629" s="8"/>
      <c r="AE1629" s="8"/>
      <c r="AG1629" s="30"/>
      <c r="AI1629" s="30"/>
      <c r="AJ1629" s="21"/>
      <c r="AR1629" s="40"/>
      <c r="AT1629" s="40"/>
      <c r="AV1629" s="18"/>
      <c r="AX1629" s="18"/>
      <c r="AY1629" s="18"/>
      <c r="BF1629" s="18"/>
      <c r="BI1629" s="18"/>
      <c r="BT1629" s="18"/>
      <c r="BX1629" s="18"/>
      <c r="CC1629" s="18"/>
      <c r="CN1629" s="18"/>
      <c r="CY1629" s="34"/>
    </row>
    <row r="1630" spans="4:103" x14ac:dyDescent="0.25">
      <c r="D1630" s="12"/>
      <c r="E1630" s="14"/>
      <c r="H1630" s="16"/>
      <c r="I1630" s="11"/>
      <c r="J1630" s="33"/>
      <c r="K1630" s="33"/>
      <c r="L1630" s="8"/>
      <c r="AE1630" s="8"/>
      <c r="AG1630" s="30"/>
      <c r="AI1630" s="30"/>
      <c r="AJ1630" s="21"/>
      <c r="AR1630" s="40"/>
      <c r="AT1630" s="40"/>
      <c r="AV1630" s="18"/>
      <c r="AX1630" s="18"/>
      <c r="AY1630" s="18"/>
      <c r="BF1630" s="18"/>
      <c r="BI1630" s="18"/>
      <c r="BT1630" s="18"/>
      <c r="BX1630" s="18"/>
      <c r="CC1630" s="18"/>
      <c r="CN1630" s="18"/>
      <c r="CY1630" s="34"/>
    </row>
    <row r="1631" spans="4:103" x14ac:dyDescent="0.25">
      <c r="D1631" s="12"/>
      <c r="E1631" s="14"/>
      <c r="H1631" s="16"/>
      <c r="I1631" s="11"/>
      <c r="J1631" s="33"/>
      <c r="K1631" s="33"/>
      <c r="L1631" s="8"/>
      <c r="AE1631" s="8"/>
      <c r="AG1631" s="30"/>
      <c r="AI1631" s="30"/>
      <c r="AJ1631" s="21"/>
      <c r="AR1631" s="40"/>
      <c r="AT1631" s="40"/>
      <c r="AV1631" s="18"/>
      <c r="AX1631" s="18"/>
      <c r="AY1631" s="18"/>
      <c r="BF1631" s="18"/>
      <c r="BI1631" s="18"/>
      <c r="BT1631" s="18"/>
      <c r="BX1631" s="18"/>
      <c r="CC1631" s="18"/>
      <c r="CN1631" s="18"/>
      <c r="CY1631" s="34"/>
    </row>
    <row r="1632" spans="4:103" x14ac:dyDescent="0.25">
      <c r="D1632" s="12"/>
      <c r="E1632" s="14"/>
      <c r="H1632" s="16"/>
      <c r="I1632" s="11"/>
      <c r="J1632" s="33"/>
      <c r="K1632" s="33"/>
      <c r="L1632" s="8"/>
      <c r="AE1632" s="8"/>
      <c r="AG1632" s="30"/>
      <c r="AI1632" s="30"/>
      <c r="AJ1632" s="21"/>
      <c r="AR1632" s="40"/>
      <c r="AT1632" s="40"/>
      <c r="AV1632" s="18"/>
      <c r="AX1632" s="18"/>
      <c r="AY1632" s="18"/>
      <c r="BF1632" s="18"/>
      <c r="BI1632" s="18"/>
      <c r="BT1632" s="18"/>
      <c r="BX1632" s="18"/>
      <c r="CC1632" s="18"/>
      <c r="CN1632" s="18"/>
      <c r="CY1632" s="34"/>
    </row>
    <row r="1633" spans="4:103" x14ac:dyDescent="0.25">
      <c r="D1633" s="12"/>
      <c r="E1633" s="14"/>
      <c r="H1633" s="16"/>
      <c r="I1633" s="11"/>
      <c r="J1633" s="33"/>
      <c r="K1633" s="33"/>
      <c r="L1633" s="8"/>
      <c r="AE1633" s="8"/>
      <c r="AG1633" s="30"/>
      <c r="AI1633" s="30"/>
      <c r="AJ1633" s="21"/>
      <c r="AR1633" s="40"/>
      <c r="AT1633" s="40"/>
      <c r="AV1633" s="18"/>
      <c r="AX1633" s="18"/>
      <c r="AY1633" s="18"/>
      <c r="BF1633" s="18"/>
      <c r="BI1633" s="18"/>
      <c r="BT1633" s="18"/>
      <c r="BX1633" s="18"/>
      <c r="CC1633" s="18"/>
      <c r="CN1633" s="18"/>
      <c r="CY1633" s="34"/>
    </row>
    <row r="1634" spans="4:103" x14ac:dyDescent="0.25">
      <c r="D1634" s="12"/>
      <c r="E1634" s="14"/>
      <c r="H1634" s="16"/>
      <c r="I1634" s="11"/>
      <c r="J1634" s="33"/>
      <c r="K1634" s="33"/>
      <c r="L1634" s="8"/>
      <c r="AE1634" s="8"/>
      <c r="AG1634" s="30"/>
      <c r="AI1634" s="30"/>
      <c r="AJ1634" s="21"/>
      <c r="AR1634" s="40"/>
      <c r="AT1634" s="40"/>
      <c r="AV1634" s="18"/>
      <c r="AX1634" s="18"/>
      <c r="AY1634" s="18"/>
      <c r="BF1634" s="18"/>
      <c r="BI1634" s="18"/>
      <c r="BT1634" s="18"/>
      <c r="BX1634" s="18"/>
      <c r="CC1634" s="18"/>
      <c r="CN1634" s="18"/>
      <c r="CY1634" s="34"/>
    </row>
    <row r="1635" spans="4:103" x14ac:dyDescent="0.25">
      <c r="D1635" s="12"/>
      <c r="E1635" s="14"/>
      <c r="H1635" s="16"/>
      <c r="I1635" s="11"/>
      <c r="J1635" s="33"/>
      <c r="K1635" s="33"/>
      <c r="L1635" s="8"/>
      <c r="AE1635" s="8"/>
      <c r="AG1635" s="30"/>
      <c r="AI1635" s="30"/>
      <c r="AJ1635" s="21"/>
      <c r="AR1635" s="40"/>
      <c r="AT1635" s="40"/>
      <c r="AV1635" s="18"/>
      <c r="AX1635" s="18"/>
      <c r="AY1635" s="18"/>
      <c r="BF1635" s="18"/>
      <c r="BI1635" s="18"/>
      <c r="BT1635" s="18"/>
      <c r="BX1635" s="18"/>
      <c r="CC1635" s="18"/>
      <c r="CN1635" s="18"/>
      <c r="CY1635" s="34"/>
    </row>
    <row r="1636" spans="4:103" x14ac:dyDescent="0.25">
      <c r="D1636" s="12"/>
      <c r="E1636" s="14"/>
      <c r="H1636" s="16"/>
      <c r="I1636" s="11"/>
      <c r="J1636" s="33"/>
      <c r="K1636" s="33"/>
      <c r="L1636" s="8"/>
      <c r="AE1636" s="8"/>
      <c r="AG1636" s="30"/>
      <c r="AI1636" s="30"/>
      <c r="AJ1636" s="21"/>
      <c r="AR1636" s="40"/>
      <c r="AT1636" s="40"/>
      <c r="AV1636" s="18"/>
      <c r="AX1636" s="18"/>
      <c r="AY1636" s="18"/>
      <c r="BF1636" s="18"/>
      <c r="BI1636" s="18"/>
      <c r="BT1636" s="18"/>
      <c r="BX1636" s="18"/>
      <c r="CC1636" s="18"/>
      <c r="CN1636" s="18"/>
      <c r="CY1636" s="34"/>
    </row>
    <row r="1637" spans="4:103" x14ac:dyDescent="0.25">
      <c r="D1637" s="12"/>
      <c r="E1637" s="14"/>
      <c r="H1637" s="16"/>
      <c r="I1637" s="11"/>
      <c r="J1637" s="33"/>
      <c r="K1637" s="33"/>
      <c r="L1637" s="8"/>
      <c r="AE1637" s="8"/>
      <c r="AG1637" s="30"/>
      <c r="AI1637" s="30"/>
      <c r="AJ1637" s="21"/>
      <c r="AR1637" s="40"/>
      <c r="AT1637" s="40"/>
      <c r="AV1637" s="18"/>
      <c r="AX1637" s="18"/>
      <c r="AY1637" s="18"/>
      <c r="BF1637" s="18"/>
      <c r="BI1637" s="18"/>
      <c r="BT1637" s="18"/>
      <c r="BX1637" s="18"/>
      <c r="CC1637" s="18"/>
      <c r="CN1637" s="18"/>
      <c r="CY1637" s="34"/>
    </row>
    <row r="1638" spans="4:103" x14ac:dyDescent="0.25">
      <c r="D1638" s="12"/>
      <c r="E1638" s="14"/>
      <c r="H1638" s="16"/>
      <c r="I1638" s="11"/>
      <c r="J1638" s="33"/>
      <c r="K1638" s="33"/>
      <c r="L1638" s="8"/>
      <c r="AE1638" s="8"/>
      <c r="AG1638" s="30"/>
      <c r="AI1638" s="30"/>
      <c r="AJ1638" s="21"/>
      <c r="AR1638" s="40"/>
      <c r="AT1638" s="40"/>
      <c r="AV1638" s="18"/>
      <c r="AX1638" s="18"/>
      <c r="AY1638" s="18"/>
      <c r="BF1638" s="18"/>
      <c r="BI1638" s="18"/>
      <c r="BT1638" s="18"/>
      <c r="BX1638" s="18"/>
      <c r="CC1638" s="18"/>
      <c r="CN1638" s="18"/>
      <c r="CY1638" s="34"/>
    </row>
    <row r="1639" spans="4:103" x14ac:dyDescent="0.25">
      <c r="D1639" s="12"/>
      <c r="E1639" s="14"/>
      <c r="H1639" s="16"/>
      <c r="I1639" s="11"/>
      <c r="J1639" s="33"/>
      <c r="K1639" s="33"/>
      <c r="L1639" s="8"/>
      <c r="AE1639" s="8"/>
      <c r="AG1639" s="30"/>
      <c r="AI1639" s="30"/>
      <c r="AJ1639" s="21"/>
      <c r="AR1639" s="40"/>
      <c r="AT1639" s="40"/>
      <c r="AV1639" s="18"/>
      <c r="AX1639" s="18"/>
      <c r="AY1639" s="18"/>
      <c r="BF1639" s="18"/>
      <c r="BI1639" s="18"/>
      <c r="BT1639" s="18"/>
      <c r="BX1639" s="18"/>
      <c r="CC1639" s="18"/>
      <c r="CN1639" s="18"/>
      <c r="CY1639" s="34"/>
    </row>
    <row r="1640" spans="4:103" x14ac:dyDescent="0.25">
      <c r="D1640" s="12"/>
      <c r="E1640" s="14"/>
      <c r="H1640" s="16"/>
      <c r="I1640" s="11"/>
      <c r="J1640" s="33"/>
      <c r="K1640" s="33"/>
      <c r="L1640" s="8"/>
      <c r="AE1640" s="8"/>
      <c r="AG1640" s="30"/>
      <c r="AI1640" s="30"/>
      <c r="AJ1640" s="21"/>
      <c r="AR1640" s="40"/>
      <c r="AT1640" s="40"/>
      <c r="AV1640" s="18"/>
      <c r="AX1640" s="18"/>
      <c r="AY1640" s="18"/>
      <c r="BF1640" s="18"/>
      <c r="BI1640" s="18"/>
      <c r="BT1640" s="18"/>
      <c r="BX1640" s="18"/>
      <c r="CC1640" s="18"/>
      <c r="CN1640" s="18"/>
      <c r="CY1640" s="34"/>
    </row>
    <row r="1641" spans="4:103" x14ac:dyDescent="0.25">
      <c r="D1641" s="12"/>
      <c r="E1641" s="14"/>
      <c r="H1641" s="16"/>
      <c r="I1641" s="11"/>
      <c r="J1641" s="33"/>
      <c r="K1641" s="33"/>
      <c r="L1641" s="8"/>
      <c r="AE1641" s="8"/>
      <c r="AG1641" s="30"/>
      <c r="AI1641" s="30"/>
      <c r="AJ1641" s="21"/>
      <c r="AR1641" s="40"/>
      <c r="AT1641" s="40"/>
      <c r="AV1641" s="18"/>
      <c r="AX1641" s="18"/>
      <c r="AY1641" s="18"/>
      <c r="BF1641" s="18"/>
      <c r="BI1641" s="18"/>
      <c r="BT1641" s="18"/>
      <c r="BX1641" s="18"/>
      <c r="CC1641" s="18"/>
      <c r="CN1641" s="18"/>
      <c r="CY1641" s="34"/>
    </row>
    <row r="1642" spans="4:103" x14ac:dyDescent="0.25">
      <c r="D1642" s="12"/>
      <c r="E1642" s="14"/>
      <c r="H1642" s="16"/>
      <c r="I1642" s="11"/>
      <c r="J1642" s="33"/>
      <c r="K1642" s="33"/>
      <c r="L1642" s="8"/>
      <c r="AE1642" s="8"/>
      <c r="AG1642" s="30"/>
      <c r="AI1642" s="30"/>
      <c r="AJ1642" s="21"/>
      <c r="AR1642" s="40"/>
      <c r="AT1642" s="40"/>
      <c r="AV1642" s="18"/>
      <c r="AX1642" s="18"/>
      <c r="AY1642" s="18"/>
      <c r="BF1642" s="18"/>
      <c r="BI1642" s="18"/>
      <c r="BT1642" s="18"/>
      <c r="BX1642" s="18"/>
      <c r="CC1642" s="18"/>
      <c r="CN1642" s="18"/>
      <c r="CY1642" s="34"/>
    </row>
    <row r="1643" spans="4:103" x14ac:dyDescent="0.25">
      <c r="D1643" s="12"/>
      <c r="E1643" s="14"/>
      <c r="H1643" s="16"/>
      <c r="I1643" s="11"/>
      <c r="J1643" s="33"/>
      <c r="K1643" s="33"/>
      <c r="L1643" s="8"/>
      <c r="AE1643" s="8"/>
      <c r="AG1643" s="30"/>
      <c r="AI1643" s="30"/>
      <c r="AJ1643" s="21"/>
      <c r="AR1643" s="40"/>
      <c r="AT1643" s="40"/>
      <c r="AV1643" s="18"/>
      <c r="AX1643" s="18"/>
      <c r="AY1643" s="18"/>
      <c r="BF1643" s="18"/>
      <c r="BI1643" s="18"/>
      <c r="BT1643" s="18"/>
      <c r="BX1643" s="18"/>
      <c r="CC1643" s="18"/>
      <c r="CN1643" s="18"/>
      <c r="CY1643" s="34"/>
    </row>
    <row r="1644" spans="4:103" x14ac:dyDescent="0.25">
      <c r="D1644" s="12"/>
      <c r="E1644" s="14"/>
      <c r="H1644" s="16"/>
      <c r="I1644" s="11"/>
      <c r="J1644" s="33"/>
      <c r="K1644" s="33"/>
      <c r="L1644" s="8"/>
      <c r="AE1644" s="8"/>
      <c r="AG1644" s="30"/>
      <c r="AI1644" s="30"/>
      <c r="AJ1644" s="21"/>
      <c r="AR1644" s="40"/>
      <c r="AT1644" s="40"/>
      <c r="AV1644" s="18"/>
      <c r="AX1644" s="18"/>
      <c r="AY1644" s="18"/>
      <c r="BF1644" s="18"/>
      <c r="BI1644" s="18"/>
      <c r="BT1644" s="18"/>
      <c r="BX1644" s="18"/>
      <c r="CC1644" s="18"/>
      <c r="CN1644" s="18"/>
      <c r="CY1644" s="34"/>
    </row>
    <row r="1645" spans="4:103" x14ac:dyDescent="0.25">
      <c r="D1645" s="12"/>
      <c r="E1645" s="14"/>
      <c r="H1645" s="16"/>
      <c r="I1645" s="11"/>
      <c r="J1645" s="33"/>
      <c r="K1645" s="33"/>
      <c r="L1645" s="8"/>
      <c r="AE1645" s="8"/>
      <c r="AG1645" s="30"/>
      <c r="AI1645" s="30"/>
      <c r="AJ1645" s="21"/>
      <c r="AR1645" s="40"/>
      <c r="AT1645" s="40"/>
      <c r="AV1645" s="18"/>
      <c r="AX1645" s="18"/>
      <c r="AY1645" s="18"/>
      <c r="BF1645" s="18"/>
      <c r="BI1645" s="18"/>
      <c r="BT1645" s="18"/>
      <c r="BX1645" s="18"/>
      <c r="CC1645" s="18"/>
      <c r="CN1645" s="18"/>
      <c r="CY1645" s="34"/>
    </row>
    <row r="1646" spans="4:103" x14ac:dyDescent="0.25">
      <c r="D1646" s="12"/>
      <c r="E1646" s="14"/>
      <c r="H1646" s="16"/>
      <c r="I1646" s="11"/>
      <c r="J1646" s="33"/>
      <c r="K1646" s="33"/>
      <c r="L1646" s="8"/>
      <c r="AE1646" s="8"/>
      <c r="AG1646" s="30"/>
      <c r="AI1646" s="30"/>
      <c r="AJ1646" s="21"/>
      <c r="AR1646" s="40"/>
      <c r="AT1646" s="40"/>
      <c r="AV1646" s="18"/>
      <c r="AX1646" s="18"/>
      <c r="AY1646" s="18"/>
      <c r="BF1646" s="18"/>
      <c r="BI1646" s="18"/>
      <c r="BT1646" s="18"/>
      <c r="BX1646" s="18"/>
      <c r="CC1646" s="18"/>
      <c r="CN1646" s="18"/>
      <c r="CY1646" s="34"/>
    </row>
    <row r="1647" spans="4:103" x14ac:dyDescent="0.25">
      <c r="D1647" s="12"/>
      <c r="E1647" s="14"/>
      <c r="H1647" s="16"/>
      <c r="I1647" s="11"/>
      <c r="J1647" s="33"/>
      <c r="K1647" s="33"/>
      <c r="L1647" s="8"/>
      <c r="AE1647" s="8"/>
      <c r="AG1647" s="30"/>
      <c r="AI1647" s="30"/>
      <c r="AJ1647" s="21"/>
      <c r="AR1647" s="40"/>
      <c r="AT1647" s="40"/>
      <c r="AV1647" s="18"/>
      <c r="AX1647" s="18"/>
      <c r="AY1647" s="18"/>
      <c r="BF1647" s="18"/>
      <c r="BI1647" s="18"/>
      <c r="BT1647" s="18"/>
      <c r="BX1647" s="18"/>
      <c r="CC1647" s="18"/>
      <c r="CN1647" s="18"/>
      <c r="CY1647" s="34"/>
    </row>
    <row r="1648" spans="4:103" x14ac:dyDescent="0.25">
      <c r="D1648" s="12"/>
      <c r="E1648" s="14"/>
      <c r="H1648" s="16"/>
      <c r="I1648" s="11"/>
      <c r="J1648" s="33"/>
      <c r="K1648" s="33"/>
      <c r="L1648" s="8"/>
      <c r="AE1648" s="8"/>
      <c r="AG1648" s="30"/>
      <c r="AI1648" s="30"/>
      <c r="AJ1648" s="21"/>
      <c r="AR1648" s="40"/>
      <c r="AT1648" s="40"/>
      <c r="AV1648" s="18"/>
      <c r="AX1648" s="18"/>
      <c r="AY1648" s="18"/>
      <c r="BF1648" s="18"/>
      <c r="BI1648" s="18"/>
      <c r="BT1648" s="18"/>
      <c r="BX1648" s="18"/>
      <c r="CC1648" s="18"/>
      <c r="CN1648" s="18"/>
      <c r="CY1648" s="34"/>
    </row>
    <row r="1649" spans="4:103" x14ac:dyDescent="0.25">
      <c r="D1649" s="12"/>
      <c r="E1649" s="14"/>
      <c r="H1649" s="16"/>
      <c r="I1649" s="11"/>
      <c r="J1649" s="33"/>
      <c r="K1649" s="33"/>
      <c r="L1649" s="8"/>
      <c r="AE1649" s="8"/>
      <c r="AG1649" s="30"/>
      <c r="AI1649" s="30"/>
      <c r="AJ1649" s="21"/>
      <c r="AR1649" s="40"/>
      <c r="AT1649" s="40"/>
      <c r="AV1649" s="18"/>
      <c r="AX1649" s="18"/>
      <c r="AY1649" s="18"/>
      <c r="BF1649" s="18"/>
      <c r="BI1649" s="18"/>
      <c r="BT1649" s="18"/>
      <c r="BX1649" s="18"/>
      <c r="CC1649" s="18"/>
      <c r="CN1649" s="18"/>
      <c r="CY1649" s="34"/>
    </row>
    <row r="1650" spans="4:103" x14ac:dyDescent="0.25">
      <c r="D1650" s="12"/>
      <c r="E1650" s="14"/>
      <c r="H1650" s="16"/>
      <c r="I1650" s="11"/>
      <c r="J1650" s="33"/>
      <c r="K1650" s="33"/>
      <c r="L1650" s="8"/>
      <c r="AE1650" s="8"/>
      <c r="AG1650" s="30"/>
      <c r="AI1650" s="30"/>
      <c r="AJ1650" s="21"/>
      <c r="AR1650" s="40"/>
      <c r="AT1650" s="40"/>
      <c r="AV1650" s="18"/>
      <c r="AX1650" s="18"/>
      <c r="AY1650" s="18"/>
      <c r="BF1650" s="18"/>
      <c r="BI1650" s="18"/>
      <c r="BT1650" s="18"/>
      <c r="BX1650" s="18"/>
      <c r="CC1650" s="18"/>
      <c r="CN1650" s="18"/>
      <c r="CY1650" s="34"/>
    </row>
    <row r="1651" spans="4:103" x14ac:dyDescent="0.25">
      <c r="D1651" s="12"/>
      <c r="E1651" s="14"/>
      <c r="H1651" s="16"/>
      <c r="I1651" s="11"/>
      <c r="J1651" s="33"/>
      <c r="K1651" s="33"/>
      <c r="L1651" s="8"/>
      <c r="AE1651" s="8"/>
      <c r="AG1651" s="30"/>
      <c r="AI1651" s="30"/>
      <c r="AJ1651" s="21"/>
      <c r="AR1651" s="40"/>
      <c r="AT1651" s="40"/>
      <c r="AV1651" s="18"/>
      <c r="AX1651" s="18"/>
      <c r="AY1651" s="18"/>
      <c r="BF1651" s="18"/>
      <c r="BI1651" s="18"/>
      <c r="BT1651" s="18"/>
      <c r="BX1651" s="18"/>
      <c r="CC1651" s="18"/>
      <c r="CN1651" s="18"/>
      <c r="CY1651" s="34"/>
    </row>
    <row r="1652" spans="4:103" x14ac:dyDescent="0.25">
      <c r="D1652" s="12"/>
      <c r="E1652" s="14"/>
      <c r="H1652" s="16"/>
      <c r="I1652" s="11"/>
      <c r="J1652" s="33"/>
      <c r="K1652" s="33"/>
      <c r="L1652" s="8"/>
      <c r="AE1652" s="8"/>
      <c r="AG1652" s="30"/>
      <c r="AI1652" s="30"/>
      <c r="AJ1652" s="21"/>
      <c r="AR1652" s="40"/>
      <c r="AT1652" s="40"/>
      <c r="AV1652" s="18"/>
      <c r="AX1652" s="18"/>
      <c r="AY1652" s="18"/>
      <c r="BF1652" s="18"/>
      <c r="BI1652" s="18"/>
      <c r="BT1652" s="18"/>
      <c r="BX1652" s="18"/>
      <c r="CC1652" s="18"/>
      <c r="CN1652" s="18"/>
      <c r="CY1652" s="34"/>
    </row>
    <row r="1653" spans="4:103" x14ac:dyDescent="0.25">
      <c r="D1653" s="12"/>
      <c r="E1653" s="14"/>
      <c r="H1653" s="16"/>
      <c r="I1653" s="11"/>
      <c r="J1653" s="33"/>
      <c r="K1653" s="33"/>
      <c r="L1653" s="8"/>
      <c r="AE1653" s="8"/>
      <c r="AG1653" s="30"/>
      <c r="AI1653" s="30"/>
      <c r="AJ1653" s="21"/>
      <c r="AR1653" s="40"/>
      <c r="AT1653" s="40"/>
      <c r="AV1653" s="18"/>
      <c r="AX1653" s="18"/>
      <c r="AY1653" s="18"/>
      <c r="BF1653" s="18"/>
      <c r="BI1653" s="18"/>
      <c r="BT1653" s="18"/>
      <c r="BX1653" s="18"/>
      <c r="CC1653" s="18"/>
      <c r="CN1653" s="18"/>
      <c r="CY1653" s="34"/>
    </row>
    <row r="1654" spans="4:103" x14ac:dyDescent="0.25">
      <c r="D1654" s="12"/>
      <c r="E1654" s="14"/>
      <c r="H1654" s="16"/>
      <c r="I1654" s="11"/>
      <c r="J1654" s="33"/>
      <c r="K1654" s="33"/>
      <c r="L1654" s="8"/>
      <c r="AE1654" s="8"/>
      <c r="AG1654" s="30"/>
      <c r="AI1654" s="30"/>
      <c r="AJ1654" s="21"/>
      <c r="AR1654" s="40"/>
      <c r="AT1654" s="40"/>
      <c r="AV1654" s="18"/>
      <c r="AX1654" s="18"/>
      <c r="AY1654" s="18"/>
      <c r="BF1654" s="18"/>
      <c r="BI1654" s="18"/>
      <c r="BT1654" s="18"/>
      <c r="BX1654" s="18"/>
      <c r="CC1654" s="18"/>
      <c r="CN1654" s="18"/>
      <c r="CY1654" s="34"/>
    </row>
    <row r="1655" spans="4:103" x14ac:dyDescent="0.25">
      <c r="D1655" s="12"/>
      <c r="E1655" s="14"/>
      <c r="H1655" s="16"/>
      <c r="I1655" s="11"/>
      <c r="J1655" s="33"/>
      <c r="K1655" s="33"/>
      <c r="L1655" s="8"/>
      <c r="AE1655" s="8"/>
      <c r="AG1655" s="30"/>
      <c r="AI1655" s="30"/>
      <c r="AJ1655" s="21"/>
      <c r="AR1655" s="40"/>
      <c r="AT1655" s="40"/>
      <c r="AV1655" s="18"/>
      <c r="AX1655" s="18"/>
      <c r="AY1655" s="18"/>
      <c r="BF1655" s="18"/>
      <c r="BI1655" s="18"/>
      <c r="BT1655" s="18"/>
      <c r="BX1655" s="18"/>
      <c r="CC1655" s="18"/>
      <c r="CN1655" s="18"/>
      <c r="CY1655" s="34"/>
    </row>
    <row r="1656" spans="4:103" x14ac:dyDescent="0.25">
      <c r="D1656" s="12"/>
      <c r="E1656" s="14"/>
      <c r="H1656" s="16"/>
      <c r="I1656" s="11"/>
      <c r="J1656" s="33"/>
      <c r="K1656" s="33"/>
      <c r="L1656" s="8"/>
      <c r="AE1656" s="8"/>
      <c r="AG1656" s="30"/>
      <c r="AI1656" s="30"/>
      <c r="AJ1656" s="21"/>
      <c r="AR1656" s="40"/>
      <c r="AT1656" s="40"/>
      <c r="AV1656" s="18"/>
      <c r="AX1656" s="18"/>
      <c r="AY1656" s="18"/>
      <c r="BF1656" s="18"/>
      <c r="BI1656" s="18"/>
      <c r="BT1656" s="18"/>
      <c r="BX1656" s="18"/>
      <c r="CC1656" s="18"/>
      <c r="CN1656" s="18"/>
      <c r="CY1656" s="34"/>
    </row>
    <row r="1657" spans="4:103" x14ac:dyDescent="0.25">
      <c r="D1657" s="12"/>
      <c r="E1657" s="14"/>
      <c r="H1657" s="16"/>
      <c r="I1657" s="11"/>
      <c r="J1657" s="33"/>
      <c r="K1657" s="33"/>
      <c r="L1657" s="8"/>
      <c r="AE1657" s="8"/>
      <c r="AG1657" s="30"/>
      <c r="AI1657" s="30"/>
      <c r="AJ1657" s="21"/>
      <c r="AR1657" s="40"/>
      <c r="AT1657" s="40"/>
      <c r="AV1657" s="18"/>
      <c r="AX1657" s="18"/>
      <c r="AY1657" s="18"/>
      <c r="BF1657" s="18"/>
      <c r="BI1657" s="18"/>
      <c r="BT1657" s="18"/>
      <c r="BX1657" s="18"/>
      <c r="CC1657" s="18"/>
      <c r="CN1657" s="18"/>
      <c r="CY1657" s="34"/>
    </row>
    <row r="1658" spans="4:103" x14ac:dyDescent="0.25">
      <c r="D1658" s="12"/>
      <c r="E1658" s="14"/>
      <c r="H1658" s="16"/>
      <c r="I1658" s="11"/>
      <c r="J1658" s="33"/>
      <c r="K1658" s="33"/>
      <c r="L1658" s="8"/>
      <c r="AE1658" s="8"/>
      <c r="AG1658" s="30"/>
      <c r="AI1658" s="30"/>
      <c r="AJ1658" s="21"/>
      <c r="AR1658" s="40"/>
      <c r="AT1658" s="40"/>
      <c r="AV1658" s="18"/>
      <c r="AX1658" s="18"/>
      <c r="AY1658" s="18"/>
      <c r="BF1658" s="18"/>
      <c r="BI1658" s="18"/>
      <c r="BT1658" s="18"/>
      <c r="BX1658" s="18"/>
      <c r="CC1658" s="18"/>
      <c r="CN1658" s="18"/>
      <c r="CY1658" s="34"/>
    </row>
    <row r="1659" spans="4:103" x14ac:dyDescent="0.25">
      <c r="D1659" s="12"/>
      <c r="E1659" s="14"/>
      <c r="H1659" s="16"/>
      <c r="I1659" s="11"/>
      <c r="J1659" s="33"/>
      <c r="K1659" s="33"/>
      <c r="L1659" s="8"/>
      <c r="AE1659" s="8"/>
      <c r="AG1659" s="30"/>
      <c r="AI1659" s="30"/>
      <c r="AJ1659" s="21"/>
      <c r="AR1659" s="40"/>
      <c r="AT1659" s="40"/>
      <c r="AV1659" s="18"/>
      <c r="AX1659" s="18"/>
      <c r="AY1659" s="18"/>
      <c r="BF1659" s="18"/>
      <c r="BI1659" s="18"/>
      <c r="BT1659" s="18"/>
      <c r="BX1659" s="18"/>
      <c r="CC1659" s="18"/>
      <c r="CN1659" s="18"/>
      <c r="CY1659" s="34"/>
    </row>
    <row r="1660" spans="4:103" x14ac:dyDescent="0.25">
      <c r="D1660" s="12"/>
      <c r="E1660" s="14"/>
      <c r="H1660" s="16"/>
      <c r="I1660" s="11"/>
      <c r="J1660" s="33"/>
      <c r="K1660" s="33"/>
      <c r="L1660" s="8"/>
      <c r="AE1660" s="8"/>
      <c r="AG1660" s="30"/>
      <c r="AI1660" s="30"/>
      <c r="AJ1660" s="21"/>
      <c r="AR1660" s="40"/>
      <c r="AT1660" s="40"/>
      <c r="AV1660" s="18"/>
      <c r="AX1660" s="18"/>
      <c r="AY1660" s="18"/>
      <c r="BF1660" s="18"/>
      <c r="BI1660" s="18"/>
      <c r="BT1660" s="18"/>
      <c r="BX1660" s="18"/>
      <c r="CC1660" s="18"/>
      <c r="CN1660" s="18"/>
      <c r="CY1660" s="34"/>
    </row>
    <row r="1661" spans="4:103" x14ac:dyDescent="0.25">
      <c r="D1661" s="12"/>
      <c r="E1661" s="14"/>
      <c r="H1661" s="16"/>
      <c r="I1661" s="11"/>
      <c r="J1661" s="33"/>
      <c r="K1661" s="33"/>
      <c r="L1661" s="8"/>
      <c r="AE1661" s="8"/>
      <c r="AG1661" s="30"/>
      <c r="AI1661" s="30"/>
      <c r="AJ1661" s="21"/>
      <c r="AR1661" s="40"/>
      <c r="AT1661" s="40"/>
      <c r="AV1661" s="18"/>
      <c r="AX1661" s="18"/>
      <c r="AY1661" s="18"/>
      <c r="BF1661" s="18"/>
      <c r="BI1661" s="18"/>
      <c r="BT1661" s="18"/>
      <c r="BX1661" s="18"/>
      <c r="CC1661" s="18"/>
      <c r="CN1661" s="18"/>
      <c r="CY1661" s="34"/>
    </row>
  </sheetData>
  <autoFilter ref="A1:CX1116" xr:uid="{00000000-0009-0000-0000-000000000000}"/>
  <conditionalFormatting sqref="CZ1:XFD1116 A1117:XFD1048576">
    <cfRule type="expression" dxfId="221" priority="7">
      <formula>AND(NOT(ISBLANK($C1)),ISBLANK($C2))</formula>
    </cfRule>
    <cfRule type="containsBlanks" dxfId="220" priority="36">
      <formula>LEN(TRIM(A1))=0</formula>
    </cfRule>
  </conditionalFormatting>
  <conditionalFormatting sqref="CZ1:XFD1116 A1117:XFD1048576">
    <cfRule type="expression" dxfId="219" priority="276">
      <formula>$C1&lt;&gt;$C2</formula>
    </cfRule>
  </conditionalFormatting>
  <conditionalFormatting sqref="CY1:CY1116">
    <cfRule type="expression" dxfId="218" priority="4">
      <formula>AND(NOT(ISBLANK($C1)),ISBLANK($C2))</formula>
    </cfRule>
    <cfRule type="containsBlanks" dxfId="217" priority="5">
      <formula>LEN(TRIM(CY1))=0</formula>
    </cfRule>
    <cfRule type="expression" dxfId="216" priority="6">
      <formula>$C1&lt;&gt;$C2</formula>
    </cfRule>
  </conditionalFormatting>
  <conditionalFormatting sqref="A1:CX1116">
    <cfRule type="expression" dxfId="215" priority="1">
      <formula>AND(NOT(ISBLANK($C1)),ISBLANK($C2))</formula>
    </cfRule>
    <cfRule type="containsBlanks" dxfId="214" priority="2">
      <formula>LEN(TRIM(A1))=0</formula>
    </cfRule>
    <cfRule type="expression" dxfId="21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workbookViewId="0">
      <pane ySplit="1" topLeftCell="A2" activePane="bottomLeft" state="frozen"/>
      <selection pane="bottomLeft" activeCell="E8" sqref="E8"/>
    </sheetView>
  </sheetViews>
  <sheetFormatPr defaultRowHeight="15" x14ac:dyDescent="0.25"/>
  <cols>
    <col min="1" max="1" width="19.7109375" customWidth="1"/>
    <col min="2" max="2" width="40" style="113"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2" t="s">
        <v>358</v>
      </c>
      <c r="C1" s="92" t="s">
        <v>331</v>
      </c>
      <c r="D1" s="92" t="s">
        <v>351</v>
      </c>
      <c r="E1" s="92" t="s">
        <v>3899</v>
      </c>
      <c r="F1" s="119" t="s">
        <v>354</v>
      </c>
      <c r="G1" s="170" t="s">
        <v>3892</v>
      </c>
      <c r="H1" s="171" t="s">
        <v>355</v>
      </c>
      <c r="I1" s="172" t="s">
        <v>356</v>
      </c>
      <c r="J1" s="91" t="s">
        <v>4064</v>
      </c>
      <c r="K1" s="91" t="s">
        <v>323</v>
      </c>
      <c r="L1" s="91" t="s">
        <v>975</v>
      </c>
      <c r="M1" s="173" t="s">
        <v>324</v>
      </c>
    </row>
    <row r="2" spans="1:13" x14ac:dyDescent="0.25">
      <c r="A2" s="28" t="s">
        <v>0</v>
      </c>
      <c r="B2" s="121" t="s">
        <v>361</v>
      </c>
      <c r="C2" t="s">
        <v>349</v>
      </c>
      <c r="D2">
        <v>1</v>
      </c>
      <c r="E2" t="s">
        <v>3900</v>
      </c>
      <c r="F2" s="42" t="b">
        <v>0</v>
      </c>
      <c r="G2" s="42" t="b">
        <v>0</v>
      </c>
      <c r="J2" t="b">
        <v>0</v>
      </c>
      <c r="K2" t="b">
        <v>0</v>
      </c>
      <c r="L2" t="b">
        <v>0</v>
      </c>
    </row>
    <row r="3" spans="1:13" x14ac:dyDescent="0.25">
      <c r="A3" s="28" t="s">
        <v>1</v>
      </c>
      <c r="B3" s="121" t="s">
        <v>359</v>
      </c>
      <c r="C3" t="s">
        <v>349</v>
      </c>
      <c r="D3">
        <v>2</v>
      </c>
      <c r="E3" t="s">
        <v>3900</v>
      </c>
      <c r="F3" s="42" t="b">
        <v>0</v>
      </c>
      <c r="G3" s="42" t="b">
        <v>0</v>
      </c>
      <c r="J3" t="b">
        <v>0</v>
      </c>
      <c r="K3" t="b">
        <v>0</v>
      </c>
      <c r="L3" t="b">
        <v>0</v>
      </c>
    </row>
    <row r="4" spans="1:13" x14ac:dyDescent="0.25">
      <c r="A4" s="28" t="s">
        <v>327</v>
      </c>
      <c r="B4" s="121" t="s">
        <v>360</v>
      </c>
      <c r="C4" t="s">
        <v>357</v>
      </c>
      <c r="D4">
        <v>3</v>
      </c>
      <c r="E4" t="s">
        <v>3900</v>
      </c>
      <c r="F4" s="42" t="b">
        <v>0</v>
      </c>
      <c r="G4" s="42" t="b">
        <v>0</v>
      </c>
      <c r="J4" t="b">
        <v>0</v>
      </c>
      <c r="K4" t="b">
        <v>0</v>
      </c>
      <c r="L4" t="b">
        <v>0</v>
      </c>
    </row>
    <row r="5" spans="1:13" x14ac:dyDescent="0.25">
      <c r="A5" s="120" t="s">
        <v>3887</v>
      </c>
      <c r="B5" s="114" t="s">
        <v>4070</v>
      </c>
      <c r="C5" t="s">
        <v>350</v>
      </c>
      <c r="D5">
        <v>4</v>
      </c>
      <c r="E5" t="s">
        <v>3900</v>
      </c>
      <c r="F5" s="42" t="b">
        <v>1</v>
      </c>
      <c r="G5" s="42" t="b">
        <v>0</v>
      </c>
      <c r="J5" t="b">
        <v>0</v>
      </c>
      <c r="K5" t="b">
        <v>0</v>
      </c>
      <c r="L5" t="b">
        <v>0</v>
      </c>
    </row>
    <row r="6" spans="1:13" x14ac:dyDescent="0.25">
      <c r="A6" s="28" t="s">
        <v>147</v>
      </c>
      <c r="B6" s="121" t="s">
        <v>362</v>
      </c>
      <c r="C6" t="s">
        <v>350</v>
      </c>
      <c r="D6">
        <v>5</v>
      </c>
      <c r="E6" t="s">
        <v>3900</v>
      </c>
      <c r="F6" s="42" t="b">
        <v>1</v>
      </c>
      <c r="G6" s="42" t="b">
        <v>0</v>
      </c>
      <c r="J6" t="b">
        <v>0</v>
      </c>
      <c r="K6" t="b">
        <v>0</v>
      </c>
      <c r="L6" t="b">
        <v>0</v>
      </c>
    </row>
    <row r="7" spans="1:13" x14ac:dyDescent="0.25">
      <c r="A7" s="28" t="s">
        <v>86</v>
      </c>
      <c r="B7" s="121" t="s">
        <v>445</v>
      </c>
      <c r="C7" t="s">
        <v>350</v>
      </c>
      <c r="D7">
        <v>6</v>
      </c>
      <c r="E7" t="s">
        <v>3900</v>
      </c>
      <c r="F7" s="42" t="b">
        <v>1</v>
      </c>
      <c r="G7" s="42" t="b">
        <v>1</v>
      </c>
      <c r="I7" s="18" t="s">
        <v>3902</v>
      </c>
      <c r="J7" t="b">
        <v>0</v>
      </c>
      <c r="K7" t="b">
        <v>0</v>
      </c>
      <c r="L7" t="b">
        <v>0</v>
      </c>
    </row>
    <row r="8" spans="1:13" x14ac:dyDescent="0.25">
      <c r="A8" s="28" t="s">
        <v>87</v>
      </c>
      <c r="B8" s="121" t="s">
        <v>4071</v>
      </c>
      <c r="C8" t="s">
        <v>350</v>
      </c>
      <c r="D8">
        <v>7</v>
      </c>
      <c r="E8" t="s">
        <v>3900</v>
      </c>
      <c r="F8" s="42" t="b">
        <v>0</v>
      </c>
      <c r="G8" s="42" t="b">
        <v>0</v>
      </c>
      <c r="J8" t="b">
        <v>0</v>
      </c>
      <c r="K8" t="b">
        <v>0</v>
      </c>
      <c r="L8" t="b">
        <v>0</v>
      </c>
    </row>
    <row r="9" spans="1:13" x14ac:dyDescent="0.25">
      <c r="A9" s="28" t="s">
        <v>88</v>
      </c>
      <c r="B9" s="121" t="s">
        <v>4072</v>
      </c>
      <c r="C9" t="s">
        <v>350</v>
      </c>
      <c r="D9">
        <v>7</v>
      </c>
      <c r="E9" t="s">
        <v>3900</v>
      </c>
      <c r="F9" s="42" t="b">
        <v>0</v>
      </c>
      <c r="G9" s="42" t="b">
        <v>0</v>
      </c>
      <c r="J9" t="b">
        <v>0</v>
      </c>
      <c r="K9" t="b">
        <v>0</v>
      </c>
      <c r="L9" t="b">
        <v>0</v>
      </c>
    </row>
    <row r="10" spans="1:13" x14ac:dyDescent="0.25">
      <c r="A10" s="120" t="s">
        <v>4067</v>
      </c>
      <c r="B10" s="114" t="s">
        <v>4073</v>
      </c>
      <c r="C10" t="s">
        <v>350</v>
      </c>
      <c r="D10">
        <v>8</v>
      </c>
      <c r="E10" t="s">
        <v>3900</v>
      </c>
      <c r="F10" s="42" t="b">
        <v>1</v>
      </c>
      <c r="G10" s="42" t="b">
        <v>0</v>
      </c>
      <c r="J10" t="b">
        <v>0</v>
      </c>
      <c r="K10" t="b">
        <v>0</v>
      </c>
      <c r="L10" t="b">
        <v>0</v>
      </c>
    </row>
    <row r="11" spans="1:13" x14ac:dyDescent="0.25">
      <c r="A11" s="28" t="s">
        <v>4068</v>
      </c>
      <c r="B11" s="121" t="s">
        <v>4074</v>
      </c>
      <c r="C11" t="s">
        <v>350</v>
      </c>
      <c r="D11">
        <v>9</v>
      </c>
      <c r="E11" t="s">
        <v>3900</v>
      </c>
      <c r="F11" s="42" t="b">
        <v>0</v>
      </c>
      <c r="G11" s="42" t="b">
        <v>0</v>
      </c>
      <c r="J11" t="b">
        <v>0</v>
      </c>
      <c r="K11" t="b">
        <v>0</v>
      </c>
      <c r="L11" t="b">
        <v>0</v>
      </c>
    </row>
    <row r="12" spans="1:13" x14ac:dyDescent="0.25">
      <c r="A12" s="28" t="s">
        <v>4069</v>
      </c>
      <c r="B12" s="121" t="s">
        <v>3911</v>
      </c>
      <c r="C12" t="s">
        <v>350</v>
      </c>
      <c r="D12">
        <v>9</v>
      </c>
      <c r="E12" t="s">
        <v>3900</v>
      </c>
      <c r="F12" s="42" t="b">
        <v>1</v>
      </c>
      <c r="G12" s="42" t="b">
        <v>0</v>
      </c>
      <c r="J12" t="b">
        <v>0</v>
      </c>
      <c r="K12" t="b">
        <v>0</v>
      </c>
      <c r="L12" t="b">
        <v>0</v>
      </c>
    </row>
    <row r="13" spans="1:13" x14ac:dyDescent="0.25">
      <c r="A13" s="6" t="s">
        <v>43</v>
      </c>
      <c r="B13" s="115" t="s">
        <v>363</v>
      </c>
      <c r="C13" t="s">
        <v>332</v>
      </c>
      <c r="D13">
        <v>11</v>
      </c>
      <c r="E13" t="s">
        <v>3900</v>
      </c>
      <c r="F13" s="42" t="b">
        <v>1</v>
      </c>
      <c r="G13" s="42" t="b">
        <v>1</v>
      </c>
      <c r="H13">
        <v>1</v>
      </c>
      <c r="J13" t="b">
        <v>1</v>
      </c>
      <c r="K13" t="b">
        <v>1</v>
      </c>
      <c r="L13" t="b">
        <v>0</v>
      </c>
    </row>
    <row r="14" spans="1:13" x14ac:dyDescent="0.25">
      <c r="A14" s="6" t="s">
        <v>44</v>
      </c>
      <c r="B14" s="115" t="s">
        <v>364</v>
      </c>
      <c r="C14" t="s">
        <v>332</v>
      </c>
      <c r="D14">
        <v>11</v>
      </c>
      <c r="E14" t="s">
        <v>3900</v>
      </c>
      <c r="F14" s="42" t="b">
        <v>1</v>
      </c>
      <c r="G14" s="42" t="b">
        <v>1</v>
      </c>
      <c r="H14">
        <v>1</v>
      </c>
      <c r="J14" t="b">
        <v>0</v>
      </c>
      <c r="K14" t="b">
        <v>0</v>
      </c>
      <c r="L14" t="b">
        <v>0</v>
      </c>
    </row>
    <row r="15" spans="1:13" x14ac:dyDescent="0.25">
      <c r="A15" s="6" t="s">
        <v>41</v>
      </c>
      <c r="B15" s="115" t="s">
        <v>365</v>
      </c>
      <c r="C15" t="s">
        <v>332</v>
      </c>
      <c r="D15">
        <v>12</v>
      </c>
      <c r="E15" t="s">
        <v>3900</v>
      </c>
      <c r="F15" s="42" t="b">
        <v>1</v>
      </c>
      <c r="G15" s="42" t="b">
        <v>1</v>
      </c>
      <c r="H15">
        <v>1</v>
      </c>
      <c r="J15" t="b">
        <v>1</v>
      </c>
      <c r="K15" t="b">
        <v>1</v>
      </c>
      <c r="L15" t="b">
        <v>0</v>
      </c>
    </row>
    <row r="16" spans="1:13" x14ac:dyDescent="0.25">
      <c r="A16" s="6" t="s">
        <v>45</v>
      </c>
      <c r="B16" s="115" t="s">
        <v>366</v>
      </c>
      <c r="C16" t="s">
        <v>332</v>
      </c>
      <c r="D16">
        <v>12</v>
      </c>
      <c r="E16" t="s">
        <v>3900</v>
      </c>
      <c r="F16" s="42" t="b">
        <v>1</v>
      </c>
      <c r="G16" s="42" t="b">
        <v>1</v>
      </c>
      <c r="H16">
        <v>1</v>
      </c>
      <c r="J16" t="b">
        <v>1</v>
      </c>
      <c r="K16" t="b">
        <v>1</v>
      </c>
      <c r="L16" t="b">
        <v>0</v>
      </c>
    </row>
    <row r="17" spans="1:12" x14ac:dyDescent="0.25">
      <c r="A17" s="6" t="s">
        <v>40</v>
      </c>
      <c r="B17" s="115" t="s">
        <v>367</v>
      </c>
      <c r="C17" t="s">
        <v>332</v>
      </c>
      <c r="D17">
        <v>12</v>
      </c>
      <c r="E17" t="s">
        <v>3900</v>
      </c>
      <c r="F17" s="42" t="b">
        <v>1</v>
      </c>
      <c r="G17" s="42" t="b">
        <v>1</v>
      </c>
      <c r="H17">
        <v>1</v>
      </c>
      <c r="J17" t="b">
        <v>1</v>
      </c>
      <c r="K17" t="b">
        <v>1</v>
      </c>
      <c r="L17" t="b">
        <v>0</v>
      </c>
    </row>
    <row r="18" spans="1:12" x14ac:dyDescent="0.25">
      <c r="A18" s="6" t="s">
        <v>42</v>
      </c>
      <c r="B18" s="115" t="s">
        <v>368</v>
      </c>
      <c r="C18" t="s">
        <v>332</v>
      </c>
      <c r="D18">
        <v>12</v>
      </c>
      <c r="E18" t="s">
        <v>3900</v>
      </c>
      <c r="F18" s="42" t="b">
        <v>1</v>
      </c>
      <c r="G18" s="42" t="b">
        <v>1</v>
      </c>
      <c r="H18">
        <v>1</v>
      </c>
      <c r="J18" t="b">
        <v>1</v>
      </c>
      <c r="K18" t="b">
        <v>1</v>
      </c>
      <c r="L18" t="b">
        <v>0</v>
      </c>
    </row>
    <row r="19" spans="1:12" x14ac:dyDescent="0.25">
      <c r="A19" s="6" t="s">
        <v>276</v>
      </c>
      <c r="B19" s="115" t="s">
        <v>369</v>
      </c>
      <c r="C19" t="s">
        <v>332</v>
      </c>
      <c r="D19">
        <v>12</v>
      </c>
      <c r="E19" t="s">
        <v>3900</v>
      </c>
      <c r="F19" s="42" t="b">
        <v>1</v>
      </c>
      <c r="G19" s="42" t="b">
        <v>1</v>
      </c>
      <c r="H19">
        <v>1</v>
      </c>
      <c r="J19" t="b">
        <v>0</v>
      </c>
      <c r="K19" t="b">
        <v>0</v>
      </c>
      <c r="L19" t="b">
        <v>0</v>
      </c>
    </row>
    <row r="20" spans="1:12" x14ac:dyDescent="0.25">
      <c r="A20" s="6" t="s">
        <v>90</v>
      </c>
      <c r="B20" s="115" t="s">
        <v>370</v>
      </c>
      <c r="C20" t="s">
        <v>349</v>
      </c>
      <c r="D20">
        <v>13</v>
      </c>
      <c r="E20" t="s">
        <v>3900</v>
      </c>
      <c r="F20" s="42" t="b">
        <v>1</v>
      </c>
      <c r="G20" s="42" t="b">
        <v>1</v>
      </c>
      <c r="I20" s="18" t="s">
        <v>3902</v>
      </c>
      <c r="J20" t="b">
        <v>0</v>
      </c>
      <c r="K20" t="b">
        <v>0</v>
      </c>
      <c r="L20" t="b">
        <v>0</v>
      </c>
    </row>
    <row r="21" spans="1:12" x14ac:dyDescent="0.25">
      <c r="A21" s="6" t="s">
        <v>91</v>
      </c>
      <c r="B21" s="115" t="s">
        <v>371</v>
      </c>
      <c r="C21" t="s">
        <v>349</v>
      </c>
      <c r="D21">
        <v>13</v>
      </c>
      <c r="E21" t="s">
        <v>3900</v>
      </c>
      <c r="F21" s="42" t="b">
        <v>0</v>
      </c>
      <c r="G21" s="42" t="b">
        <v>0</v>
      </c>
      <c r="J21" t="b">
        <v>0</v>
      </c>
      <c r="K21" t="b">
        <v>0</v>
      </c>
      <c r="L21" t="b">
        <v>0</v>
      </c>
    </row>
    <row r="22" spans="1:12" x14ac:dyDescent="0.25">
      <c r="A22" s="6" t="s">
        <v>89</v>
      </c>
      <c r="B22" s="115" t="s">
        <v>372</v>
      </c>
      <c r="C22" t="s">
        <v>349</v>
      </c>
      <c r="D22">
        <v>13</v>
      </c>
      <c r="E22" t="s">
        <v>3900</v>
      </c>
      <c r="F22" s="42" t="b">
        <v>0</v>
      </c>
      <c r="G22" s="42" t="b">
        <v>0</v>
      </c>
      <c r="J22" t="b">
        <v>0</v>
      </c>
      <c r="K22" t="b">
        <v>0</v>
      </c>
      <c r="L22" t="b">
        <v>0</v>
      </c>
    </row>
    <row r="23" spans="1:12" x14ac:dyDescent="0.25">
      <c r="A23" s="2" t="s">
        <v>137</v>
      </c>
      <c r="B23" s="116" t="s">
        <v>373</v>
      </c>
      <c r="C23" t="s">
        <v>349</v>
      </c>
      <c r="D23">
        <v>14</v>
      </c>
      <c r="E23" t="s">
        <v>3900</v>
      </c>
      <c r="F23" s="42" t="b">
        <v>1</v>
      </c>
      <c r="G23" s="42" t="b">
        <v>1</v>
      </c>
      <c r="I23" s="18" t="s">
        <v>3902</v>
      </c>
      <c r="J23" t="b">
        <v>1</v>
      </c>
      <c r="K23" t="b">
        <v>1</v>
      </c>
      <c r="L23" t="b">
        <v>1</v>
      </c>
    </row>
    <row r="24" spans="1:12" x14ac:dyDescent="0.25">
      <c r="A24" s="2" t="s">
        <v>31</v>
      </c>
      <c r="B24" s="116" t="s">
        <v>374</v>
      </c>
      <c r="C24" t="s">
        <v>350</v>
      </c>
      <c r="D24">
        <v>15</v>
      </c>
      <c r="E24" t="s">
        <v>3902</v>
      </c>
      <c r="F24" s="42" t="b">
        <v>1</v>
      </c>
      <c r="G24" s="42" t="b">
        <v>1</v>
      </c>
      <c r="I24" s="18" t="s">
        <v>3902</v>
      </c>
      <c r="J24" t="b">
        <v>1</v>
      </c>
      <c r="K24" t="b">
        <v>1</v>
      </c>
      <c r="L24" t="b">
        <v>0</v>
      </c>
    </row>
    <row r="25" spans="1:12" x14ac:dyDescent="0.25">
      <c r="A25" s="2" t="s">
        <v>46</v>
      </c>
      <c r="B25" s="116" t="s">
        <v>375</v>
      </c>
      <c r="C25" t="s">
        <v>350</v>
      </c>
      <c r="D25">
        <v>16</v>
      </c>
      <c r="E25" t="s">
        <v>3902</v>
      </c>
      <c r="F25" s="42" t="b">
        <v>1</v>
      </c>
      <c r="G25" s="42" t="b">
        <v>1</v>
      </c>
      <c r="I25" s="18" t="s">
        <v>3902</v>
      </c>
      <c r="J25" t="b">
        <v>1</v>
      </c>
      <c r="K25" t="b">
        <v>1</v>
      </c>
      <c r="L25" t="b">
        <v>0</v>
      </c>
    </row>
    <row r="26" spans="1:12" x14ac:dyDescent="0.25">
      <c r="A26" s="2" t="s">
        <v>193</v>
      </c>
      <c r="B26" s="116" t="s">
        <v>376</v>
      </c>
      <c r="C26" t="s">
        <v>332</v>
      </c>
      <c r="D26">
        <v>17</v>
      </c>
      <c r="E26" t="s">
        <v>3900</v>
      </c>
      <c r="F26" s="42" t="b">
        <v>1</v>
      </c>
      <c r="G26" s="42" t="b">
        <v>1</v>
      </c>
      <c r="H26">
        <v>1</v>
      </c>
      <c r="J26" t="b">
        <v>1</v>
      </c>
      <c r="K26" t="b">
        <v>1</v>
      </c>
      <c r="L26" t="b">
        <v>0</v>
      </c>
    </row>
    <row r="27" spans="1:12" x14ac:dyDescent="0.25">
      <c r="A27" s="2" t="s">
        <v>194</v>
      </c>
      <c r="B27" s="116" t="s">
        <v>377</v>
      </c>
      <c r="C27" t="s">
        <v>332</v>
      </c>
      <c r="D27">
        <v>17</v>
      </c>
      <c r="E27" t="s">
        <v>3900</v>
      </c>
      <c r="F27" s="42" t="b">
        <v>1</v>
      </c>
      <c r="G27" s="42" t="b">
        <v>1</v>
      </c>
      <c r="H27">
        <v>1</v>
      </c>
      <c r="J27" t="b">
        <v>0</v>
      </c>
      <c r="K27" t="b">
        <v>0</v>
      </c>
      <c r="L27" t="b">
        <v>0</v>
      </c>
    </row>
    <row r="28" spans="1:12" x14ac:dyDescent="0.25">
      <c r="A28" s="2" t="s">
        <v>120</v>
      </c>
      <c r="B28" s="116" t="s">
        <v>379</v>
      </c>
      <c r="C28" t="s">
        <v>332</v>
      </c>
      <c r="D28">
        <v>18</v>
      </c>
      <c r="E28" t="s">
        <v>3900</v>
      </c>
      <c r="F28" s="42" t="b">
        <v>1</v>
      </c>
      <c r="G28" s="42" t="b">
        <v>1</v>
      </c>
      <c r="H28">
        <v>1</v>
      </c>
      <c r="J28" t="b">
        <v>1</v>
      </c>
      <c r="K28" t="b">
        <v>1</v>
      </c>
      <c r="L28" t="b">
        <v>0</v>
      </c>
    </row>
    <row r="29" spans="1:12" x14ac:dyDescent="0.25">
      <c r="A29" s="2" t="s">
        <v>135</v>
      </c>
      <c r="B29" s="116" t="s">
        <v>380</v>
      </c>
      <c r="C29" t="s">
        <v>332</v>
      </c>
      <c r="D29">
        <v>18</v>
      </c>
      <c r="E29" t="s">
        <v>3900</v>
      </c>
      <c r="F29" s="42" t="b">
        <v>1</v>
      </c>
      <c r="G29" s="42" t="b">
        <v>1</v>
      </c>
      <c r="H29">
        <v>1</v>
      </c>
      <c r="J29" t="b">
        <v>1</v>
      </c>
      <c r="K29" t="b">
        <v>1</v>
      </c>
      <c r="L29" t="b">
        <v>0</v>
      </c>
    </row>
    <row r="30" spans="1:12" x14ac:dyDescent="0.25">
      <c r="A30" s="2" t="s">
        <v>130</v>
      </c>
      <c r="B30" s="116" t="s">
        <v>381</v>
      </c>
      <c r="C30" t="s">
        <v>332</v>
      </c>
      <c r="D30">
        <v>18</v>
      </c>
      <c r="E30" t="s">
        <v>3900</v>
      </c>
      <c r="F30" s="42" t="b">
        <v>1</v>
      </c>
      <c r="G30" s="42" t="b">
        <v>1</v>
      </c>
      <c r="H30">
        <v>1</v>
      </c>
      <c r="J30" t="b">
        <v>1</v>
      </c>
      <c r="K30" t="b">
        <v>1</v>
      </c>
      <c r="L30" t="b">
        <v>0</v>
      </c>
    </row>
    <row r="31" spans="1:12" x14ac:dyDescent="0.25">
      <c r="A31" s="2" t="s">
        <v>121</v>
      </c>
      <c r="B31" s="116" t="s">
        <v>378</v>
      </c>
      <c r="C31" t="s">
        <v>332</v>
      </c>
      <c r="D31">
        <v>18</v>
      </c>
      <c r="E31" t="s">
        <v>3900</v>
      </c>
      <c r="F31" s="42" t="b">
        <v>1</v>
      </c>
      <c r="G31" s="42" t="b">
        <v>1</v>
      </c>
      <c r="H31">
        <v>1</v>
      </c>
      <c r="J31" t="b">
        <v>0</v>
      </c>
      <c r="K31" t="b">
        <v>0</v>
      </c>
      <c r="L31" t="b">
        <v>0</v>
      </c>
    </row>
    <row r="32" spans="1:12" x14ac:dyDescent="0.25">
      <c r="A32" s="2" t="s">
        <v>47</v>
      </c>
      <c r="B32" s="116" t="s">
        <v>382</v>
      </c>
      <c r="C32" t="s">
        <v>332</v>
      </c>
      <c r="D32">
        <v>19</v>
      </c>
      <c r="E32" t="s">
        <v>3900</v>
      </c>
      <c r="F32" s="42" t="b">
        <v>1</v>
      </c>
      <c r="G32" s="42" t="b">
        <v>1</v>
      </c>
      <c r="H32">
        <v>1</v>
      </c>
      <c r="J32" t="b">
        <v>1</v>
      </c>
      <c r="K32" t="b">
        <v>1</v>
      </c>
      <c r="L32" t="b">
        <v>0</v>
      </c>
    </row>
    <row r="33" spans="1:12" x14ac:dyDescent="0.25">
      <c r="A33" s="2" t="s">
        <v>48</v>
      </c>
      <c r="B33" s="116" t="s">
        <v>383</v>
      </c>
      <c r="C33" t="s">
        <v>332</v>
      </c>
      <c r="D33">
        <v>19</v>
      </c>
      <c r="E33" t="s">
        <v>3900</v>
      </c>
      <c r="F33" s="42" t="b">
        <v>1</v>
      </c>
      <c r="G33" s="42" t="b">
        <v>1</v>
      </c>
      <c r="H33">
        <v>1</v>
      </c>
      <c r="J33" t="b">
        <v>1</v>
      </c>
      <c r="K33" t="b">
        <v>1</v>
      </c>
      <c r="L33" t="b">
        <v>0</v>
      </c>
    </row>
    <row r="34" spans="1:12" x14ac:dyDescent="0.25">
      <c r="A34" s="2" t="s">
        <v>49</v>
      </c>
      <c r="B34" s="116" t="s">
        <v>384</v>
      </c>
      <c r="C34" t="s">
        <v>332</v>
      </c>
      <c r="D34">
        <v>19</v>
      </c>
      <c r="E34" t="s">
        <v>3900</v>
      </c>
      <c r="F34" s="42" t="b">
        <v>1</v>
      </c>
      <c r="G34" s="42" t="b">
        <v>1</v>
      </c>
      <c r="H34">
        <v>1</v>
      </c>
      <c r="J34" t="b">
        <v>0</v>
      </c>
      <c r="K34" t="b">
        <v>0</v>
      </c>
      <c r="L34" t="b">
        <v>0</v>
      </c>
    </row>
    <row r="35" spans="1:12" x14ac:dyDescent="0.25">
      <c r="A35" s="2" t="s">
        <v>50</v>
      </c>
      <c r="B35" s="116" t="s">
        <v>385</v>
      </c>
      <c r="C35" t="s">
        <v>332</v>
      </c>
      <c r="D35">
        <v>20</v>
      </c>
      <c r="E35" t="s">
        <v>3900</v>
      </c>
      <c r="F35" s="42" t="b">
        <v>1</v>
      </c>
      <c r="G35" s="42" t="b">
        <v>1</v>
      </c>
      <c r="H35">
        <v>1</v>
      </c>
      <c r="J35" t="b">
        <v>1</v>
      </c>
      <c r="K35" t="b">
        <v>1</v>
      </c>
      <c r="L35" t="b">
        <v>0</v>
      </c>
    </row>
    <row r="36" spans="1:12" x14ac:dyDescent="0.25">
      <c r="A36" s="2" t="s">
        <v>51</v>
      </c>
      <c r="B36" s="116" t="s">
        <v>386</v>
      </c>
      <c r="C36" t="s">
        <v>332</v>
      </c>
      <c r="D36">
        <v>20</v>
      </c>
      <c r="E36" t="s">
        <v>3900</v>
      </c>
      <c r="F36" s="42" t="b">
        <v>1</v>
      </c>
      <c r="G36" s="42" t="b">
        <v>1</v>
      </c>
      <c r="H36">
        <v>1</v>
      </c>
      <c r="J36" t="b">
        <v>0</v>
      </c>
      <c r="K36" t="b">
        <v>0</v>
      </c>
      <c r="L36" t="b">
        <v>0</v>
      </c>
    </row>
    <row r="37" spans="1:12" x14ac:dyDescent="0.25">
      <c r="A37" s="2" t="s">
        <v>64</v>
      </c>
      <c r="B37" s="116" t="s">
        <v>4075</v>
      </c>
      <c r="C37" t="s">
        <v>349</v>
      </c>
      <c r="D37">
        <v>21</v>
      </c>
      <c r="E37" t="s">
        <v>3902</v>
      </c>
      <c r="F37" s="42" t="b">
        <v>1</v>
      </c>
      <c r="G37" s="42" t="b">
        <v>1</v>
      </c>
      <c r="I37" s="18" t="s">
        <v>3902</v>
      </c>
      <c r="J37" t="b">
        <v>1</v>
      </c>
      <c r="K37" t="b">
        <v>1</v>
      </c>
      <c r="L37" t="b">
        <v>1</v>
      </c>
    </row>
    <row r="38" spans="1:12" x14ac:dyDescent="0.25">
      <c r="A38" s="38" t="s">
        <v>103</v>
      </c>
      <c r="B38" s="122" t="s">
        <v>387</v>
      </c>
      <c r="C38" t="s">
        <v>352</v>
      </c>
      <c r="D38">
        <v>22</v>
      </c>
      <c r="E38" t="s">
        <v>3901</v>
      </c>
      <c r="F38" s="42" t="b">
        <v>1</v>
      </c>
      <c r="G38" s="42" t="b">
        <v>0</v>
      </c>
      <c r="J38" t="b">
        <v>0</v>
      </c>
      <c r="K38" t="b">
        <v>0</v>
      </c>
      <c r="L38" t="b">
        <v>0</v>
      </c>
    </row>
    <row r="39" spans="1:12" x14ac:dyDescent="0.25">
      <c r="A39" s="38" t="s">
        <v>99</v>
      </c>
      <c r="B39" s="122" t="s">
        <v>388</v>
      </c>
      <c r="C39" t="s">
        <v>352</v>
      </c>
      <c r="D39">
        <v>22</v>
      </c>
      <c r="E39" t="s">
        <v>3901</v>
      </c>
      <c r="F39" s="42" t="b">
        <v>1</v>
      </c>
      <c r="G39" s="42" t="b">
        <v>0</v>
      </c>
      <c r="J39" t="b">
        <v>1</v>
      </c>
      <c r="K39" t="b">
        <v>1</v>
      </c>
      <c r="L39" t="b">
        <v>0</v>
      </c>
    </row>
    <row r="40" spans="1:12" x14ac:dyDescent="0.25">
      <c r="A40" s="38" t="s">
        <v>100</v>
      </c>
      <c r="B40" s="122" t="s">
        <v>389</v>
      </c>
      <c r="C40" t="s">
        <v>352</v>
      </c>
      <c r="D40">
        <v>22</v>
      </c>
      <c r="E40" t="s">
        <v>3901</v>
      </c>
      <c r="F40" s="42" t="b">
        <v>1</v>
      </c>
      <c r="G40" s="42" t="b">
        <v>0</v>
      </c>
      <c r="J40" t="b">
        <v>1</v>
      </c>
      <c r="K40" t="b">
        <v>1</v>
      </c>
      <c r="L40" t="b">
        <v>0</v>
      </c>
    </row>
    <row r="41" spans="1:12" x14ac:dyDescent="0.25">
      <c r="A41" s="38" t="s">
        <v>101</v>
      </c>
      <c r="B41" s="122" t="s">
        <v>390</v>
      </c>
      <c r="C41" t="s">
        <v>352</v>
      </c>
      <c r="D41">
        <v>22</v>
      </c>
      <c r="E41" t="s">
        <v>3901</v>
      </c>
      <c r="F41" s="42" t="b">
        <v>1</v>
      </c>
      <c r="G41" s="42" t="b">
        <v>1</v>
      </c>
      <c r="I41" s="18">
        <v>0.5</v>
      </c>
      <c r="J41" t="b">
        <v>1</v>
      </c>
      <c r="K41" t="b">
        <v>1</v>
      </c>
      <c r="L41" t="b">
        <v>0</v>
      </c>
    </row>
    <row r="42" spans="1:12" x14ac:dyDescent="0.25">
      <c r="A42" s="38" t="s">
        <v>93</v>
      </c>
      <c r="B42" s="122" t="s">
        <v>391</v>
      </c>
      <c r="C42" t="s">
        <v>352</v>
      </c>
      <c r="D42">
        <v>24</v>
      </c>
      <c r="E42" t="s">
        <v>3901</v>
      </c>
      <c r="F42" s="42" t="b">
        <v>1</v>
      </c>
      <c r="G42" s="42" t="b">
        <v>1</v>
      </c>
      <c r="I42" s="18">
        <v>0.5</v>
      </c>
      <c r="J42" t="b">
        <v>1</v>
      </c>
      <c r="K42" t="b">
        <v>1</v>
      </c>
      <c r="L42" t="b">
        <v>0</v>
      </c>
    </row>
    <row r="43" spans="1:12" x14ac:dyDescent="0.25">
      <c r="A43" s="38" t="s">
        <v>92</v>
      </c>
      <c r="B43" s="122" t="s">
        <v>392</v>
      </c>
      <c r="C43" t="s">
        <v>352</v>
      </c>
      <c r="D43">
        <v>24</v>
      </c>
      <c r="E43" t="s">
        <v>3901</v>
      </c>
      <c r="F43" s="42" t="b">
        <v>1</v>
      </c>
      <c r="G43" s="42" t="b">
        <v>0</v>
      </c>
      <c r="J43" t="b">
        <v>0</v>
      </c>
      <c r="K43" t="b">
        <v>0</v>
      </c>
      <c r="L43" t="b">
        <v>0</v>
      </c>
    </row>
    <row r="44" spans="1:12" x14ac:dyDescent="0.25">
      <c r="A44" s="38" t="s">
        <v>32</v>
      </c>
      <c r="B44" s="122" t="s">
        <v>393</v>
      </c>
      <c r="C44" t="s">
        <v>352</v>
      </c>
      <c r="D44">
        <v>25</v>
      </c>
      <c r="E44" t="s">
        <v>3901</v>
      </c>
      <c r="F44" s="42" t="b">
        <v>1</v>
      </c>
      <c r="G44" s="42" t="b">
        <v>1</v>
      </c>
      <c r="I44" s="18">
        <v>0.5</v>
      </c>
      <c r="J44" t="b">
        <v>1</v>
      </c>
      <c r="K44" t="b">
        <v>1</v>
      </c>
      <c r="L44" t="b">
        <v>0</v>
      </c>
    </row>
    <row r="45" spans="1:12" x14ac:dyDescent="0.25">
      <c r="A45" s="38" t="s">
        <v>33</v>
      </c>
      <c r="B45" s="122" t="s">
        <v>394</v>
      </c>
      <c r="C45" t="s">
        <v>352</v>
      </c>
      <c r="D45">
        <v>25</v>
      </c>
      <c r="E45" t="s">
        <v>3901</v>
      </c>
      <c r="F45" s="42" t="b">
        <v>1</v>
      </c>
      <c r="G45" s="42" t="b">
        <v>0</v>
      </c>
      <c r="J45" t="b">
        <v>0</v>
      </c>
      <c r="K45" t="b">
        <v>0</v>
      </c>
      <c r="L45" t="b">
        <v>0</v>
      </c>
    </row>
    <row r="46" spans="1:12" x14ac:dyDescent="0.25">
      <c r="A46" s="38" t="s">
        <v>34</v>
      </c>
      <c r="B46" s="122" t="s">
        <v>395</v>
      </c>
      <c r="C46" t="s">
        <v>352</v>
      </c>
      <c r="D46">
        <v>26</v>
      </c>
      <c r="E46" t="s">
        <v>3901</v>
      </c>
      <c r="F46" s="42" t="b">
        <v>1</v>
      </c>
      <c r="G46" s="42" t="b">
        <v>1</v>
      </c>
      <c r="I46" s="18">
        <v>0.5</v>
      </c>
      <c r="J46" t="b">
        <v>1</v>
      </c>
      <c r="K46" t="b">
        <v>1</v>
      </c>
      <c r="L46" t="b">
        <v>0</v>
      </c>
    </row>
    <row r="47" spans="1:12" x14ac:dyDescent="0.25">
      <c r="A47" s="38" t="s">
        <v>35</v>
      </c>
      <c r="B47" s="122" t="s">
        <v>396</v>
      </c>
      <c r="C47" t="s">
        <v>352</v>
      </c>
      <c r="D47">
        <v>26</v>
      </c>
      <c r="E47" t="s">
        <v>3901</v>
      </c>
      <c r="F47" s="42" t="b">
        <v>1</v>
      </c>
      <c r="G47" s="42" t="b">
        <v>0</v>
      </c>
      <c r="J47" t="b">
        <v>0</v>
      </c>
      <c r="K47" t="b">
        <v>0</v>
      </c>
      <c r="L47" t="b">
        <v>0</v>
      </c>
    </row>
    <row r="48" spans="1:12" x14ac:dyDescent="0.25">
      <c r="A48" s="38" t="s">
        <v>52</v>
      </c>
      <c r="B48" s="122" t="s">
        <v>397</v>
      </c>
      <c r="C48" t="s">
        <v>352</v>
      </c>
      <c r="D48">
        <v>27</v>
      </c>
      <c r="E48" t="s">
        <v>3901</v>
      </c>
      <c r="F48" s="42" t="b">
        <v>1</v>
      </c>
      <c r="G48" s="42" t="b">
        <v>1</v>
      </c>
      <c r="I48" s="18">
        <v>0.5</v>
      </c>
      <c r="J48" t="b">
        <v>1</v>
      </c>
      <c r="K48" t="b">
        <v>1</v>
      </c>
      <c r="L48" t="b">
        <v>0</v>
      </c>
    </row>
    <row r="49" spans="1:12" x14ac:dyDescent="0.25">
      <c r="A49" s="38" t="s">
        <v>53</v>
      </c>
      <c r="B49" s="122" t="s">
        <v>398</v>
      </c>
      <c r="C49" t="s">
        <v>352</v>
      </c>
      <c r="D49">
        <v>27</v>
      </c>
      <c r="E49" t="s">
        <v>3901</v>
      </c>
      <c r="F49" s="42" t="b">
        <v>1</v>
      </c>
      <c r="G49" s="42" t="b">
        <v>0</v>
      </c>
      <c r="J49" t="b">
        <v>0</v>
      </c>
      <c r="K49" t="b">
        <v>0</v>
      </c>
      <c r="L49" t="b">
        <v>0</v>
      </c>
    </row>
    <row r="50" spans="1:12" x14ac:dyDescent="0.25">
      <c r="A50" s="38" t="s">
        <v>224</v>
      </c>
      <c r="B50" s="122" t="s">
        <v>399</v>
      </c>
      <c r="C50" t="s">
        <v>352</v>
      </c>
      <c r="D50">
        <v>28</v>
      </c>
      <c r="E50" t="s">
        <v>3901</v>
      </c>
      <c r="F50" s="42" t="b">
        <v>1</v>
      </c>
      <c r="G50" s="42" t="b">
        <v>1</v>
      </c>
      <c r="I50" s="18">
        <v>0.5</v>
      </c>
      <c r="J50" t="b">
        <v>1</v>
      </c>
      <c r="K50" t="b">
        <v>1</v>
      </c>
      <c r="L50" t="b">
        <v>0</v>
      </c>
    </row>
    <row r="51" spans="1:12" x14ac:dyDescent="0.25">
      <c r="A51" s="38" t="s">
        <v>223</v>
      </c>
      <c r="B51" s="122" t="s">
        <v>400</v>
      </c>
      <c r="C51" t="s">
        <v>352</v>
      </c>
      <c r="D51">
        <v>28</v>
      </c>
      <c r="E51" t="s">
        <v>3901</v>
      </c>
      <c r="F51" s="42" t="b">
        <v>1</v>
      </c>
      <c r="G51" s="42" t="b">
        <v>0</v>
      </c>
      <c r="J51" t="b">
        <v>0</v>
      </c>
      <c r="K51" t="b">
        <v>0</v>
      </c>
      <c r="L51" t="b">
        <v>0</v>
      </c>
    </row>
    <row r="52" spans="1:12" x14ac:dyDescent="0.25">
      <c r="A52" s="38" t="s">
        <v>36</v>
      </c>
      <c r="B52" s="122" t="s">
        <v>291</v>
      </c>
      <c r="C52" t="s">
        <v>357</v>
      </c>
      <c r="D52">
        <v>29</v>
      </c>
      <c r="E52" t="s">
        <v>3900</v>
      </c>
      <c r="F52" s="42" t="b">
        <v>0</v>
      </c>
      <c r="G52" s="42" t="b">
        <v>0</v>
      </c>
      <c r="J52" t="b">
        <v>0</v>
      </c>
      <c r="K52" t="b">
        <v>0</v>
      </c>
      <c r="L52" t="b">
        <v>0</v>
      </c>
    </row>
    <row r="53" spans="1:12" x14ac:dyDescent="0.25">
      <c r="A53" s="38" t="s">
        <v>57</v>
      </c>
      <c r="B53" s="122" t="s">
        <v>401</v>
      </c>
      <c r="C53" t="s">
        <v>332</v>
      </c>
      <c r="D53">
        <v>30</v>
      </c>
      <c r="E53" t="s">
        <v>3900</v>
      </c>
      <c r="F53" s="42" t="b">
        <v>1</v>
      </c>
      <c r="G53" s="42" t="b">
        <v>1</v>
      </c>
      <c r="H53">
        <v>1</v>
      </c>
      <c r="J53" t="b">
        <v>0</v>
      </c>
      <c r="K53" t="b">
        <v>0</v>
      </c>
      <c r="L53" t="b">
        <v>0</v>
      </c>
    </row>
    <row r="54" spans="1:12" x14ac:dyDescent="0.25">
      <c r="A54" s="38" t="s">
        <v>58</v>
      </c>
      <c r="B54" s="122" t="s">
        <v>402</v>
      </c>
      <c r="C54" t="s">
        <v>332</v>
      </c>
      <c r="D54">
        <v>30</v>
      </c>
      <c r="E54" t="s">
        <v>3900</v>
      </c>
      <c r="F54" s="42" t="b">
        <v>1</v>
      </c>
      <c r="G54" s="42" t="b">
        <v>1</v>
      </c>
      <c r="H54">
        <v>1</v>
      </c>
      <c r="J54" t="b">
        <v>1</v>
      </c>
      <c r="K54" t="b">
        <v>1</v>
      </c>
      <c r="L54" t="b">
        <v>0</v>
      </c>
    </row>
    <row r="55" spans="1:12" x14ac:dyDescent="0.25">
      <c r="A55" s="38" t="s">
        <v>59</v>
      </c>
      <c r="B55" s="122" t="s">
        <v>403</v>
      </c>
      <c r="C55" t="s">
        <v>332</v>
      </c>
      <c r="D55">
        <v>30</v>
      </c>
      <c r="E55" t="s">
        <v>3900</v>
      </c>
      <c r="F55" s="42" t="b">
        <v>1</v>
      </c>
      <c r="G55" s="42" t="b">
        <v>1</v>
      </c>
      <c r="H55">
        <v>1</v>
      </c>
      <c r="J55" t="b">
        <v>1</v>
      </c>
      <c r="K55" t="b">
        <v>1</v>
      </c>
      <c r="L55" t="b">
        <v>0</v>
      </c>
    </row>
    <row r="56" spans="1:12" x14ac:dyDescent="0.25">
      <c r="A56" s="38" t="s">
        <v>60</v>
      </c>
      <c r="B56" s="122" t="s">
        <v>4076</v>
      </c>
      <c r="C56" t="s">
        <v>332</v>
      </c>
      <c r="D56">
        <v>30</v>
      </c>
      <c r="E56" t="s">
        <v>3900</v>
      </c>
      <c r="F56" s="42" t="b">
        <v>1</v>
      </c>
      <c r="G56" s="42" t="b">
        <v>1</v>
      </c>
      <c r="H56">
        <v>1</v>
      </c>
      <c r="J56" t="b">
        <v>0</v>
      </c>
      <c r="K56" t="b">
        <v>0</v>
      </c>
      <c r="L56" t="b">
        <v>0</v>
      </c>
    </row>
    <row r="57" spans="1:12" x14ac:dyDescent="0.25">
      <c r="A57" s="38" t="s">
        <v>61</v>
      </c>
      <c r="B57" s="122" t="s">
        <v>404</v>
      </c>
      <c r="C57" t="s">
        <v>332</v>
      </c>
      <c r="D57">
        <v>30</v>
      </c>
      <c r="E57" t="s">
        <v>3900</v>
      </c>
      <c r="F57" s="42" t="b">
        <v>1</v>
      </c>
      <c r="G57" s="42" t="b">
        <v>1</v>
      </c>
      <c r="H57">
        <v>1</v>
      </c>
      <c r="J57" t="b">
        <v>1</v>
      </c>
      <c r="K57" t="b">
        <v>1</v>
      </c>
      <c r="L57" t="b">
        <v>0</v>
      </c>
    </row>
    <row r="58" spans="1:12" x14ac:dyDescent="0.25">
      <c r="A58" s="38" t="s">
        <v>62</v>
      </c>
      <c r="B58" s="122" t="s">
        <v>405</v>
      </c>
      <c r="C58" t="s">
        <v>332</v>
      </c>
      <c r="D58">
        <v>30</v>
      </c>
      <c r="E58" t="s">
        <v>3900</v>
      </c>
      <c r="F58" s="42" t="b">
        <v>1</v>
      </c>
      <c r="G58" s="42" t="b">
        <v>1</v>
      </c>
      <c r="H58">
        <v>1</v>
      </c>
      <c r="J58" t="b">
        <v>1</v>
      </c>
      <c r="K58" t="b">
        <v>1</v>
      </c>
      <c r="L58" t="b">
        <v>0</v>
      </c>
    </row>
    <row r="59" spans="1:12" x14ac:dyDescent="0.25">
      <c r="A59" s="38" t="s">
        <v>63</v>
      </c>
      <c r="B59" s="122" t="s">
        <v>406</v>
      </c>
      <c r="C59" t="s">
        <v>332</v>
      </c>
      <c r="D59">
        <v>30</v>
      </c>
      <c r="E59" t="s">
        <v>3900</v>
      </c>
      <c r="F59" s="42" t="b">
        <v>1</v>
      </c>
      <c r="G59" s="42" t="b">
        <v>1</v>
      </c>
      <c r="H59">
        <v>1</v>
      </c>
      <c r="J59" t="b">
        <v>1</v>
      </c>
      <c r="K59" t="b">
        <v>1</v>
      </c>
      <c r="L59" t="b">
        <v>0</v>
      </c>
    </row>
    <row r="60" spans="1:12" x14ac:dyDescent="0.25">
      <c r="A60" s="38" t="s">
        <v>56</v>
      </c>
      <c r="B60" s="122" t="s">
        <v>407</v>
      </c>
      <c r="C60" t="s">
        <v>332</v>
      </c>
      <c r="D60">
        <v>31</v>
      </c>
      <c r="E60" t="s">
        <v>3900</v>
      </c>
      <c r="F60" s="42" t="b">
        <v>1</v>
      </c>
      <c r="G60" s="42" t="b">
        <v>1</v>
      </c>
      <c r="H60">
        <v>1</v>
      </c>
      <c r="J60" t="b">
        <v>0</v>
      </c>
      <c r="K60" t="b">
        <v>0</v>
      </c>
      <c r="L60" t="b">
        <v>0</v>
      </c>
    </row>
    <row r="61" spans="1:12" x14ac:dyDescent="0.25">
      <c r="A61" s="38" t="s">
        <v>55</v>
      </c>
      <c r="B61" s="122" t="s">
        <v>408</v>
      </c>
      <c r="C61" t="s">
        <v>332</v>
      </c>
      <c r="D61">
        <v>31</v>
      </c>
      <c r="E61" t="s">
        <v>3900</v>
      </c>
      <c r="F61" s="42" t="b">
        <v>1</v>
      </c>
      <c r="G61" s="42" t="b">
        <v>1</v>
      </c>
      <c r="H61">
        <v>1</v>
      </c>
      <c r="J61" t="b">
        <v>1</v>
      </c>
      <c r="K61" t="b">
        <v>1</v>
      </c>
      <c r="L61" t="b">
        <v>0</v>
      </c>
    </row>
    <row r="62" spans="1:12" x14ac:dyDescent="0.25">
      <c r="A62" s="38" t="s">
        <v>54</v>
      </c>
      <c r="B62" s="122" t="s">
        <v>409</v>
      </c>
      <c r="C62" t="s">
        <v>332</v>
      </c>
      <c r="D62">
        <v>31</v>
      </c>
      <c r="E62" t="s">
        <v>3900</v>
      </c>
      <c r="F62" s="42" t="b">
        <v>1</v>
      </c>
      <c r="G62" s="42" t="b">
        <v>1</v>
      </c>
      <c r="H62">
        <v>1</v>
      </c>
      <c r="J62" t="b">
        <v>1</v>
      </c>
      <c r="K62" t="b">
        <v>1</v>
      </c>
      <c r="L62" t="b">
        <v>0</v>
      </c>
    </row>
    <row r="63" spans="1:12" x14ac:dyDescent="0.25">
      <c r="A63" s="38" t="s">
        <v>65</v>
      </c>
      <c r="B63" s="122" t="s">
        <v>410</v>
      </c>
      <c r="C63" t="s">
        <v>350</v>
      </c>
      <c r="D63">
        <v>32</v>
      </c>
      <c r="E63" t="s">
        <v>3902</v>
      </c>
      <c r="F63" s="42" t="b">
        <v>1</v>
      </c>
      <c r="G63" s="42" t="b">
        <v>1</v>
      </c>
      <c r="I63" s="18" t="s">
        <v>3902</v>
      </c>
      <c r="J63" t="b">
        <v>1</v>
      </c>
      <c r="K63" t="b">
        <v>1</v>
      </c>
      <c r="L63" t="b">
        <v>1</v>
      </c>
    </row>
    <row r="64" spans="1:12" x14ac:dyDescent="0.25">
      <c r="A64" s="38" t="s">
        <v>66</v>
      </c>
      <c r="B64" s="122" t="s">
        <v>411</v>
      </c>
      <c r="C64" t="s">
        <v>350</v>
      </c>
      <c r="D64">
        <v>33</v>
      </c>
      <c r="E64" t="s">
        <v>3902</v>
      </c>
      <c r="F64" s="42" t="b">
        <v>1</v>
      </c>
      <c r="G64" s="42" t="b">
        <v>1</v>
      </c>
      <c r="I64" s="18" t="s">
        <v>3902</v>
      </c>
      <c r="J64" t="b">
        <v>1</v>
      </c>
      <c r="K64" t="b">
        <v>1</v>
      </c>
      <c r="L64" t="b">
        <v>1</v>
      </c>
    </row>
    <row r="65" spans="1:12" x14ac:dyDescent="0.25">
      <c r="A65" s="38" t="s">
        <v>67</v>
      </c>
      <c r="B65" s="122" t="s">
        <v>412</v>
      </c>
      <c r="C65" t="s">
        <v>350</v>
      </c>
      <c r="D65">
        <v>34</v>
      </c>
      <c r="E65" t="s">
        <v>3902</v>
      </c>
      <c r="F65" s="42" t="b">
        <v>1</v>
      </c>
      <c r="G65" s="42" t="b">
        <v>1</v>
      </c>
      <c r="I65" s="18" t="s">
        <v>3902</v>
      </c>
      <c r="J65" t="b">
        <v>1</v>
      </c>
      <c r="K65" t="b">
        <v>1</v>
      </c>
      <c r="L65" t="b">
        <v>1</v>
      </c>
    </row>
    <row r="66" spans="1:12" x14ac:dyDescent="0.25">
      <c r="A66" s="4" t="s">
        <v>68</v>
      </c>
      <c r="B66" s="117" t="s">
        <v>413</v>
      </c>
      <c r="C66" t="s">
        <v>332</v>
      </c>
      <c r="D66">
        <v>35</v>
      </c>
      <c r="E66" t="s">
        <v>3900</v>
      </c>
      <c r="F66" s="42" t="b">
        <v>1</v>
      </c>
      <c r="G66" s="42" t="b">
        <v>1</v>
      </c>
      <c r="H66">
        <v>1</v>
      </c>
      <c r="J66" t="b">
        <v>1</v>
      </c>
      <c r="K66" t="b">
        <v>1</v>
      </c>
      <c r="L66" t="b">
        <v>0</v>
      </c>
    </row>
    <row r="67" spans="1:12" x14ac:dyDescent="0.25">
      <c r="A67" s="4" t="s">
        <v>231</v>
      </c>
      <c r="B67" s="117" t="s">
        <v>414</v>
      </c>
      <c r="C67" t="s">
        <v>332</v>
      </c>
      <c r="D67">
        <v>35</v>
      </c>
      <c r="E67" t="s">
        <v>3900</v>
      </c>
      <c r="F67" s="42" t="b">
        <v>1</v>
      </c>
      <c r="G67" s="42" t="b">
        <v>1</v>
      </c>
      <c r="H67">
        <v>1</v>
      </c>
      <c r="J67" t="b">
        <v>1</v>
      </c>
      <c r="K67" t="b">
        <v>1</v>
      </c>
      <c r="L67" t="b">
        <v>0</v>
      </c>
    </row>
    <row r="68" spans="1:12" x14ac:dyDescent="0.25">
      <c r="A68" s="4" t="s">
        <v>262</v>
      </c>
      <c r="B68" s="117" t="s">
        <v>415</v>
      </c>
      <c r="C68" t="s">
        <v>332</v>
      </c>
      <c r="D68">
        <v>35</v>
      </c>
      <c r="E68" t="s">
        <v>3900</v>
      </c>
      <c r="F68" s="42" t="b">
        <v>1</v>
      </c>
      <c r="G68" s="42" t="b">
        <v>1</v>
      </c>
      <c r="H68">
        <v>1</v>
      </c>
      <c r="J68" t="b">
        <v>1</v>
      </c>
      <c r="K68" t="b">
        <v>1</v>
      </c>
      <c r="L68" t="b">
        <v>0</v>
      </c>
    </row>
    <row r="69" spans="1:12" x14ac:dyDescent="0.25">
      <c r="A69" s="4" t="s">
        <v>151</v>
      </c>
      <c r="B69" s="117" t="s">
        <v>416</v>
      </c>
      <c r="C69" t="s">
        <v>332</v>
      </c>
      <c r="D69">
        <v>35</v>
      </c>
      <c r="E69" t="s">
        <v>3900</v>
      </c>
      <c r="F69" s="42" t="b">
        <v>1</v>
      </c>
      <c r="G69" s="42" t="b">
        <v>1</v>
      </c>
      <c r="H69">
        <v>1</v>
      </c>
      <c r="J69" t="b">
        <v>1</v>
      </c>
      <c r="K69" t="b">
        <v>1</v>
      </c>
      <c r="L69" t="b">
        <v>0</v>
      </c>
    </row>
    <row r="70" spans="1:12" x14ac:dyDescent="0.25">
      <c r="A70" s="4" t="s">
        <v>123</v>
      </c>
      <c r="B70" s="117" t="s">
        <v>417</v>
      </c>
      <c r="C70" t="s">
        <v>332</v>
      </c>
      <c r="D70">
        <v>35</v>
      </c>
      <c r="E70" t="s">
        <v>3900</v>
      </c>
      <c r="F70" s="42" t="b">
        <v>1</v>
      </c>
      <c r="G70" s="42" t="b">
        <v>1</v>
      </c>
      <c r="H70">
        <v>1</v>
      </c>
      <c r="J70" t="b">
        <v>1</v>
      </c>
      <c r="K70" t="b">
        <v>1</v>
      </c>
      <c r="L70" t="b">
        <v>0</v>
      </c>
    </row>
    <row r="71" spans="1:12" x14ac:dyDescent="0.25">
      <c r="A71" s="4" t="s">
        <v>133</v>
      </c>
      <c r="B71" s="117" t="s">
        <v>418</v>
      </c>
      <c r="C71" t="s">
        <v>332</v>
      </c>
      <c r="D71">
        <v>35</v>
      </c>
      <c r="E71" t="s">
        <v>3900</v>
      </c>
      <c r="F71" s="42" t="b">
        <v>1</v>
      </c>
      <c r="G71" s="42" t="b">
        <v>1</v>
      </c>
      <c r="H71">
        <v>1</v>
      </c>
      <c r="J71" t="b">
        <v>1</v>
      </c>
      <c r="K71" t="b">
        <v>1</v>
      </c>
      <c r="L71" t="b">
        <v>0</v>
      </c>
    </row>
    <row r="72" spans="1:12" x14ac:dyDescent="0.25">
      <c r="A72" s="4" t="s">
        <v>132</v>
      </c>
      <c r="B72" s="117" t="s">
        <v>419</v>
      </c>
      <c r="C72" t="s">
        <v>332</v>
      </c>
      <c r="D72">
        <v>35</v>
      </c>
      <c r="E72" t="s">
        <v>3900</v>
      </c>
      <c r="F72" s="42" t="b">
        <v>1</v>
      </c>
      <c r="G72" s="42" t="b">
        <v>1</v>
      </c>
      <c r="H72">
        <v>1</v>
      </c>
      <c r="J72" t="b">
        <v>1</v>
      </c>
      <c r="K72" t="b">
        <v>1</v>
      </c>
      <c r="L72" t="b">
        <v>0</v>
      </c>
    </row>
    <row r="73" spans="1:12" x14ac:dyDescent="0.25">
      <c r="A73" s="4" t="s">
        <v>69</v>
      </c>
      <c r="B73" s="117" t="s">
        <v>420</v>
      </c>
      <c r="C73" t="s">
        <v>332</v>
      </c>
      <c r="D73">
        <v>35</v>
      </c>
      <c r="E73" t="s">
        <v>3900</v>
      </c>
      <c r="F73" s="42" t="b">
        <v>1</v>
      </c>
      <c r="G73" s="42" t="b">
        <v>1</v>
      </c>
      <c r="H73">
        <v>1</v>
      </c>
      <c r="J73" t="b">
        <v>0</v>
      </c>
      <c r="K73" t="b">
        <v>0</v>
      </c>
      <c r="L73" t="b">
        <v>0</v>
      </c>
    </row>
    <row r="74" spans="1:12" x14ac:dyDescent="0.25">
      <c r="A74" s="4" t="s">
        <v>70</v>
      </c>
      <c r="B74" s="117" t="s">
        <v>421</v>
      </c>
      <c r="C74" t="s">
        <v>332</v>
      </c>
      <c r="D74">
        <v>36</v>
      </c>
      <c r="E74" t="s">
        <v>3900</v>
      </c>
      <c r="F74" s="42" t="b">
        <v>1</v>
      </c>
      <c r="G74" s="42" t="b">
        <v>1</v>
      </c>
      <c r="H74">
        <v>1</v>
      </c>
      <c r="J74" t="b">
        <v>1</v>
      </c>
      <c r="K74" t="b">
        <v>1</v>
      </c>
      <c r="L74" t="b">
        <v>0</v>
      </c>
    </row>
    <row r="75" spans="1:12" x14ac:dyDescent="0.25">
      <c r="A75" s="4" t="s">
        <v>71</v>
      </c>
      <c r="B75" s="117" t="s">
        <v>422</v>
      </c>
      <c r="C75" t="s">
        <v>332</v>
      </c>
      <c r="D75">
        <v>36</v>
      </c>
      <c r="E75" t="s">
        <v>3900</v>
      </c>
      <c r="F75" s="42" t="b">
        <v>1</v>
      </c>
      <c r="G75" s="42" t="b">
        <v>1</v>
      </c>
      <c r="H75">
        <v>1</v>
      </c>
      <c r="J75" t="b">
        <v>1</v>
      </c>
      <c r="K75" t="b">
        <v>1</v>
      </c>
      <c r="L75" t="b">
        <v>0</v>
      </c>
    </row>
    <row r="76" spans="1:12" x14ac:dyDescent="0.25">
      <c r="A76" s="4" t="s">
        <v>117</v>
      </c>
      <c r="B76" s="117" t="s">
        <v>423</v>
      </c>
      <c r="C76" t="s">
        <v>332</v>
      </c>
      <c r="D76">
        <v>36</v>
      </c>
      <c r="E76" t="s">
        <v>3900</v>
      </c>
      <c r="F76" s="42" t="b">
        <v>1</v>
      </c>
      <c r="G76" s="42" t="b">
        <v>1</v>
      </c>
      <c r="H76">
        <v>1</v>
      </c>
      <c r="J76" t="b">
        <v>1</v>
      </c>
      <c r="K76" t="b">
        <v>1</v>
      </c>
      <c r="L76" t="b">
        <v>0</v>
      </c>
    </row>
    <row r="77" spans="1:12" x14ac:dyDescent="0.25">
      <c r="A77" s="4" t="s">
        <v>118</v>
      </c>
      <c r="B77" s="117" t="s">
        <v>424</v>
      </c>
      <c r="C77" t="s">
        <v>332</v>
      </c>
      <c r="D77">
        <v>36</v>
      </c>
      <c r="E77" t="s">
        <v>3900</v>
      </c>
      <c r="F77" s="42" t="b">
        <v>1</v>
      </c>
      <c r="G77" s="42" t="b">
        <v>1</v>
      </c>
      <c r="H77">
        <v>1</v>
      </c>
      <c r="J77" t="b">
        <v>0</v>
      </c>
      <c r="K77" t="b">
        <v>0</v>
      </c>
      <c r="L77" t="b">
        <v>0</v>
      </c>
    </row>
    <row r="78" spans="1:12" x14ac:dyDescent="0.25">
      <c r="A78" s="4" t="s">
        <v>126</v>
      </c>
      <c r="B78" s="117" t="s">
        <v>425</v>
      </c>
      <c r="C78" t="s">
        <v>349</v>
      </c>
      <c r="D78">
        <v>37</v>
      </c>
      <c r="E78" t="s">
        <v>3900</v>
      </c>
      <c r="F78" s="42" t="b">
        <v>1</v>
      </c>
      <c r="G78" s="42" t="b">
        <v>1</v>
      </c>
      <c r="H78">
        <v>1</v>
      </c>
      <c r="J78" t="b">
        <v>0</v>
      </c>
      <c r="K78" t="b">
        <v>0</v>
      </c>
      <c r="L78" t="b">
        <v>0</v>
      </c>
    </row>
    <row r="79" spans="1:12" x14ac:dyDescent="0.25">
      <c r="A79" s="4" t="s">
        <v>136</v>
      </c>
      <c r="B79" s="117" t="s">
        <v>426</v>
      </c>
      <c r="C79" t="s">
        <v>349</v>
      </c>
      <c r="D79">
        <v>37</v>
      </c>
      <c r="E79" t="s">
        <v>3900</v>
      </c>
      <c r="F79" s="42" t="b">
        <v>1</v>
      </c>
      <c r="G79" s="42" t="b">
        <v>1</v>
      </c>
      <c r="H79">
        <v>1</v>
      </c>
      <c r="J79" t="b">
        <v>0</v>
      </c>
      <c r="K79" t="b">
        <v>0</v>
      </c>
      <c r="L79" t="b">
        <v>0</v>
      </c>
    </row>
    <row r="80" spans="1:12" x14ac:dyDescent="0.25">
      <c r="A80" s="4" t="s">
        <v>152</v>
      </c>
      <c r="B80" s="117" t="s">
        <v>427</v>
      </c>
      <c r="C80" t="s">
        <v>349</v>
      </c>
      <c r="D80">
        <v>37</v>
      </c>
      <c r="E80" t="s">
        <v>3900</v>
      </c>
      <c r="F80" s="42" t="b">
        <v>1</v>
      </c>
      <c r="G80" s="42" t="b">
        <v>1</v>
      </c>
      <c r="H80">
        <v>1</v>
      </c>
      <c r="J80" t="b">
        <v>0</v>
      </c>
      <c r="K80" t="b">
        <v>0</v>
      </c>
      <c r="L80" t="b">
        <v>0</v>
      </c>
    </row>
    <row r="81" spans="1:12" x14ac:dyDescent="0.25">
      <c r="A81" s="4" t="s">
        <v>479</v>
      </c>
      <c r="B81" s="117" t="s">
        <v>428</v>
      </c>
      <c r="C81" t="s">
        <v>349</v>
      </c>
      <c r="D81">
        <v>37</v>
      </c>
      <c r="E81" t="s">
        <v>3900</v>
      </c>
      <c r="F81" s="42" t="b">
        <v>1</v>
      </c>
      <c r="G81" s="42" t="b">
        <v>1</v>
      </c>
      <c r="H81">
        <v>1</v>
      </c>
      <c r="J81" t="b">
        <v>0</v>
      </c>
      <c r="K81" t="b">
        <v>0</v>
      </c>
      <c r="L81" t="b">
        <v>0</v>
      </c>
    </row>
    <row r="82" spans="1:12" x14ac:dyDescent="0.25">
      <c r="A82" s="4" t="s">
        <v>127</v>
      </c>
      <c r="B82" s="117" t="s">
        <v>482</v>
      </c>
      <c r="C82" t="s">
        <v>349</v>
      </c>
      <c r="D82">
        <v>37</v>
      </c>
      <c r="E82" t="s">
        <v>3900</v>
      </c>
      <c r="F82" s="42" t="b">
        <v>1</v>
      </c>
      <c r="G82" s="42" t="b">
        <v>1</v>
      </c>
      <c r="H82">
        <v>1</v>
      </c>
      <c r="J82" t="b">
        <v>0</v>
      </c>
      <c r="K82" t="b">
        <v>0</v>
      </c>
      <c r="L82" t="b">
        <v>0</v>
      </c>
    </row>
    <row r="83" spans="1:12" x14ac:dyDescent="0.25">
      <c r="A83" s="4" t="s">
        <v>72</v>
      </c>
      <c r="B83" s="117" t="s">
        <v>429</v>
      </c>
      <c r="C83" t="s">
        <v>349</v>
      </c>
      <c r="D83">
        <v>38</v>
      </c>
      <c r="E83" t="s">
        <v>3900</v>
      </c>
      <c r="F83" s="42" t="b">
        <v>1</v>
      </c>
      <c r="G83" s="42" t="b">
        <v>1</v>
      </c>
      <c r="H83">
        <v>1</v>
      </c>
      <c r="J83" t="b">
        <v>1</v>
      </c>
      <c r="K83" t="b">
        <v>1</v>
      </c>
      <c r="L83" t="b">
        <v>0</v>
      </c>
    </row>
    <row r="84" spans="1:12" x14ac:dyDescent="0.25">
      <c r="A84" s="4" t="s">
        <v>73</v>
      </c>
      <c r="B84" s="117" t="s">
        <v>430</v>
      </c>
      <c r="C84" t="s">
        <v>349</v>
      </c>
      <c r="D84">
        <v>38</v>
      </c>
      <c r="E84" t="s">
        <v>3900</v>
      </c>
      <c r="F84" s="42" t="b">
        <v>1</v>
      </c>
      <c r="G84" s="42" t="b">
        <v>1</v>
      </c>
      <c r="H84">
        <v>1</v>
      </c>
      <c r="J84" t="b">
        <v>1</v>
      </c>
      <c r="K84" t="b">
        <v>1</v>
      </c>
      <c r="L84" t="b">
        <v>0</v>
      </c>
    </row>
    <row r="85" spans="1:12" x14ac:dyDescent="0.25">
      <c r="A85" s="4" t="s">
        <v>74</v>
      </c>
      <c r="B85" s="117" t="s">
        <v>431</v>
      </c>
      <c r="C85" t="s">
        <v>349</v>
      </c>
      <c r="D85">
        <v>38</v>
      </c>
      <c r="E85" t="s">
        <v>3900</v>
      </c>
      <c r="F85" s="42" t="b">
        <v>1</v>
      </c>
      <c r="G85" s="42" t="b">
        <v>1</v>
      </c>
      <c r="H85">
        <v>1</v>
      </c>
      <c r="J85" t="b">
        <v>1</v>
      </c>
      <c r="K85" t="b">
        <v>1</v>
      </c>
      <c r="L85" t="b">
        <v>0</v>
      </c>
    </row>
    <row r="86" spans="1:12" x14ac:dyDescent="0.25">
      <c r="A86" s="4" t="s">
        <v>102</v>
      </c>
      <c r="B86" s="117" t="s">
        <v>432</v>
      </c>
      <c r="C86" t="s">
        <v>349</v>
      </c>
      <c r="D86">
        <v>38</v>
      </c>
      <c r="E86" t="s">
        <v>3900</v>
      </c>
      <c r="F86" s="42" t="b">
        <v>1</v>
      </c>
      <c r="G86" s="42" t="b">
        <v>1</v>
      </c>
      <c r="H86">
        <v>1</v>
      </c>
      <c r="J86" t="b">
        <v>1</v>
      </c>
      <c r="K86" t="b">
        <v>1</v>
      </c>
      <c r="L86" t="b">
        <v>0</v>
      </c>
    </row>
    <row r="87" spans="1:12" x14ac:dyDescent="0.25">
      <c r="A87" s="4" t="s">
        <v>75</v>
      </c>
      <c r="B87" s="117" t="s">
        <v>433</v>
      </c>
      <c r="C87" t="s">
        <v>349</v>
      </c>
      <c r="D87">
        <v>38</v>
      </c>
      <c r="E87" t="s">
        <v>3900</v>
      </c>
      <c r="F87" s="42" t="b">
        <v>1</v>
      </c>
      <c r="G87" s="42" t="b">
        <v>1</v>
      </c>
      <c r="H87">
        <v>1</v>
      </c>
      <c r="J87" t="b">
        <v>1</v>
      </c>
      <c r="K87" t="b">
        <v>1</v>
      </c>
      <c r="L87" t="b">
        <v>0</v>
      </c>
    </row>
    <row r="88" spans="1:12" x14ac:dyDescent="0.25">
      <c r="A88" s="4" t="s">
        <v>76</v>
      </c>
      <c r="B88" s="117" t="s">
        <v>434</v>
      </c>
      <c r="C88" t="s">
        <v>349</v>
      </c>
      <c r="D88">
        <v>38</v>
      </c>
      <c r="E88" t="s">
        <v>3900</v>
      </c>
      <c r="F88" s="42" t="b">
        <v>1</v>
      </c>
      <c r="G88" s="42" t="b">
        <v>1</v>
      </c>
      <c r="H88">
        <v>1</v>
      </c>
      <c r="J88" t="b">
        <v>1</v>
      </c>
      <c r="K88" t="b">
        <v>1</v>
      </c>
      <c r="L88" t="b">
        <v>0</v>
      </c>
    </row>
    <row r="89" spans="1:12" x14ac:dyDescent="0.25">
      <c r="A89" s="4" t="s">
        <v>77</v>
      </c>
      <c r="B89" s="117" t="s">
        <v>435</v>
      </c>
      <c r="C89" t="s">
        <v>349</v>
      </c>
      <c r="D89">
        <v>38</v>
      </c>
      <c r="E89" t="s">
        <v>3900</v>
      </c>
      <c r="F89" s="42" t="b">
        <v>1</v>
      </c>
      <c r="G89" s="42" t="b">
        <v>1</v>
      </c>
      <c r="H89">
        <v>1</v>
      </c>
      <c r="J89" t="b">
        <v>1</v>
      </c>
      <c r="K89" t="b">
        <v>1</v>
      </c>
      <c r="L89" t="b">
        <v>0</v>
      </c>
    </row>
    <row r="90" spans="1:12" x14ac:dyDescent="0.25">
      <c r="A90" s="4" t="s">
        <v>78</v>
      </c>
      <c r="B90" s="117" t="s">
        <v>436</v>
      </c>
      <c r="C90" t="s">
        <v>349</v>
      </c>
      <c r="D90">
        <v>38</v>
      </c>
      <c r="E90" t="s">
        <v>3900</v>
      </c>
      <c r="F90" s="42" t="b">
        <v>1</v>
      </c>
      <c r="G90" s="42" t="b">
        <v>1</v>
      </c>
      <c r="H90">
        <v>1</v>
      </c>
      <c r="J90" t="b">
        <v>1</v>
      </c>
      <c r="K90" t="b">
        <v>1</v>
      </c>
      <c r="L90" t="b">
        <v>0</v>
      </c>
    </row>
    <row r="91" spans="1:12" x14ac:dyDescent="0.25">
      <c r="A91" s="4" t="s">
        <v>80</v>
      </c>
      <c r="B91" s="117" t="s">
        <v>437</v>
      </c>
      <c r="C91" t="s">
        <v>349</v>
      </c>
      <c r="D91">
        <v>38</v>
      </c>
      <c r="E91" t="s">
        <v>3900</v>
      </c>
      <c r="F91" s="42" t="b">
        <v>1</v>
      </c>
      <c r="G91" s="42" t="b">
        <v>1</v>
      </c>
      <c r="H91">
        <v>1</v>
      </c>
      <c r="J91" t="b">
        <v>1</v>
      </c>
      <c r="K91" t="b">
        <v>1</v>
      </c>
      <c r="L91" t="b">
        <v>0</v>
      </c>
    </row>
    <row r="92" spans="1:12" x14ac:dyDescent="0.25">
      <c r="A92" s="4" t="s">
        <v>134</v>
      </c>
      <c r="B92" s="117" t="s">
        <v>438</v>
      </c>
      <c r="C92" t="s">
        <v>349</v>
      </c>
      <c r="D92">
        <v>38</v>
      </c>
      <c r="E92" t="s">
        <v>3900</v>
      </c>
      <c r="F92" s="42" t="b">
        <v>1</v>
      </c>
      <c r="G92" s="42" t="b">
        <v>1</v>
      </c>
      <c r="H92">
        <v>1</v>
      </c>
      <c r="J92" t="b">
        <v>1</v>
      </c>
      <c r="K92" t="b">
        <v>1</v>
      </c>
      <c r="L92" t="b">
        <v>0</v>
      </c>
    </row>
    <row r="93" spans="1:12" x14ac:dyDescent="0.25">
      <c r="A93" s="4" t="s">
        <v>79</v>
      </c>
      <c r="B93" s="117" t="s">
        <v>439</v>
      </c>
      <c r="C93" t="s">
        <v>349</v>
      </c>
      <c r="D93">
        <v>38</v>
      </c>
      <c r="E93" t="s">
        <v>3900</v>
      </c>
      <c r="F93" s="42" t="b">
        <v>1</v>
      </c>
      <c r="G93" s="42" t="b">
        <v>1</v>
      </c>
      <c r="H93">
        <v>1</v>
      </c>
      <c r="J93" t="b">
        <v>1</v>
      </c>
      <c r="K93" t="b">
        <v>1</v>
      </c>
      <c r="L93" t="b">
        <v>0</v>
      </c>
    </row>
    <row r="94" spans="1:12" x14ac:dyDescent="0.25">
      <c r="A94" s="44" t="s">
        <v>81</v>
      </c>
      <c r="B94" s="118" t="s">
        <v>440</v>
      </c>
      <c r="C94" t="s">
        <v>350</v>
      </c>
      <c r="D94">
        <v>39</v>
      </c>
      <c r="E94" t="s">
        <v>3900</v>
      </c>
      <c r="F94" s="42" t="b">
        <v>1</v>
      </c>
      <c r="G94" s="42" t="b">
        <v>1</v>
      </c>
      <c r="I94" s="18" t="s">
        <v>3902</v>
      </c>
      <c r="J94" t="b">
        <v>1</v>
      </c>
      <c r="K94" t="b">
        <v>1</v>
      </c>
      <c r="L94" t="b">
        <v>1</v>
      </c>
    </row>
    <row r="95" spans="1:12" x14ac:dyDescent="0.25">
      <c r="A95" s="44" t="s">
        <v>82</v>
      </c>
      <c r="B95" s="118" t="s">
        <v>441</v>
      </c>
      <c r="C95" t="s">
        <v>349</v>
      </c>
      <c r="D95">
        <v>40</v>
      </c>
      <c r="E95" t="s">
        <v>3900</v>
      </c>
      <c r="F95" s="42" t="b">
        <v>1</v>
      </c>
      <c r="G95" s="42" t="b">
        <v>1</v>
      </c>
      <c r="I95" s="18" t="s">
        <v>3902</v>
      </c>
      <c r="J95" t="b">
        <v>1</v>
      </c>
      <c r="K95" t="b">
        <v>1</v>
      </c>
      <c r="L95" t="b">
        <v>1</v>
      </c>
    </row>
    <row r="96" spans="1:12" x14ac:dyDescent="0.25">
      <c r="A96" s="44" t="s">
        <v>83</v>
      </c>
      <c r="B96" s="118" t="s">
        <v>442</v>
      </c>
      <c r="C96" t="s">
        <v>332</v>
      </c>
      <c r="D96">
        <v>41</v>
      </c>
      <c r="E96" t="s">
        <v>3900</v>
      </c>
      <c r="F96" s="42" t="b">
        <v>1</v>
      </c>
      <c r="G96" s="42" t="b">
        <v>1</v>
      </c>
      <c r="H96">
        <v>1</v>
      </c>
      <c r="J96" t="b">
        <v>1</v>
      </c>
      <c r="K96" t="b">
        <v>1</v>
      </c>
      <c r="L96" t="b">
        <v>0</v>
      </c>
    </row>
    <row r="97" spans="1:12" x14ac:dyDescent="0.25">
      <c r="A97" s="44" t="s">
        <v>353</v>
      </c>
      <c r="B97" s="118" t="s">
        <v>443</v>
      </c>
      <c r="C97" t="s">
        <v>332</v>
      </c>
      <c r="D97">
        <v>41</v>
      </c>
      <c r="E97" t="s">
        <v>3900</v>
      </c>
      <c r="F97" s="42" t="b">
        <v>1</v>
      </c>
      <c r="G97" s="42" t="b">
        <v>1</v>
      </c>
      <c r="H97">
        <v>1</v>
      </c>
      <c r="J97" t="b">
        <v>0</v>
      </c>
      <c r="K97" t="b">
        <v>0</v>
      </c>
      <c r="L97" t="b">
        <v>0</v>
      </c>
    </row>
    <row r="98" spans="1:12" x14ac:dyDescent="0.25">
      <c r="A98" s="44" t="s">
        <v>84</v>
      </c>
      <c r="B98" s="118" t="s">
        <v>444</v>
      </c>
      <c r="C98" t="s">
        <v>349</v>
      </c>
      <c r="D98">
        <v>42</v>
      </c>
      <c r="E98" t="s">
        <v>3900</v>
      </c>
      <c r="F98" s="42" t="b">
        <v>1</v>
      </c>
      <c r="G98" s="42" t="b">
        <v>1</v>
      </c>
      <c r="I98" s="18" t="s">
        <v>3902</v>
      </c>
      <c r="J98" t="b">
        <v>0</v>
      </c>
      <c r="K98" t="b">
        <v>0</v>
      </c>
      <c r="L98" t="b">
        <v>1</v>
      </c>
    </row>
    <row r="99" spans="1:12" x14ac:dyDescent="0.25">
      <c r="A99" s="123" t="s">
        <v>3888</v>
      </c>
      <c r="B99" s="125" t="s">
        <v>3889</v>
      </c>
      <c r="C99" t="s">
        <v>350</v>
      </c>
      <c r="D99">
        <v>43</v>
      </c>
      <c r="E99" t="s">
        <v>3910</v>
      </c>
      <c r="F99" s="42" t="b">
        <v>0</v>
      </c>
      <c r="G99" s="42" t="b">
        <v>0</v>
      </c>
      <c r="J99" t="b">
        <v>1</v>
      </c>
      <c r="K99" t="b">
        <v>1</v>
      </c>
      <c r="L99" t="b">
        <v>0</v>
      </c>
    </row>
    <row r="100" spans="1:12" x14ac:dyDescent="0.25">
      <c r="A100" s="124" t="s">
        <v>3890</v>
      </c>
      <c r="B100" s="125" t="s">
        <v>3891</v>
      </c>
      <c r="C100" t="s">
        <v>350</v>
      </c>
      <c r="D100">
        <v>44</v>
      </c>
      <c r="E100" t="s">
        <v>3910</v>
      </c>
      <c r="F100" s="42" t="b">
        <v>0</v>
      </c>
      <c r="G100" s="42" t="b">
        <v>0</v>
      </c>
      <c r="J100" t="b">
        <v>1</v>
      </c>
      <c r="K100" t="b">
        <v>1</v>
      </c>
      <c r="L100" t="b">
        <v>0</v>
      </c>
    </row>
    <row r="101" spans="1:12" x14ac:dyDescent="0.25">
      <c r="A101" s="124" t="s">
        <v>448</v>
      </c>
      <c r="B101" s="125" t="s">
        <v>451</v>
      </c>
      <c r="C101" t="s">
        <v>350</v>
      </c>
      <c r="D101">
        <v>45</v>
      </c>
      <c r="E101" t="s">
        <v>3910</v>
      </c>
      <c r="F101" s="42" t="b">
        <v>0</v>
      </c>
      <c r="G101" s="42" t="b">
        <v>0</v>
      </c>
      <c r="J101" t="b">
        <v>0</v>
      </c>
      <c r="K101" t="b">
        <v>0</v>
      </c>
      <c r="L101" t="b">
        <v>0</v>
      </c>
    </row>
    <row r="102" spans="1:12" x14ac:dyDescent="0.25">
      <c r="A102" s="124" t="s">
        <v>449</v>
      </c>
      <c r="B102" s="125" t="s">
        <v>452</v>
      </c>
      <c r="C102" t="s">
        <v>350</v>
      </c>
      <c r="D102">
        <v>46</v>
      </c>
      <c r="E102" t="s">
        <v>3910</v>
      </c>
      <c r="F102" s="42" t="b">
        <v>0</v>
      </c>
      <c r="G102" s="42" t="b">
        <v>1</v>
      </c>
      <c r="I102" s="18" t="s">
        <v>3902</v>
      </c>
      <c r="J102" t="b">
        <v>0</v>
      </c>
      <c r="K102" t="b">
        <v>0</v>
      </c>
      <c r="L102" t="b">
        <v>0</v>
      </c>
    </row>
    <row r="103" spans="1:12" x14ac:dyDescent="0.25">
      <c r="A103" s="124" t="s">
        <v>450</v>
      </c>
      <c r="B103" s="125" t="s">
        <v>453</v>
      </c>
      <c r="C103" t="s">
        <v>350</v>
      </c>
      <c r="D103">
        <v>47</v>
      </c>
      <c r="E103" t="s">
        <v>3910</v>
      </c>
      <c r="F103" s="42" t="b">
        <v>0</v>
      </c>
      <c r="G103" s="42" t="b">
        <v>0</v>
      </c>
      <c r="J103" t="b">
        <v>0</v>
      </c>
      <c r="K103" t="b">
        <v>0</v>
      </c>
      <c r="L103" t="b">
        <v>0</v>
      </c>
    </row>
  </sheetData>
  <conditionalFormatting sqref="A2:B4 A11:B12 A6:B9 A23:B93">
    <cfRule type="containsBlanks" dxfId="212" priority="11">
      <formula>LEN(TRIM(A2))=0</formula>
    </cfRule>
  </conditionalFormatting>
  <conditionalFormatting sqref="A10:B10">
    <cfRule type="containsBlanks" dxfId="211" priority="10">
      <formula>LEN(TRIM(A10))=0</formula>
    </cfRule>
  </conditionalFormatting>
  <conditionalFormatting sqref="A5:B5">
    <cfRule type="containsBlanks" dxfId="210" priority="9">
      <formula>LEN(TRIM(A5))=0</formula>
    </cfRule>
  </conditionalFormatting>
  <conditionalFormatting sqref="A13:B22">
    <cfRule type="containsBlanks" dxfId="209" priority="8">
      <formula>LEN(TRIM(A13))=0</formula>
    </cfRule>
  </conditionalFormatting>
  <conditionalFormatting sqref="A95:B98">
    <cfRule type="containsBlanks" dxfId="208" priority="4">
      <formula>LEN(TRIM(A95))=0</formula>
    </cfRule>
  </conditionalFormatting>
  <conditionalFormatting sqref="A99:A103">
    <cfRule type="containsBlanks" dxfId="207" priority="3">
      <formula>LEN(TRIM(A99))=0</formula>
    </cfRule>
  </conditionalFormatting>
  <conditionalFormatting sqref="A94">
    <cfRule type="containsBlanks" dxfId="206" priority="2">
      <formula>LEN(TRIM(A94))=0</formula>
    </cfRule>
  </conditionalFormatting>
  <conditionalFormatting sqref="B94">
    <cfRule type="containsBlanks" dxfId="205" priority="1">
      <formula>LEN(TRIM(B94))=0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 sqref="E1"/>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1097E-CAF1-4F16-B6A5-B19BB78FC807}">
  <dimension ref="A1:D179"/>
  <sheetViews>
    <sheetView workbookViewId="0">
      <selection activeCell="F33" sqref="F33"/>
    </sheetView>
  </sheetViews>
  <sheetFormatPr defaultRowHeight="15" x14ac:dyDescent="0.25"/>
  <sheetData>
    <row r="1" spans="1:4" x14ac:dyDescent="0.25">
      <c r="A1" s="75" t="s">
        <v>64</v>
      </c>
      <c r="B1" s="75" t="s">
        <v>36</v>
      </c>
      <c r="C1" s="75" t="s">
        <v>65</v>
      </c>
      <c r="D1" s="75"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4">
        <v>3426.31</v>
      </c>
    </row>
    <row r="8" spans="1:4" x14ac:dyDescent="0.25">
      <c r="A8">
        <v>1987</v>
      </c>
      <c r="B8" t="s">
        <v>477</v>
      </c>
      <c r="C8">
        <v>16480.224399999999</v>
      </c>
      <c r="D8" s="174">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4763.1000000000004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4">
        <v>1132.05</v>
      </c>
    </row>
    <row r="34" spans="1:4" x14ac:dyDescent="0.25">
      <c r="A34">
        <v>1986</v>
      </c>
      <c r="B34" t="s">
        <v>540</v>
      </c>
      <c r="C34">
        <v>15082.56027</v>
      </c>
      <c r="D34" s="174">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C40" t="s">
        <v>98</v>
      </c>
      <c r="D40" s="174">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4">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c r="D98" t="s">
        <v>98</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4">
        <v>1190.67</v>
      </c>
    </row>
    <row r="108" spans="1:4" x14ac:dyDescent="0.25">
      <c r="A108">
        <v>2005</v>
      </c>
      <c r="B108" t="s">
        <v>515</v>
      </c>
      <c r="C108">
        <v>20349.749179999999</v>
      </c>
      <c r="D108" s="174">
        <v>1351.08</v>
      </c>
    </row>
    <row r="109" spans="1:4" x14ac:dyDescent="0.25">
      <c r="A109">
        <v>2006</v>
      </c>
      <c r="B109" t="s">
        <v>515</v>
      </c>
      <c r="C109">
        <v>20841.356749999999</v>
      </c>
      <c r="D109" s="174">
        <v>1400.39</v>
      </c>
    </row>
    <row r="110" spans="1:4" x14ac:dyDescent="0.25">
      <c r="A110">
        <v>2015</v>
      </c>
      <c r="B110" t="s">
        <v>515</v>
      </c>
      <c r="C110">
        <v>23733.290249999998</v>
      </c>
      <c r="D110" s="174">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C134" t="s">
        <v>98</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4">
        <v>1423</v>
      </c>
    </row>
    <row r="138" spans="1:4" x14ac:dyDescent="0.25">
      <c r="A138">
        <v>2000</v>
      </c>
      <c r="B138" t="s">
        <v>329</v>
      </c>
      <c r="C138">
        <v>24477.315709999999</v>
      </c>
      <c r="D138" s="174">
        <v>1503.07</v>
      </c>
    </row>
    <row r="139" spans="1:4" x14ac:dyDescent="0.25">
      <c r="A139">
        <v>2001</v>
      </c>
      <c r="B139" t="s">
        <v>329</v>
      </c>
      <c r="C139">
        <v>25208.408510000001</v>
      </c>
      <c r="D139" s="174">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G64" sqref="G6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12</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17</v>
      </c>
      <c r="K3" cm="1">
        <f t="array" ref="K3">IFERROR(INDEX(impact_factors!$C$1:$C$3000,MATCH(TRUE,ISNUMBER(SEARCH(H3,impact_factors!$B$1:$B$3000)),0)),IF(H3="XX",0,"X"))</f>
        <v>0.03</v>
      </c>
      <c r="L3">
        <v>16</v>
      </c>
      <c r="M3" t="s">
        <v>625</v>
      </c>
      <c r="N3" t="s">
        <v>626</v>
      </c>
      <c r="O3" t="s">
        <v>627</v>
      </c>
      <c r="P3" t="s">
        <v>161</v>
      </c>
      <c r="Q3" t="s">
        <v>161</v>
      </c>
      <c r="R3" t="s">
        <v>161</v>
      </c>
      <c r="S3" s="25">
        <v>1</v>
      </c>
    </row>
    <row r="4" spans="1:19" x14ac:dyDescent="0.25">
      <c r="A4">
        <v>3</v>
      </c>
      <c r="B4" t="s">
        <v>124</v>
      </c>
      <c r="C4" t="s">
        <v>628</v>
      </c>
      <c r="D4">
        <v>2006</v>
      </c>
      <c r="E4" t="s">
        <v>629</v>
      </c>
      <c r="F4" t="s">
        <v>630</v>
      </c>
      <c r="G4" t="s">
        <v>631</v>
      </c>
      <c r="H4" t="s">
        <v>3855</v>
      </c>
      <c r="I4" t="b">
        <v>1</v>
      </c>
      <c r="J4">
        <f t="shared" si="0"/>
        <v>10</v>
      </c>
      <c r="K4" cm="1">
        <f t="array" ref="K4">IFERROR(INDEX(impact_factors!$C$1:$C$3000,MATCH(TRUE,ISNUMBER(SEARCH(H4,impact_factors!$B$1:$B$3000)),0)),IF(H4="XX",0,"X"))</f>
        <v>3.5000000000000003E-2</v>
      </c>
      <c r="L4">
        <v>33</v>
      </c>
      <c r="M4" t="s">
        <v>632</v>
      </c>
      <c r="N4" t="s">
        <v>633</v>
      </c>
      <c r="O4" s="167" t="s">
        <v>634</v>
      </c>
      <c r="P4" t="s">
        <v>161</v>
      </c>
      <c r="Q4" t="s">
        <v>161</v>
      </c>
      <c r="R4" t="s">
        <v>161</v>
      </c>
      <c r="S4" s="25">
        <v>2</v>
      </c>
    </row>
    <row r="5" spans="1:19" x14ac:dyDescent="0.25">
      <c r="A5">
        <v>4</v>
      </c>
      <c r="B5" t="s">
        <v>125</v>
      </c>
      <c r="C5" t="s">
        <v>635</v>
      </c>
      <c r="D5">
        <v>2010</v>
      </c>
      <c r="E5" t="s">
        <v>636</v>
      </c>
      <c r="F5" t="s">
        <v>637</v>
      </c>
      <c r="G5" t="s">
        <v>638</v>
      </c>
      <c r="H5" t="s">
        <v>3856</v>
      </c>
      <c r="I5" t="b">
        <v>1</v>
      </c>
      <c r="J5">
        <f t="shared" si="0"/>
        <v>14</v>
      </c>
      <c r="K5" cm="1">
        <f t="array" ref="K5">IFERROR(INDEX(impact_factors!$C$1:$C$3000,MATCH(TRUE,ISNUMBER(SEARCH(H5,impact_factors!$B$1:$B$3000)),0)),IF(H5="XX",0,"X"))</f>
        <v>1.2E-2</v>
      </c>
      <c r="L5">
        <v>36</v>
      </c>
      <c r="M5" t="s">
        <v>639</v>
      </c>
      <c r="N5" t="s">
        <v>640</v>
      </c>
      <c r="O5" t="s">
        <v>641</v>
      </c>
      <c r="P5" t="s">
        <v>161</v>
      </c>
      <c r="Q5" t="s">
        <v>161</v>
      </c>
      <c r="R5" t="s">
        <v>161</v>
      </c>
      <c r="S5" s="25">
        <v>3</v>
      </c>
    </row>
    <row r="6" spans="1:19" x14ac:dyDescent="0.25">
      <c r="A6">
        <v>5</v>
      </c>
      <c r="B6" t="s">
        <v>128</v>
      </c>
      <c r="C6" t="s">
        <v>642</v>
      </c>
      <c r="D6">
        <v>2020</v>
      </c>
      <c r="E6" t="s">
        <v>643</v>
      </c>
      <c r="F6" t="s">
        <v>644</v>
      </c>
      <c r="G6" t="s">
        <v>645</v>
      </c>
      <c r="H6" t="s">
        <v>3857</v>
      </c>
      <c r="I6" t="b">
        <v>1</v>
      </c>
      <c r="J6">
        <f t="shared" si="0"/>
        <v>24</v>
      </c>
      <c r="K6" cm="1">
        <f t="array" ref="K6">IFERROR(INDEX(impact_factors!$C$1:$C$3000,MATCH(TRUE,ISNUMBER(SEARCH(H6,impact_factors!$B$1:$B$3000)),0)),IF(H6="XX",0,"X"))</f>
        <v>9.7000000000000003E-2</v>
      </c>
      <c r="L6">
        <v>2</v>
      </c>
      <c r="M6" t="s">
        <v>646</v>
      </c>
      <c r="N6" t="s">
        <v>647</v>
      </c>
      <c r="O6" t="s">
        <v>648</v>
      </c>
      <c r="P6" t="s">
        <v>161</v>
      </c>
      <c r="Q6" t="s">
        <v>161</v>
      </c>
      <c r="R6" t="s">
        <v>161</v>
      </c>
      <c r="S6" s="25">
        <v>3</v>
      </c>
    </row>
    <row r="7" spans="1:19" x14ac:dyDescent="0.25">
      <c r="A7">
        <v>6</v>
      </c>
      <c r="B7" t="s">
        <v>129</v>
      </c>
      <c r="C7" t="s">
        <v>649</v>
      </c>
      <c r="D7">
        <v>2004</v>
      </c>
      <c r="E7" t="s">
        <v>650</v>
      </c>
      <c r="F7" t="s">
        <v>651</v>
      </c>
      <c r="G7" t="s">
        <v>652</v>
      </c>
      <c r="H7" t="s">
        <v>3879</v>
      </c>
      <c r="I7" t="b">
        <v>1</v>
      </c>
      <c r="J7">
        <f t="shared" si="0"/>
        <v>8</v>
      </c>
      <c r="K7" cm="1">
        <f t="array" ref="K7">IFERROR(INDEX(impact_factors!$C$1:$C$3000,MATCH(TRUE,ISNUMBER(SEARCH(H7,impact_factors!$B$1:$B$3000)),0)),IF(H7="XX",0,"X"))</f>
        <v>0</v>
      </c>
      <c r="L7">
        <v>65</v>
      </c>
      <c r="M7" t="s">
        <v>653</v>
      </c>
      <c r="N7" t="s">
        <v>654</v>
      </c>
      <c r="O7" t="s">
        <v>655</v>
      </c>
      <c r="P7" t="s">
        <v>161</v>
      </c>
      <c r="Q7" t="s">
        <v>161</v>
      </c>
      <c r="R7" t="s">
        <v>161</v>
      </c>
      <c r="S7" s="25">
        <v>4</v>
      </c>
    </row>
    <row r="8" spans="1:19" x14ac:dyDescent="0.25">
      <c r="A8">
        <v>7</v>
      </c>
      <c r="B8" t="s">
        <v>131</v>
      </c>
      <c r="C8" t="s">
        <v>656</v>
      </c>
      <c r="D8">
        <v>2004</v>
      </c>
      <c r="E8" t="s">
        <v>657</v>
      </c>
      <c r="F8" t="s">
        <v>658</v>
      </c>
      <c r="G8" t="s">
        <v>659</v>
      </c>
      <c r="H8" t="s">
        <v>3879</v>
      </c>
      <c r="I8" t="b">
        <v>0</v>
      </c>
      <c r="J8">
        <f t="shared" si="0"/>
        <v>8</v>
      </c>
      <c r="K8" cm="1">
        <f t="array" ref="K8">IFERROR(INDEX(impact_factors!$C$1:$C$3000,MATCH(TRUE,ISNUMBER(SEARCH(H8,impact_factors!$B$1:$B$3000)),0)),IF(H8="XX",0,"X"))</f>
        <v>0</v>
      </c>
      <c r="L8">
        <v>0</v>
      </c>
      <c r="M8" t="s">
        <v>660</v>
      </c>
      <c r="N8" t="s">
        <v>661</v>
      </c>
      <c r="O8" t="s">
        <v>661</v>
      </c>
      <c r="P8" t="s">
        <v>161</v>
      </c>
      <c r="Q8" t="s">
        <v>161</v>
      </c>
      <c r="R8" t="s">
        <v>161</v>
      </c>
      <c r="S8" s="25">
        <v>3</v>
      </c>
    </row>
    <row r="9" spans="1:19" x14ac:dyDescent="0.25">
      <c r="A9">
        <v>8</v>
      </c>
      <c r="B9" t="s">
        <v>17</v>
      </c>
      <c r="C9" t="s">
        <v>662</v>
      </c>
      <c r="D9">
        <v>2013</v>
      </c>
      <c r="E9" t="s">
        <v>663</v>
      </c>
      <c r="F9" t="s">
        <v>664</v>
      </c>
      <c r="G9" t="s">
        <v>665</v>
      </c>
      <c r="H9" t="s">
        <v>3858</v>
      </c>
      <c r="I9" t="b">
        <v>1</v>
      </c>
      <c r="J9">
        <f t="shared" si="0"/>
        <v>17</v>
      </c>
      <c r="K9" cm="1">
        <f t="array" ref="K9">IFERROR(INDEX(impact_factors!$C$1:$C$3000,MATCH(TRUE,ISNUMBER(SEARCH(H9,impact_factors!$B$1:$B$3000)),0)),IF(H9="XX",0,"X"))</f>
        <v>2.5000000000000001E-2</v>
      </c>
      <c r="L9">
        <v>44</v>
      </c>
      <c r="M9" t="s">
        <v>666</v>
      </c>
      <c r="N9" t="s">
        <v>667</v>
      </c>
      <c r="O9" t="s">
        <v>641</v>
      </c>
      <c r="P9" t="s">
        <v>161</v>
      </c>
      <c r="Q9" t="s">
        <v>161</v>
      </c>
      <c r="R9" t="s">
        <v>161</v>
      </c>
      <c r="S9" s="25">
        <v>3</v>
      </c>
    </row>
    <row r="10" spans="1:19" x14ac:dyDescent="0.25">
      <c r="A10">
        <v>9</v>
      </c>
      <c r="B10" t="s">
        <v>4</v>
      </c>
      <c r="C10" t="s">
        <v>668</v>
      </c>
      <c r="D10">
        <v>2006</v>
      </c>
      <c r="E10" t="s">
        <v>669</v>
      </c>
      <c r="F10" t="s">
        <v>670</v>
      </c>
      <c r="G10" t="s">
        <v>671</v>
      </c>
      <c r="H10" t="s">
        <v>3859</v>
      </c>
      <c r="I10" t="b">
        <v>1</v>
      </c>
      <c r="J10">
        <f t="shared" si="0"/>
        <v>10</v>
      </c>
      <c r="K10" cm="1">
        <f t="array" ref="K10">IFERROR(INDEX(impact_factors!$C$1:$C$3000,MATCH(TRUE,ISNUMBER(SEARCH(H10,impact_factors!$B$1:$B$3000)),0)),IF(H10="XX",0,"X"))</f>
        <v>0.14599999999999999</v>
      </c>
      <c r="L10">
        <v>187</v>
      </c>
      <c r="M10" t="s">
        <v>672</v>
      </c>
      <c r="N10" t="s">
        <v>673</v>
      </c>
      <c r="O10" t="s">
        <v>674</v>
      </c>
      <c r="P10" t="s">
        <v>161</v>
      </c>
      <c r="Q10" t="s">
        <v>161</v>
      </c>
      <c r="R10" t="s">
        <v>161</v>
      </c>
      <c r="S10" s="25">
        <v>4</v>
      </c>
    </row>
    <row r="11" spans="1:19" x14ac:dyDescent="0.25">
      <c r="A11">
        <v>10</v>
      </c>
      <c r="B11" t="s">
        <v>22</v>
      </c>
      <c r="C11" t="s">
        <v>675</v>
      </c>
      <c r="D11">
        <v>1998</v>
      </c>
      <c r="E11" t="s">
        <v>676</v>
      </c>
      <c r="F11" t="s">
        <v>677</v>
      </c>
      <c r="G11" t="s">
        <v>678</v>
      </c>
      <c r="H11" t="s">
        <v>3879</v>
      </c>
      <c r="I11" t="b">
        <v>0</v>
      </c>
      <c r="J11">
        <f t="shared" si="0"/>
        <v>2</v>
      </c>
      <c r="K11" cm="1">
        <f t="array" ref="K11">IFERROR(INDEX(impact_factors!$C$1:$C$3000,MATCH(TRUE,ISNUMBER(SEARCH(H11,impact_factors!$B$1:$B$3000)),0)),IF(H11="XX",0,"X"))</f>
        <v>0</v>
      </c>
      <c r="L11">
        <v>110</v>
      </c>
      <c r="M11" t="s">
        <v>679</v>
      </c>
      <c r="N11" t="s">
        <v>680</v>
      </c>
      <c r="O11" t="s">
        <v>681</v>
      </c>
      <c r="P11" t="s">
        <v>161</v>
      </c>
      <c r="Q11" t="s">
        <v>161</v>
      </c>
      <c r="R11" t="s">
        <v>161</v>
      </c>
      <c r="S11" s="25">
        <v>2</v>
      </c>
    </row>
    <row r="12" spans="1:19" x14ac:dyDescent="0.25">
      <c r="A12">
        <v>11</v>
      </c>
      <c r="B12" t="s">
        <v>138</v>
      </c>
      <c r="C12" t="s">
        <v>682</v>
      </c>
      <c r="D12">
        <v>2019</v>
      </c>
      <c r="E12" t="s">
        <v>683</v>
      </c>
      <c r="F12" t="s">
        <v>684</v>
      </c>
      <c r="G12" t="s">
        <v>685</v>
      </c>
      <c r="H12" t="s">
        <v>3860</v>
      </c>
      <c r="I12" t="b">
        <v>1</v>
      </c>
      <c r="J12">
        <f t="shared" si="0"/>
        <v>23</v>
      </c>
      <c r="K12" cm="1">
        <f t="array" ref="K12">IFERROR(INDEX(impact_factors!$C$1:$C$3000,MATCH(TRUE,ISNUMBER(SEARCH(H12,impact_factors!$B$1:$B$3000)),0)),IF(H12="XX",0,"X"))</f>
        <v>5.0000000000000001E-3</v>
      </c>
      <c r="L12">
        <v>12</v>
      </c>
      <c r="M12" t="s">
        <v>686</v>
      </c>
      <c r="N12" t="s">
        <v>687</v>
      </c>
      <c r="O12" t="s">
        <v>688</v>
      </c>
      <c r="P12" t="s">
        <v>161</v>
      </c>
      <c r="Q12" t="s">
        <v>161</v>
      </c>
      <c r="R12" t="s">
        <v>161</v>
      </c>
      <c r="S12" s="25">
        <v>2</v>
      </c>
    </row>
    <row r="13" spans="1:19" x14ac:dyDescent="0.25">
      <c r="A13">
        <v>12</v>
      </c>
      <c r="B13" t="s">
        <v>139</v>
      </c>
      <c r="C13" t="s">
        <v>689</v>
      </c>
      <c r="D13">
        <v>2015</v>
      </c>
      <c r="E13" t="s">
        <v>690</v>
      </c>
      <c r="F13" t="s">
        <v>691</v>
      </c>
      <c r="G13" t="s">
        <v>692</v>
      </c>
      <c r="H13" t="s">
        <v>3880</v>
      </c>
      <c r="I13" t="b">
        <v>1</v>
      </c>
      <c r="J13">
        <f t="shared" si="0"/>
        <v>19</v>
      </c>
      <c r="K13" cm="1">
        <f t="array" ref="K13">IFERROR(INDEX(impact_factors!$C$1:$C$3000,MATCH(TRUE,ISNUMBER(SEARCH(H13,impact_factors!$B$1:$B$3000)),0)),IF(H13="XX",0,"X"))</f>
        <v>1.7999999999999999E-2</v>
      </c>
      <c r="L13">
        <v>23</v>
      </c>
      <c r="M13" t="s">
        <v>693</v>
      </c>
      <c r="N13" t="s">
        <v>694</v>
      </c>
      <c r="O13" t="s">
        <v>695</v>
      </c>
      <c r="P13" t="s">
        <v>161</v>
      </c>
      <c r="Q13" t="s">
        <v>161</v>
      </c>
      <c r="R13" t="s">
        <v>161</v>
      </c>
      <c r="S13" s="25">
        <v>2</v>
      </c>
    </row>
    <row r="14" spans="1:19" x14ac:dyDescent="0.25">
      <c r="A14">
        <v>13</v>
      </c>
      <c r="B14" t="s">
        <v>140</v>
      </c>
      <c r="C14" t="s">
        <v>696</v>
      </c>
      <c r="D14">
        <v>2014</v>
      </c>
      <c r="E14" t="s">
        <v>697</v>
      </c>
      <c r="F14" t="s">
        <v>698</v>
      </c>
      <c r="G14" t="s">
        <v>699</v>
      </c>
      <c r="H14" t="s">
        <v>3881</v>
      </c>
      <c r="I14" t="b">
        <v>1</v>
      </c>
      <c r="J14">
        <f t="shared" si="0"/>
        <v>18</v>
      </c>
      <c r="K14" t="str" cm="1">
        <f t="array" ref="K14">IFERROR(INDEX(impact_factors!$C$1:$C$3000,MATCH(TRUE,ISNUMBER(SEARCH(H14,impact_factors!$B$1:$B$3000)),0)),IF(H14="XX",0,"X"))</f>
        <v>X</v>
      </c>
      <c r="L14">
        <v>3</v>
      </c>
      <c r="M14" t="s">
        <v>700</v>
      </c>
      <c r="N14" t="s">
        <v>701</v>
      </c>
      <c r="O14" t="s">
        <v>701</v>
      </c>
      <c r="P14" t="s">
        <v>161</v>
      </c>
      <c r="Q14" t="s">
        <v>161</v>
      </c>
      <c r="R14" t="s">
        <v>161</v>
      </c>
      <c r="S14" s="25">
        <v>3</v>
      </c>
    </row>
    <row r="15" spans="1:19" x14ac:dyDescent="0.25">
      <c r="A15">
        <v>14</v>
      </c>
      <c r="B15" t="s">
        <v>141</v>
      </c>
      <c r="C15" t="s">
        <v>702</v>
      </c>
      <c r="D15">
        <v>2014</v>
      </c>
      <c r="E15" t="s">
        <v>703</v>
      </c>
      <c r="F15" t="s">
        <v>704</v>
      </c>
      <c r="G15" t="s">
        <v>705</v>
      </c>
      <c r="H15" t="s">
        <v>3861</v>
      </c>
      <c r="I15" t="b">
        <v>0</v>
      </c>
      <c r="J15">
        <f t="shared" si="0"/>
        <v>18</v>
      </c>
      <c r="K15" t="str" cm="1">
        <f t="array" ref="K15">IFERROR(INDEX(impact_factors!$C$1:$C$3000,MATCH(TRUE,ISNUMBER(SEARCH(H15,impact_factors!$B$1:$B$3000)),0)),IF(H15="XX",0,"X"))</f>
        <v>X</v>
      </c>
      <c r="L15">
        <v>5</v>
      </c>
      <c r="M15" t="s">
        <v>706</v>
      </c>
      <c r="N15" t="s">
        <v>641</v>
      </c>
      <c r="O15" t="s">
        <v>641</v>
      </c>
      <c r="P15" t="s">
        <v>161</v>
      </c>
      <c r="Q15" t="s">
        <v>161</v>
      </c>
      <c r="R15" t="s">
        <v>161</v>
      </c>
      <c r="S15" s="25">
        <v>4</v>
      </c>
    </row>
    <row r="16" spans="1:19" x14ac:dyDescent="0.25">
      <c r="A16">
        <v>15</v>
      </c>
      <c r="B16" t="s">
        <v>166</v>
      </c>
      <c r="C16" t="s">
        <v>708</v>
      </c>
      <c r="D16">
        <v>2012</v>
      </c>
      <c r="E16" t="s">
        <v>709</v>
      </c>
      <c r="F16" t="s">
        <v>710</v>
      </c>
      <c r="G16" t="s">
        <v>711</v>
      </c>
      <c r="H16" t="s">
        <v>3879</v>
      </c>
      <c r="I16" t="b">
        <v>0</v>
      </c>
      <c r="J16">
        <f t="shared" si="0"/>
        <v>16</v>
      </c>
      <c r="K16" cm="1">
        <f t="array" ref="K16">IFERROR(INDEX(impact_factors!$C$1:$C$3000,MATCH(TRUE,ISNUMBER(SEARCH(H16,impact_factors!$B$1:$B$3000)),0)),IF(H16="XX",0,"X"))</f>
        <v>0</v>
      </c>
      <c r="L16">
        <v>106</v>
      </c>
      <c r="M16" t="s">
        <v>712</v>
      </c>
      <c r="N16" t="s">
        <v>713</v>
      </c>
      <c r="O16" t="s">
        <v>714</v>
      </c>
      <c r="P16" t="s">
        <v>161</v>
      </c>
      <c r="Q16" t="s">
        <v>161</v>
      </c>
      <c r="R16" t="s">
        <v>161</v>
      </c>
      <c r="S16" s="25">
        <v>3</v>
      </c>
    </row>
    <row r="17" spans="1:19" x14ac:dyDescent="0.25">
      <c r="A17">
        <v>16</v>
      </c>
      <c r="B17" t="s">
        <v>192</v>
      </c>
      <c r="C17" t="s">
        <v>715</v>
      </c>
      <c r="D17">
        <v>2008</v>
      </c>
      <c r="E17" t="s">
        <v>716</v>
      </c>
      <c r="F17" t="s">
        <v>717</v>
      </c>
      <c r="G17" t="s">
        <v>718</v>
      </c>
      <c r="H17" t="s">
        <v>3879</v>
      </c>
      <c r="I17" t="b">
        <v>0</v>
      </c>
      <c r="J17">
        <f t="shared" si="0"/>
        <v>12</v>
      </c>
      <c r="K17" cm="1">
        <f t="array" ref="K17">IFERROR(INDEX(impact_factors!$C$1:$C$3000,MATCH(TRUE,ISNUMBER(SEARCH(H17,impact_factors!$B$1:$B$3000)),0)),IF(H17="XX",0,"X"))</f>
        <v>0</v>
      </c>
      <c r="L17">
        <v>30</v>
      </c>
      <c r="M17" t="s">
        <v>719</v>
      </c>
      <c r="N17" t="s">
        <v>720</v>
      </c>
      <c r="O17" t="s">
        <v>720</v>
      </c>
      <c r="P17" t="s">
        <v>161</v>
      </c>
      <c r="Q17" t="s">
        <v>161</v>
      </c>
      <c r="R17" t="s">
        <v>161</v>
      </c>
      <c r="S17" s="25">
        <v>2</v>
      </c>
    </row>
    <row r="18" spans="1:19" x14ac:dyDescent="0.25">
      <c r="A18">
        <v>17</v>
      </c>
      <c r="B18" t="s">
        <v>212</v>
      </c>
      <c r="C18" t="s">
        <v>721</v>
      </c>
      <c r="D18">
        <v>2021</v>
      </c>
      <c r="E18" t="s">
        <v>722</v>
      </c>
      <c r="F18" t="s">
        <v>723</v>
      </c>
      <c r="G18" t="s">
        <v>724</v>
      </c>
      <c r="H18" t="s">
        <v>3863</v>
      </c>
      <c r="I18" t="b">
        <v>1</v>
      </c>
      <c r="J18">
        <f t="shared" si="0"/>
        <v>25</v>
      </c>
      <c r="K18" cm="1">
        <f t="array" ref="K18">IFERROR(INDEX(impact_factors!$C$1:$C$3000,MATCH(TRUE,ISNUMBER(SEARCH(H18,impact_factors!$B$1:$B$3000)),0)),IF(H18="XX",0,"X"))</f>
        <v>4.149</v>
      </c>
      <c r="L18">
        <v>14</v>
      </c>
      <c r="M18" t="s">
        <v>725</v>
      </c>
      <c r="N18" t="s">
        <v>726</v>
      </c>
      <c r="O18" t="s">
        <v>641</v>
      </c>
      <c r="P18" t="s">
        <v>161</v>
      </c>
      <c r="Q18" t="s">
        <v>161</v>
      </c>
      <c r="R18" t="s">
        <v>161</v>
      </c>
      <c r="S18" s="25">
        <v>2</v>
      </c>
    </row>
    <row r="19" spans="1:19" x14ac:dyDescent="0.25">
      <c r="A19">
        <v>18</v>
      </c>
      <c r="B19" t="s">
        <v>213</v>
      </c>
      <c r="C19" t="s">
        <v>727</v>
      </c>
      <c r="D19">
        <v>2019</v>
      </c>
      <c r="E19" t="s">
        <v>728</v>
      </c>
      <c r="F19" t="s">
        <v>729</v>
      </c>
      <c r="G19" t="s">
        <v>730</v>
      </c>
      <c r="H19" t="s">
        <v>3862</v>
      </c>
      <c r="I19" t="b">
        <v>1</v>
      </c>
      <c r="J19">
        <f t="shared" si="0"/>
        <v>23</v>
      </c>
      <c r="K19" cm="1">
        <f t="array" ref="K19">IFERROR(INDEX(impact_factors!$C$1:$C$3000,MATCH(TRUE,ISNUMBER(SEARCH(H19,impact_factors!$B$1:$B$3000)),0)),IF(H19="XX",0,"X"))</f>
        <v>0.217</v>
      </c>
      <c r="L19">
        <v>129</v>
      </c>
      <c r="M19" t="s">
        <v>731</v>
      </c>
      <c r="N19" t="s">
        <v>732</v>
      </c>
      <c r="O19" t="s">
        <v>733</v>
      </c>
      <c r="P19" t="s">
        <v>161</v>
      </c>
      <c r="Q19" t="s">
        <v>161</v>
      </c>
      <c r="R19" t="s">
        <v>161</v>
      </c>
      <c r="S19" s="25">
        <v>2</v>
      </c>
    </row>
    <row r="20" spans="1:19" x14ac:dyDescent="0.25">
      <c r="A20">
        <v>19</v>
      </c>
      <c r="B20" t="s">
        <v>219</v>
      </c>
      <c r="C20" t="s">
        <v>734</v>
      </c>
      <c r="D20">
        <v>2013</v>
      </c>
      <c r="E20" t="s">
        <v>735</v>
      </c>
      <c r="F20" t="s">
        <v>736</v>
      </c>
      <c r="G20" t="s">
        <v>737</v>
      </c>
      <c r="H20" t="s">
        <v>3879</v>
      </c>
      <c r="I20" t="b">
        <v>0</v>
      </c>
      <c r="J20">
        <f t="shared" si="0"/>
        <v>17</v>
      </c>
      <c r="K20" cm="1">
        <f t="array" ref="K20">IFERROR(INDEX(impact_factors!$C$1:$C$3000,MATCH(TRUE,ISNUMBER(SEARCH(H20,impact_factors!$B$1:$B$3000)),0)),IF(H20="XX",0,"X"))</f>
        <v>0</v>
      </c>
      <c r="L20">
        <v>0</v>
      </c>
      <c r="M20" t="s">
        <v>738</v>
      </c>
      <c r="N20" t="s">
        <v>739</v>
      </c>
      <c r="O20" t="s">
        <v>739</v>
      </c>
      <c r="P20" t="s">
        <v>161</v>
      </c>
      <c r="Q20" t="s">
        <v>161</v>
      </c>
      <c r="R20" t="s">
        <v>161</v>
      </c>
      <c r="S20" s="25">
        <v>2</v>
      </c>
    </row>
    <row r="21" spans="1:19" x14ac:dyDescent="0.25">
      <c r="A21">
        <v>20</v>
      </c>
      <c r="B21" t="s">
        <v>232</v>
      </c>
      <c r="C21" t="s">
        <v>740</v>
      </c>
      <c r="D21">
        <v>1999</v>
      </c>
      <c r="E21" t="s">
        <v>741</v>
      </c>
      <c r="F21" t="s">
        <v>742</v>
      </c>
      <c r="G21" t="s">
        <v>743</v>
      </c>
      <c r="H21" t="s">
        <v>3879</v>
      </c>
      <c r="I21" t="b">
        <v>0</v>
      </c>
      <c r="J21">
        <f t="shared" si="0"/>
        <v>3</v>
      </c>
      <c r="K21" cm="1">
        <f t="array" ref="K21">IFERROR(INDEX(impact_factors!$C$1:$C$3000,MATCH(TRUE,ISNUMBER(SEARCH(H21,impact_factors!$B$1:$B$3000)),0)),IF(H21="XX",0,"X"))</f>
        <v>0</v>
      </c>
      <c r="L21">
        <v>591</v>
      </c>
      <c r="M21" t="s">
        <v>744</v>
      </c>
      <c r="N21" t="s">
        <v>745</v>
      </c>
      <c r="O21" t="s">
        <v>746</v>
      </c>
      <c r="P21" t="s">
        <v>161</v>
      </c>
      <c r="Q21" t="s">
        <v>161</v>
      </c>
      <c r="R21" t="s">
        <v>161</v>
      </c>
      <c r="S21" s="25">
        <v>4</v>
      </c>
    </row>
    <row r="22" spans="1:19" x14ac:dyDescent="0.25">
      <c r="A22">
        <v>21</v>
      </c>
      <c r="B22" t="s">
        <v>234</v>
      </c>
      <c r="C22" t="s">
        <v>747</v>
      </c>
      <c r="D22">
        <v>2020</v>
      </c>
      <c r="E22" t="s">
        <v>748</v>
      </c>
      <c r="F22" t="s">
        <v>749</v>
      </c>
      <c r="G22" t="s">
        <v>750</v>
      </c>
      <c r="H22" t="s">
        <v>3882</v>
      </c>
      <c r="I22" t="b">
        <v>1</v>
      </c>
      <c r="J22">
        <f t="shared" si="0"/>
        <v>24</v>
      </c>
      <c r="K22" cm="1">
        <f t="array" ref="K22">IFERROR(INDEX(impact_factors!$C$1:$C$3000,MATCH(TRUE,ISNUMBER(SEARCH(H22,impact_factors!$B$1:$B$3000)),0)),IF(H22="XX",0,"X"))</f>
        <v>1.2999999999999999E-2</v>
      </c>
      <c r="L22">
        <v>3</v>
      </c>
      <c r="M22" t="s">
        <v>751</v>
      </c>
      <c r="N22" t="s">
        <v>752</v>
      </c>
      <c r="O22" t="s">
        <v>641</v>
      </c>
      <c r="P22" t="s">
        <v>161</v>
      </c>
      <c r="Q22" t="s">
        <v>161</v>
      </c>
      <c r="R22" t="s">
        <v>161</v>
      </c>
      <c r="S22" s="25">
        <v>2</v>
      </c>
    </row>
    <row r="23" spans="1:19" x14ac:dyDescent="0.25">
      <c r="A23">
        <v>22</v>
      </c>
      <c r="B23" t="s">
        <v>235</v>
      </c>
      <c r="C23" t="s">
        <v>753</v>
      </c>
      <c r="D23">
        <v>2007</v>
      </c>
      <c r="E23" t="s">
        <v>754</v>
      </c>
      <c r="F23" t="s">
        <v>755</v>
      </c>
      <c r="G23" t="s">
        <v>756</v>
      </c>
      <c r="H23" t="s">
        <v>3879</v>
      </c>
      <c r="I23" t="b">
        <v>0</v>
      </c>
      <c r="J23">
        <f t="shared" si="0"/>
        <v>11</v>
      </c>
      <c r="K23" cm="1">
        <f t="array" ref="K23">IFERROR(INDEX(impact_factors!$C$1:$C$3000,MATCH(TRUE,ISNUMBER(SEARCH(H23,impact_factors!$B$1:$B$3000)),0)),IF(H23="XX",0,"X"))</f>
        <v>0</v>
      </c>
      <c r="L23">
        <v>3</v>
      </c>
      <c r="M23" t="s">
        <v>757</v>
      </c>
      <c r="N23" t="s">
        <v>758</v>
      </c>
      <c r="O23" t="s">
        <v>758</v>
      </c>
      <c r="P23" t="s">
        <v>161</v>
      </c>
      <c r="Q23" t="s">
        <v>161</v>
      </c>
      <c r="R23" t="s">
        <v>161</v>
      </c>
      <c r="S23" s="25">
        <v>2</v>
      </c>
    </row>
    <row r="24" spans="1:19" x14ac:dyDescent="0.25">
      <c r="A24">
        <v>23</v>
      </c>
      <c r="B24" t="s">
        <v>236</v>
      </c>
      <c r="C24" t="s">
        <v>759</v>
      </c>
      <c r="D24">
        <v>2012</v>
      </c>
      <c r="E24" t="s">
        <v>760</v>
      </c>
      <c r="F24" t="s">
        <v>761</v>
      </c>
      <c r="G24" t="s">
        <v>762</v>
      </c>
      <c r="H24" t="s">
        <v>3879</v>
      </c>
      <c r="I24" t="b">
        <v>0</v>
      </c>
      <c r="J24">
        <f t="shared" si="0"/>
        <v>16</v>
      </c>
      <c r="K24" cm="1">
        <f t="array" ref="K24">IFERROR(INDEX(impact_factors!$C$1:$C$3000,MATCH(TRUE,ISNUMBER(SEARCH(H24,impact_factors!$B$1:$B$3000)),0)),IF(H24="XX",0,"X"))</f>
        <v>0</v>
      </c>
      <c r="L24">
        <v>2</v>
      </c>
      <c r="M24" t="s">
        <v>763</v>
      </c>
      <c r="N24" t="s">
        <v>764</v>
      </c>
      <c r="O24" t="s">
        <v>765</v>
      </c>
      <c r="P24" t="s">
        <v>161</v>
      </c>
      <c r="Q24" t="s">
        <v>161</v>
      </c>
      <c r="R24" t="s">
        <v>161</v>
      </c>
      <c r="S24" s="25">
        <v>3</v>
      </c>
    </row>
    <row r="25" spans="1:19" x14ac:dyDescent="0.25">
      <c r="A25">
        <v>24</v>
      </c>
      <c r="B25" t="s">
        <v>247</v>
      </c>
      <c r="C25" t="s">
        <v>707</v>
      </c>
      <c r="D25">
        <v>2007</v>
      </c>
      <c r="E25" t="s">
        <v>766</v>
      </c>
      <c r="F25" t="s">
        <v>767</v>
      </c>
      <c r="G25" t="s">
        <v>768</v>
      </c>
      <c r="H25" t="s">
        <v>3879</v>
      </c>
      <c r="I25" t="b">
        <v>0</v>
      </c>
      <c r="J25">
        <f t="shared" si="0"/>
        <v>11</v>
      </c>
      <c r="K25" cm="1">
        <f t="array" ref="K25">IFERROR(INDEX(impact_factors!$C$1:$C$3000,MATCH(TRUE,ISNUMBER(SEARCH(H25,impact_factors!$B$1:$B$3000)),0)),IF(H25="XX",0,"X"))</f>
        <v>0</v>
      </c>
      <c r="L25">
        <v>83</v>
      </c>
      <c r="M25" t="s">
        <v>769</v>
      </c>
      <c r="N25" t="s">
        <v>770</v>
      </c>
      <c r="O25" t="s">
        <v>771</v>
      </c>
      <c r="P25" t="s">
        <v>161</v>
      </c>
      <c r="Q25" t="s">
        <v>161</v>
      </c>
      <c r="R25" t="s">
        <v>161</v>
      </c>
      <c r="S25" s="25">
        <v>2</v>
      </c>
    </row>
    <row r="26" spans="1:19" x14ac:dyDescent="0.25">
      <c r="A26">
        <v>25</v>
      </c>
      <c r="B26" t="s">
        <v>260</v>
      </c>
      <c r="C26" t="s">
        <v>772</v>
      </c>
      <c r="D26">
        <v>2016</v>
      </c>
      <c r="E26" t="s">
        <v>773</v>
      </c>
      <c r="F26" t="s">
        <v>774</v>
      </c>
      <c r="G26" t="s">
        <v>775</v>
      </c>
      <c r="H26" t="s">
        <v>3859</v>
      </c>
      <c r="I26" t="b">
        <v>1</v>
      </c>
      <c r="J26">
        <f t="shared" si="0"/>
        <v>20</v>
      </c>
      <c r="K26" cm="1">
        <f t="array" ref="K26">IFERROR(INDEX(impact_factors!$C$1:$C$3000,MATCH(TRUE,ISNUMBER(SEARCH(H26,impact_factors!$B$1:$B$3000)),0)),IF(H26="XX",0,"X"))</f>
        <v>0.14599999999999999</v>
      </c>
      <c r="L26">
        <v>39</v>
      </c>
      <c r="M26" t="s">
        <v>776</v>
      </c>
      <c r="N26" t="s">
        <v>777</v>
      </c>
      <c r="O26" t="s">
        <v>778</v>
      </c>
      <c r="P26" t="s">
        <v>161</v>
      </c>
      <c r="Q26" t="s">
        <v>161</v>
      </c>
      <c r="R26" t="s">
        <v>161</v>
      </c>
      <c r="S26" s="25">
        <v>1</v>
      </c>
    </row>
    <row r="27" spans="1:19" x14ac:dyDescent="0.25">
      <c r="A27">
        <v>26</v>
      </c>
      <c r="B27" t="s">
        <v>261</v>
      </c>
      <c r="C27" t="s">
        <v>779</v>
      </c>
      <c r="D27">
        <v>2010</v>
      </c>
      <c r="E27" t="s">
        <v>780</v>
      </c>
      <c r="F27" t="s">
        <v>781</v>
      </c>
      <c r="G27" t="s">
        <v>782</v>
      </c>
      <c r="H27" t="s">
        <v>3864</v>
      </c>
      <c r="I27" t="b">
        <v>1</v>
      </c>
      <c r="J27">
        <f t="shared" si="0"/>
        <v>14</v>
      </c>
      <c r="K27" cm="1">
        <f t="array" ref="K27">IFERROR(INDEX(impact_factors!$C$1:$C$3000,MATCH(TRUE,ISNUMBER(SEARCH(H27,impact_factors!$B$1:$B$3000)),0)),IF(H27="XX",0,"X"))</f>
        <v>0.16400000000000001</v>
      </c>
      <c r="L27">
        <v>127</v>
      </c>
      <c r="M27" t="s">
        <v>783</v>
      </c>
      <c r="N27" t="s">
        <v>784</v>
      </c>
      <c r="O27" t="s">
        <v>785</v>
      </c>
      <c r="P27" t="s">
        <v>161</v>
      </c>
      <c r="Q27" t="s">
        <v>161</v>
      </c>
      <c r="R27" t="s">
        <v>161</v>
      </c>
      <c r="S27" s="25">
        <v>2</v>
      </c>
    </row>
    <row r="28" spans="1:19" x14ac:dyDescent="0.25">
      <c r="A28">
        <v>27</v>
      </c>
      <c r="B28" t="s">
        <v>490</v>
      </c>
      <c r="C28" t="s">
        <v>786</v>
      </c>
      <c r="D28">
        <v>2006</v>
      </c>
      <c r="E28" t="s">
        <v>787</v>
      </c>
      <c r="F28" t="s">
        <v>788</v>
      </c>
      <c r="G28" t="s">
        <v>789</v>
      </c>
      <c r="H28" t="s">
        <v>3865</v>
      </c>
      <c r="I28" t="b">
        <v>1</v>
      </c>
      <c r="J28">
        <f t="shared" si="0"/>
        <v>10</v>
      </c>
      <c r="K28" cm="1">
        <f t="array" ref="K28">IFERROR(INDEX(impact_factors!$C$1:$C$3000,MATCH(TRUE,ISNUMBER(SEARCH(H28,impact_factors!$B$1:$B$3000)),0)),IF(H28="XX",0,"X"))</f>
        <v>8.5000000000000006E-2</v>
      </c>
      <c r="L28">
        <v>58</v>
      </c>
      <c r="M28" t="s">
        <v>790</v>
      </c>
      <c r="N28" t="s">
        <v>791</v>
      </c>
      <c r="O28" t="s">
        <v>792</v>
      </c>
      <c r="P28" t="s">
        <v>161</v>
      </c>
      <c r="Q28" t="s">
        <v>161</v>
      </c>
      <c r="R28" t="s">
        <v>161</v>
      </c>
      <c r="S28" s="25">
        <v>3</v>
      </c>
    </row>
    <row r="29" spans="1:19" x14ac:dyDescent="0.25">
      <c r="A29">
        <v>28</v>
      </c>
      <c r="B29" t="s">
        <v>275</v>
      </c>
      <c r="C29" t="s">
        <v>793</v>
      </c>
      <c r="D29">
        <v>2009</v>
      </c>
      <c r="E29" t="s">
        <v>794</v>
      </c>
      <c r="F29" t="s">
        <v>795</v>
      </c>
      <c r="G29" t="s">
        <v>796</v>
      </c>
      <c r="H29" t="s">
        <v>3866</v>
      </c>
      <c r="I29" t="b">
        <v>1</v>
      </c>
      <c r="J29">
        <f t="shared" si="0"/>
        <v>13</v>
      </c>
      <c r="K29" cm="1">
        <f t="array" ref="K29">IFERROR(INDEX(impact_factors!$C$1:$C$3000,MATCH(TRUE,ISNUMBER(SEARCH(H29,impact_factors!$B$1:$B$3000)),0)),IF(H29="XX",0,"X"))</f>
        <v>2.3E-2</v>
      </c>
      <c r="L29">
        <v>97</v>
      </c>
      <c r="M29" t="s">
        <v>797</v>
      </c>
      <c r="N29" t="s">
        <v>798</v>
      </c>
      <c r="O29" t="s">
        <v>799</v>
      </c>
      <c r="P29" t="s">
        <v>161</v>
      </c>
      <c r="Q29" t="s">
        <v>161</v>
      </c>
      <c r="R29" t="s">
        <v>161</v>
      </c>
      <c r="S29" s="25">
        <v>3</v>
      </c>
    </row>
    <row r="30" spans="1:19" x14ac:dyDescent="0.25">
      <c r="A30">
        <v>29</v>
      </c>
      <c r="B30" t="s">
        <v>9</v>
      </c>
      <c r="C30" t="s">
        <v>800</v>
      </c>
      <c r="D30">
        <v>2007</v>
      </c>
      <c r="E30" t="s">
        <v>801</v>
      </c>
      <c r="F30" t="s">
        <v>802</v>
      </c>
      <c r="G30" t="s">
        <v>803</v>
      </c>
      <c r="H30" t="s">
        <v>3867</v>
      </c>
      <c r="I30" t="b">
        <v>0</v>
      </c>
      <c r="J30">
        <f t="shared" si="0"/>
        <v>11</v>
      </c>
      <c r="K30" t="str" cm="1">
        <f t="array" ref="K30">IFERROR(INDEX(impact_factors!$C$1:$C$3000,MATCH(TRUE,ISNUMBER(SEARCH(H30,impact_factors!$B$1:$B$3000)),0)),IF(H30="XX",0,"X"))</f>
        <v>X</v>
      </c>
      <c r="L30">
        <v>3</v>
      </c>
      <c r="M30" t="s">
        <v>804</v>
      </c>
      <c r="N30" t="s">
        <v>805</v>
      </c>
      <c r="O30" t="s">
        <v>805</v>
      </c>
      <c r="P30" t="s">
        <v>161</v>
      </c>
      <c r="Q30" t="s">
        <v>161</v>
      </c>
      <c r="R30" t="s">
        <v>161</v>
      </c>
      <c r="S30" s="25">
        <v>3</v>
      </c>
    </row>
    <row r="31" spans="1:19" x14ac:dyDescent="0.25">
      <c r="A31">
        <v>30</v>
      </c>
      <c r="B31" t="s">
        <v>312</v>
      </c>
      <c r="C31" t="s">
        <v>806</v>
      </c>
      <c r="D31">
        <v>2005</v>
      </c>
      <c r="E31" t="s">
        <v>807</v>
      </c>
      <c r="F31" t="s">
        <v>808</v>
      </c>
      <c r="G31" t="s">
        <v>809</v>
      </c>
      <c r="H31" t="s">
        <v>3883</v>
      </c>
      <c r="I31" t="b">
        <v>1</v>
      </c>
      <c r="J31">
        <f t="shared" si="0"/>
        <v>9</v>
      </c>
      <c r="K31" cm="1">
        <f t="array" ref="K31">IFERROR(INDEX(impact_factors!$C$1:$C$3000,MATCH(TRUE,ISNUMBER(SEARCH(H31,impact_factors!$B$1:$B$3000)),0)),IF(H31="XX",0,"X"))</f>
        <v>0.13900000000000001</v>
      </c>
      <c r="L31">
        <v>46</v>
      </c>
      <c r="M31" t="s">
        <v>810</v>
      </c>
      <c r="N31" t="s">
        <v>811</v>
      </c>
      <c r="O31" t="s">
        <v>812</v>
      </c>
      <c r="P31" t="s">
        <v>161</v>
      </c>
      <c r="Q31" t="s">
        <v>161</v>
      </c>
      <c r="R31" t="s">
        <v>161</v>
      </c>
      <c r="S31" s="25">
        <v>2</v>
      </c>
    </row>
    <row r="32" spans="1:19" x14ac:dyDescent="0.25">
      <c r="A32">
        <v>31</v>
      </c>
      <c r="B32" t="s">
        <v>311</v>
      </c>
      <c r="C32" t="s">
        <v>813</v>
      </c>
      <c r="D32">
        <v>2008</v>
      </c>
      <c r="E32" t="s">
        <v>814</v>
      </c>
      <c r="F32" t="s">
        <v>815</v>
      </c>
      <c r="G32" t="s">
        <v>816</v>
      </c>
      <c r="H32" t="s">
        <v>3868</v>
      </c>
      <c r="I32" t="b">
        <v>1</v>
      </c>
      <c r="J32">
        <f t="shared" si="0"/>
        <v>12</v>
      </c>
      <c r="K32" cm="1">
        <f t="array" ref="K32">IFERROR(INDEX(impact_factors!$C$1:$C$3000,MATCH(TRUE,ISNUMBER(SEARCH(H32,impact_factors!$B$1:$B$3000)),0)),IF(H32="XX",0,"X"))</f>
        <v>0.123</v>
      </c>
      <c r="L32">
        <v>226</v>
      </c>
      <c r="M32" t="s">
        <v>817</v>
      </c>
      <c r="N32" t="s">
        <v>818</v>
      </c>
      <c r="O32" t="s">
        <v>819</v>
      </c>
      <c r="P32" t="s">
        <v>161</v>
      </c>
      <c r="Q32" t="s">
        <v>161</v>
      </c>
      <c r="R32" t="s">
        <v>161</v>
      </c>
      <c r="S32" s="25">
        <v>2</v>
      </c>
    </row>
    <row r="33" spans="1:19" x14ac:dyDescent="0.25">
      <c r="A33">
        <v>32</v>
      </c>
      <c r="B33" t="s">
        <v>313</v>
      </c>
      <c r="C33" t="s">
        <v>820</v>
      </c>
      <c r="D33">
        <v>2021</v>
      </c>
      <c r="E33" t="s">
        <v>821</v>
      </c>
      <c r="F33" t="s">
        <v>822</v>
      </c>
      <c r="G33" t="s">
        <v>823</v>
      </c>
      <c r="H33" t="s">
        <v>3869</v>
      </c>
      <c r="I33" t="b">
        <v>1</v>
      </c>
      <c r="J33">
        <f t="shared" si="0"/>
        <v>25</v>
      </c>
      <c r="K33" cm="1">
        <f t="array" ref="K33">IFERROR(INDEX(impact_factors!$C$1:$C$3000,MATCH(TRUE,ISNUMBER(SEARCH(H33,impact_factors!$B$1:$B$3000)),0)),IF(H33="XX",0,"X"))</f>
        <v>1.35</v>
      </c>
      <c r="L33">
        <v>0</v>
      </c>
      <c r="M33" t="s">
        <v>824</v>
      </c>
      <c r="N33" t="s">
        <v>825</v>
      </c>
      <c r="O33" t="s">
        <v>641</v>
      </c>
      <c r="P33" t="s">
        <v>161</v>
      </c>
      <c r="Q33" t="s">
        <v>161</v>
      </c>
      <c r="R33" t="s">
        <v>161</v>
      </c>
      <c r="S33" s="25">
        <v>1</v>
      </c>
    </row>
    <row r="34" spans="1:19" x14ac:dyDescent="0.25">
      <c r="A34">
        <v>33</v>
      </c>
      <c r="B34" t="s">
        <v>320</v>
      </c>
      <c r="C34" t="s">
        <v>826</v>
      </c>
      <c r="D34">
        <v>2015</v>
      </c>
      <c r="E34" t="s">
        <v>827</v>
      </c>
      <c r="F34" t="s">
        <v>828</v>
      </c>
      <c r="G34" t="s">
        <v>829</v>
      </c>
      <c r="H34" t="s">
        <v>3853</v>
      </c>
      <c r="I34" t="b">
        <v>1</v>
      </c>
      <c r="J34">
        <f t="shared" ref="J34:J65" si="1">D34-MIN($D:$D)</f>
        <v>19</v>
      </c>
      <c r="K34" cm="1">
        <f t="array" ref="K34">IFERROR(INDEX(impact_factors!$C$1:$C$3000,MATCH(TRUE,ISNUMBER(SEARCH(H34,impact_factors!$B$1:$B$3000)),0)),IF(H34="XX",0,"X"))</f>
        <v>1.232</v>
      </c>
      <c r="L34">
        <v>2</v>
      </c>
      <c r="M34" t="s">
        <v>830</v>
      </c>
      <c r="N34" t="s">
        <v>831</v>
      </c>
      <c r="O34" t="s">
        <v>831</v>
      </c>
      <c r="P34" t="s">
        <v>161</v>
      </c>
      <c r="Q34" t="s">
        <v>161</v>
      </c>
      <c r="R34" t="s">
        <v>161</v>
      </c>
      <c r="S34" s="25">
        <v>2</v>
      </c>
    </row>
    <row r="35" spans="1:19" x14ac:dyDescent="0.25">
      <c r="A35">
        <v>34</v>
      </c>
      <c r="B35" t="s">
        <v>321</v>
      </c>
      <c r="C35" t="s">
        <v>832</v>
      </c>
      <c r="D35">
        <v>2006</v>
      </c>
      <c r="E35" t="s">
        <v>833</v>
      </c>
      <c r="F35" t="s">
        <v>834</v>
      </c>
      <c r="G35" t="s">
        <v>835</v>
      </c>
      <c r="H35" t="s">
        <v>3859</v>
      </c>
      <c r="I35" t="b">
        <v>1</v>
      </c>
      <c r="J35">
        <f t="shared" si="1"/>
        <v>10</v>
      </c>
      <c r="K35" cm="1">
        <f t="array" ref="K35">IFERROR(INDEX(impact_factors!$C$1:$C$3000,MATCH(TRUE,ISNUMBER(SEARCH(H35,impact_factors!$B$1:$B$3000)),0)),IF(H35="XX",0,"X"))</f>
        <v>0.14599999999999999</v>
      </c>
      <c r="L35">
        <v>118</v>
      </c>
      <c r="M35" t="s">
        <v>836</v>
      </c>
      <c r="N35" t="s">
        <v>837</v>
      </c>
      <c r="O35" t="s">
        <v>641</v>
      </c>
      <c r="P35" t="s">
        <v>161</v>
      </c>
      <c r="Q35" t="s">
        <v>161</v>
      </c>
      <c r="R35" t="s">
        <v>161</v>
      </c>
      <c r="S35" s="25">
        <v>4</v>
      </c>
    </row>
    <row r="36" spans="1:19" x14ac:dyDescent="0.25">
      <c r="A36">
        <v>35</v>
      </c>
      <c r="B36" t="s">
        <v>325</v>
      </c>
      <c r="C36" t="s">
        <v>838</v>
      </c>
      <c r="D36">
        <v>2006</v>
      </c>
      <c r="E36" t="s">
        <v>839</v>
      </c>
      <c r="F36" t="s">
        <v>840</v>
      </c>
      <c r="G36" t="s">
        <v>841</v>
      </c>
      <c r="H36" t="s">
        <v>3870</v>
      </c>
      <c r="I36" t="b">
        <v>1</v>
      </c>
      <c r="J36">
        <f t="shared" si="1"/>
        <v>10</v>
      </c>
      <c r="K36" cm="1">
        <f t="array" ref="K36">IFERROR(INDEX(impact_factors!$C$1:$C$3000,MATCH(TRUE,ISNUMBER(SEARCH(H36,impact_factors!$B$1:$B$3000)),0)),IF(H36="XX",0,"X"))</f>
        <v>0.29799999999999999</v>
      </c>
      <c r="L36">
        <v>18</v>
      </c>
      <c r="M36" t="s">
        <v>842</v>
      </c>
      <c r="N36" t="s">
        <v>843</v>
      </c>
      <c r="O36" t="s">
        <v>844</v>
      </c>
      <c r="P36" t="s">
        <v>161</v>
      </c>
      <c r="Q36" t="s">
        <v>161</v>
      </c>
      <c r="R36" t="s">
        <v>161</v>
      </c>
      <c r="S36" s="25">
        <v>4</v>
      </c>
    </row>
    <row r="37" spans="1:19" x14ac:dyDescent="0.25">
      <c r="A37">
        <v>36</v>
      </c>
      <c r="B37" t="s">
        <v>326</v>
      </c>
      <c r="C37" t="s">
        <v>845</v>
      </c>
      <c r="D37">
        <v>2004</v>
      </c>
      <c r="E37" t="s">
        <v>846</v>
      </c>
      <c r="F37" t="s">
        <v>847</v>
      </c>
      <c r="G37" t="s">
        <v>848</v>
      </c>
      <c r="H37" t="s">
        <v>3870</v>
      </c>
      <c r="I37" t="b">
        <v>1</v>
      </c>
      <c r="J37">
        <f t="shared" si="1"/>
        <v>8</v>
      </c>
      <c r="K37" cm="1">
        <f t="array" ref="K37">IFERROR(INDEX(impact_factors!$C$1:$C$3000,MATCH(TRUE,ISNUMBER(SEARCH(H37,impact_factors!$B$1:$B$3000)),0)),IF(H37="XX",0,"X"))</f>
        <v>0.29799999999999999</v>
      </c>
      <c r="L37">
        <v>72</v>
      </c>
      <c r="M37" t="s">
        <v>849</v>
      </c>
      <c r="N37" t="s">
        <v>850</v>
      </c>
      <c r="O37" t="s">
        <v>851</v>
      </c>
      <c r="P37" t="s">
        <v>161</v>
      </c>
      <c r="Q37" t="s">
        <v>161</v>
      </c>
      <c r="R37" t="s">
        <v>161</v>
      </c>
      <c r="S37" s="25">
        <v>4</v>
      </c>
    </row>
    <row r="38" spans="1:19" x14ac:dyDescent="0.25">
      <c r="A38">
        <v>37</v>
      </c>
      <c r="B38" t="s">
        <v>14</v>
      </c>
      <c r="C38" t="s">
        <v>852</v>
      </c>
      <c r="D38">
        <v>2013</v>
      </c>
      <c r="E38" t="s">
        <v>853</v>
      </c>
      <c r="F38" t="s">
        <v>854</v>
      </c>
      <c r="G38" t="s">
        <v>855</v>
      </c>
      <c r="H38" t="s">
        <v>3871</v>
      </c>
      <c r="I38" t="b">
        <v>1</v>
      </c>
      <c r="J38">
        <f t="shared" si="1"/>
        <v>17</v>
      </c>
      <c r="K38" cm="1">
        <f t="array" ref="K38">IFERROR(INDEX(impact_factors!$C$1:$C$3000,MATCH(TRUE,ISNUMBER(SEARCH(H38,impact_factors!$B$1:$B$3000)),0)),IF(H38="XX",0,"X"))</f>
        <v>3.1E-2</v>
      </c>
      <c r="L38">
        <v>46</v>
      </c>
      <c r="M38" t="s">
        <v>856</v>
      </c>
      <c r="N38" t="s">
        <v>857</v>
      </c>
      <c r="O38" t="s">
        <v>858</v>
      </c>
      <c r="P38" t="s">
        <v>161</v>
      </c>
      <c r="Q38" t="s">
        <v>161</v>
      </c>
      <c r="R38" t="s">
        <v>161</v>
      </c>
      <c r="S38" s="25">
        <v>3</v>
      </c>
    </row>
    <row r="39" spans="1:19" x14ac:dyDescent="0.25">
      <c r="A39">
        <v>38</v>
      </c>
      <c r="B39" t="s">
        <v>328</v>
      </c>
      <c r="C39" t="s">
        <v>859</v>
      </c>
      <c r="D39">
        <v>2002</v>
      </c>
      <c r="E39" t="s">
        <v>860</v>
      </c>
      <c r="F39" t="s">
        <v>861</v>
      </c>
      <c r="G39" t="s">
        <v>862</v>
      </c>
      <c r="H39" t="s">
        <v>3879</v>
      </c>
      <c r="I39" t="b">
        <v>0</v>
      </c>
      <c r="J39">
        <f t="shared" si="1"/>
        <v>6</v>
      </c>
      <c r="K39" cm="1">
        <f t="array" ref="K39">IFERROR(INDEX(impact_factors!$C$1:$C$3000,MATCH(TRUE,ISNUMBER(SEARCH(H39,impact_factors!$B$1:$B$3000)),0)),IF(H39="XX",0,"X"))</f>
        <v>0</v>
      </c>
      <c r="L39">
        <v>43</v>
      </c>
      <c r="M39" t="s">
        <v>863</v>
      </c>
      <c r="N39" t="s">
        <v>864</v>
      </c>
      <c r="O39" t="s">
        <v>865</v>
      </c>
      <c r="P39" t="s">
        <v>161</v>
      </c>
      <c r="Q39" t="s">
        <v>161</v>
      </c>
      <c r="R39" t="s">
        <v>161</v>
      </c>
      <c r="S39" s="25">
        <v>1</v>
      </c>
    </row>
    <row r="40" spans="1:19" x14ac:dyDescent="0.25">
      <c r="A40">
        <v>39</v>
      </c>
      <c r="B40" t="s">
        <v>330</v>
      </c>
      <c r="C40" t="s">
        <v>866</v>
      </c>
      <c r="D40">
        <v>2006</v>
      </c>
      <c r="E40" t="s">
        <v>867</v>
      </c>
      <c r="F40" t="s">
        <v>868</v>
      </c>
      <c r="G40" t="s">
        <v>869</v>
      </c>
      <c r="H40" t="s">
        <v>3879</v>
      </c>
      <c r="I40" t="b">
        <v>0</v>
      </c>
      <c r="J40">
        <f t="shared" si="1"/>
        <v>10</v>
      </c>
      <c r="K40" cm="1">
        <f t="array" ref="K40">IFERROR(INDEX(impact_factors!$C$1:$C$3000,MATCH(TRUE,ISNUMBER(SEARCH(H40,impact_factors!$B$1:$B$3000)),0)),IF(H40="XX",0,"X"))</f>
        <v>0</v>
      </c>
      <c r="L40">
        <v>0</v>
      </c>
      <c r="M40" t="s">
        <v>870</v>
      </c>
      <c r="N40" t="s">
        <v>871</v>
      </c>
      <c r="O40" t="s">
        <v>871</v>
      </c>
      <c r="P40" t="s">
        <v>161</v>
      </c>
      <c r="Q40" t="s">
        <v>161</v>
      </c>
      <c r="R40" t="s">
        <v>161</v>
      </c>
      <c r="S40" s="25">
        <v>4</v>
      </c>
    </row>
    <row r="41" spans="1:19" x14ac:dyDescent="0.25">
      <c r="A41">
        <v>40</v>
      </c>
      <c r="B41" t="s">
        <v>333</v>
      </c>
      <c r="C41" t="s">
        <v>872</v>
      </c>
      <c r="D41">
        <v>2011</v>
      </c>
      <c r="E41" t="s">
        <v>873</v>
      </c>
      <c r="F41" t="s">
        <v>874</v>
      </c>
      <c r="G41" t="s">
        <v>875</v>
      </c>
      <c r="H41" t="s">
        <v>3872</v>
      </c>
      <c r="I41" t="b">
        <v>1</v>
      </c>
      <c r="J41">
        <f t="shared" si="1"/>
        <v>15</v>
      </c>
      <c r="K41" cm="1">
        <f t="array" ref="K41">IFERROR(INDEX(impact_factors!$C$1:$C$3000,MATCH(TRUE,ISNUMBER(SEARCH(H41,impact_factors!$B$1:$B$3000)),0)),IF(H41="XX",0,"X"))</f>
        <v>0.17100000000000001</v>
      </c>
      <c r="L41">
        <v>66</v>
      </c>
      <c r="M41" t="s">
        <v>876</v>
      </c>
      <c r="N41" t="s">
        <v>877</v>
      </c>
      <c r="O41" t="s">
        <v>641</v>
      </c>
      <c r="P41" t="s">
        <v>161</v>
      </c>
      <c r="Q41" t="s">
        <v>161</v>
      </c>
      <c r="R41" t="s">
        <v>161</v>
      </c>
      <c r="S41" s="25">
        <v>2</v>
      </c>
    </row>
    <row r="42" spans="1:19" x14ac:dyDescent="0.25">
      <c r="A42">
        <v>41</v>
      </c>
      <c r="B42" t="s">
        <v>334</v>
      </c>
      <c r="C42" t="s">
        <v>878</v>
      </c>
      <c r="D42">
        <v>2018</v>
      </c>
      <c r="E42" t="s">
        <v>879</v>
      </c>
      <c r="F42" t="s">
        <v>880</v>
      </c>
      <c r="G42" t="s">
        <v>881</v>
      </c>
      <c r="H42" t="s">
        <v>3883</v>
      </c>
      <c r="I42" t="b">
        <v>1</v>
      </c>
      <c r="J42">
        <f t="shared" si="1"/>
        <v>22</v>
      </c>
      <c r="K42" cm="1">
        <f t="array" ref="K42">IFERROR(INDEX(impact_factors!$C$1:$C$3000,MATCH(TRUE,ISNUMBER(SEARCH(H42,impact_factors!$B$1:$B$3000)),0)),IF(H42="XX",0,"X"))</f>
        <v>0.13900000000000001</v>
      </c>
      <c r="L42">
        <v>42</v>
      </c>
      <c r="M42" t="s">
        <v>882</v>
      </c>
      <c r="N42" t="s">
        <v>883</v>
      </c>
      <c r="O42" t="s">
        <v>884</v>
      </c>
      <c r="P42" t="s">
        <v>161</v>
      </c>
      <c r="Q42" t="s">
        <v>161</v>
      </c>
      <c r="R42" t="s">
        <v>161</v>
      </c>
      <c r="S42" s="25">
        <v>3</v>
      </c>
    </row>
    <row r="43" spans="1:19" x14ac:dyDescent="0.25">
      <c r="A43">
        <v>42</v>
      </c>
      <c r="B43" t="s">
        <v>446</v>
      </c>
      <c r="C43" t="s">
        <v>885</v>
      </c>
      <c r="D43">
        <v>2008</v>
      </c>
      <c r="E43" t="s">
        <v>886</v>
      </c>
      <c r="F43" t="s">
        <v>887</v>
      </c>
      <c r="G43" t="s">
        <v>888</v>
      </c>
      <c r="H43" t="s">
        <v>3884</v>
      </c>
      <c r="I43" t="b">
        <v>1</v>
      </c>
      <c r="J43">
        <f t="shared" si="1"/>
        <v>12</v>
      </c>
      <c r="K43" cm="1">
        <f t="array" ref="K43">IFERROR(INDEX(impact_factors!$C$1:$C$3000,MATCH(TRUE,ISNUMBER(SEARCH(H43,impact_factors!$B$1:$B$3000)),0)),IF(H43="XX",0,"X"))</f>
        <v>0.63</v>
      </c>
      <c r="L43">
        <v>335</v>
      </c>
      <c r="M43" t="s">
        <v>889</v>
      </c>
      <c r="N43" t="s">
        <v>890</v>
      </c>
      <c r="O43" t="s">
        <v>891</v>
      </c>
      <c r="P43" t="s">
        <v>161</v>
      </c>
      <c r="Q43" t="s">
        <v>161</v>
      </c>
      <c r="R43" t="s">
        <v>161</v>
      </c>
      <c r="S43" s="25">
        <v>4</v>
      </c>
    </row>
    <row r="44" spans="1:19" x14ac:dyDescent="0.25">
      <c r="A44">
        <v>43</v>
      </c>
      <c r="B44" t="s">
        <v>454</v>
      </c>
      <c r="C44" t="s">
        <v>892</v>
      </c>
      <c r="D44">
        <v>2003</v>
      </c>
      <c r="E44" t="s">
        <v>893</v>
      </c>
      <c r="F44" t="s">
        <v>894</v>
      </c>
      <c r="G44" t="s">
        <v>895</v>
      </c>
      <c r="H44" t="s">
        <v>3879</v>
      </c>
      <c r="I44" t="b">
        <v>0</v>
      </c>
      <c r="J44">
        <f t="shared" si="1"/>
        <v>7</v>
      </c>
      <c r="K44" cm="1">
        <f t="array" ref="K44">IFERROR(INDEX(impact_factors!$C$1:$C$3000,MATCH(TRUE,ISNUMBER(SEARCH(H44,impact_factors!$B$1:$B$3000)),0)),IF(H44="XX",0,"X"))</f>
        <v>0</v>
      </c>
      <c r="L44">
        <v>17</v>
      </c>
      <c r="M44" t="s">
        <v>896</v>
      </c>
      <c r="N44" t="s">
        <v>897</v>
      </c>
      <c r="O44" t="s">
        <v>898</v>
      </c>
      <c r="P44" t="s">
        <v>161</v>
      </c>
      <c r="Q44" t="s">
        <v>161</v>
      </c>
      <c r="R44" t="s">
        <v>161</v>
      </c>
      <c r="S44" s="25">
        <v>3</v>
      </c>
    </row>
    <row r="45" spans="1:19" x14ac:dyDescent="0.25">
      <c r="A45">
        <v>44</v>
      </c>
      <c r="B45" t="s">
        <v>464</v>
      </c>
      <c r="C45" t="s">
        <v>899</v>
      </c>
      <c r="D45">
        <v>2022</v>
      </c>
      <c r="E45" t="s">
        <v>900</v>
      </c>
      <c r="F45" t="s">
        <v>901</v>
      </c>
      <c r="G45" t="s">
        <v>902</v>
      </c>
      <c r="H45" t="s">
        <v>3873</v>
      </c>
      <c r="I45" t="b">
        <v>1</v>
      </c>
      <c r="J45">
        <f t="shared" si="1"/>
        <v>26</v>
      </c>
      <c r="K45" cm="1">
        <f t="array" ref="K45">IFERROR(INDEX(impact_factors!$C$1:$C$3000,MATCH(TRUE,ISNUMBER(SEARCH(H45,impact_factors!$B$1:$B$3000)),0)),IF(H45="XX",0,"X"))</f>
        <v>3.0070000000000001</v>
      </c>
      <c r="L45">
        <v>32</v>
      </c>
      <c r="M45" t="s">
        <v>903</v>
      </c>
      <c r="N45" t="s">
        <v>904</v>
      </c>
      <c r="O45" t="s">
        <v>905</v>
      </c>
      <c r="P45" t="s">
        <v>161</v>
      </c>
      <c r="Q45" t="s">
        <v>161</v>
      </c>
      <c r="R45" t="s">
        <v>161</v>
      </c>
      <c r="S45" s="25">
        <v>1</v>
      </c>
    </row>
    <row r="46" spans="1:19" x14ac:dyDescent="0.25">
      <c r="A46">
        <v>45</v>
      </c>
      <c r="B46" t="s">
        <v>470</v>
      </c>
      <c r="C46" t="s">
        <v>906</v>
      </c>
      <c r="D46">
        <v>2013</v>
      </c>
      <c r="E46" t="s">
        <v>907</v>
      </c>
      <c r="F46" t="s">
        <v>908</v>
      </c>
      <c r="G46" t="s">
        <v>909</v>
      </c>
      <c r="H46" t="s">
        <v>3866</v>
      </c>
      <c r="I46" t="b">
        <v>1</v>
      </c>
      <c r="J46">
        <f t="shared" si="1"/>
        <v>17</v>
      </c>
      <c r="K46" cm="1">
        <f t="array" ref="K46">IFERROR(INDEX(impact_factors!$C$1:$C$3000,MATCH(TRUE,ISNUMBER(SEARCH(H46,impact_factors!$B$1:$B$3000)),0)),IF(H46="XX",0,"X"))</f>
        <v>2.3E-2</v>
      </c>
      <c r="L46">
        <v>13</v>
      </c>
      <c r="M46" t="s">
        <v>910</v>
      </c>
      <c r="N46" t="s">
        <v>911</v>
      </c>
      <c r="O46" t="s">
        <v>912</v>
      </c>
      <c r="P46" t="s">
        <v>161</v>
      </c>
      <c r="Q46" t="s">
        <v>161</v>
      </c>
      <c r="R46" t="s">
        <v>161</v>
      </c>
      <c r="S46" s="25">
        <v>3</v>
      </c>
    </row>
    <row r="47" spans="1:19" x14ac:dyDescent="0.25">
      <c r="A47">
        <v>46</v>
      </c>
      <c r="B47" t="s">
        <v>471</v>
      </c>
      <c r="C47" t="s">
        <v>913</v>
      </c>
      <c r="D47">
        <v>2016</v>
      </c>
      <c r="E47" t="s">
        <v>914</v>
      </c>
      <c r="F47" t="s">
        <v>915</v>
      </c>
      <c r="G47" t="s">
        <v>916</v>
      </c>
      <c r="H47" t="s">
        <v>3870</v>
      </c>
      <c r="I47" t="b">
        <v>1</v>
      </c>
      <c r="J47">
        <f t="shared" si="1"/>
        <v>20</v>
      </c>
      <c r="K47" cm="1">
        <f t="array" ref="K47">IFERROR(INDEX(impact_factors!$C$1:$C$3000,MATCH(TRUE,ISNUMBER(SEARCH(H47,impact_factors!$B$1:$B$3000)),0)),IF(H47="XX",0,"X"))</f>
        <v>0.29799999999999999</v>
      </c>
      <c r="L47">
        <v>21</v>
      </c>
      <c r="M47" t="s">
        <v>917</v>
      </c>
      <c r="N47" t="s">
        <v>918</v>
      </c>
      <c r="O47" t="s">
        <v>919</v>
      </c>
      <c r="P47" t="s">
        <v>161</v>
      </c>
      <c r="Q47" t="s">
        <v>161</v>
      </c>
      <c r="R47" t="s">
        <v>161</v>
      </c>
      <c r="S47" s="25">
        <v>3</v>
      </c>
    </row>
    <row r="48" spans="1:19" x14ac:dyDescent="0.25">
      <c r="A48">
        <v>47</v>
      </c>
      <c r="B48" t="s">
        <v>473</v>
      </c>
      <c r="C48" t="s">
        <v>920</v>
      </c>
      <c r="D48">
        <v>2020</v>
      </c>
      <c r="E48" t="s">
        <v>921</v>
      </c>
      <c r="F48" t="s">
        <v>922</v>
      </c>
      <c r="G48" t="s">
        <v>923</v>
      </c>
      <c r="H48" t="s">
        <v>3874</v>
      </c>
      <c r="I48" t="b">
        <v>1</v>
      </c>
      <c r="J48">
        <f t="shared" si="1"/>
        <v>24</v>
      </c>
      <c r="K48" t="str" cm="1">
        <f t="array" ref="K48">IFERROR(INDEX(impact_factors!$C$1:$C$3000,MATCH(TRUE,ISNUMBER(SEARCH(H48,impact_factors!$B$1:$B$3000)),0)),IF(H48="XX",0,"X"))</f>
        <v>X</v>
      </c>
      <c r="L48">
        <v>1</v>
      </c>
      <c r="M48" t="s">
        <v>924</v>
      </c>
      <c r="N48" t="s">
        <v>925</v>
      </c>
      <c r="O48" t="s">
        <v>926</v>
      </c>
      <c r="P48" t="s">
        <v>161</v>
      </c>
      <c r="Q48" t="s">
        <v>161</v>
      </c>
      <c r="R48" t="s">
        <v>161</v>
      </c>
      <c r="S48" s="25">
        <v>2</v>
      </c>
    </row>
    <row r="49" spans="1:19" x14ac:dyDescent="0.25">
      <c r="A49">
        <v>48</v>
      </c>
      <c r="B49" t="s">
        <v>475</v>
      </c>
      <c r="C49" t="s">
        <v>927</v>
      </c>
      <c r="D49">
        <v>2015</v>
      </c>
      <c r="E49" t="s">
        <v>928</v>
      </c>
      <c r="F49" t="s">
        <v>929</v>
      </c>
      <c r="G49" t="s">
        <v>930</v>
      </c>
      <c r="H49" t="s">
        <v>3858</v>
      </c>
      <c r="I49" t="b">
        <v>1</v>
      </c>
      <c r="J49">
        <f t="shared" si="1"/>
        <v>19</v>
      </c>
      <c r="K49" cm="1">
        <f t="array" ref="K49">IFERROR(INDEX(impact_factors!$C$1:$C$3000,MATCH(TRUE,ISNUMBER(SEARCH(H49,impact_factors!$B$1:$B$3000)),0)),IF(H49="XX",0,"X"))</f>
        <v>2.5000000000000001E-2</v>
      </c>
      <c r="L49">
        <v>25</v>
      </c>
      <c r="M49" t="s">
        <v>931</v>
      </c>
      <c r="N49" t="s">
        <v>932</v>
      </c>
      <c r="O49" t="s">
        <v>641</v>
      </c>
      <c r="P49" t="s">
        <v>161</v>
      </c>
      <c r="Q49" t="s">
        <v>161</v>
      </c>
      <c r="R49" t="s">
        <v>161</v>
      </c>
      <c r="S49" s="25">
        <v>2</v>
      </c>
    </row>
    <row r="50" spans="1:19" x14ac:dyDescent="0.25">
      <c r="A50">
        <v>49</v>
      </c>
      <c r="B50" t="s">
        <v>476</v>
      </c>
      <c r="C50" t="s">
        <v>933</v>
      </c>
      <c r="D50">
        <v>2008</v>
      </c>
      <c r="E50" t="s">
        <v>934</v>
      </c>
      <c r="F50" t="s">
        <v>935</v>
      </c>
      <c r="G50" t="s">
        <v>936</v>
      </c>
      <c r="H50" t="s">
        <v>3884</v>
      </c>
      <c r="I50" t="b">
        <v>1</v>
      </c>
      <c r="J50">
        <f t="shared" si="1"/>
        <v>12</v>
      </c>
      <c r="K50" cm="1">
        <f t="array" ref="K50">IFERROR(INDEX(impact_factors!$C$1:$C$3000,MATCH(TRUE,ISNUMBER(SEARCH(H50,impact_factors!$B$1:$B$3000)),0)),IF(H50="XX",0,"X"))</f>
        <v>0.63</v>
      </c>
      <c r="L50">
        <v>161</v>
      </c>
      <c r="M50" t="s">
        <v>937</v>
      </c>
      <c r="N50" t="s">
        <v>938</v>
      </c>
      <c r="O50" t="s">
        <v>939</v>
      </c>
      <c r="P50" t="s">
        <v>161</v>
      </c>
      <c r="Q50" t="s">
        <v>161</v>
      </c>
      <c r="R50" t="s">
        <v>161</v>
      </c>
      <c r="S50" s="25">
        <v>2</v>
      </c>
    </row>
    <row r="51" spans="1:19" x14ac:dyDescent="0.25">
      <c r="A51">
        <v>50</v>
      </c>
      <c r="B51" t="s">
        <v>478</v>
      </c>
      <c r="C51" t="s">
        <v>702</v>
      </c>
      <c r="D51">
        <v>2017</v>
      </c>
      <c r="E51" t="s">
        <v>940</v>
      </c>
      <c r="F51" t="s">
        <v>941</v>
      </c>
      <c r="G51" t="s">
        <v>942</v>
      </c>
      <c r="H51" t="s">
        <v>3875</v>
      </c>
      <c r="I51" t="b">
        <v>0</v>
      </c>
      <c r="J51">
        <f t="shared" si="1"/>
        <v>21</v>
      </c>
      <c r="K51" t="str" cm="1">
        <f t="array" ref="K51">IFERROR(INDEX(impact_factors!$C$1:$C$3000,MATCH(TRUE,ISNUMBER(SEARCH(H51,impact_factors!$B$1:$B$3000)),0)),IF(H51="XX",0,"X"))</f>
        <v>X</v>
      </c>
      <c r="L51">
        <v>7</v>
      </c>
      <c r="M51" t="s">
        <v>943</v>
      </c>
      <c r="N51" t="s">
        <v>944</v>
      </c>
      <c r="O51" t="s">
        <v>944</v>
      </c>
      <c r="P51" t="s">
        <v>161</v>
      </c>
      <c r="Q51" t="s">
        <v>161</v>
      </c>
      <c r="R51" t="s">
        <v>161</v>
      </c>
      <c r="S51" s="25">
        <v>4</v>
      </c>
    </row>
    <row r="52" spans="1:19" x14ac:dyDescent="0.25">
      <c r="A52">
        <v>51</v>
      </c>
      <c r="B52" t="s">
        <v>480</v>
      </c>
      <c r="C52" t="s">
        <v>945</v>
      </c>
      <c r="D52">
        <v>2013</v>
      </c>
      <c r="E52" t="s">
        <v>946</v>
      </c>
      <c r="F52" t="s">
        <v>947</v>
      </c>
      <c r="G52" t="s">
        <v>948</v>
      </c>
      <c r="H52" t="s">
        <v>3885</v>
      </c>
      <c r="I52" t="b">
        <v>1</v>
      </c>
      <c r="J52">
        <f t="shared" si="1"/>
        <v>17</v>
      </c>
      <c r="K52" cm="1">
        <f t="array" ref="K52">IFERROR(INDEX(impact_factors!$C$1:$C$3000,MATCH(TRUE,ISNUMBER(SEARCH(H52,impact_factors!$B$1:$B$3000)),0)),IF(H52="XX",0,"X"))</f>
        <v>0.20599999999999999</v>
      </c>
      <c r="L52">
        <v>0</v>
      </c>
      <c r="M52" t="s">
        <v>949</v>
      </c>
      <c r="N52" t="s">
        <v>950</v>
      </c>
      <c r="O52" t="s">
        <v>951</v>
      </c>
      <c r="P52" t="s">
        <v>161</v>
      </c>
      <c r="Q52" t="s">
        <v>161</v>
      </c>
      <c r="R52" t="s">
        <v>161</v>
      </c>
      <c r="S52" s="25">
        <v>2</v>
      </c>
    </row>
    <row r="53" spans="1:19" x14ac:dyDescent="0.25">
      <c r="A53">
        <v>52</v>
      </c>
      <c r="B53" t="s">
        <v>481</v>
      </c>
      <c r="C53" t="s">
        <v>952</v>
      </c>
      <c r="D53">
        <v>2010</v>
      </c>
      <c r="E53" t="s">
        <v>953</v>
      </c>
      <c r="F53" t="s">
        <v>954</v>
      </c>
      <c r="G53" t="s">
        <v>955</v>
      </c>
      <c r="H53" t="s">
        <v>3876</v>
      </c>
      <c r="I53" t="b">
        <v>1</v>
      </c>
      <c r="J53">
        <f t="shared" si="1"/>
        <v>14</v>
      </c>
      <c r="K53" cm="1">
        <f t="array" ref="K53">IFERROR(INDEX(impact_factors!$C$1:$C$3000,MATCH(TRUE,ISNUMBER(SEARCH(H53,impact_factors!$B$1:$B$3000)),0)),IF(H53="XX",0,"X"))</f>
        <v>6.9000000000000006E-2</v>
      </c>
      <c r="L53">
        <v>47</v>
      </c>
      <c r="M53" t="s">
        <v>956</v>
      </c>
      <c r="N53" t="s">
        <v>957</v>
      </c>
      <c r="O53" t="s">
        <v>958</v>
      </c>
      <c r="P53" t="s">
        <v>161</v>
      </c>
      <c r="Q53" t="s">
        <v>161</v>
      </c>
      <c r="R53" t="s">
        <v>161</v>
      </c>
      <c r="S53" s="25">
        <v>2</v>
      </c>
    </row>
    <row r="54" spans="1:19" x14ac:dyDescent="0.25">
      <c r="A54">
        <v>53</v>
      </c>
      <c r="B54" t="s">
        <v>4020</v>
      </c>
      <c r="C54" t="s">
        <v>4021</v>
      </c>
      <c r="D54">
        <v>1996</v>
      </c>
      <c r="E54" t="s">
        <v>4022</v>
      </c>
      <c r="F54" t="s">
        <v>4023</v>
      </c>
      <c r="G54" t="s">
        <v>4024</v>
      </c>
      <c r="H54" t="s">
        <v>4025</v>
      </c>
      <c r="I54" t="b">
        <v>1</v>
      </c>
      <c r="J54">
        <f t="shared" si="1"/>
        <v>0</v>
      </c>
      <c r="K54" cm="1">
        <f t="array" ref="K54">IFERROR(INDEX(impact_factors!$C$1:$C$3000,MATCH(TRUE,ISNUMBER(SEARCH(H54,impact_factors!$B$1:$B$3000)),0)),IF(H54="XX",0,"X"))</f>
        <v>0.76700000000000002</v>
      </c>
      <c r="L54">
        <v>347</v>
      </c>
      <c r="M54" t="s">
        <v>4018</v>
      </c>
      <c r="N54" t="s">
        <v>4019</v>
      </c>
      <c r="O54" t="s">
        <v>641</v>
      </c>
      <c r="P54" t="s">
        <v>161</v>
      </c>
      <c r="Q54" t="s">
        <v>161</v>
      </c>
      <c r="R54" t="s">
        <v>161</v>
      </c>
      <c r="S54" s="25">
        <v>1</v>
      </c>
    </row>
    <row r="55" spans="1:19" x14ac:dyDescent="0.25">
      <c r="A55">
        <v>54</v>
      </c>
      <c r="B55" t="s">
        <v>483</v>
      </c>
      <c r="C55" t="s">
        <v>959</v>
      </c>
      <c r="D55">
        <v>2001</v>
      </c>
      <c r="E55" t="s">
        <v>960</v>
      </c>
      <c r="F55" t="s">
        <v>961</v>
      </c>
      <c r="G55" t="s">
        <v>962</v>
      </c>
      <c r="H55" t="s">
        <v>3879</v>
      </c>
      <c r="I55" t="b">
        <v>0</v>
      </c>
      <c r="J55">
        <f t="shared" si="1"/>
        <v>5</v>
      </c>
      <c r="K55" cm="1">
        <f t="array" ref="K55">IFERROR(INDEX(impact_factors!$C$1:$C$3000,MATCH(TRUE,ISNUMBER(SEARCH(H55,impact_factors!$B$1:$B$3000)),0)),IF(H55="XX",0,"X"))</f>
        <v>0</v>
      </c>
      <c r="L55">
        <v>125</v>
      </c>
      <c r="M55" t="s">
        <v>963</v>
      </c>
      <c r="N55" t="s">
        <v>964</v>
      </c>
      <c r="O55" t="s">
        <v>964</v>
      </c>
      <c r="P55" t="s">
        <v>161</v>
      </c>
      <c r="Q55" t="s">
        <v>161</v>
      </c>
      <c r="R55" t="s">
        <v>161</v>
      </c>
      <c r="S55" s="25">
        <v>2</v>
      </c>
    </row>
    <row r="56" spans="1:19" x14ac:dyDescent="0.25">
      <c r="A56">
        <v>55</v>
      </c>
      <c r="B56" t="s">
        <v>491</v>
      </c>
      <c r="C56" t="s">
        <v>965</v>
      </c>
      <c r="D56">
        <v>2020</v>
      </c>
      <c r="E56" t="s">
        <v>966</v>
      </c>
      <c r="F56" t="s">
        <v>967</v>
      </c>
      <c r="G56" t="s">
        <v>968</v>
      </c>
      <c r="H56" t="s">
        <v>3877</v>
      </c>
      <c r="I56" t="b">
        <v>1</v>
      </c>
      <c r="J56">
        <f t="shared" si="1"/>
        <v>24</v>
      </c>
      <c r="K56" cm="1">
        <f t="array" ref="K56">IFERROR(INDEX(impact_factors!$C$1:$C$3000,MATCH(TRUE,ISNUMBER(SEARCH(H56,impact_factors!$B$1:$B$3000)),0)),IF(H56="XX",0,"X"))</f>
        <v>4.0000000000000001E-3</v>
      </c>
      <c r="L56">
        <v>2</v>
      </c>
      <c r="M56" t="s">
        <v>969</v>
      </c>
      <c r="N56" t="s">
        <v>970</v>
      </c>
      <c r="O56" t="s">
        <v>971</v>
      </c>
      <c r="P56" t="s">
        <v>161</v>
      </c>
      <c r="Q56" t="s">
        <v>161</v>
      </c>
      <c r="R56" t="s">
        <v>161</v>
      </c>
      <c r="S56" s="25">
        <v>4</v>
      </c>
    </row>
    <row r="57" spans="1:19" x14ac:dyDescent="0.25">
      <c r="A57">
        <v>56</v>
      </c>
      <c r="B57" t="s">
        <v>3893</v>
      </c>
      <c r="C57" t="s">
        <v>3903</v>
      </c>
      <c r="D57">
        <v>2019</v>
      </c>
      <c r="E57" t="s">
        <v>3904</v>
      </c>
      <c r="F57" t="s">
        <v>3905</v>
      </c>
      <c r="G57" t="s">
        <v>3906</v>
      </c>
      <c r="H57" t="s">
        <v>3863</v>
      </c>
      <c r="I57" t="b">
        <v>1</v>
      </c>
      <c r="J57">
        <f t="shared" si="1"/>
        <v>23</v>
      </c>
      <c r="K57" cm="1">
        <f t="array" ref="K57">IFERROR(INDEX(impact_factors!$C$1:$C$3000,MATCH(TRUE,ISNUMBER(SEARCH(H57,impact_factors!$B$1:$B$3000)),0)),IF(H57="XX",0,"X"))</f>
        <v>4.149</v>
      </c>
      <c r="L57">
        <v>8</v>
      </c>
      <c r="M57" t="s">
        <v>3907</v>
      </c>
      <c r="N57" t="s">
        <v>3908</v>
      </c>
      <c r="O57" t="s">
        <v>3909</v>
      </c>
      <c r="P57" t="s">
        <v>161</v>
      </c>
      <c r="Q57" t="s">
        <v>161</v>
      </c>
      <c r="R57" t="s">
        <v>161</v>
      </c>
      <c r="S57" s="25">
        <v>2</v>
      </c>
    </row>
    <row r="58" spans="1:19" x14ac:dyDescent="0.25">
      <c r="A58">
        <v>57</v>
      </c>
      <c r="B58" t="s">
        <v>3912</v>
      </c>
      <c r="C58" t="s">
        <v>3913</v>
      </c>
      <c r="D58">
        <v>2007</v>
      </c>
      <c r="E58" t="s">
        <v>3914</v>
      </c>
      <c r="F58" t="s">
        <v>3915</v>
      </c>
      <c r="G58" t="s">
        <v>3916</v>
      </c>
      <c r="H58" t="s">
        <v>3917</v>
      </c>
      <c r="I58" t="b">
        <v>1</v>
      </c>
      <c r="J58">
        <f t="shared" si="1"/>
        <v>11</v>
      </c>
      <c r="K58" t="str" cm="1">
        <f t="array" ref="K58">IFERROR(INDEX(impact_factors!$C$1:$C$3000,MATCH(TRUE,ISNUMBER(SEARCH(H58,impact_factors!$B$1:$B$3000)),0)),IF(H58="XX",0,"X"))</f>
        <v>X</v>
      </c>
      <c r="L58">
        <v>4</v>
      </c>
      <c r="M58" t="s">
        <v>3918</v>
      </c>
      <c r="N58" t="s">
        <v>3919</v>
      </c>
      <c r="O58" t="s">
        <v>3920</v>
      </c>
      <c r="P58" t="s">
        <v>161</v>
      </c>
      <c r="Q58" t="s">
        <v>161</v>
      </c>
      <c r="R58" t="s">
        <v>161</v>
      </c>
      <c r="S58" s="25">
        <v>3</v>
      </c>
    </row>
    <row r="59" spans="1:19" x14ac:dyDescent="0.25">
      <c r="A59">
        <v>58</v>
      </c>
      <c r="B59" t="s">
        <v>3921</v>
      </c>
      <c r="C59" t="s">
        <v>3922</v>
      </c>
      <c r="D59">
        <v>2015</v>
      </c>
      <c r="E59" t="s">
        <v>3923</v>
      </c>
      <c r="F59" t="s">
        <v>3924</v>
      </c>
      <c r="G59" t="s">
        <v>3925</v>
      </c>
      <c r="H59" t="s">
        <v>3879</v>
      </c>
      <c r="I59" t="b">
        <v>0</v>
      </c>
      <c r="J59">
        <f t="shared" si="1"/>
        <v>19</v>
      </c>
      <c r="K59" cm="1">
        <f t="array" ref="K59">IFERROR(INDEX(impact_factors!$C$1:$C$3000,MATCH(TRUE,ISNUMBER(SEARCH(H59,impact_factors!$B$1:$B$3000)),0)),IF(H59="XX",0,"X"))</f>
        <v>0</v>
      </c>
      <c r="L59">
        <v>0</v>
      </c>
      <c r="M59" t="s">
        <v>3926</v>
      </c>
      <c r="N59" t="s">
        <v>3927</v>
      </c>
      <c r="O59" t="s">
        <v>3928</v>
      </c>
      <c r="P59" t="s">
        <v>161</v>
      </c>
      <c r="Q59" t="s">
        <v>161</v>
      </c>
      <c r="R59" t="s">
        <v>161</v>
      </c>
      <c r="S59" s="25">
        <v>2</v>
      </c>
    </row>
    <row r="60" spans="1:19" x14ac:dyDescent="0.25">
      <c r="A60">
        <v>59</v>
      </c>
      <c r="B60" t="s">
        <v>3929</v>
      </c>
      <c r="C60" t="s">
        <v>3930</v>
      </c>
      <c r="D60">
        <v>2023</v>
      </c>
      <c r="E60" t="s">
        <v>3931</v>
      </c>
      <c r="F60" t="s">
        <v>3932</v>
      </c>
      <c r="G60" t="s">
        <v>3933</v>
      </c>
      <c r="H60" t="s">
        <v>3879</v>
      </c>
      <c r="I60" t="b">
        <v>0</v>
      </c>
      <c r="J60">
        <f t="shared" si="1"/>
        <v>27</v>
      </c>
      <c r="K60" cm="1">
        <f t="array" ref="K60">IFERROR(INDEX(impact_factors!$C$1:$C$3000,MATCH(TRUE,ISNUMBER(SEARCH(H60,impact_factors!$B$1:$B$3000)),0)),IF(H60="XX",0,"X"))</f>
        <v>0</v>
      </c>
      <c r="L60">
        <v>2</v>
      </c>
      <c r="M60" t="s">
        <v>3934</v>
      </c>
      <c r="N60" t="s">
        <v>3935</v>
      </c>
      <c r="O60" t="s">
        <v>3935</v>
      </c>
      <c r="P60" t="s">
        <v>161</v>
      </c>
      <c r="Q60" t="s">
        <v>161</v>
      </c>
      <c r="R60" t="s">
        <v>161</v>
      </c>
      <c r="S60" s="25">
        <v>1</v>
      </c>
    </row>
    <row r="61" spans="1:19" x14ac:dyDescent="0.25">
      <c r="A61">
        <v>60</v>
      </c>
      <c r="B61" t="s">
        <v>3936</v>
      </c>
      <c r="C61" t="s">
        <v>3937</v>
      </c>
      <c r="D61">
        <v>2020</v>
      </c>
      <c r="E61" t="s">
        <v>3938</v>
      </c>
      <c r="F61" t="s">
        <v>3939</v>
      </c>
      <c r="G61" t="s">
        <v>3940</v>
      </c>
      <c r="H61" t="s">
        <v>3941</v>
      </c>
      <c r="I61" t="b">
        <v>1</v>
      </c>
      <c r="J61">
        <f t="shared" si="1"/>
        <v>24</v>
      </c>
      <c r="K61" cm="1">
        <f t="array" ref="K61">IFERROR(INDEX(impact_factors!$C$1:$C$3000,MATCH(TRUE,ISNUMBER(SEARCH(H61,impact_factors!$B$1:$B$3000)),0)),IF(H61="XX",0,"X"))</f>
        <v>4.2000000000000003E-2</v>
      </c>
      <c r="L61">
        <v>6</v>
      </c>
      <c r="M61" t="s">
        <v>3942</v>
      </c>
      <c r="N61" t="s">
        <v>3943</v>
      </c>
      <c r="O61" t="s">
        <v>641</v>
      </c>
      <c r="P61" t="s">
        <v>161</v>
      </c>
      <c r="Q61" t="s">
        <v>161</v>
      </c>
      <c r="R61" t="s">
        <v>161</v>
      </c>
      <c r="S61" s="25">
        <v>3</v>
      </c>
    </row>
    <row r="62" spans="1:19" x14ac:dyDescent="0.25">
      <c r="A62">
        <v>61</v>
      </c>
      <c r="B62" t="s">
        <v>3944</v>
      </c>
      <c r="C62" t="s">
        <v>3945</v>
      </c>
      <c r="D62">
        <v>2012</v>
      </c>
      <c r="E62" t="s">
        <v>3946</v>
      </c>
      <c r="F62" t="s">
        <v>3947</v>
      </c>
      <c r="G62" t="s">
        <v>3948</v>
      </c>
      <c r="H62" t="s">
        <v>3879</v>
      </c>
      <c r="I62" t="b">
        <v>0</v>
      </c>
      <c r="J62">
        <f t="shared" si="1"/>
        <v>16</v>
      </c>
      <c r="K62" cm="1">
        <f t="array" ref="K62">IFERROR(INDEX(impact_factors!$C$1:$C$3000,MATCH(TRUE,ISNUMBER(SEARCH(H62,impact_factors!$B$1:$B$3000)),0)),IF(H62="XX",0,"X"))</f>
        <v>0</v>
      </c>
      <c r="L62">
        <v>0</v>
      </c>
      <c r="M62" t="s">
        <v>3949</v>
      </c>
      <c r="N62" t="s">
        <v>3950</v>
      </c>
      <c r="O62" t="s">
        <v>3950</v>
      </c>
      <c r="P62" t="s">
        <v>161</v>
      </c>
      <c r="Q62" t="s">
        <v>161</v>
      </c>
      <c r="R62" t="s">
        <v>161</v>
      </c>
      <c r="S62" s="25">
        <v>3</v>
      </c>
    </row>
    <row r="63" spans="1:19" x14ac:dyDescent="0.25">
      <c r="A63">
        <v>62</v>
      </c>
      <c r="B63" t="s">
        <v>3951</v>
      </c>
      <c r="C63" t="s">
        <v>3952</v>
      </c>
      <c r="D63">
        <v>2018</v>
      </c>
      <c r="E63" t="s">
        <v>3953</v>
      </c>
      <c r="F63" t="s">
        <v>3954</v>
      </c>
      <c r="G63" t="s">
        <v>3955</v>
      </c>
      <c r="H63" t="s">
        <v>3879</v>
      </c>
      <c r="I63" t="b">
        <v>0</v>
      </c>
      <c r="J63">
        <f t="shared" si="1"/>
        <v>22</v>
      </c>
      <c r="K63" cm="1">
        <f t="array" ref="K63">IFERROR(INDEX(impact_factors!$C$1:$C$3000,MATCH(TRUE,ISNUMBER(SEARCH(H63,impact_factors!$B$1:$B$3000)),0)),IF(H63="XX",0,"X"))</f>
        <v>0</v>
      </c>
      <c r="L63">
        <v>0</v>
      </c>
      <c r="M63" t="s">
        <v>3956</v>
      </c>
      <c r="N63" t="s">
        <v>3957</v>
      </c>
      <c r="O63" t="s">
        <v>3957</v>
      </c>
      <c r="P63" t="s">
        <v>161</v>
      </c>
      <c r="Q63" t="s">
        <v>161</v>
      </c>
      <c r="R63" t="s">
        <v>161</v>
      </c>
      <c r="S63" s="25">
        <v>3</v>
      </c>
    </row>
    <row r="64" spans="1:19" x14ac:dyDescent="0.25">
      <c r="A64">
        <v>63</v>
      </c>
      <c r="B64" t="s">
        <v>3961</v>
      </c>
      <c r="C64" t="s">
        <v>3987</v>
      </c>
      <c r="D64">
        <v>2009</v>
      </c>
      <c r="E64" t="s">
        <v>3988</v>
      </c>
      <c r="F64" t="s">
        <v>3989</v>
      </c>
      <c r="G64" t="s">
        <v>3990</v>
      </c>
      <c r="H64" t="s">
        <v>3872</v>
      </c>
      <c r="I64" t="b">
        <v>1</v>
      </c>
      <c r="J64">
        <f t="shared" si="1"/>
        <v>13</v>
      </c>
      <c r="K64" cm="1">
        <f t="array" ref="K64">IFERROR(INDEX(impact_factors!$C$1:$C$3000,MATCH(TRUE,ISNUMBER(SEARCH(H64,impact_factors!$B$1:$B$3000)),0)),IF(H64="XX",0,"X"))</f>
        <v>0.17100000000000001</v>
      </c>
      <c r="L64">
        <v>120</v>
      </c>
      <c r="M64" t="s">
        <v>3991</v>
      </c>
      <c r="N64" t="s">
        <v>3992</v>
      </c>
      <c r="O64" t="s">
        <v>641</v>
      </c>
      <c r="P64" t="s">
        <v>161</v>
      </c>
      <c r="Q64" t="s">
        <v>161</v>
      </c>
      <c r="R64" t="s">
        <v>161</v>
      </c>
      <c r="S64" s="25">
        <v>2</v>
      </c>
    </row>
    <row r="65" spans="1:19" x14ac:dyDescent="0.25">
      <c r="A65">
        <v>64</v>
      </c>
      <c r="B65" t="s">
        <v>3962</v>
      </c>
      <c r="C65" t="s">
        <v>3963</v>
      </c>
      <c r="D65">
        <v>2014</v>
      </c>
      <c r="E65" t="s">
        <v>3964</v>
      </c>
      <c r="F65" t="s">
        <v>3965</v>
      </c>
      <c r="G65" t="s">
        <v>3966</v>
      </c>
      <c r="H65" t="s">
        <v>3970</v>
      </c>
      <c r="I65" t="b">
        <v>1</v>
      </c>
      <c r="J65">
        <f t="shared" si="1"/>
        <v>18</v>
      </c>
      <c r="K65" t="str" cm="1">
        <f t="array" ref="K65">IFERROR(INDEX(impact_factors!$C$1:$C$3000,MATCH(TRUE,ISNUMBER(SEARCH(H65,impact_factors!$B$1:$B$3000)),0)),IF(H65="XX",0,"X"))</f>
        <v>X</v>
      </c>
      <c r="L65">
        <v>4</v>
      </c>
      <c r="M65" t="s">
        <v>3967</v>
      </c>
      <c r="N65" t="s">
        <v>3968</v>
      </c>
      <c r="O65" t="s">
        <v>3969</v>
      </c>
      <c r="P65" t="s">
        <v>161</v>
      </c>
      <c r="Q65" t="s">
        <v>161</v>
      </c>
      <c r="R65" t="s">
        <v>161</v>
      </c>
      <c r="S65" s="25">
        <v>3</v>
      </c>
    </row>
    <row r="66" spans="1:19" x14ac:dyDescent="0.25">
      <c r="A66">
        <v>65</v>
      </c>
      <c r="B66" t="s">
        <v>3971</v>
      </c>
      <c r="C66" t="s">
        <v>3972</v>
      </c>
      <c r="D66">
        <v>2013</v>
      </c>
      <c r="E66" t="s">
        <v>3973</v>
      </c>
      <c r="F66" t="s">
        <v>3974</v>
      </c>
      <c r="G66" t="s">
        <v>3975</v>
      </c>
      <c r="H66" t="s">
        <v>3976</v>
      </c>
      <c r="I66" t="b">
        <v>1</v>
      </c>
      <c r="J66">
        <f t="shared" ref="J66:J75" si="2">D66-MIN($D:$D)</f>
        <v>17</v>
      </c>
      <c r="K66" cm="1">
        <f t="array" ref="K66">IFERROR(INDEX(impact_factors!$C$1:$C$3000,MATCH(TRUE,ISNUMBER(SEARCH(H66,impact_factors!$B$1:$B$3000)),0)),IF(H66="XX",0,"X"))</f>
        <v>0.19600000000000001</v>
      </c>
      <c r="L66">
        <v>166</v>
      </c>
      <c r="M66" t="s">
        <v>3977</v>
      </c>
      <c r="N66" t="s">
        <v>3978</v>
      </c>
      <c r="O66" t="s">
        <v>641</v>
      </c>
      <c r="P66" t="s">
        <v>161</v>
      </c>
      <c r="Q66" t="s">
        <v>161</v>
      </c>
      <c r="R66" t="s">
        <v>161</v>
      </c>
      <c r="S66" s="25">
        <v>1</v>
      </c>
    </row>
    <row r="67" spans="1:19" x14ac:dyDescent="0.25">
      <c r="A67">
        <v>66</v>
      </c>
      <c r="B67" t="s">
        <v>3979</v>
      </c>
      <c r="C67" t="s">
        <v>3980</v>
      </c>
      <c r="D67">
        <v>1998</v>
      </c>
      <c r="E67" t="s">
        <v>3981</v>
      </c>
      <c r="F67" t="s">
        <v>3982</v>
      </c>
      <c r="G67" t="s">
        <v>3983</v>
      </c>
      <c r="H67" t="s">
        <v>3984</v>
      </c>
      <c r="I67" t="b">
        <v>1</v>
      </c>
      <c r="J67">
        <f t="shared" si="2"/>
        <v>2</v>
      </c>
      <c r="K67" t="str" cm="1">
        <f t="array" ref="K67">IFERROR(INDEX(impact_factors!$C$1:$C$3000,MATCH(TRUE,ISNUMBER(SEARCH(H67,impact_factors!$B$1:$B$3000)),0)),IF(H67="XX",0,"X"))</f>
        <v>X</v>
      </c>
      <c r="L67">
        <v>6</v>
      </c>
      <c r="M67" t="s">
        <v>3985</v>
      </c>
      <c r="N67" t="s">
        <v>3986</v>
      </c>
      <c r="O67" t="s">
        <v>3986</v>
      </c>
      <c r="P67" t="s">
        <v>161</v>
      </c>
      <c r="Q67" t="s">
        <v>161</v>
      </c>
      <c r="R67" t="s">
        <v>161</v>
      </c>
      <c r="S67" s="25">
        <v>4</v>
      </c>
    </row>
    <row r="68" spans="1:19" x14ac:dyDescent="0.25">
      <c r="A68">
        <v>67</v>
      </c>
      <c r="B68" t="s">
        <v>3993</v>
      </c>
      <c r="C68" t="s">
        <v>3994</v>
      </c>
      <c r="D68">
        <v>2015</v>
      </c>
      <c r="E68" t="s">
        <v>3995</v>
      </c>
      <c r="F68" t="s">
        <v>3996</v>
      </c>
      <c r="G68" t="s">
        <v>3997</v>
      </c>
      <c r="H68" t="s">
        <v>3976</v>
      </c>
      <c r="I68" t="b">
        <v>1</v>
      </c>
      <c r="J68">
        <f t="shared" si="2"/>
        <v>19</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5">
        <v>2</v>
      </c>
    </row>
    <row r="69" spans="1:19" x14ac:dyDescent="0.25">
      <c r="A69">
        <v>68</v>
      </c>
      <c r="B69" t="s">
        <v>4001</v>
      </c>
      <c r="C69" t="s">
        <v>4002</v>
      </c>
      <c r="D69">
        <v>2012</v>
      </c>
      <c r="E69" t="s">
        <v>4003</v>
      </c>
      <c r="F69" t="s">
        <v>4004</v>
      </c>
      <c r="G69" t="s">
        <v>4005</v>
      </c>
      <c r="H69" t="s">
        <v>4006</v>
      </c>
      <c r="I69" t="b">
        <v>1</v>
      </c>
      <c r="J69">
        <f t="shared" si="2"/>
        <v>16</v>
      </c>
      <c r="K69" t="str" cm="1">
        <f t="array" ref="K69">IFERROR(INDEX(impact_factors!$C$1:$C$3000,MATCH(TRUE,ISNUMBER(SEARCH(H69,impact_factors!$B$1:$B$3000)),0)),IF(H69="XX",0,"X"))</f>
        <v>X</v>
      </c>
      <c r="L69">
        <v>149</v>
      </c>
      <c r="M69" t="s">
        <v>4007</v>
      </c>
      <c r="N69" t="s">
        <v>4008</v>
      </c>
      <c r="O69" t="s">
        <v>4009</v>
      </c>
      <c r="P69" t="s">
        <v>161</v>
      </c>
      <c r="Q69" t="s">
        <v>161</v>
      </c>
      <c r="R69" t="s">
        <v>161</v>
      </c>
      <c r="S69" s="25">
        <v>3</v>
      </c>
    </row>
    <row r="70" spans="1:19" x14ac:dyDescent="0.25">
      <c r="A70">
        <v>69</v>
      </c>
      <c r="B70" t="s">
        <v>4012</v>
      </c>
      <c r="C70" t="s">
        <v>4013</v>
      </c>
      <c r="D70">
        <v>2017</v>
      </c>
      <c r="E70" t="s">
        <v>4014</v>
      </c>
      <c r="F70" t="s">
        <v>4015</v>
      </c>
      <c r="G70" t="s">
        <v>4016</v>
      </c>
      <c r="H70" t="s">
        <v>4017</v>
      </c>
      <c r="I70" t="b">
        <v>1</v>
      </c>
      <c r="J70">
        <f t="shared" si="2"/>
        <v>21</v>
      </c>
      <c r="K70" cm="1">
        <f t="array" ref="K70">IFERROR(INDEX(impact_factors!$C$1:$C$3000,MATCH(TRUE,ISNUMBER(SEARCH(H70,impact_factors!$B$1:$B$3000)),0)),IF(H70="XX",0,"X"))</f>
        <v>0.04</v>
      </c>
      <c r="L70">
        <v>4</v>
      </c>
      <c r="M70" t="s">
        <v>4010</v>
      </c>
      <c r="N70" t="s">
        <v>4011</v>
      </c>
      <c r="O70" t="s">
        <v>4011</v>
      </c>
      <c r="P70" t="s">
        <v>161</v>
      </c>
      <c r="Q70" t="s">
        <v>161</v>
      </c>
      <c r="R70" t="s">
        <v>161</v>
      </c>
      <c r="S70" s="25">
        <v>3</v>
      </c>
    </row>
    <row r="71" spans="1:19" x14ac:dyDescent="0.25">
      <c r="A71">
        <v>70</v>
      </c>
      <c r="B71" t="s">
        <v>4026</v>
      </c>
      <c r="C71" t="s">
        <v>3963</v>
      </c>
      <c r="D71">
        <v>2012</v>
      </c>
      <c r="E71" t="s">
        <v>4027</v>
      </c>
      <c r="F71" t="s">
        <v>4028</v>
      </c>
      <c r="G71" t="s">
        <v>4029</v>
      </c>
      <c r="H71" t="s">
        <v>3879</v>
      </c>
      <c r="I71" t="b">
        <v>0</v>
      </c>
      <c r="J71">
        <f t="shared" si="2"/>
        <v>16</v>
      </c>
      <c r="K71" cm="1">
        <f t="array" ref="K71">IFERROR(INDEX(impact_factors!$C$1:$C$3000,MATCH(TRUE,ISNUMBER(SEARCH(H71,impact_factors!$B$1:$B$3000)),0)),IF(H71="XX",0,"X"))</f>
        <v>0</v>
      </c>
      <c r="L71">
        <v>2</v>
      </c>
      <c r="M71" t="s">
        <v>4030</v>
      </c>
      <c r="N71" t="s">
        <v>4031</v>
      </c>
      <c r="O71" t="s">
        <v>4031</v>
      </c>
      <c r="P71" t="s">
        <v>161</v>
      </c>
      <c r="Q71" t="s">
        <v>161</v>
      </c>
      <c r="R71" t="s">
        <v>161</v>
      </c>
      <c r="S71" s="25">
        <v>2</v>
      </c>
    </row>
    <row r="72" spans="1:19" x14ac:dyDescent="0.25">
      <c r="A72">
        <v>71</v>
      </c>
      <c r="B72" t="s">
        <v>4032</v>
      </c>
      <c r="C72" t="s">
        <v>4033</v>
      </c>
      <c r="D72">
        <v>2019</v>
      </c>
      <c r="E72" t="s">
        <v>4034</v>
      </c>
      <c r="F72" t="s">
        <v>4035</v>
      </c>
      <c r="G72" t="s">
        <v>4036</v>
      </c>
      <c r="H72" t="s">
        <v>4037</v>
      </c>
      <c r="I72" t="b">
        <v>1</v>
      </c>
      <c r="J72">
        <f t="shared" si="2"/>
        <v>23</v>
      </c>
      <c r="K72" t="str" cm="1">
        <f t="array" ref="K72">IFERROR(INDEX(impact_factors!$C$1:$C$3000,MATCH(TRUE,ISNUMBER(SEARCH(H72,impact_factors!$B$1:$B$3000)),0)),IF(H72="XX",0,"X"))</f>
        <v>X</v>
      </c>
      <c r="L72">
        <v>15</v>
      </c>
      <c r="M72" t="s">
        <v>4038</v>
      </c>
      <c r="N72" t="s">
        <v>4039</v>
      </c>
      <c r="O72" t="s">
        <v>4040</v>
      </c>
      <c r="P72" t="s">
        <v>161</v>
      </c>
      <c r="Q72" t="s">
        <v>161</v>
      </c>
      <c r="R72" t="s">
        <v>161</v>
      </c>
      <c r="S72" s="25">
        <v>3</v>
      </c>
    </row>
    <row r="73" spans="1:19" x14ac:dyDescent="0.25">
      <c r="A73">
        <v>72</v>
      </c>
      <c r="B73" t="s">
        <v>4042</v>
      </c>
      <c r="C73" t="s">
        <v>4043</v>
      </c>
      <c r="D73">
        <v>2005</v>
      </c>
      <c r="E73" t="s">
        <v>4044</v>
      </c>
      <c r="F73" t="s">
        <v>4045</v>
      </c>
      <c r="G73" t="s">
        <v>4046</v>
      </c>
      <c r="H73" t="s">
        <v>3879</v>
      </c>
      <c r="I73" t="b">
        <v>0</v>
      </c>
      <c r="J73">
        <f t="shared" si="2"/>
        <v>9</v>
      </c>
      <c r="K73" cm="1">
        <f t="array" ref="K73">IFERROR(INDEX(impact_factors!$C$1:$C$3000,MATCH(TRUE,ISNUMBER(SEARCH(H73,impact_factors!$B$1:$B$3000)),0)),IF(H73="XX",0,"X"))</f>
        <v>0</v>
      </c>
      <c r="L73">
        <v>0</v>
      </c>
      <c r="M73" t="s">
        <v>4047</v>
      </c>
      <c r="N73" t="s">
        <v>4048</v>
      </c>
      <c r="O73" t="s">
        <v>4049</v>
      </c>
      <c r="P73" t="s">
        <v>161</v>
      </c>
      <c r="Q73" t="s">
        <v>161</v>
      </c>
      <c r="R73" t="s">
        <v>161</v>
      </c>
      <c r="S73" s="25">
        <v>3</v>
      </c>
    </row>
    <row r="74" spans="1:19" x14ac:dyDescent="0.25">
      <c r="A74">
        <v>73</v>
      </c>
      <c r="B74" t="s">
        <v>4050</v>
      </c>
      <c r="C74" t="s">
        <v>4051</v>
      </c>
      <c r="D74">
        <v>2022</v>
      </c>
      <c r="E74" t="s">
        <v>4052</v>
      </c>
      <c r="F74" t="s">
        <v>4053</v>
      </c>
      <c r="G74" t="s">
        <v>4054</v>
      </c>
      <c r="H74" t="s">
        <v>4055</v>
      </c>
      <c r="I74" t="b">
        <v>1</v>
      </c>
      <c r="J74">
        <f t="shared" si="2"/>
        <v>26</v>
      </c>
      <c r="K74" cm="1">
        <f t="array" ref="K74">IFERROR(INDEX(impact_factors!$C$1:$C$3000,MATCH(TRUE,ISNUMBER(SEARCH(H74,impact_factors!$B$1:$B$3000)),0)),IF(H74="XX",0,"X"))</f>
        <v>2.9000000000000001E-2</v>
      </c>
      <c r="L74">
        <v>0</v>
      </c>
      <c r="M74" t="s">
        <v>4056</v>
      </c>
      <c r="N74" t="s">
        <v>4057</v>
      </c>
      <c r="O74" t="s">
        <v>4058</v>
      </c>
      <c r="P74" t="s">
        <v>161</v>
      </c>
      <c r="Q74" t="s">
        <v>161</v>
      </c>
      <c r="R74" t="s">
        <v>161</v>
      </c>
      <c r="S74" s="25">
        <v>3</v>
      </c>
    </row>
    <row r="75" spans="1:19" x14ac:dyDescent="0.25">
      <c r="A75" s="83">
        <v>74</v>
      </c>
      <c r="B75" s="83" t="s">
        <v>4059</v>
      </c>
      <c r="C75" s="83" t="s">
        <v>3922</v>
      </c>
      <c r="D75" s="83">
        <v>2016</v>
      </c>
      <c r="E75" s="83" t="s">
        <v>4060</v>
      </c>
      <c r="F75" s="83" t="s">
        <v>4061</v>
      </c>
      <c r="G75" s="83" t="s">
        <v>4062</v>
      </c>
      <c r="H75" s="83" t="s">
        <v>3863</v>
      </c>
      <c r="I75" s="83" t="b">
        <v>1</v>
      </c>
      <c r="J75" s="83">
        <f t="shared" si="2"/>
        <v>20</v>
      </c>
      <c r="K75" s="83" cm="1">
        <f t="array" ref="K75">IFERROR(INDEX(impact_factors!$C$1:$C$3000,MATCH(TRUE,ISNUMBER(SEARCH(H75,impact_factors!$B$1:$B$3000)),0)),IF(H75="XX",0,"X"))</f>
        <v>4.149</v>
      </c>
      <c r="L75" s="83">
        <v>6</v>
      </c>
      <c r="M75" s="83" t="s">
        <v>4063</v>
      </c>
      <c r="N75" s="83" t="s">
        <v>3927</v>
      </c>
      <c r="O75" s="83" t="s">
        <v>641</v>
      </c>
      <c r="P75" s="83" t="s">
        <v>161</v>
      </c>
      <c r="Q75" s="83" t="s">
        <v>161</v>
      </c>
      <c r="R75" s="83" t="s">
        <v>161</v>
      </c>
      <c r="S75" s="84">
        <v>2</v>
      </c>
    </row>
  </sheetData>
  <conditionalFormatting sqref="F1:F53 F55">
    <cfRule type="containsBlanks" dxfId="204" priority="202">
      <formula>LEN(TRIM(F1))=0</formula>
    </cfRule>
  </conditionalFormatting>
  <conditionalFormatting sqref="P2:R53 P55:R55">
    <cfRule type="containsText" dxfId="203" priority="199" operator="containsText" text="PRIMARY STUDY">
      <formula>NOT(ISERROR(SEARCH("PRIMARY STUDY",P2)))</formula>
    </cfRule>
    <cfRule type="notContainsText" dxfId="202" priority="200" operator="notContains" text="YES">
      <formula>ISERROR(SEARCH("YES",P2))</formula>
    </cfRule>
    <cfRule type="containsText" dxfId="201" priority="201" operator="containsText" text="YES">
      <formula>NOT(ISERROR(SEARCH("YES",P2)))</formula>
    </cfRule>
  </conditionalFormatting>
  <conditionalFormatting sqref="S2:S53 S55">
    <cfRule type="containsBlanks" dxfId="200" priority="203">
      <formula>LEN(TRIM(S2))=0</formula>
    </cfRule>
  </conditionalFormatting>
  <conditionalFormatting sqref="S2:S53 S55">
    <cfRule type="cellIs" dxfId="199" priority="197" operator="between">
      <formula>1</formula>
      <formula>4</formula>
    </cfRule>
    <cfRule type="containsText" dxfId="198" priority="198" operator="containsText" text="X">
      <formula>NOT(ISERROR(SEARCH("X",S2)))</formula>
    </cfRule>
  </conditionalFormatting>
  <conditionalFormatting sqref="F56">
    <cfRule type="containsBlanks" dxfId="197" priority="194">
      <formula>LEN(TRIM(F56))=0</formula>
    </cfRule>
  </conditionalFormatting>
  <conditionalFormatting sqref="P56:R56">
    <cfRule type="containsText" dxfId="196" priority="191" operator="containsText" text="PRIMARY STUDY">
      <formula>NOT(ISERROR(SEARCH("PRIMARY STUDY",P56)))</formula>
    </cfRule>
    <cfRule type="notContainsText" dxfId="195" priority="192" operator="notContains" text="YES">
      <formula>ISERROR(SEARCH("YES",P56))</formula>
    </cfRule>
    <cfRule type="containsText" dxfId="194" priority="193" operator="containsText" text="YES">
      <formula>NOT(ISERROR(SEARCH("YES",P56)))</formula>
    </cfRule>
  </conditionalFormatting>
  <conditionalFormatting sqref="B56">
    <cfRule type="duplicateValues" dxfId="193" priority="188"/>
  </conditionalFormatting>
  <conditionalFormatting sqref="S56">
    <cfRule type="containsBlanks" dxfId="192" priority="195">
      <formula>LEN(TRIM(S56))=0</formula>
    </cfRule>
  </conditionalFormatting>
  <conditionalFormatting sqref="S56">
    <cfRule type="cellIs" dxfId="191" priority="189" operator="between">
      <formula>1</formula>
      <formula>4</formula>
    </cfRule>
    <cfRule type="containsText" dxfId="190" priority="190" operator="containsText" text="X">
      <formula>NOT(ISERROR(SEARCH("X",S56)))</formula>
    </cfRule>
  </conditionalFormatting>
  <conditionalFormatting sqref="F57">
    <cfRule type="containsBlanks" dxfId="189" priority="186">
      <formula>LEN(TRIM(F57))=0</formula>
    </cfRule>
  </conditionalFormatting>
  <conditionalFormatting sqref="P57:R57">
    <cfRule type="containsText" dxfId="188" priority="183" operator="containsText" text="PRIMARY STUDY">
      <formula>NOT(ISERROR(SEARCH("PRIMARY STUDY",P57)))</formula>
    </cfRule>
    <cfRule type="notContainsText" dxfId="187" priority="184" operator="notContains" text="YES">
      <formula>ISERROR(SEARCH("YES",P57))</formula>
    </cfRule>
    <cfRule type="containsText" dxfId="186" priority="185" operator="containsText" text="YES">
      <formula>NOT(ISERROR(SEARCH("YES",P57)))</formula>
    </cfRule>
  </conditionalFormatting>
  <conditionalFormatting sqref="B57">
    <cfRule type="duplicateValues" dxfId="185" priority="180"/>
  </conditionalFormatting>
  <conditionalFormatting sqref="S57">
    <cfRule type="containsBlanks" dxfId="184" priority="187">
      <formula>LEN(TRIM(S57))=0</formula>
    </cfRule>
  </conditionalFormatting>
  <conditionalFormatting sqref="S57">
    <cfRule type="cellIs" dxfId="183" priority="181" operator="between">
      <formula>1</formula>
      <formula>4</formula>
    </cfRule>
    <cfRule type="containsText" dxfId="182" priority="182" operator="containsText" text="X">
      <formula>NOT(ISERROR(SEARCH("X",S57)))</formula>
    </cfRule>
  </conditionalFormatting>
  <conditionalFormatting sqref="F58">
    <cfRule type="containsBlanks" dxfId="181" priority="179">
      <formula>LEN(TRIM(F58))=0</formula>
    </cfRule>
  </conditionalFormatting>
  <conditionalFormatting sqref="B58">
    <cfRule type="duplicateValues" dxfId="180" priority="178"/>
  </conditionalFormatting>
  <conditionalFormatting sqref="P58:R58">
    <cfRule type="containsText" dxfId="179" priority="174" operator="containsText" text="PRIMARY STUDY">
      <formula>NOT(ISERROR(SEARCH("PRIMARY STUDY",P58)))</formula>
    </cfRule>
    <cfRule type="notContainsText" dxfId="178" priority="175" operator="notContains" text="YES">
      <formula>ISERROR(SEARCH("YES",P58))</formula>
    </cfRule>
    <cfRule type="containsText" dxfId="177" priority="176" operator="containsText" text="YES">
      <formula>NOT(ISERROR(SEARCH("YES",P58)))</formula>
    </cfRule>
  </conditionalFormatting>
  <conditionalFormatting sqref="S58">
    <cfRule type="containsBlanks" dxfId="176" priority="177">
      <formula>LEN(TRIM(S58))=0</formula>
    </cfRule>
  </conditionalFormatting>
  <conditionalFormatting sqref="S58">
    <cfRule type="cellIs" dxfId="175" priority="172" operator="between">
      <formula>1</formula>
      <formula>4</formula>
    </cfRule>
    <cfRule type="containsText" dxfId="174" priority="173" operator="containsText" text="X">
      <formula>NOT(ISERROR(SEARCH("X",S58)))</formula>
    </cfRule>
  </conditionalFormatting>
  <conditionalFormatting sqref="F59">
    <cfRule type="containsBlanks" dxfId="173" priority="171">
      <formula>LEN(TRIM(F59))=0</formula>
    </cfRule>
  </conditionalFormatting>
  <conditionalFormatting sqref="B59">
    <cfRule type="duplicateValues" dxfId="172" priority="170"/>
  </conditionalFormatting>
  <conditionalFormatting sqref="P59:R59">
    <cfRule type="containsText" dxfId="171" priority="166" operator="containsText" text="PRIMARY STUDY">
      <formula>NOT(ISERROR(SEARCH("PRIMARY STUDY",P59)))</formula>
    </cfRule>
    <cfRule type="notContainsText" dxfId="170" priority="167" operator="notContains" text="YES">
      <formula>ISERROR(SEARCH("YES",P59))</formula>
    </cfRule>
    <cfRule type="containsText" dxfId="169" priority="168" operator="containsText" text="YES">
      <formula>NOT(ISERROR(SEARCH("YES",P59)))</formula>
    </cfRule>
  </conditionalFormatting>
  <conditionalFormatting sqref="S59">
    <cfRule type="containsBlanks" dxfId="168" priority="169">
      <formula>LEN(TRIM(S59))=0</formula>
    </cfRule>
  </conditionalFormatting>
  <conditionalFormatting sqref="S59">
    <cfRule type="cellIs" dxfId="167" priority="164" operator="between">
      <formula>1</formula>
      <formula>4</formula>
    </cfRule>
    <cfRule type="containsText" dxfId="166" priority="165" operator="containsText" text="X">
      <formula>NOT(ISERROR(SEARCH("X",S59)))</formula>
    </cfRule>
  </conditionalFormatting>
  <conditionalFormatting sqref="F60">
    <cfRule type="containsBlanks" dxfId="165" priority="163">
      <formula>LEN(TRIM(F60))=0</formula>
    </cfRule>
  </conditionalFormatting>
  <conditionalFormatting sqref="B60">
    <cfRule type="duplicateValues" dxfId="164" priority="162"/>
  </conditionalFormatting>
  <conditionalFormatting sqref="P60:R60">
    <cfRule type="containsText" dxfId="163" priority="158" operator="containsText" text="PRIMARY STUDY">
      <formula>NOT(ISERROR(SEARCH("PRIMARY STUDY",P60)))</formula>
    </cfRule>
    <cfRule type="notContainsText" dxfId="162" priority="159" operator="notContains" text="YES">
      <formula>ISERROR(SEARCH("YES",P60))</formula>
    </cfRule>
    <cfRule type="containsText" dxfId="161" priority="160" operator="containsText" text="YES">
      <formula>NOT(ISERROR(SEARCH("YES",P60)))</formula>
    </cfRule>
  </conditionalFormatting>
  <conditionalFormatting sqref="S60">
    <cfRule type="containsBlanks" dxfId="160" priority="161">
      <formula>LEN(TRIM(S60))=0</formula>
    </cfRule>
  </conditionalFormatting>
  <conditionalFormatting sqref="S60">
    <cfRule type="cellIs" dxfId="159" priority="156" operator="between">
      <formula>1</formula>
      <formula>4</formula>
    </cfRule>
    <cfRule type="containsText" dxfId="158" priority="157" operator="containsText" text="X">
      <formula>NOT(ISERROR(SEARCH("X",S60)))</formula>
    </cfRule>
  </conditionalFormatting>
  <conditionalFormatting sqref="F61">
    <cfRule type="containsBlanks" dxfId="157" priority="155">
      <formula>LEN(TRIM(F61))=0</formula>
    </cfRule>
  </conditionalFormatting>
  <conditionalFormatting sqref="B61">
    <cfRule type="duplicateValues" dxfId="156" priority="154"/>
  </conditionalFormatting>
  <conditionalFormatting sqref="P61:R61">
    <cfRule type="containsText" dxfId="155" priority="150" operator="containsText" text="PRIMARY STUDY">
      <formula>NOT(ISERROR(SEARCH("PRIMARY STUDY",P61)))</formula>
    </cfRule>
    <cfRule type="notContainsText" dxfId="154" priority="151" operator="notContains" text="YES">
      <formula>ISERROR(SEARCH("YES",P61))</formula>
    </cfRule>
    <cfRule type="containsText" dxfId="153" priority="152" operator="containsText" text="YES">
      <formula>NOT(ISERROR(SEARCH("YES",P61)))</formula>
    </cfRule>
  </conditionalFormatting>
  <conditionalFormatting sqref="S61">
    <cfRule type="containsBlanks" dxfId="152" priority="153">
      <formula>LEN(TRIM(S61))=0</formula>
    </cfRule>
  </conditionalFormatting>
  <conditionalFormatting sqref="S61">
    <cfRule type="cellIs" dxfId="151" priority="148" operator="between">
      <formula>1</formula>
      <formula>4</formula>
    </cfRule>
    <cfRule type="containsText" dxfId="150" priority="149" operator="containsText" text="X">
      <formula>NOT(ISERROR(SEARCH("X",S61)))</formula>
    </cfRule>
  </conditionalFormatting>
  <conditionalFormatting sqref="B15:B53 B1:B13 B55">
    <cfRule type="duplicateValues" dxfId="149" priority="242"/>
  </conditionalFormatting>
  <conditionalFormatting sqref="F62">
    <cfRule type="containsBlanks" dxfId="148" priority="147">
      <formula>LEN(TRIM(F62))=0</formula>
    </cfRule>
  </conditionalFormatting>
  <conditionalFormatting sqref="B62">
    <cfRule type="duplicateValues" dxfId="147" priority="146"/>
  </conditionalFormatting>
  <conditionalFormatting sqref="P62:R62">
    <cfRule type="containsText" dxfId="146" priority="142" operator="containsText" text="PRIMARY STUDY">
      <formula>NOT(ISERROR(SEARCH("PRIMARY STUDY",P62)))</formula>
    </cfRule>
    <cfRule type="notContainsText" dxfId="145" priority="143" operator="notContains" text="YES">
      <formula>ISERROR(SEARCH("YES",P62))</formula>
    </cfRule>
    <cfRule type="containsText" dxfId="144" priority="144" operator="containsText" text="YES">
      <formula>NOT(ISERROR(SEARCH("YES",P62)))</formula>
    </cfRule>
  </conditionalFormatting>
  <conditionalFormatting sqref="S62">
    <cfRule type="containsBlanks" dxfId="143" priority="145">
      <formula>LEN(TRIM(S62))=0</formula>
    </cfRule>
  </conditionalFormatting>
  <conditionalFormatting sqref="S62">
    <cfRule type="cellIs" dxfId="142" priority="140" operator="between">
      <formula>1</formula>
      <formula>4</formula>
    </cfRule>
    <cfRule type="containsText" dxfId="141" priority="141" operator="containsText" text="X">
      <formula>NOT(ISERROR(SEARCH("X",S62)))</formula>
    </cfRule>
  </conditionalFormatting>
  <conditionalFormatting sqref="F63">
    <cfRule type="containsBlanks" dxfId="140" priority="139">
      <formula>LEN(TRIM(F63))=0</formula>
    </cfRule>
  </conditionalFormatting>
  <conditionalFormatting sqref="B63">
    <cfRule type="duplicateValues" dxfId="139" priority="138"/>
  </conditionalFormatting>
  <conditionalFormatting sqref="P63:R63">
    <cfRule type="containsText" dxfId="138" priority="134" operator="containsText" text="PRIMARY STUDY">
      <formula>NOT(ISERROR(SEARCH("PRIMARY STUDY",P63)))</formula>
    </cfRule>
    <cfRule type="notContainsText" dxfId="137" priority="135" operator="notContains" text="YES">
      <formula>ISERROR(SEARCH("YES",P63))</formula>
    </cfRule>
    <cfRule type="containsText" dxfId="136" priority="136" operator="containsText" text="YES">
      <formula>NOT(ISERROR(SEARCH("YES",P63)))</formula>
    </cfRule>
  </conditionalFormatting>
  <conditionalFormatting sqref="S63">
    <cfRule type="containsBlanks" dxfId="135" priority="137">
      <formula>LEN(TRIM(S63))=0</formula>
    </cfRule>
  </conditionalFormatting>
  <conditionalFormatting sqref="S63">
    <cfRule type="cellIs" dxfId="134" priority="132" operator="between">
      <formula>1</formula>
      <formula>4</formula>
    </cfRule>
    <cfRule type="containsText" dxfId="133" priority="133" operator="containsText" text="X">
      <formula>NOT(ISERROR(SEARCH("X",S63)))</formula>
    </cfRule>
  </conditionalFormatting>
  <conditionalFormatting sqref="F65">
    <cfRule type="containsBlanks" dxfId="132" priority="107">
      <formula>LEN(TRIM(F65))=0</formula>
    </cfRule>
  </conditionalFormatting>
  <conditionalFormatting sqref="F65">
    <cfRule type="containsBlanks" dxfId="131" priority="123">
      <formula>LEN(TRIM(F65))=0</formula>
    </cfRule>
  </conditionalFormatting>
  <conditionalFormatting sqref="B65">
    <cfRule type="duplicateValues" dxfId="130" priority="122"/>
  </conditionalFormatting>
  <conditionalFormatting sqref="P65:R65">
    <cfRule type="containsText" dxfId="129" priority="118" operator="containsText" text="PRIMARY STUDY">
      <formula>NOT(ISERROR(SEARCH("PRIMARY STUDY",P65)))</formula>
    </cfRule>
    <cfRule type="notContainsText" dxfId="128" priority="119" operator="notContains" text="YES">
      <formula>ISERROR(SEARCH("YES",P65))</formula>
    </cfRule>
    <cfRule type="containsText" dxfId="127" priority="120" operator="containsText" text="YES">
      <formula>NOT(ISERROR(SEARCH("YES",P65)))</formula>
    </cfRule>
  </conditionalFormatting>
  <conditionalFormatting sqref="S65">
    <cfRule type="containsBlanks" dxfId="126" priority="121">
      <formula>LEN(TRIM(S65))=0</formula>
    </cfRule>
  </conditionalFormatting>
  <conditionalFormatting sqref="S65">
    <cfRule type="cellIs" dxfId="125" priority="116" operator="between">
      <formula>1</formula>
      <formula>4</formula>
    </cfRule>
    <cfRule type="containsText" dxfId="124" priority="117" operator="containsText" text="X">
      <formula>NOT(ISERROR(SEARCH("X",S65)))</formula>
    </cfRule>
  </conditionalFormatting>
  <conditionalFormatting sqref="F66">
    <cfRule type="containsBlanks" dxfId="123" priority="115">
      <formula>LEN(TRIM(F66))=0</formula>
    </cfRule>
  </conditionalFormatting>
  <conditionalFormatting sqref="B66">
    <cfRule type="duplicateValues" dxfId="122" priority="114"/>
  </conditionalFormatting>
  <conditionalFormatting sqref="P66:R66">
    <cfRule type="containsText" dxfId="121" priority="110" operator="containsText" text="PRIMARY STUDY">
      <formula>NOT(ISERROR(SEARCH("PRIMARY STUDY",P66)))</formula>
    </cfRule>
    <cfRule type="notContainsText" dxfId="120" priority="111" operator="notContains" text="YES">
      <formula>ISERROR(SEARCH("YES",P66))</formula>
    </cfRule>
    <cfRule type="containsText" dxfId="119" priority="112" operator="containsText" text="YES">
      <formula>NOT(ISERROR(SEARCH("YES",P66)))</formula>
    </cfRule>
  </conditionalFormatting>
  <conditionalFormatting sqref="S66">
    <cfRule type="containsBlanks" dxfId="118" priority="113">
      <formula>LEN(TRIM(S66))=0</formula>
    </cfRule>
  </conditionalFormatting>
  <conditionalFormatting sqref="S66">
    <cfRule type="cellIs" dxfId="117" priority="108" operator="between">
      <formula>1</formula>
      <formula>4</formula>
    </cfRule>
    <cfRule type="containsText" dxfId="116" priority="109" operator="containsText" text="X">
      <formula>NOT(ISERROR(SEARCH("X",S66)))</formula>
    </cfRule>
  </conditionalFormatting>
  <conditionalFormatting sqref="B65">
    <cfRule type="duplicateValues" dxfId="115" priority="106"/>
  </conditionalFormatting>
  <conditionalFormatting sqref="F66">
    <cfRule type="containsBlanks" dxfId="114" priority="105">
      <formula>LEN(TRIM(F66))=0</formula>
    </cfRule>
  </conditionalFormatting>
  <conditionalFormatting sqref="B66">
    <cfRule type="duplicateValues" dxfId="113" priority="104"/>
  </conditionalFormatting>
  <conditionalFormatting sqref="F67">
    <cfRule type="containsBlanks" dxfId="112" priority="103">
      <formula>LEN(TRIM(F67))=0</formula>
    </cfRule>
  </conditionalFormatting>
  <conditionalFormatting sqref="B67">
    <cfRule type="duplicateValues" dxfId="111" priority="102"/>
  </conditionalFormatting>
  <conditionalFormatting sqref="P65:R65">
    <cfRule type="containsText" dxfId="110" priority="98" operator="containsText" text="PRIMARY STUDY">
      <formula>NOT(ISERROR(SEARCH("PRIMARY STUDY",P65)))</formula>
    </cfRule>
    <cfRule type="notContainsText" dxfId="109" priority="99" operator="notContains" text="YES">
      <formula>ISERROR(SEARCH("YES",P65))</formula>
    </cfRule>
    <cfRule type="containsText" dxfId="108" priority="100" operator="containsText" text="YES">
      <formula>NOT(ISERROR(SEARCH("YES",P65)))</formula>
    </cfRule>
  </conditionalFormatting>
  <conditionalFormatting sqref="S65">
    <cfRule type="containsBlanks" dxfId="107" priority="101">
      <formula>LEN(TRIM(S65))=0</formula>
    </cfRule>
  </conditionalFormatting>
  <conditionalFormatting sqref="S65">
    <cfRule type="cellIs" dxfId="106" priority="96" operator="between">
      <formula>1</formula>
      <formula>4</formula>
    </cfRule>
    <cfRule type="containsText" dxfId="105" priority="97" operator="containsText" text="X">
      <formula>NOT(ISERROR(SEARCH("X",S65)))</formula>
    </cfRule>
  </conditionalFormatting>
  <conditionalFormatting sqref="P66:R66">
    <cfRule type="containsText" dxfId="104" priority="92" operator="containsText" text="PRIMARY STUDY">
      <formula>NOT(ISERROR(SEARCH("PRIMARY STUDY",P66)))</formula>
    </cfRule>
    <cfRule type="notContainsText" dxfId="103" priority="93" operator="notContains" text="YES">
      <formula>ISERROR(SEARCH("YES",P66))</formula>
    </cfRule>
    <cfRule type="containsText" dxfId="102" priority="94" operator="containsText" text="YES">
      <formula>NOT(ISERROR(SEARCH("YES",P66)))</formula>
    </cfRule>
  </conditionalFormatting>
  <conditionalFormatting sqref="S66">
    <cfRule type="containsBlanks" dxfId="101" priority="95">
      <formula>LEN(TRIM(S66))=0</formula>
    </cfRule>
  </conditionalFormatting>
  <conditionalFormatting sqref="S66">
    <cfRule type="cellIs" dxfId="100" priority="90" operator="between">
      <formula>1</formula>
      <formula>4</formula>
    </cfRule>
    <cfRule type="containsText" dxfId="99" priority="91" operator="containsText" text="X">
      <formula>NOT(ISERROR(SEARCH("X",S66)))</formula>
    </cfRule>
  </conditionalFormatting>
  <conditionalFormatting sqref="P67:R67">
    <cfRule type="containsText" dxfId="98" priority="86" operator="containsText" text="PRIMARY STUDY">
      <formula>NOT(ISERROR(SEARCH("PRIMARY STUDY",P67)))</formula>
    </cfRule>
    <cfRule type="notContainsText" dxfId="97" priority="87" operator="notContains" text="YES">
      <formula>ISERROR(SEARCH("YES",P67))</formula>
    </cfRule>
    <cfRule type="containsText" dxfId="96" priority="88" operator="containsText" text="YES">
      <formula>NOT(ISERROR(SEARCH("YES",P67)))</formula>
    </cfRule>
  </conditionalFormatting>
  <conditionalFormatting sqref="S67">
    <cfRule type="containsBlanks" dxfId="95" priority="89">
      <formula>LEN(TRIM(S67))=0</formula>
    </cfRule>
  </conditionalFormatting>
  <conditionalFormatting sqref="S67">
    <cfRule type="cellIs" dxfId="94" priority="84" operator="between">
      <formula>1</formula>
      <formula>4</formula>
    </cfRule>
    <cfRule type="containsText" dxfId="93" priority="85" operator="containsText" text="X">
      <formula>NOT(ISERROR(SEARCH("X",S67)))</formula>
    </cfRule>
  </conditionalFormatting>
  <conditionalFormatting sqref="F64">
    <cfRule type="containsBlanks" dxfId="92" priority="83">
      <formula>LEN(TRIM(F64))=0</formula>
    </cfRule>
  </conditionalFormatting>
  <conditionalFormatting sqref="B64">
    <cfRule type="duplicateValues" dxfId="91" priority="82"/>
  </conditionalFormatting>
  <conditionalFormatting sqref="P64:R64">
    <cfRule type="containsText" dxfId="90" priority="78" operator="containsText" text="PRIMARY STUDY">
      <formula>NOT(ISERROR(SEARCH("PRIMARY STUDY",P64)))</formula>
    </cfRule>
    <cfRule type="notContainsText" dxfId="89" priority="79" operator="notContains" text="YES">
      <formula>ISERROR(SEARCH("YES",P64))</formula>
    </cfRule>
    <cfRule type="containsText" dxfId="88" priority="80" operator="containsText" text="YES">
      <formula>NOT(ISERROR(SEARCH("YES",P64)))</formula>
    </cfRule>
  </conditionalFormatting>
  <conditionalFormatting sqref="S64">
    <cfRule type="containsBlanks" dxfId="87" priority="81">
      <formula>LEN(TRIM(S64))=0</formula>
    </cfRule>
  </conditionalFormatting>
  <conditionalFormatting sqref="S64">
    <cfRule type="cellIs" dxfId="86" priority="76" operator="between">
      <formula>1</formula>
      <formula>4</formula>
    </cfRule>
    <cfRule type="containsText" dxfId="85" priority="77" operator="containsText" text="X">
      <formula>NOT(ISERROR(SEARCH("X",S64)))</formula>
    </cfRule>
  </conditionalFormatting>
  <conditionalFormatting sqref="F68">
    <cfRule type="containsBlanks" dxfId="84" priority="75">
      <formula>LEN(TRIM(F68))=0</formula>
    </cfRule>
  </conditionalFormatting>
  <conditionalFormatting sqref="B68">
    <cfRule type="duplicateValues" dxfId="83" priority="74"/>
  </conditionalFormatting>
  <conditionalFormatting sqref="P68:R68">
    <cfRule type="containsText" dxfId="82" priority="70" operator="containsText" text="PRIMARY STUDY">
      <formula>NOT(ISERROR(SEARCH("PRIMARY STUDY",P68)))</formula>
    </cfRule>
    <cfRule type="notContainsText" dxfId="81" priority="71" operator="notContains" text="YES">
      <formula>ISERROR(SEARCH("YES",P68))</formula>
    </cfRule>
    <cfRule type="containsText" dxfId="80" priority="72" operator="containsText" text="YES">
      <formula>NOT(ISERROR(SEARCH("YES",P68)))</formula>
    </cfRule>
  </conditionalFormatting>
  <conditionalFormatting sqref="S68">
    <cfRule type="containsBlanks" dxfId="79" priority="73">
      <formula>LEN(TRIM(S68))=0</formula>
    </cfRule>
  </conditionalFormatting>
  <conditionalFormatting sqref="S68">
    <cfRule type="cellIs" dxfId="78" priority="68" operator="between">
      <formula>1</formula>
      <formula>4</formula>
    </cfRule>
    <cfRule type="containsText" dxfId="77" priority="69" operator="containsText" text="X">
      <formula>NOT(ISERROR(SEARCH("X",S68)))</formula>
    </cfRule>
  </conditionalFormatting>
  <conditionalFormatting sqref="F69">
    <cfRule type="containsBlanks" dxfId="76" priority="67">
      <formula>LEN(TRIM(F69))=0</formula>
    </cfRule>
  </conditionalFormatting>
  <conditionalFormatting sqref="B69">
    <cfRule type="duplicateValues" dxfId="75" priority="66"/>
  </conditionalFormatting>
  <conditionalFormatting sqref="P69:R69">
    <cfRule type="containsText" dxfId="74" priority="62" operator="containsText" text="PRIMARY STUDY">
      <formula>NOT(ISERROR(SEARCH("PRIMARY STUDY",P69)))</formula>
    </cfRule>
    <cfRule type="notContainsText" dxfId="73" priority="63" operator="notContains" text="YES">
      <formula>ISERROR(SEARCH("YES",P69))</formula>
    </cfRule>
    <cfRule type="containsText" dxfId="72" priority="64" operator="containsText" text="YES">
      <formula>NOT(ISERROR(SEARCH("YES",P69)))</formula>
    </cfRule>
  </conditionalFormatting>
  <conditionalFormatting sqref="S69">
    <cfRule type="containsBlanks" dxfId="71" priority="65">
      <formula>LEN(TRIM(S69))=0</formula>
    </cfRule>
  </conditionalFormatting>
  <conditionalFormatting sqref="S69">
    <cfRule type="cellIs" dxfId="70" priority="60" operator="between">
      <formula>1</formula>
      <formula>4</formula>
    </cfRule>
    <cfRule type="containsText" dxfId="69" priority="61" operator="containsText" text="X">
      <formula>NOT(ISERROR(SEARCH("X",S69)))</formula>
    </cfRule>
  </conditionalFormatting>
  <conditionalFormatting sqref="P70:R70">
    <cfRule type="containsText" dxfId="68" priority="56" operator="containsText" text="PRIMARY STUDY">
      <formula>NOT(ISERROR(SEARCH("PRIMARY STUDY",P70)))</formula>
    </cfRule>
    <cfRule type="notContainsText" dxfId="67" priority="57" operator="notContains" text="YES">
      <formula>ISERROR(SEARCH("YES",P70))</formula>
    </cfRule>
    <cfRule type="containsText" dxfId="66" priority="58" operator="containsText" text="YES">
      <formula>NOT(ISERROR(SEARCH("YES",P70)))</formula>
    </cfRule>
  </conditionalFormatting>
  <conditionalFormatting sqref="S70">
    <cfRule type="containsBlanks" dxfId="65" priority="59">
      <formula>LEN(TRIM(S70))=0</formula>
    </cfRule>
  </conditionalFormatting>
  <conditionalFormatting sqref="S70">
    <cfRule type="cellIs" dxfId="64" priority="54" operator="between">
      <formula>1</formula>
      <formula>4</formula>
    </cfRule>
    <cfRule type="containsText" dxfId="63" priority="55" operator="containsText" text="X">
      <formula>NOT(ISERROR(SEARCH("X",S70)))</formula>
    </cfRule>
  </conditionalFormatting>
  <conditionalFormatting sqref="F70">
    <cfRule type="containsBlanks" dxfId="62" priority="53">
      <formula>LEN(TRIM(F70))=0</formula>
    </cfRule>
  </conditionalFormatting>
  <conditionalFormatting sqref="B70">
    <cfRule type="duplicateValues" dxfId="61" priority="52"/>
  </conditionalFormatting>
  <conditionalFormatting sqref="P54:R54">
    <cfRule type="containsText" dxfId="60" priority="46" operator="containsText" text="PRIMARY STUDY">
      <formula>NOT(ISERROR(SEARCH("PRIMARY STUDY",P54)))</formula>
    </cfRule>
    <cfRule type="notContainsText" dxfId="59" priority="47" operator="notContains" text="YES">
      <formula>ISERROR(SEARCH("YES",P54))</formula>
    </cfRule>
    <cfRule type="containsText" dxfId="58" priority="48" operator="containsText" text="YES">
      <formula>NOT(ISERROR(SEARCH("YES",P54)))</formula>
    </cfRule>
  </conditionalFormatting>
  <conditionalFormatting sqref="S54">
    <cfRule type="containsBlanks" dxfId="57" priority="49">
      <formula>LEN(TRIM(S54))=0</formula>
    </cfRule>
  </conditionalFormatting>
  <conditionalFormatting sqref="S54">
    <cfRule type="cellIs" dxfId="56" priority="44" operator="between">
      <formula>1</formula>
      <formula>4</formula>
    </cfRule>
    <cfRule type="containsText" dxfId="55" priority="45" operator="containsText" text="X">
      <formula>NOT(ISERROR(SEARCH("X",S54)))</formula>
    </cfRule>
  </conditionalFormatting>
  <conditionalFormatting sqref="F54">
    <cfRule type="containsBlanks" dxfId="54" priority="43">
      <formula>LEN(TRIM(F54))=0</formula>
    </cfRule>
  </conditionalFormatting>
  <conditionalFormatting sqref="B54">
    <cfRule type="duplicateValues" dxfId="53" priority="42"/>
  </conditionalFormatting>
  <conditionalFormatting sqref="F71">
    <cfRule type="containsBlanks" dxfId="52" priority="41">
      <formula>LEN(TRIM(F71))=0</formula>
    </cfRule>
  </conditionalFormatting>
  <conditionalFormatting sqref="B71">
    <cfRule type="duplicateValues" dxfId="51" priority="40"/>
  </conditionalFormatting>
  <conditionalFormatting sqref="P71:R71">
    <cfRule type="containsText" dxfId="50" priority="36" operator="containsText" text="PRIMARY STUDY">
      <formula>NOT(ISERROR(SEARCH("PRIMARY STUDY",P71)))</formula>
    </cfRule>
    <cfRule type="notContainsText" dxfId="49" priority="37" operator="notContains" text="YES">
      <formula>ISERROR(SEARCH("YES",P71))</formula>
    </cfRule>
    <cfRule type="containsText" dxfId="48" priority="38" operator="containsText" text="YES">
      <formula>NOT(ISERROR(SEARCH("YES",P71)))</formula>
    </cfRule>
  </conditionalFormatting>
  <conditionalFormatting sqref="S71">
    <cfRule type="containsBlanks" dxfId="47" priority="39">
      <formula>LEN(TRIM(S71))=0</formula>
    </cfRule>
  </conditionalFormatting>
  <conditionalFormatting sqref="S71">
    <cfRule type="cellIs" dxfId="46" priority="34" operator="between">
      <formula>1</formula>
      <formula>4</formula>
    </cfRule>
    <cfRule type="containsText" dxfId="45" priority="35" operator="containsText" text="X">
      <formula>NOT(ISERROR(SEARCH("X",S71)))</formula>
    </cfRule>
  </conditionalFormatting>
  <conditionalFormatting sqref="F72">
    <cfRule type="containsBlanks" dxfId="44" priority="33">
      <formula>LEN(TRIM(F72))=0</formula>
    </cfRule>
  </conditionalFormatting>
  <conditionalFormatting sqref="B72">
    <cfRule type="duplicateValues" dxfId="43" priority="32"/>
  </conditionalFormatting>
  <conditionalFormatting sqref="P72:R72">
    <cfRule type="containsText" dxfId="42" priority="28" operator="containsText" text="PRIMARY STUDY">
      <formula>NOT(ISERROR(SEARCH("PRIMARY STUDY",P72)))</formula>
    </cfRule>
    <cfRule type="notContainsText" dxfId="41" priority="29" operator="notContains" text="YES">
      <formula>ISERROR(SEARCH("YES",P72))</formula>
    </cfRule>
    <cfRule type="containsText" dxfId="40" priority="30" operator="containsText" text="YES">
      <formula>NOT(ISERROR(SEARCH("YES",P72)))</formula>
    </cfRule>
  </conditionalFormatting>
  <conditionalFormatting sqref="S72">
    <cfRule type="containsBlanks" dxfId="39" priority="31">
      <formula>LEN(TRIM(S72))=0</formula>
    </cfRule>
  </conditionalFormatting>
  <conditionalFormatting sqref="S72">
    <cfRule type="cellIs" dxfId="38" priority="26" operator="between">
      <formula>1</formula>
      <formula>4</formula>
    </cfRule>
    <cfRule type="containsText" dxfId="37" priority="27" operator="containsText" text="X">
      <formula>NOT(ISERROR(SEARCH("X",S72)))</formula>
    </cfRule>
  </conditionalFormatting>
  <conditionalFormatting sqref="F73">
    <cfRule type="containsBlanks" dxfId="36" priority="25">
      <formula>LEN(TRIM(F73))=0</formula>
    </cfRule>
  </conditionalFormatting>
  <conditionalFormatting sqref="B73">
    <cfRule type="duplicateValues" dxfId="35" priority="24"/>
  </conditionalFormatting>
  <conditionalFormatting sqref="P73:R73">
    <cfRule type="containsText" dxfId="34" priority="20" operator="containsText" text="PRIMARY STUDY">
      <formula>NOT(ISERROR(SEARCH("PRIMARY STUDY",P73)))</formula>
    </cfRule>
    <cfRule type="notContainsText" dxfId="33" priority="21" operator="notContains" text="YES">
      <formula>ISERROR(SEARCH("YES",P73))</formula>
    </cfRule>
    <cfRule type="containsText" dxfId="32" priority="22" operator="containsText" text="YES">
      <formula>NOT(ISERROR(SEARCH("YES",P73)))</formula>
    </cfRule>
  </conditionalFormatting>
  <conditionalFormatting sqref="S73">
    <cfRule type="containsBlanks" dxfId="31" priority="23">
      <formula>LEN(TRIM(S73))=0</formula>
    </cfRule>
  </conditionalFormatting>
  <conditionalFormatting sqref="S73">
    <cfRule type="cellIs" dxfId="30" priority="18" operator="between">
      <formula>1</formula>
      <formula>4</formula>
    </cfRule>
    <cfRule type="containsText" dxfId="29" priority="19" operator="containsText" text="X">
      <formula>NOT(ISERROR(SEARCH("X",S73)))</formula>
    </cfRule>
  </conditionalFormatting>
  <conditionalFormatting sqref="F74">
    <cfRule type="containsBlanks" dxfId="28" priority="17">
      <formula>LEN(TRIM(F74))=0</formula>
    </cfRule>
  </conditionalFormatting>
  <conditionalFormatting sqref="B74">
    <cfRule type="duplicateValues" dxfId="27" priority="16"/>
  </conditionalFormatting>
  <conditionalFormatting sqref="P74:R74">
    <cfRule type="containsText" dxfId="26" priority="12" operator="containsText" text="PRIMARY STUDY">
      <formula>NOT(ISERROR(SEARCH("PRIMARY STUDY",P74)))</formula>
    </cfRule>
    <cfRule type="notContainsText" dxfId="25" priority="13" operator="notContains" text="YES">
      <formula>ISERROR(SEARCH("YES",P74))</formula>
    </cfRule>
    <cfRule type="containsText" dxfId="24" priority="14" operator="containsText" text="YES">
      <formula>NOT(ISERROR(SEARCH("YES",P74)))</formula>
    </cfRule>
  </conditionalFormatting>
  <conditionalFormatting sqref="S74">
    <cfRule type="containsBlanks" dxfId="23" priority="15">
      <formula>LEN(TRIM(S74))=0</formula>
    </cfRule>
  </conditionalFormatting>
  <conditionalFormatting sqref="S74">
    <cfRule type="cellIs" dxfId="22" priority="10" operator="between">
      <formula>1</formula>
      <formula>4</formula>
    </cfRule>
    <cfRule type="containsText" dxfId="21" priority="11" operator="containsText" text="X">
      <formula>NOT(ISERROR(SEARCH("X",S74)))</formula>
    </cfRule>
  </conditionalFormatting>
  <conditionalFormatting sqref="F75">
    <cfRule type="containsBlanks" dxfId="20" priority="9">
      <formula>LEN(TRIM(F75))=0</formula>
    </cfRule>
  </conditionalFormatting>
  <conditionalFormatting sqref="B75">
    <cfRule type="duplicateValues" dxfId="19" priority="8"/>
  </conditionalFormatting>
  <conditionalFormatting sqref="P75:R75">
    <cfRule type="containsText" dxfId="18" priority="4" operator="containsText" text="PRIMARY STUDY">
      <formula>NOT(ISERROR(SEARCH("PRIMARY STUDY",P75)))</formula>
    </cfRule>
    <cfRule type="notContainsText" dxfId="17" priority="5" operator="notContains" text="YES">
      <formula>ISERROR(SEARCH("YES",P75))</formula>
    </cfRule>
    <cfRule type="containsText" dxfId="16" priority="6" operator="containsText" text="YES">
      <formula>NOT(ISERROR(SEARCH("YES",P75)))</formula>
    </cfRule>
  </conditionalFormatting>
  <conditionalFormatting sqref="S75">
    <cfRule type="containsBlanks" dxfId="15" priority="7">
      <formula>LEN(TRIM(S75))=0</formula>
    </cfRule>
  </conditionalFormatting>
  <conditionalFormatting sqref="S75">
    <cfRule type="cellIs" dxfId="14" priority="2" operator="between">
      <formula>1</formula>
      <formula>4</formula>
    </cfRule>
    <cfRule type="containsText" dxfId="13"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976</v>
      </c>
      <c r="B1" s="75" t="s">
        <v>977</v>
      </c>
      <c r="C1" s="75"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topLeftCell="A546" workbookViewId="0">
      <selection activeCell="E562" sqref="E562"/>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3898</v>
      </c>
      <c r="C558">
        <v>6</v>
      </c>
      <c r="D558" t="s">
        <v>3896</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3898</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3898</v>
      </c>
      <c r="C560">
        <v>6</v>
      </c>
      <c r="D560" t="s">
        <v>3896</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3896</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3896</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3896</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3896</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4032</v>
      </c>
    </row>
    <row r="584" spans="1:5" x14ac:dyDescent="0.25">
      <c r="B584" t="s">
        <v>4041</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2023-04-29T20:09:20Z</dcterms:modified>
</cp:coreProperties>
</file>