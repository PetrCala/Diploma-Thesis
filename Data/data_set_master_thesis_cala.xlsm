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CE4EE2EB-4D16-478E-AA4A-627BBB148DEA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15" i="10" l="1"/>
  <c r="Z816" i="10"/>
  <c r="Z817" i="10"/>
  <c r="Z818" i="10"/>
  <c r="Z819" i="10"/>
  <c r="Z820" i="10"/>
  <c r="Z821" i="10"/>
  <c r="Z814" i="10"/>
  <c r="W821" i="10"/>
  <c r="I818" i="10"/>
  <c r="J818" i="10" s="1"/>
  <c r="K818" i="10" s="1"/>
  <c r="I819" i="10"/>
  <c r="M819" i="10" s="1"/>
  <c r="J819" i="10"/>
  <c r="K819" i="10" s="1"/>
  <c r="I820" i="10"/>
  <c r="J820" i="10"/>
  <c r="K820" i="10" s="1"/>
  <c r="L820" i="10"/>
  <c r="M820" i="10"/>
  <c r="I821" i="10"/>
  <c r="J821" i="10" s="1"/>
  <c r="K821" i="10" s="1"/>
  <c r="W818" i="10"/>
  <c r="W819" i="10"/>
  <c r="W820" i="10"/>
  <c r="F821" i="10"/>
  <c r="G821" i="10"/>
  <c r="H821" i="10"/>
  <c r="F820" i="10"/>
  <c r="G820" i="10"/>
  <c r="H820" i="10"/>
  <c r="F819" i="10"/>
  <c r="G819" i="10"/>
  <c r="H819" i="10"/>
  <c r="F818" i="10"/>
  <c r="G818" i="10"/>
  <c r="H818" i="10"/>
  <c r="I815" i="10"/>
  <c r="J815" i="10" s="1"/>
  <c r="K815" i="10" s="1"/>
  <c r="I816" i="10"/>
  <c r="J816" i="10" s="1"/>
  <c r="K816" i="10" s="1"/>
  <c r="I817" i="10"/>
  <c r="J817" i="10" s="1"/>
  <c r="K817" i="10" s="1"/>
  <c r="W815" i="10"/>
  <c r="W816" i="10"/>
  <c r="W817" i="10"/>
  <c r="W814" i="10"/>
  <c r="F817" i="10"/>
  <c r="G817" i="10"/>
  <c r="H817" i="10"/>
  <c r="F816" i="10"/>
  <c r="G816" i="10"/>
  <c r="H816" i="10"/>
  <c r="F815" i="10"/>
  <c r="G815" i="10"/>
  <c r="H815" i="10"/>
  <c r="F814" i="10"/>
  <c r="I814" i="10" s="1"/>
  <c r="G814" i="10"/>
  <c r="H814" i="10"/>
  <c r="W813" i="10"/>
  <c r="I813" i="10" s="1"/>
  <c r="F813" i="10"/>
  <c r="G813" i="10"/>
  <c r="H813" i="10"/>
  <c r="X815" i="10"/>
  <c r="X814" i="10"/>
  <c r="X813" i="10"/>
  <c r="I808" i="10"/>
  <c r="L808" i="10" s="1"/>
  <c r="J808" i="10"/>
  <c r="K808" i="10" s="1"/>
  <c r="I809" i="10"/>
  <c r="J809" i="10" s="1"/>
  <c r="I810" i="10"/>
  <c r="J810" i="10" s="1"/>
  <c r="I811" i="10"/>
  <c r="L811" i="10" s="1"/>
  <c r="J811" i="10"/>
  <c r="K811" i="10"/>
  <c r="I812" i="10"/>
  <c r="L812" i="10" s="1"/>
  <c r="J812" i="10"/>
  <c r="K812" i="10" s="1"/>
  <c r="Z808" i="10"/>
  <c r="Z809" i="10"/>
  <c r="Z810" i="10"/>
  <c r="Z811" i="10"/>
  <c r="Z812" i="10"/>
  <c r="Z807" i="10"/>
  <c r="AM813" i="10"/>
  <c r="AM814" i="10"/>
  <c r="AM815" i="10"/>
  <c r="W808" i="10"/>
  <c r="W809" i="10"/>
  <c r="W810" i="10"/>
  <c r="W811" i="10"/>
  <c r="W812" i="10"/>
  <c r="W807" i="10"/>
  <c r="I807" i="10" s="1"/>
  <c r="F812" i="10"/>
  <c r="G812" i="10"/>
  <c r="H812" i="10"/>
  <c r="F811" i="10"/>
  <c r="G811" i="10"/>
  <c r="H811" i="10"/>
  <c r="F810" i="10"/>
  <c r="G810" i="10"/>
  <c r="H810" i="10"/>
  <c r="F809" i="10"/>
  <c r="G809" i="10"/>
  <c r="H809" i="10"/>
  <c r="F808" i="10"/>
  <c r="G808" i="10"/>
  <c r="H808" i="10"/>
  <c r="F807" i="10"/>
  <c r="G807" i="10"/>
  <c r="H807" i="10"/>
  <c r="Z804" i="10"/>
  <c r="Z805" i="10"/>
  <c r="Z806" i="10"/>
  <c r="Z803" i="10"/>
  <c r="Y804" i="10"/>
  <c r="Y805" i="10"/>
  <c r="Y806" i="10"/>
  <c r="Y803" i="10"/>
  <c r="BB804" i="10"/>
  <c r="BB805" i="10"/>
  <c r="BB806" i="10"/>
  <c r="BB803" i="10"/>
  <c r="W806" i="10"/>
  <c r="I806" i="10"/>
  <c r="J806" i="10" s="1"/>
  <c r="K806" i="10" s="1"/>
  <c r="W805" i="10"/>
  <c r="I805" i="10"/>
  <c r="W804" i="10"/>
  <c r="I804" i="10"/>
  <c r="J804" i="10"/>
  <c r="K804" i="10" s="1"/>
  <c r="M804" i="10"/>
  <c r="W803" i="10"/>
  <c r="I803" i="10"/>
  <c r="J803" i="10" s="1"/>
  <c r="F806" i="10"/>
  <c r="G806" i="10"/>
  <c r="H806" i="10"/>
  <c r="F805" i="10"/>
  <c r="G805" i="10"/>
  <c r="H805" i="10"/>
  <c r="F804" i="10"/>
  <c r="G804" i="10"/>
  <c r="H804" i="10"/>
  <c r="F803" i="10"/>
  <c r="G803" i="10"/>
  <c r="H803" i="10"/>
  <c r="L819" i="10" l="1"/>
  <c r="M818" i="10"/>
  <c r="L821" i="10"/>
  <c r="M821" i="10"/>
  <c r="L818" i="10"/>
  <c r="M816" i="10"/>
  <c r="L816" i="10"/>
  <c r="M817" i="10"/>
  <c r="L817" i="10"/>
  <c r="M815" i="10"/>
  <c r="L815" i="10"/>
  <c r="J814" i="10"/>
  <c r="K814" i="10" s="1"/>
  <c r="J813" i="10"/>
  <c r="K813" i="10" s="1"/>
  <c r="L810" i="10"/>
  <c r="K810" i="10"/>
  <c r="K809" i="10"/>
  <c r="M809" i="10"/>
  <c r="L809" i="10"/>
  <c r="M812" i="10"/>
  <c r="M810" i="10"/>
  <c r="M808" i="10"/>
  <c r="M811" i="10"/>
  <c r="L807" i="10"/>
  <c r="M807" i="10"/>
  <c r="J807" i="10"/>
  <c r="K807" i="10" s="1"/>
  <c r="L804" i="10"/>
  <c r="J805" i="10"/>
  <c r="K805" i="10" s="1"/>
  <c r="M806" i="10"/>
  <c r="L806" i="10"/>
  <c r="K803" i="10"/>
  <c r="M803" i="10"/>
  <c r="L803" i="10"/>
  <c r="L814" i="10" l="1"/>
  <c r="M814" i="10"/>
  <c r="L813" i="10"/>
  <c r="M813" i="10"/>
  <c r="M805" i="10"/>
  <c r="L805" i="10"/>
  <c r="BQ794" i="10" l="1"/>
  <c r="BQ795" i="10"/>
  <c r="BQ796" i="10"/>
  <c r="BQ797" i="10"/>
  <c r="BQ798" i="10"/>
  <c r="BQ799" i="10"/>
  <c r="BQ800" i="10"/>
  <c r="BQ801" i="10"/>
  <c r="BQ802" i="10"/>
  <c r="BQ793" i="10"/>
  <c r="AP794" i="10"/>
  <c r="AP795" i="10"/>
  <c r="AP796" i="10"/>
  <c r="AP797" i="10"/>
  <c r="AP798" i="10"/>
  <c r="AP799" i="10"/>
  <c r="AP800" i="10"/>
  <c r="AP801" i="10"/>
  <c r="AP802" i="10"/>
  <c r="AP793" i="10"/>
  <c r="BB794" i="10"/>
  <c r="BB795" i="10"/>
  <c r="BB796" i="10"/>
  <c r="BB797" i="10"/>
  <c r="BB798" i="10"/>
  <c r="BB799" i="10"/>
  <c r="BB800" i="10"/>
  <c r="BB801" i="10"/>
  <c r="BB802" i="10"/>
  <c r="BB793" i="10"/>
  <c r="AW802" i="10"/>
  <c r="AW801" i="10"/>
  <c r="W802" i="10"/>
  <c r="I802" i="10"/>
  <c r="W801" i="10"/>
  <c r="I801" i="10" s="1"/>
  <c r="F802" i="10"/>
  <c r="G802" i="10"/>
  <c r="H802" i="10"/>
  <c r="F801" i="10"/>
  <c r="G801" i="10"/>
  <c r="H801" i="10"/>
  <c r="AW798" i="10"/>
  <c r="W800" i="10"/>
  <c r="I800" i="10"/>
  <c r="J800" i="10"/>
  <c r="K800" i="10"/>
  <c r="L800" i="10"/>
  <c r="M800" i="10"/>
  <c r="W799" i="10"/>
  <c r="I799" i="10"/>
  <c r="J799" i="10"/>
  <c r="K799" i="10"/>
  <c r="L799" i="10"/>
  <c r="M799" i="10"/>
  <c r="W798" i="10"/>
  <c r="I798" i="10" s="1"/>
  <c r="F800" i="10"/>
  <c r="G800" i="10"/>
  <c r="H800" i="10"/>
  <c r="F799" i="10"/>
  <c r="G799" i="10"/>
  <c r="H799" i="10"/>
  <c r="F798" i="10"/>
  <c r="G798" i="10"/>
  <c r="H798" i="10"/>
  <c r="W797" i="10"/>
  <c r="I797" i="10" s="1"/>
  <c r="W796" i="10"/>
  <c r="I796" i="10" s="1"/>
  <c r="F797" i="10"/>
  <c r="G797" i="10"/>
  <c r="H797" i="10"/>
  <c r="F796" i="10"/>
  <c r="G796" i="10"/>
  <c r="H796" i="10"/>
  <c r="F795" i="10"/>
  <c r="AW793" i="10"/>
  <c r="W795" i="10"/>
  <c r="I795" i="10" s="1"/>
  <c r="W794" i="10"/>
  <c r="I794" i="10"/>
  <c r="J794" i="10"/>
  <c r="K794" i="10"/>
  <c r="L794" i="10"/>
  <c r="M794" i="10"/>
  <c r="W793" i="10"/>
  <c r="I793" i="10"/>
  <c r="J793" i="10"/>
  <c r="K793" i="10"/>
  <c r="L793" i="10"/>
  <c r="M793" i="10"/>
  <c r="G795" i="10"/>
  <c r="H795" i="10"/>
  <c r="F794" i="10"/>
  <c r="G794" i="10"/>
  <c r="H794" i="10"/>
  <c r="F793" i="10"/>
  <c r="G793" i="10"/>
  <c r="H793" i="10"/>
  <c r="Z785" i="10"/>
  <c r="Z786" i="10"/>
  <c r="Z787" i="10"/>
  <c r="Z788" i="10"/>
  <c r="Z789" i="10"/>
  <c r="Z790" i="10"/>
  <c r="Z791" i="10"/>
  <c r="Z792" i="10"/>
  <c r="Z784" i="10"/>
  <c r="Y785" i="10"/>
  <c r="Y786" i="10"/>
  <c r="Y787" i="10"/>
  <c r="Y788" i="10"/>
  <c r="Y789" i="10"/>
  <c r="Y790" i="10"/>
  <c r="Y791" i="10"/>
  <c r="Y792" i="10"/>
  <c r="Y784" i="10"/>
  <c r="I785" i="10"/>
  <c r="J785" i="10" s="1"/>
  <c r="K785" i="10" s="1"/>
  <c r="I786" i="10"/>
  <c r="J786" i="10"/>
  <c r="L786" i="10" s="1"/>
  <c r="K786" i="10"/>
  <c r="I787" i="10"/>
  <c r="J787" i="10" s="1"/>
  <c r="I788" i="10"/>
  <c r="J788" i="10" s="1"/>
  <c r="K788" i="10" s="1"/>
  <c r="I789" i="10"/>
  <c r="J789" i="10" s="1"/>
  <c r="I790" i="10"/>
  <c r="J790" i="10" s="1"/>
  <c r="K790" i="10" s="1"/>
  <c r="I791" i="10"/>
  <c r="L791" i="10" s="1"/>
  <c r="J791" i="10"/>
  <c r="K791" i="10" s="1"/>
  <c r="I792" i="10"/>
  <c r="J792" i="10"/>
  <c r="K792" i="10" s="1"/>
  <c r="L792" i="10"/>
  <c r="M792" i="10"/>
  <c r="AX785" i="10"/>
  <c r="AX786" i="10"/>
  <c r="AX787" i="10"/>
  <c r="AX788" i="10"/>
  <c r="AX789" i="10"/>
  <c r="AX790" i="10"/>
  <c r="AX791" i="10"/>
  <c r="AX792" i="10"/>
  <c r="AX784" i="10"/>
  <c r="BC785" i="10"/>
  <c r="BC786" i="10"/>
  <c r="BC787" i="10"/>
  <c r="BC788" i="10"/>
  <c r="BC789" i="10"/>
  <c r="BC790" i="10"/>
  <c r="BC791" i="10"/>
  <c r="BC792" i="10"/>
  <c r="BC784" i="10"/>
  <c r="AV785" i="10"/>
  <c r="AV786" i="10"/>
  <c r="AV787" i="10"/>
  <c r="AV788" i="10"/>
  <c r="AV789" i="10"/>
  <c r="AV790" i="10"/>
  <c r="AV791" i="10"/>
  <c r="AV792" i="10"/>
  <c r="AV784" i="10"/>
  <c r="W790" i="10"/>
  <c r="W791" i="10"/>
  <c r="W792" i="10"/>
  <c r="F792" i="10"/>
  <c r="G792" i="10"/>
  <c r="H792" i="10"/>
  <c r="F791" i="10"/>
  <c r="G791" i="10"/>
  <c r="H791" i="10"/>
  <c r="F790" i="10"/>
  <c r="G790" i="10"/>
  <c r="H790" i="10"/>
  <c r="W789" i="10"/>
  <c r="W788" i="10"/>
  <c r="W787" i="10"/>
  <c r="F789" i="10"/>
  <c r="G789" i="10"/>
  <c r="H789" i="10"/>
  <c r="F788" i="10"/>
  <c r="G788" i="10"/>
  <c r="H788" i="10"/>
  <c r="F787" i="10"/>
  <c r="G787" i="10"/>
  <c r="H787" i="10"/>
  <c r="W786" i="10"/>
  <c r="W785" i="10"/>
  <c r="W784" i="10"/>
  <c r="I784" i="10" s="1"/>
  <c r="F786" i="10"/>
  <c r="G786" i="10"/>
  <c r="H786" i="10"/>
  <c r="F785" i="10"/>
  <c r="G785" i="10"/>
  <c r="H785" i="10"/>
  <c r="F784" i="10"/>
  <c r="G784" i="10"/>
  <c r="H784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70" i="10"/>
  <c r="I770" i="10"/>
  <c r="L770" i="10" s="1"/>
  <c r="J770" i="10"/>
  <c r="K770" i="10" s="1"/>
  <c r="I771" i="10"/>
  <c r="J771" i="10" s="1"/>
  <c r="I772" i="10"/>
  <c r="M772" i="10" s="1"/>
  <c r="J772" i="10"/>
  <c r="K772" i="10" s="1"/>
  <c r="L772" i="10"/>
  <c r="I773" i="10"/>
  <c r="L773" i="10" s="1"/>
  <c r="J773" i="10"/>
  <c r="M773" i="10" s="1"/>
  <c r="K773" i="10"/>
  <c r="I774" i="10"/>
  <c r="J774" i="10"/>
  <c r="K774" i="10" s="1"/>
  <c r="M774" i="10"/>
  <c r="I775" i="10"/>
  <c r="J775" i="10" s="1"/>
  <c r="K775" i="10" s="1"/>
  <c r="I776" i="10"/>
  <c r="J776" i="10"/>
  <c r="M776" i="10" s="1"/>
  <c r="K776" i="10"/>
  <c r="L776" i="10"/>
  <c r="I777" i="10"/>
  <c r="J777" i="10" s="1"/>
  <c r="K777" i="10" s="1"/>
  <c r="I778" i="10"/>
  <c r="I779" i="10"/>
  <c r="J779" i="10" s="1"/>
  <c r="I780" i="10"/>
  <c r="M780" i="10" s="1"/>
  <c r="J780" i="10"/>
  <c r="K780" i="10" s="1"/>
  <c r="L780" i="10"/>
  <c r="I781" i="10"/>
  <c r="L781" i="10" s="1"/>
  <c r="J781" i="10"/>
  <c r="M781" i="10" s="1"/>
  <c r="K781" i="10"/>
  <c r="I782" i="10"/>
  <c r="J782" i="10"/>
  <c r="K782" i="10" s="1"/>
  <c r="M782" i="10"/>
  <c r="I783" i="10"/>
  <c r="J783" i="10" s="1"/>
  <c r="K783" i="10" s="1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70" i="10"/>
  <c r="W783" i="10"/>
  <c r="W782" i="10"/>
  <c r="W781" i="10"/>
  <c r="W780" i="10"/>
  <c r="W779" i="10"/>
  <c r="W778" i="10"/>
  <c r="G783" i="10"/>
  <c r="H783" i="10"/>
  <c r="G782" i="10"/>
  <c r="H782" i="10"/>
  <c r="G781" i="10"/>
  <c r="H781" i="10"/>
  <c r="G780" i="10"/>
  <c r="H780" i="10"/>
  <c r="G779" i="10"/>
  <c r="H779" i="10"/>
  <c r="G778" i="10"/>
  <c r="H778" i="10"/>
  <c r="W777" i="10"/>
  <c r="W776" i="10"/>
  <c r="W775" i="10"/>
  <c r="W774" i="10"/>
  <c r="W773" i="10"/>
  <c r="W772" i="10"/>
  <c r="W771" i="10"/>
  <c r="W770" i="10"/>
  <c r="G777" i="10"/>
  <c r="H777" i="10"/>
  <c r="G776" i="10"/>
  <c r="H776" i="10"/>
  <c r="G775" i="10"/>
  <c r="H775" i="10"/>
  <c r="G774" i="10"/>
  <c r="H774" i="10"/>
  <c r="G773" i="10"/>
  <c r="H773" i="10"/>
  <c r="G772" i="10"/>
  <c r="H772" i="10"/>
  <c r="G771" i="10"/>
  <c r="H771" i="10"/>
  <c r="G770" i="10"/>
  <c r="H770" i="10"/>
  <c r="L802" i="10" l="1"/>
  <c r="J802" i="10"/>
  <c r="K802" i="10" s="1"/>
  <c r="J801" i="10"/>
  <c r="K801" i="10" s="1"/>
  <c r="M801" i="10"/>
  <c r="J798" i="10"/>
  <c r="K798" i="10" s="1"/>
  <c r="L797" i="10"/>
  <c r="M797" i="10"/>
  <c r="J797" i="10"/>
  <c r="K797" i="10" s="1"/>
  <c r="J796" i="10"/>
  <c r="K796" i="10" s="1"/>
  <c r="J795" i="10"/>
  <c r="K795" i="10" s="1"/>
  <c r="M787" i="10"/>
  <c r="K787" i="10"/>
  <c r="L787" i="10"/>
  <c r="M789" i="10"/>
  <c r="K789" i="10"/>
  <c r="L789" i="10"/>
  <c r="M790" i="10"/>
  <c r="L790" i="10"/>
  <c r="M785" i="10"/>
  <c r="M788" i="10"/>
  <c r="L785" i="10"/>
  <c r="M791" i="10"/>
  <c r="L788" i="10"/>
  <c r="M786" i="10"/>
  <c r="J784" i="10"/>
  <c r="K784" i="10" s="1"/>
  <c r="L778" i="10"/>
  <c r="L771" i="10"/>
  <c r="M771" i="10"/>
  <c r="K771" i="10"/>
  <c r="M779" i="10"/>
  <c r="K779" i="10"/>
  <c r="L779" i="10"/>
  <c r="L782" i="10"/>
  <c r="M777" i="10"/>
  <c r="L774" i="10"/>
  <c r="L777" i="10"/>
  <c r="J778" i="10"/>
  <c r="K778" i="10" s="1"/>
  <c r="L783" i="10"/>
  <c r="M778" i="10"/>
  <c r="L775" i="10"/>
  <c r="M770" i="10"/>
  <c r="M783" i="10"/>
  <c r="M775" i="10"/>
  <c r="M802" i="10" l="1"/>
  <c r="L801" i="10"/>
  <c r="M798" i="10"/>
  <c r="L798" i="10"/>
  <c r="L796" i="10"/>
  <c r="M796" i="10"/>
  <c r="M795" i="10"/>
  <c r="L795" i="10"/>
  <c r="M784" i="10"/>
  <c r="L784" i="10"/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I740" i="10"/>
  <c r="J740" i="10"/>
  <c r="L740" i="10" s="1"/>
  <c r="K740" i="10"/>
  <c r="M740" i="10"/>
  <c r="G741" i="10"/>
  <c r="H741" i="10"/>
  <c r="I741" i="10"/>
  <c r="J741" i="10"/>
  <c r="K741" i="10"/>
  <c r="L741" i="10"/>
  <c r="M741" i="10"/>
  <c r="G742" i="10"/>
  <c r="H742" i="10"/>
  <c r="I742" i="10"/>
  <c r="J742" i="10"/>
  <c r="K742" i="10"/>
  <c r="L742" i="10"/>
  <c r="M742" i="10"/>
  <c r="G743" i="10"/>
  <c r="H743" i="10"/>
  <c r="I743" i="10"/>
  <c r="J743" i="10" s="1"/>
  <c r="K743" i="10" s="1"/>
  <c r="G744" i="10"/>
  <c r="H744" i="10"/>
  <c r="I744" i="10"/>
  <c r="L744" i="10" s="1"/>
  <c r="J744" i="10"/>
  <c r="K744" i="10" s="1"/>
  <c r="G745" i="10"/>
  <c r="H745" i="10"/>
  <c r="I745" i="10"/>
  <c r="L745" i="10" s="1"/>
  <c r="J745" i="10"/>
  <c r="K745" i="10"/>
  <c r="G746" i="10"/>
  <c r="H746" i="10"/>
  <c r="I746" i="10"/>
  <c r="G747" i="10"/>
  <c r="H747" i="10"/>
  <c r="I747" i="10"/>
  <c r="J747" i="10"/>
  <c r="K747" i="10" s="1"/>
  <c r="L747" i="10"/>
  <c r="M747" i="10"/>
  <c r="G748" i="10"/>
  <c r="H748" i="10"/>
  <c r="I748" i="10"/>
  <c r="J748" i="10"/>
  <c r="L748" i="10" s="1"/>
  <c r="K748" i="10"/>
  <c r="M748" i="10"/>
  <c r="G749" i="10"/>
  <c r="H749" i="10"/>
  <c r="I749" i="10"/>
  <c r="J749" i="10" s="1"/>
  <c r="G750" i="10"/>
  <c r="H750" i="10"/>
  <c r="I750" i="10"/>
  <c r="J750" i="10" s="1"/>
  <c r="G751" i="10"/>
  <c r="H751" i="10"/>
  <c r="I751" i="10"/>
  <c r="J751" i="10" s="1"/>
  <c r="K751" i="10" s="1"/>
  <c r="G752" i="10"/>
  <c r="H752" i="10"/>
  <c r="I752" i="10"/>
  <c r="L752" i="10" s="1"/>
  <c r="J752" i="10"/>
  <c r="K752" i="10" s="1"/>
  <c r="G753" i="10"/>
  <c r="H753" i="10"/>
  <c r="I753" i="10"/>
  <c r="L753" i="10" s="1"/>
  <c r="J753" i="10"/>
  <c r="K753" i="10"/>
  <c r="G754" i="10"/>
  <c r="H754" i="10"/>
  <c r="I754" i="10"/>
  <c r="G755" i="10"/>
  <c r="H755" i="10"/>
  <c r="I755" i="10"/>
  <c r="J755" i="10"/>
  <c r="K755" i="10" s="1"/>
  <c r="L755" i="10"/>
  <c r="M755" i="10"/>
  <c r="G756" i="10"/>
  <c r="H756" i="10"/>
  <c r="I756" i="10"/>
  <c r="J756" i="10"/>
  <c r="L756" i="10" s="1"/>
  <c r="K756" i="10"/>
  <c r="M756" i="10"/>
  <c r="G757" i="10"/>
  <c r="H757" i="10"/>
  <c r="I757" i="10"/>
  <c r="J757" i="10"/>
  <c r="K757" i="10"/>
  <c r="L757" i="10"/>
  <c r="M757" i="10"/>
  <c r="G758" i="10"/>
  <c r="H758" i="10"/>
  <c r="I758" i="10"/>
  <c r="J758" i="10" s="1"/>
  <c r="G759" i="10"/>
  <c r="H759" i="10"/>
  <c r="I759" i="10"/>
  <c r="J759" i="10" s="1"/>
  <c r="K759" i="10" s="1"/>
  <c r="G760" i="10"/>
  <c r="H760" i="10"/>
  <c r="I760" i="10"/>
  <c r="L760" i="10" s="1"/>
  <c r="J760" i="10"/>
  <c r="K760" i="10" s="1"/>
  <c r="G761" i="10"/>
  <c r="H761" i="10"/>
  <c r="I761" i="10"/>
  <c r="L761" i="10" s="1"/>
  <c r="J761" i="10"/>
  <c r="K761" i="10"/>
  <c r="G762" i="10"/>
  <c r="H762" i="10"/>
  <c r="I762" i="10"/>
  <c r="G763" i="10"/>
  <c r="H763" i="10"/>
  <c r="I763" i="10"/>
  <c r="J763" i="10"/>
  <c r="K763" i="10" s="1"/>
  <c r="L763" i="10"/>
  <c r="M763" i="10"/>
  <c r="G764" i="10"/>
  <c r="H764" i="10"/>
  <c r="I764" i="10"/>
  <c r="J764" i="10"/>
  <c r="L764" i="10" s="1"/>
  <c r="K764" i="10"/>
  <c r="M764" i="10"/>
  <c r="G765" i="10"/>
  <c r="H765" i="10"/>
  <c r="I765" i="10"/>
  <c r="J765" i="10"/>
  <c r="K765" i="10"/>
  <c r="L765" i="10"/>
  <c r="M765" i="10"/>
  <c r="G766" i="10"/>
  <c r="H766" i="10"/>
  <c r="I766" i="10"/>
  <c r="J766" i="10" s="1"/>
  <c r="G767" i="10"/>
  <c r="H767" i="10"/>
  <c r="I767" i="10"/>
  <c r="J767" i="10" s="1"/>
  <c r="K767" i="10" s="1"/>
  <c r="G768" i="10"/>
  <c r="H768" i="10"/>
  <c r="I768" i="10"/>
  <c r="L768" i="10" s="1"/>
  <c r="J768" i="10"/>
  <c r="K768" i="10" s="1"/>
  <c r="G769" i="10"/>
  <c r="H769" i="10"/>
  <c r="I769" i="10"/>
  <c r="L769" i="10" s="1"/>
  <c r="J769" i="10"/>
  <c r="K769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40" i="10"/>
  <c r="I735" i="10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66" i="10" l="1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M744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54" i="10" l="1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  <comment ref="Z803" authorId="0" shapeId="0" xr:uid="{60C88C24-34CA-4E52-BC77-A6E850DCFFF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Apprenticeship study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<sst xmlns="http://schemas.openxmlformats.org/spreadsheetml/2006/main" count="9215" uniqueCount="520">
  <si>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</si>
  <si>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</si>
  <si>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</si>
  <si>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</si>
  <si>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</si>
  <si>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</si>
  <si>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</si>
  <si>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</si>
  <si>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</si>
  <si>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</si>
  <si>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</si>
  <si>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</si>
  <si>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</si>
  <si>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</si>
  <si>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</si>
  <si>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</si>
  <si>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</si>
  <si>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</si>
  <si>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</si>
  <si>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</si>
  <si>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</si>
  <si>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</si>
  <si>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</si>
  <si>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</si>
  <si>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</si>
  <si>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</si>
  <si>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</si>
  <si>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</si>
  <si>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</si>
  <si>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</si>
  <si>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</si>
  <si>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</si>
  <si>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</si>
  <si>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</si>
  <si>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</si>
  <si>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</si>
  <si>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</si>
  <si>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</si>
  <si>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</si>
  <si>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</si>
  <si>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</si>
  <si>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</si>
  <si>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</si>
  <si>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</si>
  <si>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</si>
  <si>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</si>
  <si>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</si>
  <si>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</si>
  <si>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</si>
  <si>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</si>
  <si>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</si>
  <si>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</si>
  <si>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</si>
  <si>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</si>
  <si>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</si>
  <si>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</si>
  <si>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</si>
  <si>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</si>
  <si>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</si>
  <si>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</si>
  <si>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</si>
  <si>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</si>
  <si>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</si>
  <si>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</si>
  <si>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</si>
  <si>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</si>
  <si>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</si>
  <si>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</si>
  <si>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</si>
  <si>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</si>
  <si>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</si>
  <si>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</si>
  <si>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</si>
  <si>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</si>
  <si>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</si>
  <si>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</si>
  <si>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</si>
  <si>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</si>
  <si>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</si>
  <si>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</si>
  <si>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</si>
  <si>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</si>
  <si>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</si>
  <si>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</si>
  <si>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</si>
  <si>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</si>
  <si>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</si>
  <si>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</si>
  <si>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</si>
  <si>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</si>
  <si>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</si>
  <si>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</si>
  <si>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</si>
  <si>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</si>
  <si>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</si>
  <si>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</si>
  <si>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</si>
  <si>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</si>
  <si>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</si>
  <si>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</si>
  <si>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</si>
  <si>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</si>
  <si>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</si>
  <si>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</si>
  <si>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</si>
  <si>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</si>
  <si>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</si>
  <si>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</si>
  <si>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</si>
  <si>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</si>
  <si>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</si>
  <si>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</si>
  <si>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</si>
  <si>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</si>
  <si>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</si>
  <si>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</si>
  <si>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</si>
  <si>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</si>
  <si>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</si>
  <si>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</si>
  <si>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</si>
  <si>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</si>
  <si>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</si>
  <si>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</si>
  <si>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</si>
  <si>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</si>
  <si>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</si>
  <si>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</si>
  <si>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</si>
  <si>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</si>
  <si>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</si>
  <si>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</si>
  <si>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</si>
  <si>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</si>
  <si>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</si>
  <si>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</si>
  <si>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</si>
  <si>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</si>
  <si>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</si>
  <si>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</si>
  <si>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</si>
  <si>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</si>
  <si>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</si>
  <si>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</si>
  <si>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</si>
  <si>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</si>
  <si>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</si>
  <si>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</si>
  <si>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</si>
  <si>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</si>
  <si>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</si>
  <si>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</si>
  <si>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</si>
  <si>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</si>
  <si>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</si>
  <si>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</si>
  <si>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</si>
  <si>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</si>
  <si>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</si>
  <si>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</si>
  <si>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</si>
  <si>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</si>
  <si>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</si>
  <si>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</si>
  <si>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</si>
  <si>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</si>
  <si>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</si>
  <si>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</si>
  <si>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</si>
  <si>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</si>
  <si>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</si>
  <si>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</si>
  <si>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</si>
  <si>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</si>
  <si>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</si>
  <si>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</si>
  <si>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</si>
  <si>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</si>
  <si>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</si>
  <si>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</si>
  <si>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</si>
  <si>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</si>
  <si>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</si>
  <si>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</si>
  <si>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</si>
  <si>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</si>
  <si>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</si>
  <si>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</si>
  <si>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</si>
  <si>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</si>
  <si>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</si>
  <si>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</si>
  <si>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</si>
  <si>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</si>
  <si>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</si>
  <si>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</si>
  <si>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</si>
  <si>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</si>
  <si>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</si>
  <si>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</si>
  <si>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</si>
  <si>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</si>
  <si>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</si>
  <si>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</si>
  <si>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</si>
  <si>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</si>
  <si>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</si>
  <si>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</si>
  <si>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</si>
  <si>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</si>
  <si>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</si>
  <si>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</si>
  <si>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</si>
  <si>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</si>
  <si>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</si>
  <si>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</si>
  <si>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</si>
  <si>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</si>
  <si>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</si>
  <si>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</si>
  <si>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</si>
  <si>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</si>
  <si>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</si>
  <si>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</si>
  <si>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</si>
  <si>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</si>
  <si>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</si>
  <si>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</si>
  <si>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</si>
  <si>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</si>
  <si>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</si>
  <si>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</si>
  <si>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</si>
  <si>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</si>
  <si>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</si>
  <si>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</si>
  <si>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</si>
  <si>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</si>
  <si>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</si>
  <si>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</si>
  <si>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</si>
  <si>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</si>
  <si>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</si>
  <si>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</si>
  <si>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</si>
  <si>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</si>
  <si>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</si>
  <si>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</si>
  <si>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</si>
  <si>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</si>
  <si>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</si>
  <si>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</si>
  <si>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</si>
  <si>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</si>
  <si>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</si>
  <si>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</si>
  <si>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</si>
  <si>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</si>
  <si>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</si>
  <si>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</si>
  <si>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</si>
  <si>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</si>
  <si>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</si>
  <si>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</si>
  <si>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</si>
  <si>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</si>
  <si>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</si>
  <si>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</si>
  <si>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</si>
  <si>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</si>
  <si>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</si>
  <si>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</si>
  <si>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</si>
  <si>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</si>
  <si>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</si>
  <si>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</si>
  <si>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</si>
  <si>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</si>
  <si>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</si>
  <si>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</si>
  <si>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</si>
  <si>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</si>
  <si>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</si>
  <si>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</si>
  <si>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</si>
  <si>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</si>
  <si>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</si>
  <si>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</si>
  <si>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</si>
  <si>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</si>
  <si>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</si>
  <si>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</si>
  <si>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</si>
  <si>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</si>
  <si>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</si>
  <si>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</si>
  <si>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</si>
  <si>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</si>
  <si>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</si>
  <si>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</si>
  <si>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</si>
  <si>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</si>
  <si>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</si>
  <si>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</si>
  <si>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</si>
  <si>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</si>
  <si>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</si>
  <si>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</si>
  <si>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</si>
  <si>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</si>
  <si>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</si>
  <si>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</si>
  <si>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</si>
  <si>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</si>
  <si>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</si>
  <si>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</si>
  <si>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</si>
  <si>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</si>
  <si>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</si>
  <si>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</si>
  <si>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</si>
  <si>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</si>
  <si>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</si>
  <si>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</si>
  <si>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</si>
  <si>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</si>
  <si>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</si>
  <si>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</si>
  <si>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</si>
  <si>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</si>
  <si>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</si>
  <si>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</si>
  <si>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</si>
  <si>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</si>
  <si>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</si>
  <si>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</si>
  <si>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</si>
  <si>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</si>
  <si>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</si>
  <si>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</si>
  <si>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</si>
  <si>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</si>
  <si>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</si>
  <si>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</si>
  <si>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</si>
  <si>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</si>
  <si>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</si>
  <si>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</si>
  <si>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</si>
  <si>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</si>
  <si>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</si>
  <si>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</si>
  <si>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</si>
  <si>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</si>
  <si>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</si>
  <si>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</si>
  <si>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</si>
  <si>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</si>
  <si>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</si>
  <si>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</si>
  <si>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</si>
  <si>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</si>
  <si>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</si>
  <si>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</si>
  <si>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</si>
  <si>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</si>
  <si>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</si>
  <si>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</si>
  <si>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</si>
  <si>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</si>
  <si>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</si>
  <si>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</si>
  <si>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</si>
  <si>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</si>
  <si>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</si>
  <si>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</si>
  <si>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</si>
  <si>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</si>
  <si>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</si>
  <si>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</si>
  <si>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</si>
  <si>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</si>
  <si>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</si>
  <si>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</si>
  <si>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</si>
  <si>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</si>
  <si>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</si>
  <si>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</si>
  <si>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</si>
  <si>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</si>
  <si>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</si>
  <si>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</si>
  <si>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</si>
  <si>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</si>
  <si>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</si>
  <si>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</si>
  <si>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</si>
  <si>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</si>
  <si>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</si>
  <si>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</si>
  <si>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</si>
  <si>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</si>
  <si>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</si>
  <si>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</si>
  <si>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</si>
  <si>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</si>
  <si>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</si>
  <si>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</si>
  <si>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</si>
  <si>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</si>
  <si>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</si>
  <si>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</si>
  <si>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</si>
  <si>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</si>
  <si>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</si>
  <si>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</si>
  <si>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</si>
  <si>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</si>
  <si>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</si>
  <si>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</si>
  <si>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</si>
  <si>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</si>
  <si>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</si>
  <si>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</si>
  <si>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</si>
  <si>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</si>
  <si>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</si>
  <si>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</si>
  <si>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</si>
  <si>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</si>
  <si>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</si>
  <si>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</si>
  <si>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</si>
  <si>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</si>
  <si>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</si>
  <si>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</si>
  <si>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</si>
  <si>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</si>
  <si>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</si>
  <si>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</si>
  <si>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</si>
  <si>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</si>
  <si>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</si>
  <si>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</si>
  <si>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</si>
  <si>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</si>
  <si>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</si>
  <si>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</si>
  <si>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</si>
  <si>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</si>
  <si>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</si>
  <si>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</si>
  <si>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</si>
  <si>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</si>
  <si>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</si>
  <si>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</si>
  <si>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</si>
  <si>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</si>
  <si>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</si>
  <si>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</si>
  <si>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</si>
  <si>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</si>
  <si>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</si>
  <si>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</si>
  <si>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</si>
  <si>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</si>
  <si>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</si>
  <si>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</si>
  <si>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</si>
  <si>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</si>
  <si>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</si>
  <si>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</si>
  <si>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</si>
  <si>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</si>
  <si>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</si>
  <si>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</si>
  <si>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</si>
  <si>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</si>
  <si>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</si>
  <si>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</si>
  <si>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</si>
  <si>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</si>
  <si>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</si>
  <si>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</si>
  <si>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</si>
  <si>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</si>
  <si>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</si>
  <si>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</si>
  <si>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</si>
  <si>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</si>
  <si>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</si>
  <si>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</si>
  <si>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</si>
  <si>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</si>
  <si>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</si>
  <si>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</si>
  <si>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</si>
  <si>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</si>
  <si>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</si>
  <si>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</si>
  <si>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</si>
  <si>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</si>
  <si>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</si>
  <si>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</si>
  <si>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</si>
  <si>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</si>
  <si>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</si>
  <si>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</si>
  <si>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</si>
  <si>
    <t>Campaniello et al. (2016)</t>
  </si>
  <si>
    <t>Italy</t>
  </si>
  <si>
    <t>Joseph (2020)</t>
  </si>
  <si>
    <t>Tanzania</t>
  </si>
  <si>
    <t>Dumauli (2015)</t>
  </si>
  <si>
    <t>Fersterer et al. (2008)</t>
  </si>
  <si>
    <t>Austria</t>
  </si>
  <si>
    <t>Sinning (2017)</t>
  </si>
  <si>
    <t>instr_marital_status</t>
  </si>
  <si>
    <t>Purnastuti (2013)</t>
  </si>
  <si>
    <t>Arkes (2010)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</si>
</sst>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dotted">
        <color auto="1"/>
      </left>
      <right/>
      <top style="dashed">
        <color auto="1"/>
      </top>
      <bottom style="dashed">
        <color auto="1"/>
      </bottom>
      <diagonal/>
    </border>
    <border>
      <left/>
      <right style="dott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0" fontId="0" fillId="0" borderId="0" xfId="0" applyFill="1" applyBorder="1"/>
    <xf numFmtId="164" fontId="0" fillId="0" borderId="0" xfId="0" applyNumberFormat="1" applyFill="1" applyBorder="1" applyAlignment="1">
      <alignment horizontal="center"/>
    </xf>
    <xf numFmtId="164" fontId="0" fillId="0" borderId="33" xfId="0" applyNumberFormat="1" applyFill="1" applyBorder="1" applyAlignment="1">
      <alignment horizontal="center"/>
    </xf>
    <xf numFmtId="0" fontId="0" fillId="0" borderId="33" xfId="0" applyFill="1" applyBorder="1"/>
    <xf numFmtId="0" fontId="0" fillId="0" borderId="39" xfId="0" applyBorder="1"/>
    <xf numFmtId="0" fontId="0" fillId="0" borderId="39" xfId="0" applyFill="1" applyBorder="1"/>
    <xf numFmtId="0" fontId="0" fillId="0" borderId="40" xfId="0" applyBorder="1"/>
    <xf numFmtId="2" fontId="0" fillId="4" borderId="39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0" fillId="4" borderId="39" xfId="0" applyFill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0" fontId="0" fillId="0" borderId="41" xfId="0" applyBorder="1"/>
    <xf numFmtId="0" fontId="0" fillId="0" borderId="42" xfId="0" applyBorder="1"/>
    <xf numFmtId="164" fontId="0" fillId="0" borderId="42" xfId="0" applyNumberFormat="1" applyBorder="1"/>
    <xf numFmtId="0" fontId="0" fillId="0" borderId="43" xfId="0" applyBorder="1"/>
  </cellXfs>
  <cellStyles count="1">
    <cellStyle name="Normal" xfId="0" builtinId="0"/>
  </cellStyles>
  <dxfs count="38"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E801" activePane="bottomRight" state="frozen"/>
      <selection pane="topRight" activeCell="E1" sqref="E1"/>
      <selection pane="bottomLeft" activeCell="A2" sqref="A2"/>
      <selection pane="bottomRight" activeCell="D822" sqref="D822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2" width="8.7109375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339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517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365</v>
      </c>
      <c r="CX1" s="44" t="s">
        <v>85</v>
      </c>
      <c r="CY1" s="185" t="s">
        <v>482</v>
      </c>
      <c r="CZ1" s="186" t="s">
        <v>483</v>
      </c>
      <c r="DA1" s="186" t="s">
        <v>484</v>
      </c>
      <c r="DB1" s="186" t="s">
        <v>485</v>
      </c>
      <c r="DC1" s="186" t="s">
        <v>486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332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332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332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332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332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332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332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332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332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332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332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332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332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332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332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332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333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333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333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333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333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333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333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333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333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333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333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333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333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333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333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333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333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333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333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333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333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333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333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333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337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337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337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337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337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337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337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337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337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337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337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337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337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337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337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338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338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338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338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338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338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340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341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340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341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340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341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340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341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340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341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340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341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340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341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340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341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340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341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340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341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340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341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340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341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340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341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340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341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340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341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340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341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340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341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340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341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340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341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340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341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340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341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340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341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340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341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340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341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340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341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340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341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340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341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340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341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340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341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340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341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340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341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340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341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340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341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340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341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340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341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340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341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340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341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340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341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340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341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340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341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340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341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340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341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340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341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340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341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340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341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340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341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340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341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340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341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340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341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340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341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342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342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342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342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342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342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342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342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342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342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345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345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345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345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345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345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345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345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345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345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345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345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345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345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345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345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345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346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346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346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346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346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346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346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346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346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346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346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346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346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346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346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480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341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480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341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480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341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480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341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480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341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480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341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480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341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480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341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480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341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480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341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480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341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480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341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480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341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480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341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480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341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480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341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480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341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480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341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480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341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480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341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480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341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480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341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480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341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480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341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492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493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492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493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492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493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492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493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492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493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492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493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492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493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492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493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492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493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492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493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492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493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492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493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492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493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492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493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492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493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492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493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492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493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492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493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502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503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502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503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502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503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502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503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502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503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502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503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508</v>
      </c>
      <c r="D740" s="12">
        <v>6.4</v>
      </c>
      <c r="E740" s="14">
        <v>0.1</v>
      </c>
      <c r="F740" s="7">
        <v>9.8571428571428594</v>
      </c>
      <c r="G740" s="7">
        <f t="shared" ref="G740:G821" si="542">D740-E740</f>
        <v>6.3000000000000007</v>
      </c>
      <c r="H740" s="16">
        <f t="shared" ref="H740:H821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>
        <v>1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s="18">
        <v>0</v>
      </c>
      <c r="BZ740">
        <v>0</v>
      </c>
      <c r="CA740">
        <v>0</v>
      </c>
      <c r="CB740">
        <v>1</v>
      </c>
      <c r="CC740" s="18">
        <v>0</v>
      </c>
      <c r="CD740">
        <v>0</v>
      </c>
      <c r="CE740">
        <v>0</v>
      </c>
      <c r="CF740">
        <v>0</v>
      </c>
      <c r="CG740">
        <v>0</v>
      </c>
      <c r="CH740" s="18">
        <v>0</v>
      </c>
      <c r="CI740">
        <v>0</v>
      </c>
      <c r="CJ740">
        <v>0</v>
      </c>
      <c r="CK740">
        <v>1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508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8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>
        <v>1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s="18">
        <v>0</v>
      </c>
      <c r="BZ741">
        <v>0</v>
      </c>
      <c r="CA741">
        <v>0</v>
      </c>
      <c r="CB741">
        <v>1</v>
      </c>
      <c r="CC741" s="18">
        <v>0</v>
      </c>
      <c r="CD741">
        <v>0</v>
      </c>
      <c r="CE741">
        <v>0</v>
      </c>
      <c r="CF741">
        <v>0</v>
      </c>
      <c r="CG741">
        <v>0</v>
      </c>
      <c r="CH741" s="18">
        <v>0</v>
      </c>
      <c r="CI741">
        <v>0</v>
      </c>
      <c r="CJ741">
        <v>0</v>
      </c>
      <c r="CK741">
        <v>1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508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>
        <v>1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s="18">
        <v>0</v>
      </c>
      <c r="BZ742">
        <v>0</v>
      </c>
      <c r="CA742">
        <v>0</v>
      </c>
      <c r="CB742">
        <v>1</v>
      </c>
      <c r="CC742" s="18">
        <v>0</v>
      </c>
      <c r="CD742">
        <v>0</v>
      </c>
      <c r="CE742">
        <v>0</v>
      </c>
      <c r="CF742">
        <v>0</v>
      </c>
      <c r="CG742">
        <v>0</v>
      </c>
      <c r="CH742" s="18">
        <v>0</v>
      </c>
      <c r="CI742">
        <v>0</v>
      </c>
      <c r="CJ742">
        <v>0</v>
      </c>
      <c r="CK742">
        <v>1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508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>
        <v>1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s="18">
        <v>0</v>
      </c>
      <c r="BZ743">
        <v>0</v>
      </c>
      <c r="CA743">
        <v>0</v>
      </c>
      <c r="CB743">
        <v>1</v>
      </c>
      <c r="CC743" s="18">
        <v>0</v>
      </c>
      <c r="CD743">
        <v>0</v>
      </c>
      <c r="CE743">
        <v>0</v>
      </c>
      <c r="CF743">
        <v>0</v>
      </c>
      <c r="CG743">
        <v>0</v>
      </c>
      <c r="CH743" s="18">
        <v>0</v>
      </c>
      <c r="CI743">
        <v>0</v>
      </c>
      <c r="CJ743">
        <v>0</v>
      </c>
      <c r="CK743">
        <v>1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508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>
        <v>1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s="18">
        <v>0</v>
      </c>
      <c r="BZ744">
        <v>0</v>
      </c>
      <c r="CA744">
        <v>0</v>
      </c>
      <c r="CB744">
        <v>1</v>
      </c>
      <c r="CC744" s="18">
        <v>0</v>
      </c>
      <c r="CD744">
        <v>0</v>
      </c>
      <c r="CE744">
        <v>0</v>
      </c>
      <c r="CF744">
        <v>0</v>
      </c>
      <c r="CG744">
        <v>0</v>
      </c>
      <c r="CH744" s="18">
        <v>0</v>
      </c>
      <c r="CI744">
        <v>0</v>
      </c>
      <c r="CJ744">
        <v>0</v>
      </c>
      <c r="CK744">
        <v>1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508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>
        <v>1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s="18">
        <v>0</v>
      </c>
      <c r="BZ745">
        <v>0</v>
      </c>
      <c r="CA745">
        <v>0</v>
      </c>
      <c r="CB745">
        <v>1</v>
      </c>
      <c r="CC745" s="18">
        <v>0</v>
      </c>
      <c r="CD745">
        <v>0</v>
      </c>
      <c r="CE745">
        <v>0</v>
      </c>
      <c r="CF745">
        <v>0</v>
      </c>
      <c r="CG745">
        <v>0</v>
      </c>
      <c r="CH745" s="18">
        <v>0</v>
      </c>
      <c r="CI745">
        <v>0</v>
      </c>
      <c r="CJ745">
        <v>0</v>
      </c>
      <c r="CK745">
        <v>1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508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>
        <v>1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s="18">
        <v>0</v>
      </c>
      <c r="BZ746">
        <v>0</v>
      </c>
      <c r="CA746">
        <v>0</v>
      </c>
      <c r="CB746">
        <v>1</v>
      </c>
      <c r="CC746" s="18">
        <v>0</v>
      </c>
      <c r="CD746">
        <v>0</v>
      </c>
      <c r="CE746">
        <v>0</v>
      </c>
      <c r="CF746">
        <v>0</v>
      </c>
      <c r="CG746">
        <v>0</v>
      </c>
      <c r="CH746" s="18">
        <v>0</v>
      </c>
      <c r="CI746">
        <v>0</v>
      </c>
      <c r="CJ746">
        <v>0</v>
      </c>
      <c r="CK746">
        <v>1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508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s="18">
        <v>0</v>
      </c>
      <c r="BZ747">
        <v>0</v>
      </c>
      <c r="CA747">
        <v>0</v>
      </c>
      <c r="CB747">
        <v>1</v>
      </c>
      <c r="CC747" s="18">
        <v>0</v>
      </c>
      <c r="CD747">
        <v>0</v>
      </c>
      <c r="CE747">
        <v>0</v>
      </c>
      <c r="CF747">
        <v>0</v>
      </c>
      <c r="CG747">
        <v>0</v>
      </c>
      <c r="CH747" s="18">
        <v>0</v>
      </c>
      <c r="CI747">
        <v>0</v>
      </c>
      <c r="CJ747">
        <v>0</v>
      </c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508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>
        <v>1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s="18">
        <v>0</v>
      </c>
      <c r="BZ748">
        <v>0</v>
      </c>
      <c r="CA748">
        <v>0</v>
      </c>
      <c r="CB748">
        <v>1</v>
      </c>
      <c r="CC748" s="18">
        <v>0</v>
      </c>
      <c r="CD748">
        <v>0</v>
      </c>
      <c r="CE748">
        <v>0</v>
      </c>
      <c r="CF748">
        <v>0</v>
      </c>
      <c r="CG748">
        <v>0</v>
      </c>
      <c r="CH748" s="18">
        <v>0</v>
      </c>
      <c r="CI748">
        <v>0</v>
      </c>
      <c r="CJ748">
        <v>0</v>
      </c>
      <c r="CK748">
        <v>1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508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>
        <v>1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s="18">
        <v>0</v>
      </c>
      <c r="BZ749">
        <v>0</v>
      </c>
      <c r="CA749">
        <v>0</v>
      </c>
      <c r="CB749">
        <v>1</v>
      </c>
      <c r="CC749" s="18">
        <v>0</v>
      </c>
      <c r="CD749">
        <v>0</v>
      </c>
      <c r="CE749">
        <v>0</v>
      </c>
      <c r="CF749">
        <v>0</v>
      </c>
      <c r="CG749">
        <v>0</v>
      </c>
      <c r="CH749" s="18">
        <v>0</v>
      </c>
      <c r="CI749">
        <v>0</v>
      </c>
      <c r="CJ749">
        <v>0</v>
      </c>
      <c r="CK749">
        <v>1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508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>
        <v>1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s="18">
        <v>0</v>
      </c>
      <c r="BZ750">
        <v>0</v>
      </c>
      <c r="CA750">
        <v>0</v>
      </c>
      <c r="CB750">
        <v>1</v>
      </c>
      <c r="CC750" s="18">
        <v>0</v>
      </c>
      <c r="CD750">
        <v>0</v>
      </c>
      <c r="CE750">
        <v>0</v>
      </c>
      <c r="CF750">
        <v>0</v>
      </c>
      <c r="CG750">
        <v>0</v>
      </c>
      <c r="CH750" s="18">
        <v>0</v>
      </c>
      <c r="CI750">
        <v>0</v>
      </c>
      <c r="CJ750">
        <v>0</v>
      </c>
      <c r="CK750">
        <v>1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508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>
        <v>1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s="18">
        <v>0</v>
      </c>
      <c r="BZ751">
        <v>0</v>
      </c>
      <c r="CA751">
        <v>0</v>
      </c>
      <c r="CB751">
        <v>1</v>
      </c>
      <c r="CC751" s="18">
        <v>0</v>
      </c>
      <c r="CD751">
        <v>0</v>
      </c>
      <c r="CE751">
        <v>0</v>
      </c>
      <c r="CF751">
        <v>0</v>
      </c>
      <c r="CG751">
        <v>0</v>
      </c>
      <c r="CH751" s="18">
        <v>0</v>
      </c>
      <c r="CI751">
        <v>0</v>
      </c>
      <c r="CJ751">
        <v>0</v>
      </c>
      <c r="CK751">
        <v>1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508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>
        <v>1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 s="18">
        <v>0</v>
      </c>
      <c r="BZ752">
        <v>0</v>
      </c>
      <c r="CA752">
        <v>0</v>
      </c>
      <c r="CB752">
        <v>1</v>
      </c>
      <c r="CC752" s="18">
        <v>0</v>
      </c>
      <c r="CD752">
        <v>0</v>
      </c>
      <c r="CE752">
        <v>0</v>
      </c>
      <c r="CF752">
        <v>0</v>
      </c>
      <c r="CG752">
        <v>0</v>
      </c>
      <c r="CH752" s="18">
        <v>0</v>
      </c>
      <c r="CI752">
        <v>0</v>
      </c>
      <c r="CJ752">
        <v>0</v>
      </c>
      <c r="CK752">
        <v>1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508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>
        <v>1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s="18">
        <v>0</v>
      </c>
      <c r="BZ753">
        <v>0</v>
      </c>
      <c r="CA753">
        <v>0</v>
      </c>
      <c r="CB753">
        <v>1</v>
      </c>
      <c r="CC753" s="18">
        <v>0</v>
      </c>
      <c r="CD753">
        <v>0</v>
      </c>
      <c r="CE753">
        <v>0</v>
      </c>
      <c r="CF753">
        <v>0</v>
      </c>
      <c r="CG753">
        <v>0</v>
      </c>
      <c r="CH753" s="18">
        <v>0</v>
      </c>
      <c r="CI753">
        <v>0</v>
      </c>
      <c r="CJ753">
        <v>0</v>
      </c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508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>
        <v>1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s="18">
        <v>0</v>
      </c>
      <c r="BZ754">
        <v>0</v>
      </c>
      <c r="CA754">
        <v>0</v>
      </c>
      <c r="CB754">
        <v>1</v>
      </c>
      <c r="CC754" s="18">
        <v>0</v>
      </c>
      <c r="CD754">
        <v>0</v>
      </c>
      <c r="CE754">
        <v>0</v>
      </c>
      <c r="CF754">
        <v>0</v>
      </c>
      <c r="CG754">
        <v>0</v>
      </c>
      <c r="CH754" s="18">
        <v>0</v>
      </c>
      <c r="CI754">
        <v>0</v>
      </c>
      <c r="CJ754">
        <v>0</v>
      </c>
      <c r="CK754">
        <v>1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508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>
        <v>1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s="18">
        <v>0</v>
      </c>
      <c r="BZ755">
        <v>0</v>
      </c>
      <c r="CA755">
        <v>0</v>
      </c>
      <c r="CB755">
        <v>1</v>
      </c>
      <c r="CC755" s="18">
        <v>0</v>
      </c>
      <c r="CD755">
        <v>0</v>
      </c>
      <c r="CE755">
        <v>0</v>
      </c>
      <c r="CF755">
        <v>0</v>
      </c>
      <c r="CG755">
        <v>0</v>
      </c>
      <c r="CH755" s="18">
        <v>0</v>
      </c>
      <c r="CI755">
        <v>0</v>
      </c>
      <c r="CJ755">
        <v>0</v>
      </c>
      <c r="CK755">
        <v>1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508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>
        <v>1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s="18">
        <v>0</v>
      </c>
      <c r="BZ756">
        <v>0</v>
      </c>
      <c r="CA756">
        <v>0</v>
      </c>
      <c r="CB756">
        <v>1</v>
      </c>
      <c r="CC756" s="18">
        <v>0</v>
      </c>
      <c r="CD756">
        <v>0</v>
      </c>
      <c r="CE756">
        <v>0</v>
      </c>
      <c r="CF756">
        <v>0</v>
      </c>
      <c r="CG756">
        <v>0</v>
      </c>
      <c r="CH756" s="18">
        <v>0</v>
      </c>
      <c r="CI756">
        <v>0</v>
      </c>
      <c r="CJ756">
        <v>0</v>
      </c>
      <c r="CK756">
        <v>1</v>
      </c>
      <c r="CL756">
        <v>0</v>
      </c>
      <c r="CM756">
        <v>0</v>
      </c>
      <c r="CN756">
        <v>0</v>
      </c>
      <c r="CO756">
        <v>1</v>
      </c>
      <c r="CP756">
        <v>0</v>
      </c>
      <c r="CQ756">
        <v>0</v>
      </c>
      <c r="CR756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508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>
        <v>1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s="18">
        <v>0</v>
      </c>
      <c r="BZ757">
        <v>0</v>
      </c>
      <c r="CA757">
        <v>0</v>
      </c>
      <c r="CB757">
        <v>1</v>
      </c>
      <c r="CC757" s="18">
        <v>0</v>
      </c>
      <c r="CD757">
        <v>0</v>
      </c>
      <c r="CE757">
        <v>0</v>
      </c>
      <c r="CF757">
        <v>0</v>
      </c>
      <c r="CG757">
        <v>0</v>
      </c>
      <c r="CH757" s="18">
        <v>0</v>
      </c>
      <c r="CI757">
        <v>0</v>
      </c>
      <c r="CJ757">
        <v>0</v>
      </c>
      <c r="CK757">
        <v>1</v>
      </c>
      <c r="CL757">
        <v>0</v>
      </c>
      <c r="CM757">
        <v>0</v>
      </c>
      <c r="CN757">
        <v>0</v>
      </c>
      <c r="CO757">
        <v>1</v>
      </c>
      <c r="CP757">
        <v>1</v>
      </c>
      <c r="CQ757">
        <v>0</v>
      </c>
      <c r="CR757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508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>
        <v>1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s="18">
        <v>0</v>
      </c>
      <c r="BZ758">
        <v>0</v>
      </c>
      <c r="CA758">
        <v>0</v>
      </c>
      <c r="CB758">
        <v>1</v>
      </c>
      <c r="CC758" s="18">
        <v>0</v>
      </c>
      <c r="CD758">
        <v>0</v>
      </c>
      <c r="CE758">
        <v>0</v>
      </c>
      <c r="CF758">
        <v>0</v>
      </c>
      <c r="CG758">
        <v>0</v>
      </c>
      <c r="CH758" s="18">
        <v>0</v>
      </c>
      <c r="CI758">
        <v>0</v>
      </c>
      <c r="CJ758">
        <v>0</v>
      </c>
      <c r="CK758">
        <v>1</v>
      </c>
      <c r="CL758">
        <v>0</v>
      </c>
      <c r="CM758">
        <v>0</v>
      </c>
      <c r="CN758">
        <v>0</v>
      </c>
      <c r="CO758">
        <v>1</v>
      </c>
      <c r="CP758">
        <v>1</v>
      </c>
      <c r="CQ758">
        <v>1</v>
      </c>
      <c r="CR758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508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>
        <v>1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s="18">
        <v>0</v>
      </c>
      <c r="BZ759">
        <v>0</v>
      </c>
      <c r="CA759">
        <v>0</v>
      </c>
      <c r="CB759">
        <v>1</v>
      </c>
      <c r="CC759" s="18">
        <v>0</v>
      </c>
      <c r="CD759">
        <v>0</v>
      </c>
      <c r="CE759">
        <v>0</v>
      </c>
      <c r="CF759">
        <v>0</v>
      </c>
      <c r="CG759">
        <v>0</v>
      </c>
      <c r="CH759" s="18">
        <v>0</v>
      </c>
      <c r="CI759">
        <v>0</v>
      </c>
      <c r="CJ759">
        <v>0</v>
      </c>
      <c r="CK759">
        <v>1</v>
      </c>
      <c r="CL759">
        <v>0</v>
      </c>
      <c r="CM759">
        <v>0</v>
      </c>
      <c r="CN759">
        <v>0</v>
      </c>
      <c r="CO759">
        <v>1</v>
      </c>
      <c r="CP759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508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>
        <v>1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 s="18">
        <v>0</v>
      </c>
      <c r="BZ760">
        <v>0</v>
      </c>
      <c r="CA760">
        <v>0</v>
      </c>
      <c r="CB760">
        <v>1</v>
      </c>
      <c r="CC760" s="18">
        <v>0</v>
      </c>
      <c r="CD760">
        <v>0</v>
      </c>
      <c r="CE760">
        <v>0</v>
      </c>
      <c r="CF760">
        <v>0</v>
      </c>
      <c r="CG760">
        <v>0</v>
      </c>
      <c r="CH760" s="18">
        <v>0</v>
      </c>
      <c r="CI760">
        <v>0</v>
      </c>
      <c r="CJ760">
        <v>0</v>
      </c>
      <c r="CK760">
        <v>1</v>
      </c>
      <c r="CL760">
        <v>0</v>
      </c>
      <c r="CM760">
        <v>0</v>
      </c>
      <c r="CN760">
        <v>0</v>
      </c>
      <c r="CO760">
        <v>1</v>
      </c>
      <c r="CP760">
        <v>1</v>
      </c>
      <c r="CQ760">
        <v>1</v>
      </c>
      <c r="CR76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508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>
        <v>1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s="18">
        <v>0</v>
      </c>
      <c r="BZ761">
        <v>0</v>
      </c>
      <c r="CA761">
        <v>0</v>
      </c>
      <c r="CB761">
        <v>1</v>
      </c>
      <c r="CC761" s="18">
        <v>0</v>
      </c>
      <c r="CD761">
        <v>0</v>
      </c>
      <c r="CE761">
        <v>0</v>
      </c>
      <c r="CF761">
        <v>0</v>
      </c>
      <c r="CG761">
        <v>0</v>
      </c>
      <c r="CH761" s="18">
        <v>0</v>
      </c>
      <c r="CI761">
        <v>0</v>
      </c>
      <c r="CJ761">
        <v>0</v>
      </c>
      <c r="CK761">
        <v>1</v>
      </c>
      <c r="CL761">
        <v>0</v>
      </c>
      <c r="CM761">
        <v>0</v>
      </c>
      <c r="CN761">
        <v>0</v>
      </c>
      <c r="CO761">
        <v>1</v>
      </c>
      <c r="CP761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508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>
        <v>1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s="18">
        <v>0</v>
      </c>
      <c r="BZ762">
        <v>0</v>
      </c>
      <c r="CA762">
        <v>0</v>
      </c>
      <c r="CB762">
        <v>1</v>
      </c>
      <c r="CC762" s="18">
        <v>0</v>
      </c>
      <c r="CD762">
        <v>0</v>
      </c>
      <c r="CE762">
        <v>0</v>
      </c>
      <c r="CF762">
        <v>0</v>
      </c>
      <c r="CG762">
        <v>0</v>
      </c>
      <c r="CH762" s="18">
        <v>0</v>
      </c>
      <c r="CI762">
        <v>0</v>
      </c>
      <c r="CJ762">
        <v>0</v>
      </c>
      <c r="CK762">
        <v>1</v>
      </c>
      <c r="CL762">
        <v>0</v>
      </c>
      <c r="CM762">
        <v>0</v>
      </c>
      <c r="CN762">
        <v>0</v>
      </c>
      <c r="CO762">
        <v>1</v>
      </c>
      <c r="CP762">
        <v>1</v>
      </c>
      <c r="CQ762">
        <v>1</v>
      </c>
      <c r="CR762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508</v>
      </c>
      <c r="D763" s="12">
        <v>7.79</v>
      </c>
      <c r="E763" s="14">
        <v>0.03</v>
      </c>
      <c r="F763" s="7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>
        <v>1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s="18">
        <v>0</v>
      </c>
      <c r="BZ763">
        <v>0</v>
      </c>
      <c r="CA763">
        <v>0</v>
      </c>
      <c r="CB763">
        <v>1</v>
      </c>
      <c r="CC763" s="18">
        <v>0</v>
      </c>
      <c r="CD763">
        <v>0</v>
      </c>
      <c r="CE763">
        <v>0</v>
      </c>
      <c r="CF763">
        <v>0</v>
      </c>
      <c r="CG763">
        <v>0</v>
      </c>
      <c r="CH763" s="18">
        <v>0</v>
      </c>
      <c r="CI763">
        <v>0</v>
      </c>
      <c r="CJ763">
        <v>0</v>
      </c>
      <c r="CK763">
        <v>1</v>
      </c>
      <c r="CL763">
        <v>0</v>
      </c>
      <c r="CM763">
        <v>0</v>
      </c>
      <c r="CN763">
        <v>0</v>
      </c>
      <c r="CO763">
        <v>1</v>
      </c>
      <c r="CP763">
        <v>0</v>
      </c>
      <c r="CQ763">
        <v>0</v>
      </c>
      <c r="CR763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508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>
        <v>1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s="18">
        <v>0</v>
      </c>
      <c r="BZ764">
        <v>0</v>
      </c>
      <c r="CA764">
        <v>0</v>
      </c>
      <c r="CB764">
        <v>1</v>
      </c>
      <c r="CC764" s="18">
        <v>0</v>
      </c>
      <c r="CD764">
        <v>0</v>
      </c>
      <c r="CE764">
        <v>0</v>
      </c>
      <c r="CF764">
        <v>0</v>
      </c>
      <c r="CG764">
        <v>0</v>
      </c>
      <c r="CH764" s="18">
        <v>0</v>
      </c>
      <c r="CI764">
        <v>0</v>
      </c>
      <c r="CJ764">
        <v>0</v>
      </c>
      <c r="CK764">
        <v>1</v>
      </c>
      <c r="CL764">
        <v>0</v>
      </c>
      <c r="CM764">
        <v>0</v>
      </c>
      <c r="CN764">
        <v>0</v>
      </c>
      <c r="CO764">
        <v>1</v>
      </c>
      <c r="CP764">
        <v>1</v>
      </c>
      <c r="CQ764">
        <v>0</v>
      </c>
      <c r="CR764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508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>
        <v>1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s="18">
        <v>0</v>
      </c>
      <c r="BZ765">
        <v>0</v>
      </c>
      <c r="CA765">
        <v>0</v>
      </c>
      <c r="CB765">
        <v>1</v>
      </c>
      <c r="CC765" s="18">
        <v>0</v>
      </c>
      <c r="CD765">
        <v>0</v>
      </c>
      <c r="CE765">
        <v>0</v>
      </c>
      <c r="CF765">
        <v>0</v>
      </c>
      <c r="CG765">
        <v>0</v>
      </c>
      <c r="CH765" s="18">
        <v>0</v>
      </c>
      <c r="CI765">
        <v>0</v>
      </c>
      <c r="CJ765">
        <v>0</v>
      </c>
      <c r="CK765">
        <v>1</v>
      </c>
      <c r="CL765">
        <v>0</v>
      </c>
      <c r="CM765">
        <v>0</v>
      </c>
      <c r="CN765">
        <v>0</v>
      </c>
      <c r="CO765">
        <v>1</v>
      </c>
      <c r="CP765">
        <v>1</v>
      </c>
      <c r="CQ765">
        <v>1</v>
      </c>
      <c r="CR765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508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>
        <v>1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s="18">
        <v>0</v>
      </c>
      <c r="BZ766">
        <v>0</v>
      </c>
      <c r="CA766">
        <v>0</v>
      </c>
      <c r="CB766">
        <v>1</v>
      </c>
      <c r="CC766" s="18">
        <v>0</v>
      </c>
      <c r="CD766">
        <v>0</v>
      </c>
      <c r="CE766">
        <v>0</v>
      </c>
      <c r="CF766">
        <v>0</v>
      </c>
      <c r="CG766">
        <v>0</v>
      </c>
      <c r="CH766" s="18">
        <v>0</v>
      </c>
      <c r="CI766">
        <v>0</v>
      </c>
      <c r="CJ766">
        <v>0</v>
      </c>
      <c r="CK766">
        <v>1</v>
      </c>
      <c r="CL766">
        <v>0</v>
      </c>
      <c r="CM766">
        <v>0</v>
      </c>
      <c r="CN766">
        <v>0</v>
      </c>
      <c r="CO766">
        <v>1</v>
      </c>
      <c r="CP766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508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>
        <v>1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s="18">
        <v>0</v>
      </c>
      <c r="BZ767">
        <v>0</v>
      </c>
      <c r="CA767">
        <v>0</v>
      </c>
      <c r="CB767">
        <v>1</v>
      </c>
      <c r="CC767" s="18">
        <v>0</v>
      </c>
      <c r="CD767">
        <v>0</v>
      </c>
      <c r="CE767">
        <v>0</v>
      </c>
      <c r="CF767">
        <v>0</v>
      </c>
      <c r="CG767">
        <v>0</v>
      </c>
      <c r="CH767" s="18">
        <v>0</v>
      </c>
      <c r="CI767">
        <v>0</v>
      </c>
      <c r="CJ767">
        <v>0</v>
      </c>
      <c r="CK767">
        <v>1</v>
      </c>
      <c r="CL767">
        <v>0</v>
      </c>
      <c r="CM767">
        <v>0</v>
      </c>
      <c r="CN767">
        <v>0</v>
      </c>
      <c r="CO767">
        <v>1</v>
      </c>
      <c r="CP767">
        <v>1</v>
      </c>
      <c r="CQ767">
        <v>1</v>
      </c>
      <c r="CR767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508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>
        <v>1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s="18">
        <v>0</v>
      </c>
      <c r="BZ768">
        <v>0</v>
      </c>
      <c r="CA768">
        <v>0</v>
      </c>
      <c r="CB768">
        <v>1</v>
      </c>
      <c r="CC768" s="18">
        <v>0</v>
      </c>
      <c r="CD768">
        <v>0</v>
      </c>
      <c r="CE768">
        <v>0</v>
      </c>
      <c r="CF768">
        <v>0</v>
      </c>
      <c r="CG768">
        <v>0</v>
      </c>
      <c r="CH768" s="18">
        <v>0</v>
      </c>
      <c r="CI768">
        <v>0</v>
      </c>
      <c r="CJ768">
        <v>0</v>
      </c>
      <c r="CK768">
        <v>1</v>
      </c>
      <c r="CL768">
        <v>0</v>
      </c>
      <c r="CM768">
        <v>0</v>
      </c>
      <c r="CN768">
        <v>0</v>
      </c>
      <c r="CO768">
        <v>1</v>
      </c>
      <c r="CP768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508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53">
        <v>1</v>
      </c>
      <c r="BS769" s="153">
        <v>0</v>
      </c>
      <c r="BT769" s="153">
        <v>0</v>
      </c>
      <c r="BU769" s="153">
        <v>0</v>
      </c>
      <c r="BV769" s="153">
        <v>0</v>
      </c>
      <c r="BW769" s="153">
        <v>0</v>
      </c>
      <c r="BX769" s="153">
        <v>0</v>
      </c>
      <c r="BY769" s="168">
        <v>0</v>
      </c>
      <c r="BZ769" s="153">
        <v>0</v>
      </c>
      <c r="CA769" s="153">
        <v>0</v>
      </c>
      <c r="CB769" s="153">
        <v>1</v>
      </c>
      <c r="CC769" s="168">
        <v>0</v>
      </c>
      <c r="CD769" s="153">
        <v>0</v>
      </c>
      <c r="CE769" s="153">
        <v>0</v>
      </c>
      <c r="CF769" s="153">
        <v>0</v>
      </c>
      <c r="CG769" s="153">
        <v>0</v>
      </c>
      <c r="CH769" s="168">
        <v>0</v>
      </c>
      <c r="CI769" s="153">
        <v>0</v>
      </c>
      <c r="CJ769" s="153">
        <v>0</v>
      </c>
      <c r="CK769" s="153">
        <v>1</v>
      </c>
      <c r="CL769" s="153">
        <v>0</v>
      </c>
      <c r="CM769" s="153">
        <v>0</v>
      </c>
      <c r="CN769" s="153">
        <v>0</v>
      </c>
      <c r="CO769" s="153">
        <v>1</v>
      </c>
      <c r="CP769" s="153">
        <v>1</v>
      </c>
      <c r="CQ769" s="153">
        <v>1</v>
      </c>
      <c r="CR769" s="153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>
        <v>47</v>
      </c>
      <c r="C770" s="25" t="s">
        <v>509</v>
      </c>
      <c r="D770" s="12">
        <v>8.5</v>
      </c>
      <c r="E770" s="14">
        <v>1.6</v>
      </c>
      <c r="F770" s="7">
        <f>D770/E770</f>
        <v>5.3125</v>
      </c>
      <c r="G770" s="7">
        <f t="shared" si="542"/>
        <v>6.9</v>
      </c>
      <c r="H770" s="16">
        <f t="shared" si="543"/>
        <v>10.1</v>
      </c>
      <c r="I770" s="11">
        <f t="shared" ref="I770:I784" si="553">IFERROR(F770/SQRT(F770^2+W770), "X")</f>
        <v>0.3708397595494462</v>
      </c>
      <c r="J770" s="33">
        <f t="shared" ref="J770:J784" si="554">IFERROR(SQRT((1-I770^2)/W770), "X")</f>
        <v>6.9805131209307508E-2</v>
      </c>
      <c r="K770" s="33">
        <f t="shared" ref="K770:K784" si="555">IFERROR(1/J770, "X")</f>
        <v>14.325594446653865</v>
      </c>
      <c r="L770" s="33">
        <f t="shared" ref="L770:L784" si="556">IFERROR(I770-J770, "X")</f>
        <v>0.30103462834013872</v>
      </c>
      <c r="M770" s="33">
        <f t="shared" ref="M770:M784" si="557">IFERROR(I770+J770, "X")</f>
        <v>0.44064489075875368</v>
      </c>
      <c r="N770" s="8">
        <v>1</v>
      </c>
      <c r="O770" s="9">
        <v>0</v>
      </c>
      <c r="P770" s="8">
        <v>1</v>
      </c>
      <c r="Q770" s="9">
        <v>0</v>
      </c>
      <c r="R770" s="9">
        <v>0</v>
      </c>
      <c r="S770" s="9">
        <v>0</v>
      </c>
      <c r="T770" s="9">
        <v>0</v>
      </c>
      <c r="U770" s="8">
        <v>180</v>
      </c>
      <c r="V770" s="9">
        <v>2</v>
      </c>
      <c r="W770" s="9">
        <f t="shared" si="549"/>
        <v>177</v>
      </c>
      <c r="X770" s="9">
        <f t="shared" si="527"/>
        <v>14</v>
      </c>
      <c r="Y770" s="7">
        <v>7.8</v>
      </c>
      <c r="Z770" s="7">
        <f>BQ770-Y770-7</f>
        <v>19.059999999999999</v>
      </c>
      <c r="AA770" s="9">
        <v>1</v>
      </c>
      <c r="AB770" s="9">
        <v>0</v>
      </c>
      <c r="AC770" s="9">
        <v>0</v>
      </c>
      <c r="AD770" s="9">
        <v>1</v>
      </c>
      <c r="AE770" s="9">
        <v>0</v>
      </c>
      <c r="AF770" s="9">
        <v>0</v>
      </c>
      <c r="AG770" s="8">
        <v>0</v>
      </c>
      <c r="AH770" s="9">
        <v>0</v>
      </c>
      <c r="AI770" s="30">
        <v>1</v>
      </c>
      <c r="AJ770" s="9">
        <v>1</v>
      </c>
      <c r="AK770" s="30">
        <v>0</v>
      </c>
      <c r="AL770" s="21">
        <v>1960</v>
      </c>
      <c r="AM770" s="23">
        <f t="shared" si="528"/>
        <v>7.5806997522245627</v>
      </c>
      <c r="AN770" s="33" t="s">
        <v>106</v>
      </c>
      <c r="AO770" s="33" t="s">
        <v>106</v>
      </c>
      <c r="AP770" s="33" t="s">
        <v>106</v>
      </c>
      <c r="AQ770" s="43" t="s">
        <v>106</v>
      </c>
      <c r="AR770" s="33" t="s">
        <v>106</v>
      </c>
      <c r="AS770" s="43" t="s">
        <v>106</v>
      </c>
      <c r="AT770" s="42">
        <f>1-AU770</f>
        <v>0.66999999999999993</v>
      </c>
      <c r="AU770" s="18">
        <v>0.33</v>
      </c>
      <c r="AV770">
        <v>1</v>
      </c>
      <c r="AW770" s="40">
        <v>0</v>
      </c>
      <c r="AX770" t="s">
        <v>106</v>
      </c>
      <c r="AY770" s="40" t="s">
        <v>106</v>
      </c>
      <c r="BA770" s="18"/>
      <c r="BB770">
        <v>0</v>
      </c>
      <c r="BC770" s="18">
        <v>1</v>
      </c>
      <c r="BD770" s="18" t="s">
        <v>510</v>
      </c>
      <c r="BK770" s="18"/>
      <c r="BN770" s="18"/>
      <c r="BQ770" s="25">
        <v>33.86</v>
      </c>
      <c r="BR770">
        <v>1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s="18">
        <v>0</v>
      </c>
      <c r="BZ770">
        <v>0</v>
      </c>
      <c r="CA770">
        <v>0</v>
      </c>
      <c r="CB770">
        <v>1</v>
      </c>
      <c r="CC770" s="18">
        <v>0</v>
      </c>
      <c r="CD770">
        <v>0</v>
      </c>
      <c r="CE770">
        <v>0</v>
      </c>
      <c r="CF770">
        <v>0</v>
      </c>
      <c r="CG770">
        <v>0</v>
      </c>
      <c r="CH770" s="18">
        <v>0</v>
      </c>
      <c r="CI770">
        <v>0</v>
      </c>
      <c r="CJ770">
        <v>0</v>
      </c>
      <c r="CK770">
        <v>1</v>
      </c>
      <c r="CL770">
        <v>0</v>
      </c>
      <c r="CM770">
        <v>1</v>
      </c>
      <c r="CN770">
        <v>0</v>
      </c>
      <c r="CO770">
        <v>0</v>
      </c>
      <c r="CP770">
        <v>0</v>
      </c>
      <c r="CQ770">
        <v>0</v>
      </c>
      <c r="CR770">
        <v>0</v>
      </c>
      <c r="CS770" s="18">
        <v>1</v>
      </c>
      <c r="DD770" s="34" t="s">
        <v>86</v>
      </c>
    </row>
    <row r="771" spans="1:108" x14ac:dyDescent="0.25">
      <c r="A771">
        <v>770</v>
      </c>
      <c r="B771">
        <v>47</v>
      </c>
      <c r="C771" s="25" t="s">
        <v>509</v>
      </c>
      <c r="D771" s="12">
        <v>8.1</v>
      </c>
      <c r="E771" s="14">
        <v>1.7</v>
      </c>
      <c r="F771" s="7">
        <f t="shared" ref="F771:F821" si="558">D771/E771</f>
        <v>4.7647058823529411</v>
      </c>
      <c r="G771" s="7">
        <f t="shared" si="542"/>
        <v>6.3999999999999995</v>
      </c>
      <c r="H771" s="16">
        <f t="shared" si="543"/>
        <v>9.7999999999999989</v>
      </c>
      <c r="I771" s="11">
        <f t="shared" si="553"/>
        <v>0.34323574598937379</v>
      </c>
      <c r="J771" s="33">
        <f t="shared" si="554"/>
        <v>7.2037131874313015E-2</v>
      </c>
      <c r="K771" s="33">
        <f t="shared" si="555"/>
        <v>13.881729796582585</v>
      </c>
      <c r="L771" s="33">
        <f t="shared" si="556"/>
        <v>0.27119861411506074</v>
      </c>
      <c r="M771" s="33">
        <f t="shared" si="557"/>
        <v>0.41527287786368683</v>
      </c>
      <c r="N771" s="8">
        <v>1</v>
      </c>
      <c r="O771" s="9">
        <v>0</v>
      </c>
      <c r="P771" s="8">
        <v>1</v>
      </c>
      <c r="Q771" s="9">
        <v>0</v>
      </c>
      <c r="R771" s="9">
        <v>0</v>
      </c>
      <c r="S771" s="9">
        <v>0</v>
      </c>
      <c r="T771" s="9">
        <v>0</v>
      </c>
      <c r="U771" s="8">
        <v>180</v>
      </c>
      <c r="V771" s="9">
        <v>9</v>
      </c>
      <c r="W771" s="9">
        <f t="shared" si="549"/>
        <v>170</v>
      </c>
      <c r="X771" s="9">
        <f t="shared" ref="X771:X834" si="559">COUNTIF(B:B,B771)</f>
        <v>14</v>
      </c>
      <c r="Y771" s="7">
        <v>7.8</v>
      </c>
      <c r="Z771" s="7">
        <f t="shared" ref="Z771:Z783" si="560">BQ771-Y771-7</f>
        <v>19.059999999999999</v>
      </c>
      <c r="AA771" s="9">
        <v>1</v>
      </c>
      <c r="AB771" s="9">
        <v>0</v>
      </c>
      <c r="AC771" s="9">
        <v>0</v>
      </c>
      <c r="AD771" s="9">
        <v>1</v>
      </c>
      <c r="AE771" s="9">
        <v>0</v>
      </c>
      <c r="AF771" s="9">
        <v>0</v>
      </c>
      <c r="AG771" s="8">
        <v>0</v>
      </c>
      <c r="AH771" s="9">
        <v>0</v>
      </c>
      <c r="AI771" s="30">
        <v>1</v>
      </c>
      <c r="AJ771" s="9">
        <v>1</v>
      </c>
      <c r="AK771" s="30">
        <v>0</v>
      </c>
      <c r="AL771" s="21">
        <v>1960</v>
      </c>
      <c r="AM771" s="23">
        <f t="shared" ref="AM771:AM834" si="561">LN(AL771)</f>
        <v>7.5806997522245627</v>
      </c>
      <c r="AN771" s="33" t="s">
        <v>106</v>
      </c>
      <c r="AO771" s="33" t="s">
        <v>106</v>
      </c>
      <c r="AP771" s="33" t="s">
        <v>106</v>
      </c>
      <c r="AQ771" s="43" t="s">
        <v>106</v>
      </c>
      <c r="AR771" s="33" t="s">
        <v>106</v>
      </c>
      <c r="AS771" s="43" t="s">
        <v>106</v>
      </c>
      <c r="AT771" s="42">
        <f t="shared" ref="AT771:AT783" si="562">1-AU771</f>
        <v>0.66999999999999993</v>
      </c>
      <c r="AU771" s="18">
        <v>0.33</v>
      </c>
      <c r="AV771">
        <v>1</v>
      </c>
      <c r="AW771" s="40">
        <v>0</v>
      </c>
      <c r="AX771" t="s">
        <v>106</v>
      </c>
      <c r="AY771" s="40" t="s">
        <v>106</v>
      </c>
      <c r="BA771" s="18"/>
      <c r="BB771">
        <v>0</v>
      </c>
      <c r="BC771" s="18">
        <v>1</v>
      </c>
      <c r="BD771" s="18" t="s">
        <v>510</v>
      </c>
      <c r="BK771" s="18"/>
      <c r="BN771" s="18"/>
      <c r="BQ771" s="25">
        <v>33.86</v>
      </c>
      <c r="BR771">
        <v>1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s="18">
        <v>0</v>
      </c>
      <c r="BZ771">
        <v>0</v>
      </c>
      <c r="CA771">
        <v>0</v>
      </c>
      <c r="CB771">
        <v>1</v>
      </c>
      <c r="CC771" s="18">
        <v>0</v>
      </c>
      <c r="CD771">
        <v>0</v>
      </c>
      <c r="CE771">
        <v>0</v>
      </c>
      <c r="CF771">
        <v>0</v>
      </c>
      <c r="CG771">
        <v>0</v>
      </c>
      <c r="CH771" s="18">
        <v>0</v>
      </c>
      <c r="CI771">
        <v>0</v>
      </c>
      <c r="CJ771">
        <v>0</v>
      </c>
      <c r="CK771">
        <v>1</v>
      </c>
      <c r="CL771">
        <v>0</v>
      </c>
      <c r="CM771">
        <v>1</v>
      </c>
      <c r="CN771">
        <v>0</v>
      </c>
      <c r="CO771">
        <v>0</v>
      </c>
      <c r="CP771">
        <v>0</v>
      </c>
      <c r="CQ771">
        <v>0</v>
      </c>
      <c r="CR771">
        <v>0</v>
      </c>
      <c r="CS771" s="18">
        <v>1</v>
      </c>
      <c r="DD771" s="34" t="s">
        <v>86</v>
      </c>
    </row>
    <row r="772" spans="1:108" x14ac:dyDescent="0.25">
      <c r="A772">
        <v>771</v>
      </c>
      <c r="B772">
        <v>47</v>
      </c>
      <c r="C772" s="25" t="s">
        <v>509</v>
      </c>
      <c r="D772" s="12">
        <v>7.3</v>
      </c>
      <c r="E772" s="14">
        <v>1.6</v>
      </c>
      <c r="F772" s="7">
        <f t="shared" si="558"/>
        <v>4.5625</v>
      </c>
      <c r="G772" s="7">
        <f t="shared" si="542"/>
        <v>5.6999999999999993</v>
      </c>
      <c r="H772" s="16">
        <f t="shared" si="543"/>
        <v>8.9</v>
      </c>
      <c r="I772" s="11">
        <f t="shared" si="553"/>
        <v>0.33115857421468636</v>
      </c>
      <c r="J772" s="33">
        <f t="shared" si="554"/>
        <v>7.2582701197739477E-2</v>
      </c>
      <c r="K772" s="33">
        <f t="shared" si="555"/>
        <v>13.777387497272478</v>
      </c>
      <c r="L772" s="33">
        <f t="shared" si="556"/>
        <v>0.2585758730169469</v>
      </c>
      <c r="M772" s="33">
        <f t="shared" si="557"/>
        <v>0.40374127541242583</v>
      </c>
      <c r="N772" s="8">
        <v>1</v>
      </c>
      <c r="O772" s="9">
        <v>0</v>
      </c>
      <c r="P772" s="8">
        <v>1</v>
      </c>
      <c r="Q772" s="9">
        <v>0</v>
      </c>
      <c r="R772" s="9">
        <v>0</v>
      </c>
      <c r="S772" s="9">
        <v>0</v>
      </c>
      <c r="T772" s="9">
        <v>0</v>
      </c>
      <c r="U772" s="8">
        <v>180</v>
      </c>
      <c r="V772" s="9">
        <v>10</v>
      </c>
      <c r="W772" s="9">
        <f t="shared" si="549"/>
        <v>169</v>
      </c>
      <c r="X772" s="9">
        <f t="shared" si="559"/>
        <v>14</v>
      </c>
      <c r="Y772" s="7">
        <v>7.8</v>
      </c>
      <c r="Z772" s="7">
        <f t="shared" si="560"/>
        <v>19.059999999999999</v>
      </c>
      <c r="AA772" s="9">
        <v>1</v>
      </c>
      <c r="AB772" s="9">
        <v>0</v>
      </c>
      <c r="AC772" s="9">
        <v>0</v>
      </c>
      <c r="AD772" s="9">
        <v>1</v>
      </c>
      <c r="AE772" s="9">
        <v>0</v>
      </c>
      <c r="AF772" s="9">
        <v>0</v>
      </c>
      <c r="AG772" s="8">
        <v>0</v>
      </c>
      <c r="AH772" s="9">
        <v>0</v>
      </c>
      <c r="AI772" s="30">
        <v>1</v>
      </c>
      <c r="AJ772" s="9">
        <v>1</v>
      </c>
      <c r="AK772" s="30">
        <v>0</v>
      </c>
      <c r="AL772" s="21">
        <v>1960</v>
      </c>
      <c r="AM772" s="23">
        <f t="shared" si="561"/>
        <v>7.5806997522245627</v>
      </c>
      <c r="AN772" s="33" t="s">
        <v>106</v>
      </c>
      <c r="AO772" s="33" t="s">
        <v>106</v>
      </c>
      <c r="AP772" s="33" t="s">
        <v>106</v>
      </c>
      <c r="AQ772" s="43" t="s">
        <v>106</v>
      </c>
      <c r="AR772" s="33" t="s">
        <v>106</v>
      </c>
      <c r="AS772" s="43" t="s">
        <v>106</v>
      </c>
      <c r="AT772" s="42">
        <f t="shared" si="562"/>
        <v>0.66999999999999993</v>
      </c>
      <c r="AU772" s="18">
        <v>0.33</v>
      </c>
      <c r="AV772">
        <v>1</v>
      </c>
      <c r="AW772" s="40">
        <v>0</v>
      </c>
      <c r="AX772" t="s">
        <v>106</v>
      </c>
      <c r="AY772" s="40" t="s">
        <v>106</v>
      </c>
      <c r="BA772" s="18"/>
      <c r="BB772">
        <v>0</v>
      </c>
      <c r="BC772" s="18">
        <v>1</v>
      </c>
      <c r="BD772" s="18" t="s">
        <v>510</v>
      </c>
      <c r="BK772" s="18"/>
      <c r="BN772" s="18"/>
      <c r="BQ772" s="25">
        <v>33.86</v>
      </c>
      <c r="BR772">
        <v>1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s="18">
        <v>0</v>
      </c>
      <c r="BZ772">
        <v>0</v>
      </c>
      <c r="CA772">
        <v>0</v>
      </c>
      <c r="CB772">
        <v>1</v>
      </c>
      <c r="CC772" s="18">
        <v>0</v>
      </c>
      <c r="CD772">
        <v>0</v>
      </c>
      <c r="CE772">
        <v>0</v>
      </c>
      <c r="CF772">
        <v>0</v>
      </c>
      <c r="CG772">
        <v>0</v>
      </c>
      <c r="CH772" s="18">
        <v>0</v>
      </c>
      <c r="CI772">
        <v>0</v>
      </c>
      <c r="CJ772">
        <v>0</v>
      </c>
      <c r="CK772">
        <v>1</v>
      </c>
      <c r="CL772">
        <v>0</v>
      </c>
      <c r="CM772">
        <v>1</v>
      </c>
      <c r="CN772">
        <v>0</v>
      </c>
      <c r="CO772">
        <v>0</v>
      </c>
      <c r="CP772">
        <v>0</v>
      </c>
      <c r="CQ772">
        <v>0</v>
      </c>
      <c r="CR772">
        <v>0</v>
      </c>
      <c r="CS772" s="18">
        <v>1</v>
      </c>
      <c r="DD772" s="34" t="s">
        <v>86</v>
      </c>
    </row>
    <row r="773" spans="1:108" x14ac:dyDescent="0.25">
      <c r="A773">
        <v>772</v>
      </c>
      <c r="B773">
        <v>47</v>
      </c>
      <c r="C773" s="25" t="s">
        <v>509</v>
      </c>
      <c r="D773" s="12">
        <v>7.4</v>
      </c>
      <c r="E773" s="14">
        <v>2</v>
      </c>
      <c r="F773" s="7">
        <f t="shared" si="558"/>
        <v>3.7</v>
      </c>
      <c r="G773" s="7">
        <f t="shared" si="542"/>
        <v>5.4</v>
      </c>
      <c r="H773" s="16">
        <f t="shared" si="543"/>
        <v>9.4</v>
      </c>
      <c r="I773" s="11">
        <f t="shared" si="553"/>
        <v>0.27374382805481862</v>
      </c>
      <c r="J773" s="33">
        <f t="shared" si="554"/>
        <v>7.3984818393194207E-2</v>
      </c>
      <c r="K773" s="33">
        <f t="shared" si="555"/>
        <v>13.516286472252652</v>
      </c>
      <c r="L773" s="33">
        <f t="shared" si="556"/>
        <v>0.19975900966162441</v>
      </c>
      <c r="M773" s="33">
        <f t="shared" si="557"/>
        <v>0.34772864644801282</v>
      </c>
      <c r="N773" s="8">
        <v>1</v>
      </c>
      <c r="O773" s="9">
        <v>0</v>
      </c>
      <c r="P773" s="8">
        <v>1</v>
      </c>
      <c r="Q773" s="9">
        <v>0</v>
      </c>
      <c r="R773" s="9">
        <v>0</v>
      </c>
      <c r="S773" s="9">
        <v>0</v>
      </c>
      <c r="T773" s="9">
        <v>0</v>
      </c>
      <c r="U773" s="8">
        <v>180</v>
      </c>
      <c r="V773" s="9">
        <v>10</v>
      </c>
      <c r="W773" s="9">
        <f t="shared" si="549"/>
        <v>169</v>
      </c>
      <c r="X773" s="9">
        <f t="shared" si="559"/>
        <v>14</v>
      </c>
      <c r="Y773" s="7">
        <v>7.8</v>
      </c>
      <c r="Z773" s="7">
        <f t="shared" si="560"/>
        <v>19.059999999999999</v>
      </c>
      <c r="AA773" s="9">
        <v>1</v>
      </c>
      <c r="AB773" s="9">
        <v>0</v>
      </c>
      <c r="AC773" s="9">
        <v>0</v>
      </c>
      <c r="AD773" s="9">
        <v>1</v>
      </c>
      <c r="AE773" s="9">
        <v>0</v>
      </c>
      <c r="AF773" s="9">
        <v>0</v>
      </c>
      <c r="AG773" s="8">
        <v>0</v>
      </c>
      <c r="AH773" s="9">
        <v>0</v>
      </c>
      <c r="AI773" s="30">
        <v>1</v>
      </c>
      <c r="AJ773" s="9">
        <v>1</v>
      </c>
      <c r="AK773" s="30">
        <v>0</v>
      </c>
      <c r="AL773" s="21">
        <v>1960</v>
      </c>
      <c r="AM773" s="23">
        <f t="shared" si="561"/>
        <v>7.5806997522245627</v>
      </c>
      <c r="AN773" s="33" t="s">
        <v>106</v>
      </c>
      <c r="AO773" s="33" t="s">
        <v>106</v>
      </c>
      <c r="AP773" s="33" t="s">
        <v>106</v>
      </c>
      <c r="AQ773" s="43" t="s">
        <v>106</v>
      </c>
      <c r="AR773" s="33" t="s">
        <v>106</v>
      </c>
      <c r="AS773" s="43" t="s">
        <v>106</v>
      </c>
      <c r="AT773" s="42">
        <f t="shared" si="562"/>
        <v>0.66999999999999993</v>
      </c>
      <c r="AU773" s="18">
        <v>0.33</v>
      </c>
      <c r="AV773">
        <v>1</v>
      </c>
      <c r="AW773" s="40">
        <v>0</v>
      </c>
      <c r="AX773" t="s">
        <v>106</v>
      </c>
      <c r="AY773" s="40" t="s">
        <v>106</v>
      </c>
      <c r="BA773" s="18"/>
      <c r="BB773">
        <v>0</v>
      </c>
      <c r="BC773" s="18">
        <v>1</v>
      </c>
      <c r="BD773" s="18" t="s">
        <v>510</v>
      </c>
      <c r="BK773" s="18"/>
      <c r="BN773" s="18"/>
      <c r="BQ773" s="25">
        <v>33.86</v>
      </c>
      <c r="BR773">
        <v>1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s="18">
        <v>0</v>
      </c>
      <c r="BZ773">
        <v>0</v>
      </c>
      <c r="CA773">
        <v>0</v>
      </c>
      <c r="CB773">
        <v>1</v>
      </c>
      <c r="CC773" s="18">
        <v>0</v>
      </c>
      <c r="CD773">
        <v>0</v>
      </c>
      <c r="CE773">
        <v>0</v>
      </c>
      <c r="CF773">
        <v>0</v>
      </c>
      <c r="CG773">
        <v>0</v>
      </c>
      <c r="CH773" s="18">
        <v>0</v>
      </c>
      <c r="CI773">
        <v>0</v>
      </c>
      <c r="CJ773">
        <v>0</v>
      </c>
      <c r="CK773">
        <v>1</v>
      </c>
      <c r="CL773">
        <v>0</v>
      </c>
      <c r="CM773">
        <v>1</v>
      </c>
      <c r="CN773">
        <v>0</v>
      </c>
      <c r="CO773">
        <v>0</v>
      </c>
      <c r="CP773">
        <v>0</v>
      </c>
      <c r="CQ773">
        <v>0</v>
      </c>
      <c r="CR773">
        <v>0</v>
      </c>
      <c r="CS773" s="18">
        <v>1</v>
      </c>
      <c r="DD773" s="34" t="s">
        <v>86</v>
      </c>
    </row>
    <row r="774" spans="1:108" x14ac:dyDescent="0.25">
      <c r="A774">
        <v>773</v>
      </c>
      <c r="B774">
        <v>47</v>
      </c>
      <c r="C774" s="25" t="s">
        <v>509</v>
      </c>
      <c r="D774" s="12">
        <v>10.199999999999999</v>
      </c>
      <c r="E774" s="14">
        <v>0.8</v>
      </c>
      <c r="F774" s="7">
        <f t="shared" si="558"/>
        <v>12.749999999999998</v>
      </c>
      <c r="G774" s="7">
        <f t="shared" si="542"/>
        <v>9.3999999999999986</v>
      </c>
      <c r="H774" s="16">
        <f t="shared" si="543"/>
        <v>11</v>
      </c>
      <c r="I774" s="11">
        <f t="shared" si="553"/>
        <v>0.32484076433121012</v>
      </c>
      <c r="J774" s="33">
        <f t="shared" si="554"/>
        <v>2.5477707006369425E-2</v>
      </c>
      <c r="K774" s="33">
        <f t="shared" si="555"/>
        <v>39.25</v>
      </c>
      <c r="L774" s="33">
        <f t="shared" si="556"/>
        <v>0.2993630573248407</v>
      </c>
      <c r="M774" s="33">
        <f t="shared" si="557"/>
        <v>0.35031847133757954</v>
      </c>
      <c r="N774" s="8">
        <v>1</v>
      </c>
      <c r="O774" s="9">
        <v>0</v>
      </c>
      <c r="P774" s="8">
        <v>1</v>
      </c>
      <c r="Q774" s="9">
        <v>0</v>
      </c>
      <c r="R774" s="9">
        <v>0</v>
      </c>
      <c r="S774" s="9">
        <v>0</v>
      </c>
      <c r="T774" s="9">
        <v>0</v>
      </c>
      <c r="U774" s="8">
        <v>1381</v>
      </c>
      <c r="V774" s="9">
        <v>2</v>
      </c>
      <c r="W774" s="9">
        <f t="shared" si="549"/>
        <v>1378</v>
      </c>
      <c r="X774" s="9">
        <f t="shared" si="559"/>
        <v>14</v>
      </c>
      <c r="Y774" s="7">
        <v>8.75</v>
      </c>
      <c r="Z774" s="7">
        <f t="shared" si="560"/>
        <v>18.43</v>
      </c>
      <c r="AA774" s="9">
        <v>1</v>
      </c>
      <c r="AB774" s="9">
        <v>0</v>
      </c>
      <c r="AC774" s="9">
        <v>0</v>
      </c>
      <c r="AD774" s="9">
        <v>1</v>
      </c>
      <c r="AE774" s="9">
        <v>0</v>
      </c>
      <c r="AF774" s="9">
        <v>0</v>
      </c>
      <c r="AG774" s="8">
        <v>0</v>
      </c>
      <c r="AH774" s="9">
        <v>0</v>
      </c>
      <c r="AI774" s="30">
        <v>1</v>
      </c>
      <c r="AJ774" s="9">
        <v>1</v>
      </c>
      <c r="AK774" s="30">
        <v>0</v>
      </c>
      <c r="AL774" s="21">
        <v>1960</v>
      </c>
      <c r="AM774" s="23">
        <f t="shared" si="561"/>
        <v>7.5806997522245627</v>
      </c>
      <c r="AN774" s="33" t="s">
        <v>106</v>
      </c>
      <c r="AO774" s="33" t="s">
        <v>106</v>
      </c>
      <c r="AP774" s="33" t="s">
        <v>106</v>
      </c>
      <c r="AQ774" s="43" t="s">
        <v>106</v>
      </c>
      <c r="AR774" s="33" t="s">
        <v>106</v>
      </c>
      <c r="AS774" s="43" t="s">
        <v>106</v>
      </c>
      <c r="AT774" s="42">
        <f t="shared" si="562"/>
        <v>0.97</v>
      </c>
      <c r="AU774" s="18">
        <v>0.03</v>
      </c>
      <c r="AV774">
        <v>1</v>
      </c>
      <c r="AW774" s="40">
        <v>0</v>
      </c>
      <c r="AX774" t="s">
        <v>106</v>
      </c>
      <c r="AY774" s="40" t="s">
        <v>106</v>
      </c>
      <c r="BA774" s="18"/>
      <c r="BB774">
        <v>0</v>
      </c>
      <c r="BC774" s="18">
        <v>1</v>
      </c>
      <c r="BD774" s="18" t="s">
        <v>510</v>
      </c>
      <c r="BK774" s="18"/>
      <c r="BN774" s="18"/>
      <c r="BQ774" s="25">
        <v>34.18</v>
      </c>
      <c r="BR774">
        <v>1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s="18">
        <v>0</v>
      </c>
      <c r="BZ774">
        <v>0</v>
      </c>
      <c r="CA774">
        <v>0</v>
      </c>
      <c r="CB774">
        <v>1</v>
      </c>
      <c r="CC774" s="18">
        <v>0</v>
      </c>
      <c r="CD774">
        <v>0</v>
      </c>
      <c r="CE774">
        <v>0</v>
      </c>
      <c r="CF774">
        <v>0</v>
      </c>
      <c r="CG774">
        <v>0</v>
      </c>
      <c r="CH774" s="18">
        <v>0</v>
      </c>
      <c r="CI774">
        <v>0</v>
      </c>
      <c r="CJ774">
        <v>0</v>
      </c>
      <c r="CK774">
        <v>1</v>
      </c>
      <c r="CL774">
        <v>0</v>
      </c>
      <c r="CM774">
        <v>1</v>
      </c>
      <c r="CN774">
        <v>0</v>
      </c>
      <c r="CO774">
        <v>0</v>
      </c>
      <c r="CP774">
        <v>0</v>
      </c>
      <c r="CQ774">
        <v>0</v>
      </c>
      <c r="CR774">
        <v>0</v>
      </c>
      <c r="CS774" s="18">
        <v>1</v>
      </c>
      <c r="DD774" s="34" t="s">
        <v>86</v>
      </c>
    </row>
    <row r="775" spans="1:108" x14ac:dyDescent="0.25">
      <c r="A775">
        <v>774</v>
      </c>
      <c r="B775">
        <v>47</v>
      </c>
      <c r="C775" s="25" t="s">
        <v>509</v>
      </c>
      <c r="D775" s="12">
        <v>9.3000000000000007</v>
      </c>
      <c r="E775" s="14">
        <v>0.8</v>
      </c>
      <c r="F775" s="7">
        <f t="shared" si="558"/>
        <v>11.625</v>
      </c>
      <c r="G775" s="7">
        <f t="shared" si="542"/>
        <v>8.5</v>
      </c>
      <c r="H775" s="16">
        <f t="shared" si="543"/>
        <v>10.100000000000001</v>
      </c>
      <c r="I775" s="11">
        <f t="shared" si="553"/>
        <v>0.29954370702335192</v>
      </c>
      <c r="J775" s="33">
        <f t="shared" si="554"/>
        <v>2.5767200604159306E-2</v>
      </c>
      <c r="K775" s="33">
        <f t="shared" si="555"/>
        <v>38.80902762244888</v>
      </c>
      <c r="L775" s="33">
        <f t="shared" si="556"/>
        <v>0.2737765064191926</v>
      </c>
      <c r="M775" s="33">
        <f t="shared" si="557"/>
        <v>0.32531090762751125</v>
      </c>
      <c r="N775" s="8">
        <v>1</v>
      </c>
      <c r="O775" s="9">
        <v>0</v>
      </c>
      <c r="P775" s="8">
        <v>1</v>
      </c>
      <c r="Q775" s="9">
        <v>0</v>
      </c>
      <c r="R775" s="9">
        <v>0</v>
      </c>
      <c r="S775" s="9">
        <v>0</v>
      </c>
      <c r="T775" s="9">
        <v>0</v>
      </c>
      <c r="U775" s="8">
        <v>1381</v>
      </c>
      <c r="V775" s="9">
        <v>9</v>
      </c>
      <c r="W775" s="9">
        <f t="shared" si="549"/>
        <v>1371</v>
      </c>
      <c r="X775" s="9">
        <f t="shared" si="559"/>
        <v>14</v>
      </c>
      <c r="Y775" s="7">
        <v>8.75</v>
      </c>
      <c r="Z775" s="7">
        <f t="shared" si="560"/>
        <v>18.43</v>
      </c>
      <c r="AA775" s="9">
        <v>1</v>
      </c>
      <c r="AB775" s="9">
        <v>0</v>
      </c>
      <c r="AC775" s="9">
        <v>0</v>
      </c>
      <c r="AD775" s="9">
        <v>1</v>
      </c>
      <c r="AE775" s="9">
        <v>0</v>
      </c>
      <c r="AF775" s="9">
        <v>0</v>
      </c>
      <c r="AG775" s="8">
        <v>0</v>
      </c>
      <c r="AH775" s="9">
        <v>0</v>
      </c>
      <c r="AI775" s="30">
        <v>1</v>
      </c>
      <c r="AJ775" s="9">
        <v>1</v>
      </c>
      <c r="AK775" s="30">
        <v>0</v>
      </c>
      <c r="AL775" s="21">
        <v>1960</v>
      </c>
      <c r="AM775" s="23">
        <f t="shared" si="561"/>
        <v>7.5806997522245627</v>
      </c>
      <c r="AN775" s="33" t="s">
        <v>106</v>
      </c>
      <c r="AO775" s="33" t="s">
        <v>106</v>
      </c>
      <c r="AP775" s="33" t="s">
        <v>106</v>
      </c>
      <c r="AQ775" s="43" t="s">
        <v>106</v>
      </c>
      <c r="AR775" s="33" t="s">
        <v>106</v>
      </c>
      <c r="AS775" s="43" t="s">
        <v>106</v>
      </c>
      <c r="AT775" s="42">
        <f t="shared" si="562"/>
        <v>0.97</v>
      </c>
      <c r="AU775" s="18">
        <v>0.03</v>
      </c>
      <c r="AV775">
        <v>1</v>
      </c>
      <c r="AW775" s="40">
        <v>0</v>
      </c>
      <c r="AX775" t="s">
        <v>106</v>
      </c>
      <c r="AY775" s="40" t="s">
        <v>106</v>
      </c>
      <c r="BA775" s="18"/>
      <c r="BB775">
        <v>0</v>
      </c>
      <c r="BC775" s="18">
        <v>1</v>
      </c>
      <c r="BD775" s="18" t="s">
        <v>510</v>
      </c>
      <c r="BK775" s="18"/>
      <c r="BN775" s="18"/>
      <c r="BQ775" s="25">
        <v>34.18</v>
      </c>
      <c r="BR775">
        <v>1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s="18">
        <v>0</v>
      </c>
      <c r="BZ775">
        <v>0</v>
      </c>
      <c r="CA775">
        <v>0</v>
      </c>
      <c r="CB775">
        <v>1</v>
      </c>
      <c r="CC775" s="18">
        <v>0</v>
      </c>
      <c r="CD775">
        <v>0</v>
      </c>
      <c r="CE775">
        <v>0</v>
      </c>
      <c r="CF775">
        <v>0</v>
      </c>
      <c r="CG775">
        <v>0</v>
      </c>
      <c r="CH775" s="18">
        <v>0</v>
      </c>
      <c r="CI775">
        <v>0</v>
      </c>
      <c r="CJ775">
        <v>0</v>
      </c>
      <c r="CK775">
        <v>1</v>
      </c>
      <c r="CL775">
        <v>0</v>
      </c>
      <c r="CM775">
        <v>1</v>
      </c>
      <c r="CN775">
        <v>0</v>
      </c>
      <c r="CO775">
        <v>0</v>
      </c>
      <c r="CP775">
        <v>0</v>
      </c>
      <c r="CQ775">
        <v>0</v>
      </c>
      <c r="CR775">
        <v>0</v>
      </c>
      <c r="CS775" s="18">
        <v>1</v>
      </c>
      <c r="DD775" s="34" t="s">
        <v>86</v>
      </c>
    </row>
    <row r="776" spans="1:108" x14ac:dyDescent="0.25">
      <c r="A776">
        <v>775</v>
      </c>
      <c r="B776">
        <v>47</v>
      </c>
      <c r="C776" s="25" t="s">
        <v>509</v>
      </c>
      <c r="D776" s="12">
        <v>9.1</v>
      </c>
      <c r="E776" s="14">
        <v>0.9</v>
      </c>
      <c r="F776" s="7">
        <f t="shared" si="558"/>
        <v>10.111111111111111</v>
      </c>
      <c r="G776" s="7">
        <f t="shared" si="542"/>
        <v>8.1999999999999993</v>
      </c>
      <c r="H776" s="16">
        <f t="shared" si="543"/>
        <v>10</v>
      </c>
      <c r="I776" s="11">
        <f t="shared" si="553"/>
        <v>0.26351805571440351</v>
      </c>
      <c r="J776" s="33">
        <f t="shared" si="554"/>
        <v>2.6062225290435514E-2</v>
      </c>
      <c r="K776" s="33">
        <f t="shared" si="555"/>
        <v>38.369708989008956</v>
      </c>
      <c r="L776" s="33">
        <f t="shared" si="556"/>
        <v>0.23745583042396801</v>
      </c>
      <c r="M776" s="33">
        <f t="shared" si="557"/>
        <v>0.28958028100483901</v>
      </c>
      <c r="N776" s="8">
        <v>1</v>
      </c>
      <c r="O776" s="9">
        <v>0</v>
      </c>
      <c r="P776" s="8">
        <v>1</v>
      </c>
      <c r="Q776" s="9">
        <v>0</v>
      </c>
      <c r="R776" s="9">
        <v>0</v>
      </c>
      <c r="S776" s="9">
        <v>0</v>
      </c>
      <c r="T776" s="9">
        <v>0</v>
      </c>
      <c r="U776" s="8">
        <v>1381</v>
      </c>
      <c r="V776" s="9">
        <v>10</v>
      </c>
      <c r="W776" s="9">
        <f t="shared" si="549"/>
        <v>1370</v>
      </c>
      <c r="X776" s="9">
        <f t="shared" si="559"/>
        <v>14</v>
      </c>
      <c r="Y776" s="7">
        <v>8.75</v>
      </c>
      <c r="Z776" s="7">
        <f t="shared" si="560"/>
        <v>18.43</v>
      </c>
      <c r="AA776" s="9">
        <v>1</v>
      </c>
      <c r="AB776" s="9">
        <v>0</v>
      </c>
      <c r="AC776" s="9">
        <v>0</v>
      </c>
      <c r="AD776" s="9">
        <v>1</v>
      </c>
      <c r="AE776" s="9">
        <v>0</v>
      </c>
      <c r="AF776" s="9">
        <v>0</v>
      </c>
      <c r="AG776" s="8">
        <v>0</v>
      </c>
      <c r="AH776" s="9">
        <v>0</v>
      </c>
      <c r="AI776" s="30">
        <v>1</v>
      </c>
      <c r="AJ776" s="9">
        <v>1</v>
      </c>
      <c r="AK776" s="30">
        <v>0</v>
      </c>
      <c r="AL776" s="21">
        <v>1960</v>
      </c>
      <c r="AM776" s="23">
        <f t="shared" si="561"/>
        <v>7.5806997522245627</v>
      </c>
      <c r="AN776" s="33" t="s">
        <v>106</v>
      </c>
      <c r="AO776" s="33" t="s">
        <v>106</v>
      </c>
      <c r="AP776" s="33" t="s">
        <v>106</v>
      </c>
      <c r="AQ776" s="43" t="s">
        <v>106</v>
      </c>
      <c r="AR776" s="33" t="s">
        <v>106</v>
      </c>
      <c r="AS776" s="43" t="s">
        <v>106</v>
      </c>
      <c r="AT776" s="42">
        <f t="shared" si="562"/>
        <v>0.97</v>
      </c>
      <c r="AU776" s="18">
        <v>0.03</v>
      </c>
      <c r="AV776">
        <v>1</v>
      </c>
      <c r="AW776" s="40">
        <v>0</v>
      </c>
      <c r="AX776" t="s">
        <v>106</v>
      </c>
      <c r="AY776" s="40" t="s">
        <v>106</v>
      </c>
      <c r="BA776" s="18"/>
      <c r="BB776">
        <v>0</v>
      </c>
      <c r="BC776" s="18">
        <v>1</v>
      </c>
      <c r="BD776" s="18" t="s">
        <v>510</v>
      </c>
      <c r="BK776" s="18"/>
      <c r="BN776" s="18"/>
      <c r="BQ776" s="25">
        <v>34.18</v>
      </c>
      <c r="BR776">
        <v>1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 s="18">
        <v>0</v>
      </c>
      <c r="BZ776">
        <v>0</v>
      </c>
      <c r="CA776">
        <v>0</v>
      </c>
      <c r="CB776">
        <v>1</v>
      </c>
      <c r="CC776" s="18">
        <v>0</v>
      </c>
      <c r="CD776">
        <v>0</v>
      </c>
      <c r="CE776">
        <v>0</v>
      </c>
      <c r="CF776">
        <v>0</v>
      </c>
      <c r="CG776">
        <v>0</v>
      </c>
      <c r="CH776" s="18">
        <v>0</v>
      </c>
      <c r="CI776">
        <v>0</v>
      </c>
      <c r="CJ776">
        <v>0</v>
      </c>
      <c r="CK776">
        <v>1</v>
      </c>
      <c r="CL776">
        <v>0</v>
      </c>
      <c r="CM776">
        <v>1</v>
      </c>
      <c r="CN776">
        <v>0</v>
      </c>
      <c r="CO776">
        <v>0</v>
      </c>
      <c r="CP776">
        <v>0</v>
      </c>
      <c r="CQ776">
        <v>0</v>
      </c>
      <c r="CR776">
        <v>0</v>
      </c>
      <c r="CS776" s="18">
        <v>1</v>
      </c>
      <c r="DD776" s="34" t="s">
        <v>86</v>
      </c>
    </row>
    <row r="777" spans="1:108" x14ac:dyDescent="0.25">
      <c r="A777">
        <v>776</v>
      </c>
      <c r="B777">
        <v>47</v>
      </c>
      <c r="C777" s="25" t="s">
        <v>509</v>
      </c>
      <c r="D777" s="12">
        <v>9</v>
      </c>
      <c r="E777" s="14">
        <v>0.8</v>
      </c>
      <c r="F777" s="7">
        <f t="shared" si="558"/>
        <v>11.25</v>
      </c>
      <c r="G777" s="7">
        <f t="shared" si="542"/>
        <v>8.1999999999999993</v>
      </c>
      <c r="H777" s="16">
        <f t="shared" si="543"/>
        <v>9.8000000000000007</v>
      </c>
      <c r="I777" s="11">
        <f t="shared" si="553"/>
        <v>0.29080715862584822</v>
      </c>
      <c r="J777" s="33">
        <f t="shared" si="554"/>
        <v>2.5849525211186511E-2</v>
      </c>
      <c r="K777" s="33">
        <f t="shared" si="555"/>
        <v>38.685430073866307</v>
      </c>
      <c r="L777" s="33">
        <f t="shared" si="556"/>
        <v>0.26495763341466172</v>
      </c>
      <c r="M777" s="33">
        <f t="shared" si="557"/>
        <v>0.31665668383703471</v>
      </c>
      <c r="N777" s="8">
        <v>1</v>
      </c>
      <c r="O777" s="9">
        <v>0</v>
      </c>
      <c r="P777" s="8">
        <v>1</v>
      </c>
      <c r="Q777" s="9">
        <v>0</v>
      </c>
      <c r="R777" s="9">
        <v>0</v>
      </c>
      <c r="S777" s="9">
        <v>0</v>
      </c>
      <c r="T777" s="9">
        <v>0</v>
      </c>
      <c r="U777" s="8">
        <v>1381</v>
      </c>
      <c r="V777" s="9">
        <v>10</v>
      </c>
      <c r="W777" s="9">
        <f t="shared" si="549"/>
        <v>1370</v>
      </c>
      <c r="X777" s="9">
        <f t="shared" si="559"/>
        <v>14</v>
      </c>
      <c r="Y777" s="7">
        <v>8.75</v>
      </c>
      <c r="Z777" s="7">
        <f t="shared" si="560"/>
        <v>18.43</v>
      </c>
      <c r="AA777" s="9">
        <v>1</v>
      </c>
      <c r="AB777" s="9">
        <v>0</v>
      </c>
      <c r="AC777" s="9">
        <v>0</v>
      </c>
      <c r="AD777" s="9">
        <v>1</v>
      </c>
      <c r="AE777" s="9">
        <v>0</v>
      </c>
      <c r="AF777" s="9">
        <v>0</v>
      </c>
      <c r="AG777" s="8">
        <v>0</v>
      </c>
      <c r="AH777" s="9">
        <v>0</v>
      </c>
      <c r="AI777" s="30">
        <v>1</v>
      </c>
      <c r="AJ777" s="9">
        <v>1</v>
      </c>
      <c r="AK777" s="30">
        <v>0</v>
      </c>
      <c r="AL777" s="21">
        <v>1960</v>
      </c>
      <c r="AM777" s="23">
        <f t="shared" si="561"/>
        <v>7.5806997522245627</v>
      </c>
      <c r="AN777" s="33" t="s">
        <v>106</v>
      </c>
      <c r="AO777" s="33" t="s">
        <v>106</v>
      </c>
      <c r="AP777" s="33" t="s">
        <v>106</v>
      </c>
      <c r="AQ777" s="43" t="s">
        <v>106</v>
      </c>
      <c r="AR777" s="33" t="s">
        <v>106</v>
      </c>
      <c r="AS777" s="43" t="s">
        <v>106</v>
      </c>
      <c r="AT777" s="42">
        <f t="shared" si="562"/>
        <v>0.97</v>
      </c>
      <c r="AU777" s="18">
        <v>0.03</v>
      </c>
      <c r="AV777">
        <v>1</v>
      </c>
      <c r="AW777" s="40">
        <v>0</v>
      </c>
      <c r="AX777" t="s">
        <v>106</v>
      </c>
      <c r="AY777" s="40" t="s">
        <v>106</v>
      </c>
      <c r="BA777" s="18"/>
      <c r="BB777">
        <v>0</v>
      </c>
      <c r="BC777" s="18">
        <v>1</v>
      </c>
      <c r="BD777" s="18" t="s">
        <v>510</v>
      </c>
      <c r="BK777" s="18"/>
      <c r="BN777" s="18"/>
      <c r="BQ777" s="25">
        <v>34.18</v>
      </c>
      <c r="BR777">
        <v>1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s="18">
        <v>0</v>
      </c>
      <c r="BZ777">
        <v>0</v>
      </c>
      <c r="CA777">
        <v>0</v>
      </c>
      <c r="CB777">
        <v>1</v>
      </c>
      <c r="CC777" s="18">
        <v>0</v>
      </c>
      <c r="CD777">
        <v>0</v>
      </c>
      <c r="CE777">
        <v>0</v>
      </c>
      <c r="CF777">
        <v>0</v>
      </c>
      <c r="CG777">
        <v>0</v>
      </c>
      <c r="CH777" s="18">
        <v>0</v>
      </c>
      <c r="CI777">
        <v>0</v>
      </c>
      <c r="CJ777">
        <v>0</v>
      </c>
      <c r="CK777">
        <v>1</v>
      </c>
      <c r="CL777">
        <v>0</v>
      </c>
      <c r="CM777">
        <v>1</v>
      </c>
      <c r="CN777">
        <v>0</v>
      </c>
      <c r="CO777">
        <v>0</v>
      </c>
      <c r="CP777">
        <v>0</v>
      </c>
      <c r="CQ777">
        <v>0</v>
      </c>
      <c r="CR777">
        <v>0</v>
      </c>
      <c r="CS777" s="18">
        <v>1</v>
      </c>
      <c r="DD777" s="34" t="s">
        <v>86</v>
      </c>
    </row>
    <row r="778" spans="1:108" x14ac:dyDescent="0.25">
      <c r="A778">
        <v>777</v>
      </c>
      <c r="B778">
        <v>47</v>
      </c>
      <c r="C778" s="25" t="s">
        <v>509</v>
      </c>
      <c r="D778" s="12">
        <v>6.4</v>
      </c>
      <c r="E778" s="14">
        <v>1.5</v>
      </c>
      <c r="F778" s="7">
        <f t="shared" si="558"/>
        <v>4.2666666666666666</v>
      </c>
      <c r="G778" s="7">
        <f t="shared" si="542"/>
        <v>4.9000000000000004</v>
      </c>
      <c r="H778" s="16">
        <f t="shared" si="543"/>
        <v>7.9</v>
      </c>
      <c r="I778" s="11">
        <f t="shared" si="553"/>
        <v>0.2388109576210887</v>
      </c>
      <c r="J778" s="33">
        <f t="shared" si="554"/>
        <v>5.5971318192442665E-2</v>
      </c>
      <c r="K778" s="33">
        <f t="shared" si="555"/>
        <v>17.866293528441886</v>
      </c>
      <c r="L778" s="33">
        <f t="shared" si="556"/>
        <v>0.18283963942864603</v>
      </c>
      <c r="M778" s="33">
        <f t="shared" si="557"/>
        <v>0.29478227581353134</v>
      </c>
      <c r="N778" s="8">
        <v>1</v>
      </c>
      <c r="O778" s="9">
        <v>0</v>
      </c>
      <c r="P778" s="8">
        <v>1</v>
      </c>
      <c r="Q778" s="9">
        <v>0</v>
      </c>
      <c r="R778" s="9">
        <v>0</v>
      </c>
      <c r="S778" s="9">
        <v>0</v>
      </c>
      <c r="T778" s="9">
        <v>0</v>
      </c>
      <c r="U778" s="8">
        <v>304</v>
      </c>
      <c r="V778" s="9">
        <v>2</v>
      </c>
      <c r="W778" s="9">
        <f t="shared" si="549"/>
        <v>301</v>
      </c>
      <c r="X778" s="9">
        <f t="shared" si="559"/>
        <v>14</v>
      </c>
      <c r="Y778" s="7">
        <v>7.8</v>
      </c>
      <c r="Z778" s="7">
        <f t="shared" si="560"/>
        <v>19.059999999999999</v>
      </c>
      <c r="AA778" s="9">
        <v>1</v>
      </c>
      <c r="AB778" s="9">
        <v>0</v>
      </c>
      <c r="AC778" s="9">
        <v>0</v>
      </c>
      <c r="AD778" s="9">
        <v>1</v>
      </c>
      <c r="AE778" s="9">
        <v>0</v>
      </c>
      <c r="AF778" s="9">
        <v>0</v>
      </c>
      <c r="AG778" s="8">
        <v>0</v>
      </c>
      <c r="AH778" s="9">
        <v>0</v>
      </c>
      <c r="AI778" s="30">
        <v>1</v>
      </c>
      <c r="AJ778" s="9">
        <v>1</v>
      </c>
      <c r="AK778" s="30">
        <v>0</v>
      </c>
      <c r="AL778" s="21">
        <v>1960</v>
      </c>
      <c r="AM778" s="23">
        <f t="shared" si="561"/>
        <v>7.5806997522245627</v>
      </c>
      <c r="AN778" s="33" t="s">
        <v>106</v>
      </c>
      <c r="AO778" s="33" t="s">
        <v>106</v>
      </c>
      <c r="AP778" s="33" t="s">
        <v>106</v>
      </c>
      <c r="AQ778" s="43" t="s">
        <v>106</v>
      </c>
      <c r="AR778" s="33" t="s">
        <v>106</v>
      </c>
      <c r="AS778" s="43" t="s">
        <v>106</v>
      </c>
      <c r="AT778" s="42">
        <f t="shared" si="562"/>
        <v>0.66999999999999993</v>
      </c>
      <c r="AU778" s="18">
        <v>0.33</v>
      </c>
      <c r="AV778">
        <v>1</v>
      </c>
      <c r="AW778" s="40">
        <v>0</v>
      </c>
      <c r="AX778" t="s">
        <v>106</v>
      </c>
      <c r="AY778" s="40" t="s">
        <v>106</v>
      </c>
      <c r="BA778" s="18"/>
      <c r="BB778">
        <v>0</v>
      </c>
      <c r="BC778" s="18">
        <v>1</v>
      </c>
      <c r="BD778" s="18" t="s">
        <v>510</v>
      </c>
      <c r="BK778" s="18"/>
      <c r="BN778" s="18"/>
      <c r="BQ778" s="25">
        <v>33.86</v>
      </c>
      <c r="BR778">
        <v>1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s="18">
        <v>0</v>
      </c>
      <c r="BZ778">
        <v>0</v>
      </c>
      <c r="CA778">
        <v>0</v>
      </c>
      <c r="CB778">
        <v>1</v>
      </c>
      <c r="CC778" s="18">
        <v>0</v>
      </c>
      <c r="CD778">
        <v>0</v>
      </c>
      <c r="CE778">
        <v>0</v>
      </c>
      <c r="CF778">
        <v>0</v>
      </c>
      <c r="CG778">
        <v>0</v>
      </c>
      <c r="CH778" s="18">
        <v>0</v>
      </c>
      <c r="CI778">
        <v>0</v>
      </c>
      <c r="CJ778">
        <v>0</v>
      </c>
      <c r="CK778">
        <v>1</v>
      </c>
      <c r="CL778">
        <v>0</v>
      </c>
      <c r="CM778">
        <v>1</v>
      </c>
      <c r="CN778">
        <v>0</v>
      </c>
      <c r="CO778">
        <v>0</v>
      </c>
      <c r="CP778">
        <v>0</v>
      </c>
      <c r="CQ778">
        <v>0</v>
      </c>
      <c r="CR778">
        <v>0</v>
      </c>
      <c r="CS778" s="18">
        <v>1</v>
      </c>
      <c r="DD778" s="34" t="s">
        <v>86</v>
      </c>
    </row>
    <row r="779" spans="1:108" x14ac:dyDescent="0.25">
      <c r="A779">
        <v>778</v>
      </c>
      <c r="B779">
        <v>47</v>
      </c>
      <c r="C779" s="25" t="s">
        <v>509</v>
      </c>
      <c r="D779" s="12">
        <v>5.9</v>
      </c>
      <c r="E779" s="14">
        <v>1.6</v>
      </c>
      <c r="F779" s="7">
        <f t="shared" si="558"/>
        <v>3.6875</v>
      </c>
      <c r="G779" s="7">
        <f t="shared" si="542"/>
        <v>4.3000000000000007</v>
      </c>
      <c r="H779" s="16">
        <f t="shared" si="543"/>
        <v>7.5</v>
      </c>
      <c r="I779" s="11">
        <f t="shared" si="553"/>
        <v>0.21059478558883832</v>
      </c>
      <c r="J779" s="33">
        <f t="shared" si="554"/>
        <v>5.7110450329176492E-2</v>
      </c>
      <c r="K779" s="33">
        <f t="shared" si="555"/>
        <v>17.509930218307552</v>
      </c>
      <c r="L779" s="33">
        <f t="shared" si="556"/>
        <v>0.15348433525966182</v>
      </c>
      <c r="M779" s="33">
        <f t="shared" si="557"/>
        <v>0.26770523591801482</v>
      </c>
      <c r="N779" s="8">
        <v>1</v>
      </c>
      <c r="O779" s="9">
        <v>0</v>
      </c>
      <c r="P779" s="8">
        <v>1</v>
      </c>
      <c r="Q779" s="9">
        <v>0</v>
      </c>
      <c r="R779" s="9">
        <v>0</v>
      </c>
      <c r="S779" s="9">
        <v>0</v>
      </c>
      <c r="T779" s="9">
        <v>0</v>
      </c>
      <c r="U779" s="8">
        <v>304</v>
      </c>
      <c r="V779" s="9">
        <v>10</v>
      </c>
      <c r="W779" s="9">
        <f t="shared" si="549"/>
        <v>293</v>
      </c>
      <c r="X779" s="9">
        <f t="shared" si="559"/>
        <v>14</v>
      </c>
      <c r="Y779" s="7">
        <v>7.8</v>
      </c>
      <c r="Z779" s="7">
        <f t="shared" si="560"/>
        <v>19.059999999999999</v>
      </c>
      <c r="AA779" s="9">
        <v>1</v>
      </c>
      <c r="AB779" s="9">
        <v>0</v>
      </c>
      <c r="AC779" s="9">
        <v>0</v>
      </c>
      <c r="AD779" s="9">
        <v>1</v>
      </c>
      <c r="AE779" s="9">
        <v>0</v>
      </c>
      <c r="AF779" s="9">
        <v>0</v>
      </c>
      <c r="AG779" s="8">
        <v>0</v>
      </c>
      <c r="AH779" s="9">
        <v>0</v>
      </c>
      <c r="AI779" s="30">
        <v>1</v>
      </c>
      <c r="AJ779" s="9">
        <v>1</v>
      </c>
      <c r="AK779" s="30">
        <v>0</v>
      </c>
      <c r="AL779" s="21">
        <v>1960</v>
      </c>
      <c r="AM779" s="23">
        <f t="shared" si="561"/>
        <v>7.5806997522245627</v>
      </c>
      <c r="AN779" s="33" t="s">
        <v>106</v>
      </c>
      <c r="AO779" s="33" t="s">
        <v>106</v>
      </c>
      <c r="AP779" s="33" t="s">
        <v>106</v>
      </c>
      <c r="AQ779" s="43" t="s">
        <v>106</v>
      </c>
      <c r="AR779" s="33" t="s">
        <v>106</v>
      </c>
      <c r="AS779" s="43" t="s">
        <v>106</v>
      </c>
      <c r="AT779" s="42">
        <f t="shared" si="562"/>
        <v>0.66999999999999993</v>
      </c>
      <c r="AU779" s="18">
        <v>0.33</v>
      </c>
      <c r="AV779">
        <v>1</v>
      </c>
      <c r="AW779" s="40">
        <v>0</v>
      </c>
      <c r="AX779" t="s">
        <v>106</v>
      </c>
      <c r="AY779" s="40" t="s">
        <v>106</v>
      </c>
      <c r="BA779" s="18"/>
      <c r="BB779">
        <v>0</v>
      </c>
      <c r="BC779" s="18">
        <v>1</v>
      </c>
      <c r="BD779" s="18" t="s">
        <v>510</v>
      </c>
      <c r="BK779" s="18"/>
      <c r="BN779" s="18"/>
      <c r="BQ779" s="25">
        <v>33.86</v>
      </c>
      <c r="BR779">
        <v>1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s="18">
        <v>0</v>
      </c>
      <c r="BZ779">
        <v>0</v>
      </c>
      <c r="CA779">
        <v>0</v>
      </c>
      <c r="CB779">
        <v>1</v>
      </c>
      <c r="CC779" s="18">
        <v>0</v>
      </c>
      <c r="CD779">
        <v>0</v>
      </c>
      <c r="CE779">
        <v>0</v>
      </c>
      <c r="CF779">
        <v>0</v>
      </c>
      <c r="CG779">
        <v>0</v>
      </c>
      <c r="CH779" s="18">
        <v>0</v>
      </c>
      <c r="CI779">
        <v>0</v>
      </c>
      <c r="CJ779">
        <v>0</v>
      </c>
      <c r="CK779">
        <v>1</v>
      </c>
      <c r="CL779">
        <v>0</v>
      </c>
      <c r="CM779">
        <v>1</v>
      </c>
      <c r="CN779">
        <v>0</v>
      </c>
      <c r="CO779">
        <v>0</v>
      </c>
      <c r="CP779">
        <v>0</v>
      </c>
      <c r="CQ779">
        <v>0</v>
      </c>
      <c r="CR779">
        <v>0</v>
      </c>
      <c r="CS779" s="18">
        <v>1</v>
      </c>
      <c r="DD779" s="34" t="s">
        <v>86</v>
      </c>
    </row>
    <row r="780" spans="1:108" x14ac:dyDescent="0.25">
      <c r="A780">
        <v>779</v>
      </c>
      <c r="B780">
        <v>47</v>
      </c>
      <c r="C780" s="25" t="s">
        <v>509</v>
      </c>
      <c r="D780" s="12">
        <v>3.4</v>
      </c>
      <c r="E780" s="14">
        <v>1.5</v>
      </c>
      <c r="F780" s="7">
        <f t="shared" si="558"/>
        <v>2.2666666666666666</v>
      </c>
      <c r="G780" s="7">
        <f t="shared" si="542"/>
        <v>1.9</v>
      </c>
      <c r="H780" s="16">
        <f t="shared" si="543"/>
        <v>4.9000000000000004</v>
      </c>
      <c r="I780" s="11">
        <f t="shared" si="553"/>
        <v>0.13127413127413129</v>
      </c>
      <c r="J780" s="33">
        <f t="shared" si="554"/>
        <v>5.7915057915057917E-2</v>
      </c>
      <c r="K780" s="33">
        <f t="shared" si="555"/>
        <v>17.266666666666666</v>
      </c>
      <c r="L780" s="33">
        <f t="shared" si="556"/>
        <v>7.3359073359073379E-2</v>
      </c>
      <c r="M780" s="33">
        <f t="shared" si="557"/>
        <v>0.1891891891891892</v>
      </c>
      <c r="N780" s="8">
        <v>1</v>
      </c>
      <c r="O780" s="9">
        <v>0</v>
      </c>
      <c r="P780" s="8">
        <v>1</v>
      </c>
      <c r="Q780" s="9">
        <v>0</v>
      </c>
      <c r="R780" s="9">
        <v>0</v>
      </c>
      <c r="S780" s="9">
        <v>0</v>
      </c>
      <c r="T780" s="9">
        <v>0</v>
      </c>
      <c r="U780" s="8">
        <v>304</v>
      </c>
      <c r="V780" s="9">
        <v>10</v>
      </c>
      <c r="W780" s="9">
        <f t="shared" si="549"/>
        <v>293</v>
      </c>
      <c r="X780" s="9">
        <f t="shared" si="559"/>
        <v>14</v>
      </c>
      <c r="Y780" s="7">
        <v>7.8</v>
      </c>
      <c r="Z780" s="7">
        <f t="shared" si="560"/>
        <v>19.059999999999999</v>
      </c>
      <c r="AA780" s="9">
        <v>1</v>
      </c>
      <c r="AB780" s="9">
        <v>0</v>
      </c>
      <c r="AC780" s="9">
        <v>0</v>
      </c>
      <c r="AD780" s="9">
        <v>1</v>
      </c>
      <c r="AE780" s="9">
        <v>0</v>
      </c>
      <c r="AF780" s="9">
        <v>0</v>
      </c>
      <c r="AG780" s="8">
        <v>0</v>
      </c>
      <c r="AH780" s="9">
        <v>0</v>
      </c>
      <c r="AI780" s="30">
        <v>1</v>
      </c>
      <c r="AJ780" s="9">
        <v>1</v>
      </c>
      <c r="AK780" s="30">
        <v>0</v>
      </c>
      <c r="AL780" s="21">
        <v>1960</v>
      </c>
      <c r="AM780" s="23">
        <f t="shared" si="561"/>
        <v>7.5806997522245627</v>
      </c>
      <c r="AN780" s="33" t="s">
        <v>106</v>
      </c>
      <c r="AO780" s="33" t="s">
        <v>106</v>
      </c>
      <c r="AP780" s="33" t="s">
        <v>106</v>
      </c>
      <c r="AQ780" s="43" t="s">
        <v>106</v>
      </c>
      <c r="AR780" s="33" t="s">
        <v>106</v>
      </c>
      <c r="AS780" s="43" t="s">
        <v>106</v>
      </c>
      <c r="AT780" s="42">
        <f t="shared" si="562"/>
        <v>0.66999999999999993</v>
      </c>
      <c r="AU780" s="18">
        <v>0.33</v>
      </c>
      <c r="AV780">
        <v>1</v>
      </c>
      <c r="AW780" s="40">
        <v>0</v>
      </c>
      <c r="AX780" t="s">
        <v>106</v>
      </c>
      <c r="AY780" s="40" t="s">
        <v>106</v>
      </c>
      <c r="BA780" s="18"/>
      <c r="BB780">
        <v>0</v>
      </c>
      <c r="BC780" s="18">
        <v>1</v>
      </c>
      <c r="BD780" s="18" t="s">
        <v>510</v>
      </c>
      <c r="BK780" s="18"/>
      <c r="BN780" s="18"/>
      <c r="BQ780" s="25">
        <v>33.86</v>
      </c>
      <c r="BR780">
        <v>1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s="18">
        <v>0</v>
      </c>
      <c r="BZ780">
        <v>0</v>
      </c>
      <c r="CA780">
        <v>0</v>
      </c>
      <c r="CB780">
        <v>1</v>
      </c>
      <c r="CC780" s="18">
        <v>0</v>
      </c>
      <c r="CD780">
        <v>0</v>
      </c>
      <c r="CE780">
        <v>0</v>
      </c>
      <c r="CF780">
        <v>0</v>
      </c>
      <c r="CG780">
        <v>0</v>
      </c>
      <c r="CH780" s="18">
        <v>0</v>
      </c>
      <c r="CI780">
        <v>0</v>
      </c>
      <c r="CJ780">
        <v>0</v>
      </c>
      <c r="CK780">
        <v>1</v>
      </c>
      <c r="CL780">
        <v>0</v>
      </c>
      <c r="CM780">
        <v>1</v>
      </c>
      <c r="CN780">
        <v>0</v>
      </c>
      <c r="CO780">
        <v>0</v>
      </c>
      <c r="CP780">
        <v>0</v>
      </c>
      <c r="CQ780">
        <v>0</v>
      </c>
      <c r="CR780">
        <v>0</v>
      </c>
      <c r="CS780" s="18">
        <v>1</v>
      </c>
      <c r="DD780" s="34" t="s">
        <v>86</v>
      </c>
    </row>
    <row r="781" spans="1:108" x14ac:dyDescent="0.25">
      <c r="A781">
        <v>780</v>
      </c>
      <c r="B781">
        <v>47</v>
      </c>
      <c r="C781" s="25" t="s">
        <v>509</v>
      </c>
      <c r="D781" s="12">
        <v>5.7</v>
      </c>
      <c r="E781" s="14">
        <v>0.9</v>
      </c>
      <c r="F781" s="7">
        <f t="shared" si="558"/>
        <v>6.333333333333333</v>
      </c>
      <c r="G781" s="7">
        <f t="shared" si="542"/>
        <v>4.8</v>
      </c>
      <c r="H781" s="16">
        <f t="shared" si="543"/>
        <v>6.6000000000000005</v>
      </c>
      <c r="I781" s="11">
        <f t="shared" si="553"/>
        <v>0.14776263744368376</v>
      </c>
      <c r="J781" s="33">
        <f t="shared" si="554"/>
        <v>2.3330942754265858E-2</v>
      </c>
      <c r="K781" s="33">
        <f t="shared" si="555"/>
        <v>42.861534166559075</v>
      </c>
      <c r="L781" s="33">
        <f t="shared" si="556"/>
        <v>0.12443169468941789</v>
      </c>
      <c r="M781" s="33">
        <f t="shared" si="557"/>
        <v>0.17109358019794962</v>
      </c>
      <c r="N781" s="8">
        <v>1</v>
      </c>
      <c r="O781" s="9">
        <v>0</v>
      </c>
      <c r="P781" s="8">
        <v>1</v>
      </c>
      <c r="Q781" s="9">
        <v>0</v>
      </c>
      <c r="R781" s="9">
        <v>0</v>
      </c>
      <c r="S781" s="9">
        <v>0</v>
      </c>
      <c r="T781" s="9">
        <v>0</v>
      </c>
      <c r="U781" s="8">
        <v>1800</v>
      </c>
      <c r="V781" s="9">
        <v>2</v>
      </c>
      <c r="W781" s="9">
        <f t="shared" si="549"/>
        <v>1797</v>
      </c>
      <c r="X781" s="9">
        <f t="shared" si="559"/>
        <v>14</v>
      </c>
      <c r="Y781" s="7">
        <v>8.75</v>
      </c>
      <c r="Z781" s="7">
        <f t="shared" si="560"/>
        <v>18.43</v>
      </c>
      <c r="AA781" s="9">
        <v>1</v>
      </c>
      <c r="AB781" s="9">
        <v>0</v>
      </c>
      <c r="AC781" s="9">
        <v>0</v>
      </c>
      <c r="AD781" s="9">
        <v>1</v>
      </c>
      <c r="AE781" s="9">
        <v>0</v>
      </c>
      <c r="AF781" s="9">
        <v>0</v>
      </c>
      <c r="AG781" s="8">
        <v>0</v>
      </c>
      <c r="AH781" s="9">
        <v>0</v>
      </c>
      <c r="AI781" s="30">
        <v>1</v>
      </c>
      <c r="AJ781" s="9">
        <v>1</v>
      </c>
      <c r="AK781" s="30">
        <v>0</v>
      </c>
      <c r="AL781" s="21">
        <v>1960</v>
      </c>
      <c r="AM781" s="23">
        <f t="shared" si="561"/>
        <v>7.5806997522245627</v>
      </c>
      <c r="AN781" s="33" t="s">
        <v>106</v>
      </c>
      <c r="AO781" s="33" t="s">
        <v>106</v>
      </c>
      <c r="AP781" s="33" t="s">
        <v>106</v>
      </c>
      <c r="AQ781" s="43" t="s">
        <v>106</v>
      </c>
      <c r="AR781" s="33" t="s">
        <v>106</v>
      </c>
      <c r="AS781" s="43" t="s">
        <v>106</v>
      </c>
      <c r="AT781" s="42">
        <f t="shared" si="562"/>
        <v>0.97</v>
      </c>
      <c r="AU781" s="18">
        <v>0.03</v>
      </c>
      <c r="AV781">
        <v>1</v>
      </c>
      <c r="AW781" s="40">
        <v>0</v>
      </c>
      <c r="AX781" t="s">
        <v>106</v>
      </c>
      <c r="AY781" s="40" t="s">
        <v>106</v>
      </c>
      <c r="BA781" s="18"/>
      <c r="BB781">
        <v>0</v>
      </c>
      <c r="BC781" s="18">
        <v>1</v>
      </c>
      <c r="BD781" s="18" t="s">
        <v>510</v>
      </c>
      <c r="BK781" s="18"/>
      <c r="BN781" s="18"/>
      <c r="BQ781" s="25">
        <v>34.18</v>
      </c>
      <c r="BR781">
        <v>1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s="18">
        <v>0</v>
      </c>
      <c r="BZ781">
        <v>0</v>
      </c>
      <c r="CA781">
        <v>0</v>
      </c>
      <c r="CB781">
        <v>1</v>
      </c>
      <c r="CC781" s="18">
        <v>0</v>
      </c>
      <c r="CD781">
        <v>0</v>
      </c>
      <c r="CE781">
        <v>0</v>
      </c>
      <c r="CF781">
        <v>0</v>
      </c>
      <c r="CG781">
        <v>0</v>
      </c>
      <c r="CH781" s="18">
        <v>0</v>
      </c>
      <c r="CI781">
        <v>0</v>
      </c>
      <c r="CJ781">
        <v>0</v>
      </c>
      <c r="CK781">
        <v>1</v>
      </c>
      <c r="CL781">
        <v>0</v>
      </c>
      <c r="CM781">
        <v>1</v>
      </c>
      <c r="CN781">
        <v>0</v>
      </c>
      <c r="CO781">
        <v>0</v>
      </c>
      <c r="CP781">
        <v>0</v>
      </c>
      <c r="CQ781">
        <v>0</v>
      </c>
      <c r="CR781">
        <v>0</v>
      </c>
      <c r="CS781" s="18">
        <v>1</v>
      </c>
      <c r="DD781" s="34" t="s">
        <v>86</v>
      </c>
    </row>
    <row r="782" spans="1:108" x14ac:dyDescent="0.25">
      <c r="A782">
        <v>781</v>
      </c>
      <c r="B782">
        <v>47</v>
      </c>
      <c r="C782" s="25" t="s">
        <v>509</v>
      </c>
      <c r="D782" s="12">
        <v>5.7</v>
      </c>
      <c r="E782" s="14">
        <v>0.7</v>
      </c>
      <c r="F782" s="7">
        <f t="shared" si="558"/>
        <v>8.1428571428571441</v>
      </c>
      <c r="G782" s="7">
        <f t="shared" si="542"/>
        <v>5</v>
      </c>
      <c r="H782" s="16">
        <f t="shared" si="543"/>
        <v>6.4</v>
      </c>
      <c r="I782" s="11">
        <f t="shared" si="553"/>
        <v>0.18904666781928181</v>
      </c>
      <c r="J782" s="33">
        <f t="shared" si="554"/>
        <v>2.3216257451490741E-2</v>
      </c>
      <c r="K782" s="33">
        <f t="shared" si="555"/>
        <v>43.073264590102525</v>
      </c>
      <c r="L782" s="33">
        <f t="shared" si="556"/>
        <v>0.16583041036779106</v>
      </c>
      <c r="M782" s="33">
        <f t="shared" si="557"/>
        <v>0.21226292527077256</v>
      </c>
      <c r="N782" s="8">
        <v>1</v>
      </c>
      <c r="O782" s="9">
        <v>0</v>
      </c>
      <c r="P782" s="8">
        <v>1</v>
      </c>
      <c r="Q782" s="9">
        <v>0</v>
      </c>
      <c r="R782" s="9">
        <v>0</v>
      </c>
      <c r="S782" s="9">
        <v>0</v>
      </c>
      <c r="T782" s="9">
        <v>0</v>
      </c>
      <c r="U782" s="8">
        <v>1800</v>
      </c>
      <c r="V782" s="9">
        <v>10</v>
      </c>
      <c r="W782" s="9">
        <f t="shared" si="549"/>
        <v>1789</v>
      </c>
      <c r="X782" s="9">
        <f t="shared" si="559"/>
        <v>14</v>
      </c>
      <c r="Y782" s="7">
        <v>8.75</v>
      </c>
      <c r="Z782" s="7">
        <f t="shared" si="560"/>
        <v>18.43</v>
      </c>
      <c r="AA782" s="9">
        <v>1</v>
      </c>
      <c r="AB782" s="9">
        <v>0</v>
      </c>
      <c r="AC782" s="9">
        <v>0</v>
      </c>
      <c r="AD782" s="9">
        <v>1</v>
      </c>
      <c r="AE782" s="9">
        <v>0</v>
      </c>
      <c r="AF782" s="9">
        <v>0</v>
      </c>
      <c r="AG782" s="8">
        <v>0</v>
      </c>
      <c r="AH782" s="9">
        <v>0</v>
      </c>
      <c r="AI782" s="30">
        <v>1</v>
      </c>
      <c r="AJ782" s="9">
        <v>1</v>
      </c>
      <c r="AK782" s="30">
        <v>0</v>
      </c>
      <c r="AL782" s="21">
        <v>1960</v>
      </c>
      <c r="AM782" s="23">
        <f t="shared" si="561"/>
        <v>7.5806997522245627</v>
      </c>
      <c r="AN782" s="33" t="s">
        <v>106</v>
      </c>
      <c r="AO782" s="33" t="s">
        <v>106</v>
      </c>
      <c r="AP782" s="33" t="s">
        <v>106</v>
      </c>
      <c r="AQ782" s="43" t="s">
        <v>106</v>
      </c>
      <c r="AR782" s="33" t="s">
        <v>106</v>
      </c>
      <c r="AS782" s="43" t="s">
        <v>106</v>
      </c>
      <c r="AT782" s="42">
        <f t="shared" si="562"/>
        <v>0.97</v>
      </c>
      <c r="AU782" s="18">
        <v>0.03</v>
      </c>
      <c r="AV782">
        <v>1</v>
      </c>
      <c r="AW782" s="40">
        <v>0</v>
      </c>
      <c r="AX782" t="s">
        <v>106</v>
      </c>
      <c r="AY782" s="40" t="s">
        <v>106</v>
      </c>
      <c r="BA782" s="18"/>
      <c r="BB782">
        <v>0</v>
      </c>
      <c r="BC782" s="18">
        <v>1</v>
      </c>
      <c r="BD782" s="18" t="s">
        <v>510</v>
      </c>
      <c r="BK782" s="18"/>
      <c r="BN782" s="18"/>
      <c r="BQ782" s="25">
        <v>34.18</v>
      </c>
      <c r="BR782">
        <v>1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s="18">
        <v>0</v>
      </c>
      <c r="BZ782">
        <v>0</v>
      </c>
      <c r="CA782">
        <v>0</v>
      </c>
      <c r="CB782">
        <v>1</v>
      </c>
      <c r="CC782" s="18">
        <v>0</v>
      </c>
      <c r="CD782">
        <v>0</v>
      </c>
      <c r="CE782">
        <v>0</v>
      </c>
      <c r="CF782">
        <v>0</v>
      </c>
      <c r="CG782">
        <v>0</v>
      </c>
      <c r="CH782" s="18">
        <v>0</v>
      </c>
      <c r="CI782">
        <v>0</v>
      </c>
      <c r="CJ782">
        <v>0</v>
      </c>
      <c r="CK782">
        <v>1</v>
      </c>
      <c r="CL782">
        <v>0</v>
      </c>
      <c r="CM782">
        <v>1</v>
      </c>
      <c r="CN782">
        <v>0</v>
      </c>
      <c r="CO782">
        <v>0</v>
      </c>
      <c r="CP782">
        <v>0</v>
      </c>
      <c r="CQ782">
        <v>0</v>
      </c>
      <c r="CR782">
        <v>0</v>
      </c>
      <c r="CS782" s="18">
        <v>1</v>
      </c>
      <c r="DD782" s="34" t="s">
        <v>86</v>
      </c>
    </row>
    <row r="783" spans="1:108" s="153" customFormat="1" x14ac:dyDescent="0.25">
      <c r="A783" s="153">
        <v>782</v>
      </c>
      <c r="B783" s="153">
        <v>47</v>
      </c>
      <c r="C783" s="154" t="s">
        <v>509</v>
      </c>
      <c r="D783" s="155">
        <v>4.3</v>
      </c>
      <c r="E783" s="156">
        <v>0.8</v>
      </c>
      <c r="F783" s="157">
        <f t="shared" si="558"/>
        <v>5.3749999999999991</v>
      </c>
      <c r="G783" s="157">
        <f t="shared" si="542"/>
        <v>3.5</v>
      </c>
      <c r="H783" s="158">
        <f t="shared" si="543"/>
        <v>5.0999999999999996</v>
      </c>
      <c r="I783" s="159">
        <f t="shared" si="553"/>
        <v>0.12606501899983297</v>
      </c>
      <c r="J783" s="160">
        <f t="shared" si="554"/>
        <v>2.3453957023224743E-2</v>
      </c>
      <c r="K783" s="160">
        <f t="shared" si="555"/>
        <v>42.636728591673162</v>
      </c>
      <c r="L783" s="160">
        <f t="shared" si="556"/>
        <v>0.10261106197660823</v>
      </c>
      <c r="M783" s="160">
        <f t="shared" si="557"/>
        <v>0.14951897602305772</v>
      </c>
      <c r="N783" s="161">
        <v>1</v>
      </c>
      <c r="O783" s="162">
        <v>0</v>
      </c>
      <c r="P783" s="161">
        <v>1</v>
      </c>
      <c r="Q783" s="162">
        <v>0</v>
      </c>
      <c r="R783" s="162">
        <v>0</v>
      </c>
      <c r="S783" s="162">
        <v>0</v>
      </c>
      <c r="T783" s="162">
        <v>0</v>
      </c>
      <c r="U783" s="161">
        <v>1800</v>
      </c>
      <c r="V783" s="162">
        <v>10</v>
      </c>
      <c r="W783" s="162">
        <f t="shared" si="549"/>
        <v>1789</v>
      </c>
      <c r="X783" s="162">
        <f t="shared" si="559"/>
        <v>14</v>
      </c>
      <c r="Y783" s="157">
        <v>8.75</v>
      </c>
      <c r="Z783" s="157">
        <f t="shared" si="560"/>
        <v>18.43</v>
      </c>
      <c r="AA783" s="162">
        <v>1</v>
      </c>
      <c r="AB783" s="162">
        <v>0</v>
      </c>
      <c r="AC783" s="162">
        <v>0</v>
      </c>
      <c r="AD783" s="162">
        <v>1</v>
      </c>
      <c r="AE783" s="162">
        <v>0</v>
      </c>
      <c r="AF783" s="162">
        <v>0</v>
      </c>
      <c r="AG783" s="161">
        <v>0</v>
      </c>
      <c r="AH783" s="162">
        <v>0</v>
      </c>
      <c r="AI783" s="163">
        <v>1</v>
      </c>
      <c r="AJ783" s="162">
        <v>1</v>
      </c>
      <c r="AK783" s="163">
        <v>0</v>
      </c>
      <c r="AL783" s="164">
        <v>1960</v>
      </c>
      <c r="AM783" s="165">
        <f t="shared" si="561"/>
        <v>7.5806997522245627</v>
      </c>
      <c r="AN783" s="160" t="s">
        <v>106</v>
      </c>
      <c r="AO783" s="160" t="s">
        <v>106</v>
      </c>
      <c r="AP783" s="160" t="s">
        <v>106</v>
      </c>
      <c r="AQ783" s="166" t="s">
        <v>106</v>
      </c>
      <c r="AR783" s="160" t="s">
        <v>106</v>
      </c>
      <c r="AS783" s="166" t="s">
        <v>106</v>
      </c>
      <c r="AT783" s="167">
        <f t="shared" si="562"/>
        <v>0.97</v>
      </c>
      <c r="AU783" s="168">
        <v>0.03</v>
      </c>
      <c r="AV783" s="153">
        <v>1</v>
      </c>
      <c r="AW783" s="169">
        <v>0</v>
      </c>
      <c r="AX783" s="153" t="s">
        <v>106</v>
      </c>
      <c r="AY783" s="169" t="s">
        <v>106</v>
      </c>
      <c r="BA783" s="168"/>
      <c r="BB783" s="153">
        <v>0</v>
      </c>
      <c r="BC783" s="168">
        <v>1</v>
      </c>
      <c r="BD783" s="168" t="s">
        <v>510</v>
      </c>
      <c r="BK783" s="168"/>
      <c r="BN783" s="168"/>
      <c r="BQ783" s="154">
        <v>34.18</v>
      </c>
      <c r="BR783" s="153">
        <v>1</v>
      </c>
      <c r="BS783" s="153">
        <v>0</v>
      </c>
      <c r="BT783" s="153">
        <v>0</v>
      </c>
      <c r="BU783" s="153">
        <v>0</v>
      </c>
      <c r="BV783" s="153">
        <v>0</v>
      </c>
      <c r="BW783" s="153">
        <v>0</v>
      </c>
      <c r="BX783" s="153">
        <v>0</v>
      </c>
      <c r="BY783" s="168">
        <v>0</v>
      </c>
      <c r="BZ783" s="153">
        <v>0</v>
      </c>
      <c r="CA783" s="153">
        <v>0</v>
      </c>
      <c r="CB783" s="153">
        <v>1</v>
      </c>
      <c r="CC783" s="168">
        <v>0</v>
      </c>
      <c r="CD783" s="153">
        <v>0</v>
      </c>
      <c r="CE783" s="153">
        <v>0</v>
      </c>
      <c r="CF783" s="153">
        <v>0</v>
      </c>
      <c r="CG783" s="153">
        <v>0</v>
      </c>
      <c r="CH783" s="168">
        <v>0</v>
      </c>
      <c r="CI783" s="153">
        <v>0</v>
      </c>
      <c r="CJ783" s="153">
        <v>0</v>
      </c>
      <c r="CK783" s="153">
        <v>1</v>
      </c>
      <c r="CL783" s="153">
        <v>0</v>
      </c>
      <c r="CM783" s="153">
        <v>1</v>
      </c>
      <c r="CN783" s="153">
        <v>0</v>
      </c>
      <c r="CO783" s="153">
        <v>0</v>
      </c>
      <c r="CP783" s="153">
        <v>0</v>
      </c>
      <c r="CQ783" s="153">
        <v>0</v>
      </c>
      <c r="CR783" s="153">
        <v>0</v>
      </c>
      <c r="CS783" s="168">
        <v>1</v>
      </c>
      <c r="CY783" s="171"/>
      <c r="DD783" s="171" t="s">
        <v>86</v>
      </c>
    </row>
    <row r="784" spans="1:108" x14ac:dyDescent="0.25">
      <c r="A784">
        <v>783</v>
      </c>
      <c r="B784">
        <v>48</v>
      </c>
      <c r="C784" s="25" t="s">
        <v>511</v>
      </c>
      <c r="D784" s="12">
        <v>18.399999999999999</v>
      </c>
      <c r="E784" s="14">
        <v>0.4</v>
      </c>
      <c r="F784" s="7">
        <f t="shared" si="558"/>
        <v>45.999999999999993</v>
      </c>
      <c r="G784" s="7">
        <f t="shared" si="542"/>
        <v>18</v>
      </c>
      <c r="H784" s="16">
        <f t="shared" si="543"/>
        <v>18.799999999999997</v>
      </c>
      <c r="I784" s="11">
        <f t="shared" si="553"/>
        <v>0.56442779993810444</v>
      </c>
      <c r="J784" s="33">
        <f t="shared" si="554"/>
        <v>1.2270169563871839E-2</v>
      </c>
      <c r="K784" s="33">
        <f t="shared" si="555"/>
        <v>81.498466243236749</v>
      </c>
      <c r="L784" s="33">
        <f t="shared" si="556"/>
        <v>0.5521576303742326</v>
      </c>
      <c r="M784" s="33">
        <f t="shared" si="557"/>
        <v>0.57669796950197627</v>
      </c>
      <c r="N784" s="8">
        <v>0</v>
      </c>
      <c r="O784" s="9">
        <v>1</v>
      </c>
      <c r="P784" s="8">
        <v>0</v>
      </c>
      <c r="Q784" s="9">
        <v>0</v>
      </c>
      <c r="R784" s="9">
        <v>1</v>
      </c>
      <c r="S784" s="9">
        <v>0</v>
      </c>
      <c r="T784" s="9">
        <v>0</v>
      </c>
      <c r="U784" s="8">
        <v>4530</v>
      </c>
      <c r="V784" s="9">
        <v>3</v>
      </c>
      <c r="W784" s="9">
        <f t="shared" si="549"/>
        <v>4526</v>
      </c>
      <c r="X784" s="9">
        <f t="shared" si="559"/>
        <v>9</v>
      </c>
      <c r="Y784" s="7">
        <f>(0*AN784+9*AO784+15*AP784+18*AQ784)</f>
        <v>10.29</v>
      </c>
      <c r="Z784" s="7">
        <f>BQ784-Y784-6</f>
        <v>23.21</v>
      </c>
      <c r="AA784" s="9">
        <v>1</v>
      </c>
      <c r="AB784" s="9">
        <v>0</v>
      </c>
      <c r="AC784" s="9">
        <v>0</v>
      </c>
      <c r="AD784" s="9">
        <v>0</v>
      </c>
      <c r="AE784" s="9">
        <v>0</v>
      </c>
      <c r="AF784" s="9">
        <v>1</v>
      </c>
      <c r="AG784" s="8">
        <v>0</v>
      </c>
      <c r="AH784" s="9">
        <v>0</v>
      </c>
      <c r="AI784" s="30">
        <v>1</v>
      </c>
      <c r="AJ784" s="9">
        <v>0</v>
      </c>
      <c r="AK784" s="30">
        <v>1</v>
      </c>
      <c r="AL784" s="21">
        <v>2001</v>
      </c>
      <c r="AM784" s="23">
        <f t="shared" si="561"/>
        <v>7.6014023345837334</v>
      </c>
      <c r="AN784" s="33">
        <v>0</v>
      </c>
      <c r="AO784" s="33">
        <v>0.79</v>
      </c>
      <c r="AP784" s="33">
        <v>0.2</v>
      </c>
      <c r="AQ784" s="43">
        <v>0.01</v>
      </c>
      <c r="AR784" s="33" t="s">
        <v>106</v>
      </c>
      <c r="AS784" s="43" t="s">
        <v>106</v>
      </c>
      <c r="AT784" s="42" t="s">
        <v>106</v>
      </c>
      <c r="AU784" s="18" t="s">
        <v>106</v>
      </c>
      <c r="AV784" s="39">
        <f>1-AW784</f>
        <v>0.61</v>
      </c>
      <c r="AW784" s="40">
        <v>0.39</v>
      </c>
      <c r="AX784" s="39">
        <f>1-AY784</f>
        <v>0.78800000000000003</v>
      </c>
      <c r="AY784" s="40">
        <v>0.21199999999999999</v>
      </c>
      <c r="BA784" s="18"/>
      <c r="BB784">
        <v>0.36820000000000003</v>
      </c>
      <c r="BC784" s="18">
        <f>1-BB784</f>
        <v>0.63179999999999992</v>
      </c>
      <c r="BD784" s="18" t="s">
        <v>512</v>
      </c>
      <c r="BK784" s="18"/>
      <c r="BN784" s="18"/>
      <c r="BQ784" s="25">
        <v>39.5</v>
      </c>
      <c r="BR784">
        <v>1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s="18">
        <v>0</v>
      </c>
      <c r="BZ784">
        <v>0</v>
      </c>
      <c r="CA784">
        <v>0</v>
      </c>
      <c r="CB784">
        <v>1</v>
      </c>
      <c r="CC784" s="18">
        <v>0</v>
      </c>
      <c r="CD784">
        <v>0</v>
      </c>
      <c r="CE784">
        <v>0</v>
      </c>
      <c r="CF784">
        <v>0</v>
      </c>
      <c r="CG784">
        <v>0</v>
      </c>
      <c r="CH784" s="18">
        <v>0</v>
      </c>
      <c r="CI784">
        <v>1</v>
      </c>
      <c r="CJ784">
        <v>1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 s="18">
        <v>0</v>
      </c>
      <c r="DD784" s="34" t="s">
        <v>86</v>
      </c>
    </row>
    <row r="785" spans="1:108" x14ac:dyDescent="0.25">
      <c r="A785">
        <v>784</v>
      </c>
      <c r="B785">
        <v>48</v>
      </c>
      <c r="C785" s="25" t="s">
        <v>511</v>
      </c>
      <c r="D785" s="12">
        <v>16</v>
      </c>
      <c r="E785" s="14">
        <v>0.4</v>
      </c>
      <c r="F785" s="7">
        <f t="shared" si="558"/>
        <v>40</v>
      </c>
      <c r="G785" s="7">
        <f t="shared" si="542"/>
        <v>15.6</v>
      </c>
      <c r="H785" s="16">
        <f t="shared" si="543"/>
        <v>16.399999999999999</v>
      </c>
      <c r="I785" s="11">
        <f t="shared" ref="I785:I807" si="563">IFERROR(F785/SQRT(F785^2+W785), "X")</f>
        <v>0.36366641995444088</v>
      </c>
      <c r="J785" s="33">
        <f t="shared" ref="J785:J807" si="564">IFERROR(SQRT((1-I785^2)/W785), "X")</f>
        <v>9.0916604988610216E-3</v>
      </c>
      <c r="K785" s="33">
        <f t="shared" ref="K785:K807" si="565">IFERROR(1/J785, "X")</f>
        <v>109.99090871522064</v>
      </c>
      <c r="L785" s="33">
        <f t="shared" ref="L785:L807" si="566">IFERROR(I785-J785, "X")</f>
        <v>0.35457475945557987</v>
      </c>
      <c r="M785" s="33">
        <f t="shared" ref="M785:M807" si="567">IFERROR(I785+J785, "X")</f>
        <v>0.37275808045330189</v>
      </c>
      <c r="N785" s="8">
        <v>0</v>
      </c>
      <c r="O785" s="9">
        <v>1</v>
      </c>
      <c r="P785" s="8">
        <v>0</v>
      </c>
      <c r="Q785" s="9">
        <v>0</v>
      </c>
      <c r="R785" s="9">
        <v>1</v>
      </c>
      <c r="S785" s="9">
        <v>0</v>
      </c>
      <c r="T785" s="9">
        <v>0</v>
      </c>
      <c r="U785" s="8">
        <v>10502</v>
      </c>
      <c r="V785" s="9">
        <v>3</v>
      </c>
      <c r="W785" s="9">
        <f t="shared" si="549"/>
        <v>10498</v>
      </c>
      <c r="X785" s="9">
        <f t="shared" si="559"/>
        <v>9</v>
      </c>
      <c r="Y785" s="7">
        <f t="shared" ref="Y785:Y792" si="568">(0*AN785+9*AO785+15*AP785+18*AQ785)</f>
        <v>10.079999999999998</v>
      </c>
      <c r="Z785" s="7">
        <f t="shared" ref="Z785:Z792" si="569">BQ785-Y785-6</f>
        <v>23.42</v>
      </c>
      <c r="AA785" s="9">
        <v>1</v>
      </c>
      <c r="AB785" s="9">
        <v>0</v>
      </c>
      <c r="AC785" s="9">
        <v>0</v>
      </c>
      <c r="AD785" s="9">
        <v>0</v>
      </c>
      <c r="AE785" s="9">
        <v>0</v>
      </c>
      <c r="AF785" s="9">
        <v>1</v>
      </c>
      <c r="AG785" s="8">
        <v>0</v>
      </c>
      <c r="AH785" s="9">
        <v>0</v>
      </c>
      <c r="AI785" s="30">
        <v>1</v>
      </c>
      <c r="AJ785" s="9">
        <v>0</v>
      </c>
      <c r="AK785" s="30">
        <v>1</v>
      </c>
      <c r="AL785" s="21">
        <v>2006</v>
      </c>
      <c r="AM785" s="23">
        <f t="shared" si="561"/>
        <v>7.6038979685218813</v>
      </c>
      <c r="AN785" s="33">
        <v>0</v>
      </c>
      <c r="AO785" s="33">
        <v>0.83</v>
      </c>
      <c r="AP785" s="33">
        <v>0.15</v>
      </c>
      <c r="AQ785" s="43">
        <v>0.02</v>
      </c>
      <c r="AR785" s="33" t="s">
        <v>106</v>
      </c>
      <c r="AS785" s="43" t="s">
        <v>106</v>
      </c>
      <c r="AT785" s="42" t="s">
        <v>106</v>
      </c>
      <c r="AU785" s="18" t="s">
        <v>106</v>
      </c>
      <c r="AV785" s="39">
        <f t="shared" ref="AV785:AV792" si="570">1-AW785</f>
        <v>0.62</v>
      </c>
      <c r="AW785" s="40">
        <v>0.38</v>
      </c>
      <c r="AX785" s="39">
        <f t="shared" ref="AX785:AX792" si="571">1-AY785</f>
        <v>0.80259999999999998</v>
      </c>
      <c r="AY785" s="40">
        <v>0.19739999999999999</v>
      </c>
      <c r="BA785" s="18"/>
      <c r="BB785">
        <v>0.39300000000000002</v>
      </c>
      <c r="BC785" s="18">
        <f t="shared" ref="BC785:BC792" si="572">1-BB785</f>
        <v>0.60699999999999998</v>
      </c>
      <c r="BD785" s="18" t="s">
        <v>512</v>
      </c>
      <c r="BK785" s="18"/>
      <c r="BN785" s="18"/>
      <c r="BQ785" s="25">
        <v>39.5</v>
      </c>
      <c r="BR785">
        <v>1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s="18">
        <v>0</v>
      </c>
      <c r="BZ785">
        <v>0</v>
      </c>
      <c r="CA785">
        <v>0</v>
      </c>
      <c r="CB785">
        <v>1</v>
      </c>
      <c r="CC785" s="18">
        <v>0</v>
      </c>
      <c r="CD785">
        <v>0</v>
      </c>
      <c r="CE785">
        <v>0</v>
      </c>
      <c r="CF785">
        <v>0</v>
      </c>
      <c r="CG785">
        <v>0</v>
      </c>
      <c r="CH785" s="18">
        <v>0</v>
      </c>
      <c r="CI785">
        <v>1</v>
      </c>
      <c r="CJ785">
        <v>1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 s="18">
        <v>0</v>
      </c>
      <c r="DD785" s="34" t="s">
        <v>86</v>
      </c>
    </row>
    <row r="786" spans="1:108" x14ac:dyDescent="0.25">
      <c r="A786">
        <v>785</v>
      </c>
      <c r="B786">
        <v>48</v>
      </c>
      <c r="C786" s="25" t="s">
        <v>511</v>
      </c>
      <c r="D786" s="12">
        <v>16.399999999999999</v>
      </c>
      <c r="E786" s="14">
        <v>0.4</v>
      </c>
      <c r="F786" s="7">
        <f t="shared" si="558"/>
        <v>40.999999999999993</v>
      </c>
      <c r="G786" s="7">
        <f t="shared" si="542"/>
        <v>15.999999999999998</v>
      </c>
      <c r="H786" s="16">
        <f t="shared" si="543"/>
        <v>16.799999999999997</v>
      </c>
      <c r="I786" s="11">
        <f t="shared" si="563"/>
        <v>0.32424493852851566</v>
      </c>
      <c r="J786" s="33">
        <f t="shared" si="564"/>
        <v>7.9084131348418473E-3</v>
      </c>
      <c r="K786" s="33">
        <f t="shared" si="565"/>
        <v>126.44761761298628</v>
      </c>
      <c r="L786" s="33">
        <f t="shared" si="566"/>
        <v>0.3163365253936738</v>
      </c>
      <c r="M786" s="33">
        <f t="shared" si="567"/>
        <v>0.33215335166335752</v>
      </c>
      <c r="N786" s="8">
        <v>0</v>
      </c>
      <c r="O786" s="9">
        <v>1</v>
      </c>
      <c r="P786" s="8">
        <v>0</v>
      </c>
      <c r="Q786" s="9">
        <v>0</v>
      </c>
      <c r="R786" s="9">
        <v>1</v>
      </c>
      <c r="S786" s="9">
        <v>0</v>
      </c>
      <c r="T786" s="9">
        <v>0</v>
      </c>
      <c r="U786" s="8">
        <v>14312</v>
      </c>
      <c r="V786" s="9">
        <v>3</v>
      </c>
      <c r="W786" s="9">
        <f t="shared" si="549"/>
        <v>14308</v>
      </c>
      <c r="X786" s="9">
        <f t="shared" si="559"/>
        <v>9</v>
      </c>
      <c r="Y786" s="7">
        <f t="shared" si="568"/>
        <v>11.01</v>
      </c>
      <c r="Z786" s="7">
        <f t="shared" si="569"/>
        <v>22.490000000000002</v>
      </c>
      <c r="AA786" s="9">
        <v>1</v>
      </c>
      <c r="AB786" s="9">
        <v>0</v>
      </c>
      <c r="AC786" s="9">
        <v>0</v>
      </c>
      <c r="AD786" s="9">
        <v>0</v>
      </c>
      <c r="AE786" s="9">
        <v>0</v>
      </c>
      <c r="AF786" s="9">
        <v>1</v>
      </c>
      <c r="AG786" s="8">
        <v>0</v>
      </c>
      <c r="AH786" s="9">
        <v>0</v>
      </c>
      <c r="AI786" s="30">
        <v>1</v>
      </c>
      <c r="AJ786" s="9">
        <v>0</v>
      </c>
      <c r="AK786" s="30">
        <v>1</v>
      </c>
      <c r="AL786" s="21">
        <v>2014</v>
      </c>
      <c r="AM786" s="23">
        <f t="shared" si="561"/>
        <v>7.6078780732785072</v>
      </c>
      <c r="AN786" s="33">
        <v>0</v>
      </c>
      <c r="AO786" s="33">
        <v>0.7</v>
      </c>
      <c r="AP786" s="33">
        <v>0.23</v>
      </c>
      <c r="AQ786" s="43">
        <v>7.0000000000000007E-2</v>
      </c>
      <c r="AR786" s="33" t="s">
        <v>106</v>
      </c>
      <c r="AS786" s="43" t="s">
        <v>106</v>
      </c>
      <c r="AT786" s="42" t="s">
        <v>106</v>
      </c>
      <c r="AU786" s="18" t="s">
        <v>106</v>
      </c>
      <c r="AV786" s="39">
        <f t="shared" si="570"/>
        <v>0.59000000000000008</v>
      </c>
      <c r="AW786" s="40">
        <v>0.41</v>
      </c>
      <c r="AX786" s="39">
        <f t="shared" si="571"/>
        <v>0.79889999999999994</v>
      </c>
      <c r="AY786" s="40">
        <v>0.2011</v>
      </c>
      <c r="BA786" s="18"/>
      <c r="BB786">
        <v>0.1943</v>
      </c>
      <c r="BC786" s="18">
        <f t="shared" si="572"/>
        <v>0.80569999999999997</v>
      </c>
      <c r="BD786" s="18" t="s">
        <v>512</v>
      </c>
      <c r="BK786" s="18"/>
      <c r="BN786" s="18"/>
      <c r="BQ786" s="25">
        <v>39.5</v>
      </c>
      <c r="BR786">
        <v>1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s="18">
        <v>0</v>
      </c>
      <c r="BZ786">
        <v>0</v>
      </c>
      <c r="CA786">
        <v>0</v>
      </c>
      <c r="CB786">
        <v>1</v>
      </c>
      <c r="CC786" s="18">
        <v>0</v>
      </c>
      <c r="CD786">
        <v>0</v>
      </c>
      <c r="CE786">
        <v>0</v>
      </c>
      <c r="CF786">
        <v>0</v>
      </c>
      <c r="CG786">
        <v>0</v>
      </c>
      <c r="CH786" s="18">
        <v>0</v>
      </c>
      <c r="CI786">
        <v>1</v>
      </c>
      <c r="CJ786">
        <v>1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 s="18">
        <v>0</v>
      </c>
      <c r="DD786" s="34" t="s">
        <v>86</v>
      </c>
    </row>
    <row r="787" spans="1:108" x14ac:dyDescent="0.25">
      <c r="A787">
        <v>786</v>
      </c>
      <c r="B787">
        <v>48</v>
      </c>
      <c r="C787" s="25" t="s">
        <v>511</v>
      </c>
      <c r="D787" s="12">
        <v>9.6</v>
      </c>
      <c r="E787" s="14">
        <v>0.4</v>
      </c>
      <c r="F787" s="7">
        <f t="shared" si="558"/>
        <v>23.999999999999996</v>
      </c>
      <c r="G787" s="7">
        <f t="shared" si="542"/>
        <v>9.1999999999999993</v>
      </c>
      <c r="H787" s="16">
        <f t="shared" si="543"/>
        <v>10</v>
      </c>
      <c r="I787" s="11">
        <f t="shared" si="563"/>
        <v>0.26153475390982339</v>
      </c>
      <c r="J787" s="33">
        <f t="shared" si="564"/>
        <v>1.0897281412909309E-2</v>
      </c>
      <c r="K787" s="33">
        <f t="shared" si="565"/>
        <v>91.766006778109286</v>
      </c>
      <c r="L787" s="33">
        <f t="shared" si="566"/>
        <v>0.25063747249691409</v>
      </c>
      <c r="M787" s="33">
        <f t="shared" si="567"/>
        <v>0.27243203532273269</v>
      </c>
      <c r="N787" s="8">
        <v>0</v>
      </c>
      <c r="O787" s="9">
        <v>1</v>
      </c>
      <c r="P787" s="8">
        <v>0</v>
      </c>
      <c r="Q787" s="9">
        <v>0</v>
      </c>
      <c r="R787" s="9">
        <v>1</v>
      </c>
      <c r="S787" s="9">
        <v>0</v>
      </c>
      <c r="T787" s="9">
        <v>0</v>
      </c>
      <c r="U787" s="8">
        <v>7860</v>
      </c>
      <c r="V787" s="9">
        <v>14</v>
      </c>
      <c r="W787" s="9">
        <f t="shared" si="549"/>
        <v>7845</v>
      </c>
      <c r="X787" s="9">
        <f t="shared" si="559"/>
        <v>9</v>
      </c>
      <c r="Y787" s="7">
        <f t="shared" si="568"/>
        <v>10.29</v>
      </c>
      <c r="Z787" s="7">
        <f t="shared" si="569"/>
        <v>23.21</v>
      </c>
      <c r="AA787" s="9">
        <v>1</v>
      </c>
      <c r="AB787" s="9">
        <v>0</v>
      </c>
      <c r="AC787" s="9">
        <v>0</v>
      </c>
      <c r="AD787" s="9">
        <v>0</v>
      </c>
      <c r="AE787" s="9">
        <v>0</v>
      </c>
      <c r="AF787" s="9">
        <v>1</v>
      </c>
      <c r="AG787" s="8">
        <v>0</v>
      </c>
      <c r="AH787" s="9">
        <v>0</v>
      </c>
      <c r="AI787" s="30">
        <v>1</v>
      </c>
      <c r="AJ787" s="9">
        <v>0</v>
      </c>
      <c r="AK787" s="30">
        <v>1</v>
      </c>
      <c r="AL787" s="21">
        <v>2001</v>
      </c>
      <c r="AM787" s="23">
        <f t="shared" si="561"/>
        <v>7.6014023345837334</v>
      </c>
      <c r="AN787" s="33">
        <v>0</v>
      </c>
      <c r="AO787" s="33">
        <v>0.79</v>
      </c>
      <c r="AP787" s="33">
        <v>0.2</v>
      </c>
      <c r="AQ787" s="43">
        <v>0.01</v>
      </c>
      <c r="AR787" s="33" t="s">
        <v>106</v>
      </c>
      <c r="AS787" s="43" t="s">
        <v>106</v>
      </c>
      <c r="AT787" s="42" t="s">
        <v>106</v>
      </c>
      <c r="AU787" s="18" t="s">
        <v>106</v>
      </c>
      <c r="AV787" s="39">
        <f t="shared" si="570"/>
        <v>0.61</v>
      </c>
      <c r="AW787" s="40">
        <v>0.39</v>
      </c>
      <c r="AX787" s="39">
        <f t="shared" si="571"/>
        <v>0.78800000000000003</v>
      </c>
      <c r="AY787" s="40">
        <v>0.21199999999999999</v>
      </c>
      <c r="BA787" s="18"/>
      <c r="BB787">
        <v>0.36820000000000003</v>
      </c>
      <c r="BC787" s="18">
        <f t="shared" si="572"/>
        <v>0.63179999999999992</v>
      </c>
      <c r="BD787" s="18" t="s">
        <v>512</v>
      </c>
      <c r="BK787" s="18"/>
      <c r="BN787" s="18"/>
      <c r="BQ787" s="25">
        <v>39.5</v>
      </c>
      <c r="BR787">
        <v>1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s="18">
        <v>0</v>
      </c>
      <c r="BZ787">
        <v>0</v>
      </c>
      <c r="CA787">
        <v>0</v>
      </c>
      <c r="CB787">
        <v>1</v>
      </c>
      <c r="CC787" s="18">
        <v>0</v>
      </c>
      <c r="CD787">
        <v>0</v>
      </c>
      <c r="CE787">
        <v>0</v>
      </c>
      <c r="CF787">
        <v>0</v>
      </c>
      <c r="CG787">
        <v>0</v>
      </c>
      <c r="CH787" s="18">
        <v>0</v>
      </c>
      <c r="CI787">
        <v>1</v>
      </c>
      <c r="CJ787">
        <v>1</v>
      </c>
      <c r="CK787">
        <v>0</v>
      </c>
      <c r="CL787">
        <v>0</v>
      </c>
      <c r="CM787">
        <v>0</v>
      </c>
      <c r="CN787">
        <v>0</v>
      </c>
      <c r="CO787">
        <v>1</v>
      </c>
      <c r="CP787">
        <v>1</v>
      </c>
      <c r="CQ787">
        <v>0</v>
      </c>
      <c r="CR787">
        <v>1</v>
      </c>
      <c r="CS787" s="18">
        <v>0</v>
      </c>
      <c r="DD787" s="34" t="s">
        <v>86</v>
      </c>
    </row>
    <row r="788" spans="1:108" x14ac:dyDescent="0.25">
      <c r="A788">
        <v>787</v>
      </c>
      <c r="B788">
        <v>48</v>
      </c>
      <c r="C788" s="25" t="s">
        <v>511</v>
      </c>
      <c r="D788" s="12">
        <v>8.9</v>
      </c>
      <c r="E788" s="14">
        <v>0.4</v>
      </c>
      <c r="F788" s="7">
        <f t="shared" si="558"/>
        <v>22.25</v>
      </c>
      <c r="G788" s="7">
        <f t="shared" si="542"/>
        <v>8.5</v>
      </c>
      <c r="H788" s="16">
        <f t="shared" si="543"/>
        <v>9.3000000000000007</v>
      </c>
      <c r="I788" s="11">
        <f t="shared" si="563"/>
        <v>0.21231860878491449</v>
      </c>
      <c r="J788" s="33">
        <f t="shared" si="564"/>
        <v>9.5424093835916619E-3</v>
      </c>
      <c r="K788" s="33">
        <f t="shared" si="565"/>
        <v>104.79533625119011</v>
      </c>
      <c r="L788" s="33">
        <f t="shared" si="566"/>
        <v>0.20277619940132283</v>
      </c>
      <c r="M788" s="33">
        <f t="shared" si="567"/>
        <v>0.22186101816850615</v>
      </c>
      <c r="N788" s="8">
        <v>0</v>
      </c>
      <c r="O788" s="9">
        <v>1</v>
      </c>
      <c r="P788" s="8">
        <v>0</v>
      </c>
      <c r="Q788" s="9">
        <v>0</v>
      </c>
      <c r="R788" s="9">
        <v>1</v>
      </c>
      <c r="S788" s="9">
        <v>0</v>
      </c>
      <c r="T788" s="9">
        <v>0</v>
      </c>
      <c r="U788" s="8">
        <v>10502</v>
      </c>
      <c r="V788" s="9">
        <v>14</v>
      </c>
      <c r="W788" s="9">
        <f t="shared" si="549"/>
        <v>10487</v>
      </c>
      <c r="X788" s="9">
        <f t="shared" si="559"/>
        <v>9</v>
      </c>
      <c r="Y788" s="7">
        <f t="shared" si="568"/>
        <v>10.079999999999998</v>
      </c>
      <c r="Z788" s="7">
        <f t="shared" si="569"/>
        <v>23.42</v>
      </c>
      <c r="AA788" s="9">
        <v>1</v>
      </c>
      <c r="AB788" s="9">
        <v>0</v>
      </c>
      <c r="AC788" s="9">
        <v>0</v>
      </c>
      <c r="AD788" s="9">
        <v>0</v>
      </c>
      <c r="AE788" s="9">
        <v>0</v>
      </c>
      <c r="AF788" s="9">
        <v>1</v>
      </c>
      <c r="AG788" s="8">
        <v>0</v>
      </c>
      <c r="AH788" s="9">
        <v>0</v>
      </c>
      <c r="AI788" s="30">
        <v>1</v>
      </c>
      <c r="AJ788" s="9">
        <v>0</v>
      </c>
      <c r="AK788" s="30">
        <v>1</v>
      </c>
      <c r="AL788" s="21">
        <v>2006</v>
      </c>
      <c r="AM788" s="23">
        <f t="shared" si="561"/>
        <v>7.6038979685218813</v>
      </c>
      <c r="AN788" s="33">
        <v>0</v>
      </c>
      <c r="AO788" s="33">
        <v>0.83</v>
      </c>
      <c r="AP788" s="33">
        <v>0.15</v>
      </c>
      <c r="AQ788" s="43">
        <v>0.02</v>
      </c>
      <c r="AR788" s="33" t="s">
        <v>106</v>
      </c>
      <c r="AS788" s="43" t="s">
        <v>106</v>
      </c>
      <c r="AT788" s="42" t="s">
        <v>106</v>
      </c>
      <c r="AU788" s="18" t="s">
        <v>106</v>
      </c>
      <c r="AV788" s="39">
        <f t="shared" si="570"/>
        <v>0.62</v>
      </c>
      <c r="AW788" s="40">
        <v>0.38</v>
      </c>
      <c r="AX788" s="39">
        <f t="shared" si="571"/>
        <v>0.80259999999999998</v>
      </c>
      <c r="AY788" s="40">
        <v>0.19739999999999999</v>
      </c>
      <c r="BA788" s="18"/>
      <c r="BB788">
        <v>0.39300000000000002</v>
      </c>
      <c r="BC788" s="18">
        <f t="shared" si="572"/>
        <v>0.60699999999999998</v>
      </c>
      <c r="BD788" s="18" t="s">
        <v>512</v>
      </c>
      <c r="BK788" s="18"/>
      <c r="BN788" s="18"/>
      <c r="BQ788" s="25">
        <v>39.5</v>
      </c>
      <c r="BR788">
        <v>1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s="18">
        <v>0</v>
      </c>
      <c r="BZ788">
        <v>0</v>
      </c>
      <c r="CA788">
        <v>0</v>
      </c>
      <c r="CB788">
        <v>1</v>
      </c>
      <c r="CC788" s="18">
        <v>0</v>
      </c>
      <c r="CD788">
        <v>0</v>
      </c>
      <c r="CE788">
        <v>0</v>
      </c>
      <c r="CF788">
        <v>0</v>
      </c>
      <c r="CG788">
        <v>0</v>
      </c>
      <c r="CH788" s="18">
        <v>0</v>
      </c>
      <c r="CI788">
        <v>1</v>
      </c>
      <c r="CJ788">
        <v>1</v>
      </c>
      <c r="CK788">
        <v>0</v>
      </c>
      <c r="CL788">
        <v>0</v>
      </c>
      <c r="CM788">
        <v>0</v>
      </c>
      <c r="CN788">
        <v>0</v>
      </c>
      <c r="CO788">
        <v>1</v>
      </c>
      <c r="CP788">
        <v>1</v>
      </c>
      <c r="CQ788">
        <v>0</v>
      </c>
      <c r="CR788">
        <v>1</v>
      </c>
      <c r="CS788" s="18">
        <v>0</v>
      </c>
      <c r="DD788" s="34" t="s">
        <v>86</v>
      </c>
    </row>
    <row r="789" spans="1:108" x14ac:dyDescent="0.25">
      <c r="A789">
        <v>788</v>
      </c>
      <c r="B789">
        <v>48</v>
      </c>
      <c r="C789" s="25" t="s">
        <v>511</v>
      </c>
      <c r="D789" s="12">
        <v>10.8</v>
      </c>
      <c r="E789" s="14">
        <v>0.3</v>
      </c>
      <c r="F789" s="7">
        <f t="shared" si="558"/>
        <v>36.000000000000007</v>
      </c>
      <c r="G789" s="7">
        <f t="shared" si="542"/>
        <v>10.5</v>
      </c>
      <c r="H789" s="16">
        <f t="shared" si="543"/>
        <v>11.100000000000001</v>
      </c>
      <c r="I789" s="11">
        <f t="shared" si="563"/>
        <v>0.28829536575931408</v>
      </c>
      <c r="J789" s="33">
        <f t="shared" si="564"/>
        <v>8.0082046044253896E-3</v>
      </c>
      <c r="K789" s="33">
        <f t="shared" si="565"/>
        <v>124.87193439680513</v>
      </c>
      <c r="L789" s="33">
        <f t="shared" si="566"/>
        <v>0.28028716115488872</v>
      </c>
      <c r="M789" s="33">
        <f t="shared" si="567"/>
        <v>0.29630357036373944</v>
      </c>
      <c r="N789" s="8">
        <v>0</v>
      </c>
      <c r="O789" s="9">
        <v>1</v>
      </c>
      <c r="P789" s="8">
        <v>0</v>
      </c>
      <c r="Q789" s="9">
        <v>0</v>
      </c>
      <c r="R789" s="9">
        <v>1</v>
      </c>
      <c r="S789" s="9">
        <v>0</v>
      </c>
      <c r="T789" s="9">
        <v>0</v>
      </c>
      <c r="U789" s="8">
        <v>14312</v>
      </c>
      <c r="V789" s="9">
        <v>14</v>
      </c>
      <c r="W789" s="9">
        <f t="shared" si="549"/>
        <v>14297</v>
      </c>
      <c r="X789" s="9">
        <f t="shared" si="559"/>
        <v>9</v>
      </c>
      <c r="Y789" s="7">
        <f t="shared" si="568"/>
        <v>11.01</v>
      </c>
      <c r="Z789" s="7">
        <f t="shared" si="569"/>
        <v>22.490000000000002</v>
      </c>
      <c r="AA789" s="9">
        <v>1</v>
      </c>
      <c r="AB789" s="9">
        <v>0</v>
      </c>
      <c r="AC789" s="9">
        <v>0</v>
      </c>
      <c r="AD789" s="9">
        <v>0</v>
      </c>
      <c r="AE789" s="9">
        <v>0</v>
      </c>
      <c r="AF789" s="9">
        <v>1</v>
      </c>
      <c r="AG789" s="8">
        <v>0</v>
      </c>
      <c r="AH789" s="9">
        <v>0</v>
      </c>
      <c r="AI789" s="30">
        <v>1</v>
      </c>
      <c r="AJ789" s="9">
        <v>0</v>
      </c>
      <c r="AK789" s="30">
        <v>1</v>
      </c>
      <c r="AL789" s="21">
        <v>2014</v>
      </c>
      <c r="AM789" s="23">
        <f t="shared" si="561"/>
        <v>7.6078780732785072</v>
      </c>
      <c r="AN789" s="33">
        <v>0</v>
      </c>
      <c r="AO789" s="33">
        <v>0.7</v>
      </c>
      <c r="AP789" s="33">
        <v>0.23</v>
      </c>
      <c r="AQ789" s="43">
        <v>7.0000000000000007E-2</v>
      </c>
      <c r="AR789" s="33" t="s">
        <v>106</v>
      </c>
      <c r="AS789" s="43" t="s">
        <v>106</v>
      </c>
      <c r="AT789" s="42" t="s">
        <v>106</v>
      </c>
      <c r="AU789" s="18" t="s">
        <v>106</v>
      </c>
      <c r="AV789" s="39">
        <f t="shared" si="570"/>
        <v>0.59000000000000008</v>
      </c>
      <c r="AW789" s="40">
        <v>0.41</v>
      </c>
      <c r="AX789" s="39">
        <f t="shared" si="571"/>
        <v>0.79889999999999994</v>
      </c>
      <c r="AY789" s="40">
        <v>0.2011</v>
      </c>
      <c r="BA789" s="18"/>
      <c r="BB789">
        <v>0.1943</v>
      </c>
      <c r="BC789" s="18">
        <f t="shared" si="572"/>
        <v>0.80569999999999997</v>
      </c>
      <c r="BD789" s="18" t="s">
        <v>512</v>
      </c>
      <c r="BK789" s="18"/>
      <c r="BN789" s="18"/>
      <c r="BQ789" s="25">
        <v>39.5</v>
      </c>
      <c r="BR789">
        <v>1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s="18">
        <v>0</v>
      </c>
      <c r="BZ789">
        <v>0</v>
      </c>
      <c r="CA789">
        <v>0</v>
      </c>
      <c r="CB789">
        <v>1</v>
      </c>
      <c r="CC789" s="18">
        <v>0</v>
      </c>
      <c r="CD789">
        <v>0</v>
      </c>
      <c r="CE789">
        <v>0</v>
      </c>
      <c r="CF789">
        <v>0</v>
      </c>
      <c r="CG789">
        <v>0</v>
      </c>
      <c r="CH789" s="18">
        <v>0</v>
      </c>
      <c r="CI789">
        <v>1</v>
      </c>
      <c r="CJ789">
        <v>1</v>
      </c>
      <c r="CK789">
        <v>0</v>
      </c>
      <c r="CL789">
        <v>0</v>
      </c>
      <c r="CM789">
        <v>0</v>
      </c>
      <c r="CN789">
        <v>0</v>
      </c>
      <c r="CO789">
        <v>1</v>
      </c>
      <c r="CP789">
        <v>1</v>
      </c>
      <c r="CQ789">
        <v>0</v>
      </c>
      <c r="CR789">
        <v>1</v>
      </c>
      <c r="CS789" s="18">
        <v>0</v>
      </c>
      <c r="DD789" s="34" t="s">
        <v>86</v>
      </c>
    </row>
    <row r="790" spans="1:108" x14ac:dyDescent="0.25">
      <c r="A790">
        <v>789</v>
      </c>
      <c r="B790">
        <v>48</v>
      </c>
      <c r="C790" s="25" t="s">
        <v>511</v>
      </c>
      <c r="D790" s="12">
        <v>10.8</v>
      </c>
      <c r="E790" s="14">
        <v>0.7</v>
      </c>
      <c r="F790" s="7">
        <f t="shared" si="558"/>
        <v>15.428571428571431</v>
      </c>
      <c r="G790" s="7">
        <f t="shared" si="542"/>
        <v>10.100000000000001</v>
      </c>
      <c r="H790" s="16">
        <f t="shared" si="543"/>
        <v>11.5</v>
      </c>
      <c r="I790" s="11">
        <f t="shared" si="563"/>
        <v>0.17160831599091331</v>
      </c>
      <c r="J790" s="33">
        <f t="shared" si="564"/>
        <v>1.1122761221633269E-2</v>
      </c>
      <c r="K790" s="33">
        <f t="shared" si="565"/>
        <v>89.905732944715666</v>
      </c>
      <c r="L790" s="33">
        <f t="shared" si="566"/>
        <v>0.16048555476928003</v>
      </c>
      <c r="M790" s="33">
        <f t="shared" si="567"/>
        <v>0.18273107721254658</v>
      </c>
      <c r="N790" s="8">
        <v>0</v>
      </c>
      <c r="O790" s="9">
        <v>1</v>
      </c>
      <c r="P790" s="8">
        <v>0</v>
      </c>
      <c r="Q790" s="9">
        <v>0</v>
      </c>
      <c r="R790" s="9">
        <v>1</v>
      </c>
      <c r="S790" s="9">
        <v>0</v>
      </c>
      <c r="T790" s="9">
        <v>0</v>
      </c>
      <c r="U790" s="8">
        <v>7860</v>
      </c>
      <c r="V790" s="9">
        <v>14</v>
      </c>
      <c r="W790" s="9">
        <f t="shared" ref="W790:W815" si="573">U790-V790-1</f>
        <v>7845</v>
      </c>
      <c r="X790" s="9">
        <f t="shared" si="559"/>
        <v>9</v>
      </c>
      <c r="Y790" s="7">
        <f t="shared" si="568"/>
        <v>10.29</v>
      </c>
      <c r="Z790" s="7">
        <f t="shared" si="569"/>
        <v>23.21</v>
      </c>
      <c r="AA790" s="9">
        <v>1</v>
      </c>
      <c r="AB790" s="9">
        <v>0</v>
      </c>
      <c r="AC790" s="9">
        <v>0</v>
      </c>
      <c r="AD790" s="9">
        <v>0</v>
      </c>
      <c r="AE790" s="9">
        <v>0</v>
      </c>
      <c r="AF790" s="9">
        <v>1</v>
      </c>
      <c r="AG790" s="8">
        <v>0</v>
      </c>
      <c r="AH790" s="9">
        <v>0</v>
      </c>
      <c r="AI790" s="30">
        <v>1</v>
      </c>
      <c r="AJ790" s="9">
        <v>0</v>
      </c>
      <c r="AK790" s="30">
        <v>1</v>
      </c>
      <c r="AL790" s="21">
        <v>2001</v>
      </c>
      <c r="AM790" s="23">
        <f t="shared" si="561"/>
        <v>7.6014023345837334</v>
      </c>
      <c r="AN790" s="33">
        <v>0</v>
      </c>
      <c r="AO790" s="33">
        <v>0.79</v>
      </c>
      <c r="AP790" s="33">
        <v>0.2</v>
      </c>
      <c r="AQ790" s="43">
        <v>0.01</v>
      </c>
      <c r="AR790" s="33" t="s">
        <v>106</v>
      </c>
      <c r="AS790" s="43" t="s">
        <v>106</v>
      </c>
      <c r="AT790" s="42" t="s">
        <v>106</v>
      </c>
      <c r="AU790" s="18" t="s">
        <v>106</v>
      </c>
      <c r="AV790" s="39">
        <f t="shared" si="570"/>
        <v>0.61</v>
      </c>
      <c r="AW790" s="40">
        <v>0.39</v>
      </c>
      <c r="AX790" s="39">
        <f t="shared" si="571"/>
        <v>0.78800000000000003</v>
      </c>
      <c r="AY790" s="40">
        <v>0.21199999999999999</v>
      </c>
      <c r="BA790" s="18"/>
      <c r="BB790">
        <v>0.36820000000000003</v>
      </c>
      <c r="BC790" s="18">
        <f t="shared" si="572"/>
        <v>0.63179999999999992</v>
      </c>
      <c r="BD790" s="18" t="s">
        <v>512</v>
      </c>
      <c r="BK790" s="18"/>
      <c r="BN790" s="18"/>
      <c r="BQ790" s="25">
        <v>39.5</v>
      </c>
      <c r="BR790">
        <v>1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s="18">
        <v>0</v>
      </c>
      <c r="BZ790">
        <v>0</v>
      </c>
      <c r="CA790">
        <v>1</v>
      </c>
      <c r="CB790">
        <v>0</v>
      </c>
      <c r="CC790" s="18">
        <v>0</v>
      </c>
      <c r="CD790">
        <v>0</v>
      </c>
      <c r="CE790">
        <v>0</v>
      </c>
      <c r="CF790">
        <v>0</v>
      </c>
      <c r="CG790">
        <v>0</v>
      </c>
      <c r="CH790" s="18">
        <v>0</v>
      </c>
      <c r="CI790">
        <v>1</v>
      </c>
      <c r="CJ790">
        <v>1</v>
      </c>
      <c r="CK790">
        <v>0</v>
      </c>
      <c r="CL790">
        <v>0</v>
      </c>
      <c r="CM790">
        <v>0</v>
      </c>
      <c r="CN790">
        <v>0</v>
      </c>
      <c r="CO790">
        <v>1</v>
      </c>
      <c r="CP790">
        <v>1</v>
      </c>
      <c r="CQ790">
        <v>0</v>
      </c>
      <c r="CR790">
        <v>1</v>
      </c>
      <c r="CS790" s="18">
        <v>0</v>
      </c>
      <c r="DD790" s="34" t="s">
        <v>86</v>
      </c>
    </row>
    <row r="791" spans="1:108" x14ac:dyDescent="0.25">
      <c r="A791">
        <v>790</v>
      </c>
      <c r="B791">
        <v>48</v>
      </c>
      <c r="C791" s="25" t="s">
        <v>511</v>
      </c>
      <c r="D791" s="12">
        <v>12.3</v>
      </c>
      <c r="E791" s="14">
        <v>1</v>
      </c>
      <c r="F791" s="7">
        <f t="shared" si="558"/>
        <v>12.3</v>
      </c>
      <c r="G791" s="7">
        <f t="shared" si="542"/>
        <v>11.3</v>
      </c>
      <c r="H791" s="16">
        <f t="shared" si="543"/>
        <v>13.3</v>
      </c>
      <c r="I791" s="11">
        <f t="shared" si="563"/>
        <v>0.11925296861604824</v>
      </c>
      <c r="J791" s="33">
        <f t="shared" si="564"/>
        <v>9.6953633021177425E-3</v>
      </c>
      <c r="K791" s="33">
        <f t="shared" si="565"/>
        <v>103.14208646328618</v>
      </c>
      <c r="L791" s="33">
        <f t="shared" si="566"/>
        <v>0.1095576053139305</v>
      </c>
      <c r="M791" s="33">
        <f t="shared" si="567"/>
        <v>0.12894833191816599</v>
      </c>
      <c r="N791" s="8">
        <v>0</v>
      </c>
      <c r="O791" s="9">
        <v>1</v>
      </c>
      <c r="P791" s="8">
        <v>0</v>
      </c>
      <c r="Q791" s="9">
        <v>0</v>
      </c>
      <c r="R791" s="9">
        <v>1</v>
      </c>
      <c r="S791" s="9">
        <v>0</v>
      </c>
      <c r="T791" s="9">
        <v>0</v>
      </c>
      <c r="U791" s="8">
        <v>10502</v>
      </c>
      <c r="V791" s="9">
        <v>14</v>
      </c>
      <c r="W791" s="9">
        <f t="shared" si="573"/>
        <v>10487</v>
      </c>
      <c r="X791" s="9">
        <f t="shared" si="559"/>
        <v>9</v>
      </c>
      <c r="Y791" s="7">
        <f t="shared" si="568"/>
        <v>10.079999999999998</v>
      </c>
      <c r="Z791" s="7">
        <f t="shared" si="569"/>
        <v>23.42</v>
      </c>
      <c r="AA791" s="9">
        <v>1</v>
      </c>
      <c r="AB791" s="9">
        <v>0</v>
      </c>
      <c r="AC791" s="9">
        <v>0</v>
      </c>
      <c r="AD791" s="9">
        <v>0</v>
      </c>
      <c r="AE791" s="9">
        <v>0</v>
      </c>
      <c r="AF791" s="9">
        <v>1</v>
      </c>
      <c r="AG791" s="8">
        <v>0</v>
      </c>
      <c r="AH791" s="9">
        <v>0</v>
      </c>
      <c r="AI791" s="30">
        <v>1</v>
      </c>
      <c r="AJ791" s="9">
        <v>0</v>
      </c>
      <c r="AK791" s="30">
        <v>1</v>
      </c>
      <c r="AL791" s="21">
        <v>2006</v>
      </c>
      <c r="AM791" s="23">
        <f t="shared" si="561"/>
        <v>7.6038979685218813</v>
      </c>
      <c r="AN791" s="33">
        <v>0</v>
      </c>
      <c r="AO791" s="33">
        <v>0.83</v>
      </c>
      <c r="AP791" s="33">
        <v>0.15</v>
      </c>
      <c r="AQ791" s="43">
        <v>0.02</v>
      </c>
      <c r="AR791" s="33" t="s">
        <v>106</v>
      </c>
      <c r="AS791" s="43" t="s">
        <v>106</v>
      </c>
      <c r="AT791" s="42" t="s">
        <v>106</v>
      </c>
      <c r="AU791" s="18" t="s">
        <v>106</v>
      </c>
      <c r="AV791" s="39">
        <f t="shared" si="570"/>
        <v>0.62</v>
      </c>
      <c r="AW791" s="40">
        <v>0.38</v>
      </c>
      <c r="AX791" s="39">
        <f t="shared" si="571"/>
        <v>0.80259999999999998</v>
      </c>
      <c r="AY791" s="40">
        <v>0.19739999999999999</v>
      </c>
      <c r="BA791" s="18"/>
      <c r="BB791">
        <v>0.39300000000000002</v>
      </c>
      <c r="BC791" s="18">
        <f t="shared" si="572"/>
        <v>0.60699999999999998</v>
      </c>
      <c r="BD791" s="18" t="s">
        <v>512</v>
      </c>
      <c r="BK791" s="18"/>
      <c r="BN791" s="18"/>
      <c r="BQ791" s="25">
        <v>39.5</v>
      </c>
      <c r="BR791">
        <v>1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s="18">
        <v>0</v>
      </c>
      <c r="BZ791">
        <v>0</v>
      </c>
      <c r="CA791">
        <v>1</v>
      </c>
      <c r="CB791">
        <v>0</v>
      </c>
      <c r="CC791" s="18">
        <v>0</v>
      </c>
      <c r="CD791">
        <v>0</v>
      </c>
      <c r="CE791">
        <v>0</v>
      </c>
      <c r="CF791">
        <v>0</v>
      </c>
      <c r="CG791">
        <v>0</v>
      </c>
      <c r="CH791" s="18">
        <v>0</v>
      </c>
      <c r="CI791">
        <v>1</v>
      </c>
      <c r="CJ791">
        <v>1</v>
      </c>
      <c r="CK791">
        <v>0</v>
      </c>
      <c r="CL791">
        <v>0</v>
      </c>
      <c r="CM791">
        <v>0</v>
      </c>
      <c r="CN791">
        <v>0</v>
      </c>
      <c r="CO791">
        <v>1</v>
      </c>
      <c r="CP791">
        <v>1</v>
      </c>
      <c r="CQ791">
        <v>0</v>
      </c>
      <c r="CR791">
        <v>1</v>
      </c>
      <c r="CS791" s="18">
        <v>0</v>
      </c>
      <c r="DD791" s="34" t="s">
        <v>86</v>
      </c>
    </row>
    <row r="792" spans="1:108" s="153" customFormat="1" x14ac:dyDescent="0.25">
      <c r="A792" s="153">
        <v>791</v>
      </c>
      <c r="B792" s="153">
        <v>48</v>
      </c>
      <c r="C792" s="154" t="s">
        <v>511</v>
      </c>
      <c r="D792" s="155">
        <v>17.399999999999999</v>
      </c>
      <c r="E792" s="156">
        <v>1</v>
      </c>
      <c r="F792" s="157">
        <f t="shared" si="558"/>
        <v>17.399999999999999</v>
      </c>
      <c r="G792" s="157">
        <f t="shared" si="542"/>
        <v>16.399999999999999</v>
      </c>
      <c r="H792" s="158">
        <f t="shared" si="543"/>
        <v>18.399999999999999</v>
      </c>
      <c r="I792" s="159">
        <f t="shared" si="563"/>
        <v>0.14400460822119579</v>
      </c>
      <c r="J792" s="160">
        <f t="shared" si="564"/>
        <v>8.2761269092641258E-3</v>
      </c>
      <c r="K792" s="160">
        <f t="shared" si="565"/>
        <v>120.82946660479803</v>
      </c>
      <c r="L792" s="160">
        <f t="shared" si="566"/>
        <v>0.13572848131193166</v>
      </c>
      <c r="M792" s="160">
        <f t="shared" si="567"/>
        <v>0.15228073513045992</v>
      </c>
      <c r="N792" s="161">
        <v>0</v>
      </c>
      <c r="O792" s="162">
        <v>1</v>
      </c>
      <c r="P792" s="161">
        <v>0</v>
      </c>
      <c r="Q792" s="162">
        <v>0</v>
      </c>
      <c r="R792" s="162">
        <v>1</v>
      </c>
      <c r="S792" s="162">
        <v>0</v>
      </c>
      <c r="T792" s="162">
        <v>0</v>
      </c>
      <c r="U792" s="161">
        <v>14312</v>
      </c>
      <c r="V792" s="162">
        <v>14</v>
      </c>
      <c r="W792" s="162">
        <f t="shared" si="573"/>
        <v>14297</v>
      </c>
      <c r="X792" s="162">
        <f t="shared" si="559"/>
        <v>9</v>
      </c>
      <c r="Y792" s="157">
        <f t="shared" si="568"/>
        <v>11.01</v>
      </c>
      <c r="Z792" s="157">
        <f t="shared" si="569"/>
        <v>22.490000000000002</v>
      </c>
      <c r="AA792" s="162">
        <v>1</v>
      </c>
      <c r="AB792" s="162">
        <v>0</v>
      </c>
      <c r="AC792" s="162">
        <v>0</v>
      </c>
      <c r="AD792" s="162">
        <v>0</v>
      </c>
      <c r="AE792" s="162">
        <v>0</v>
      </c>
      <c r="AF792" s="162">
        <v>1</v>
      </c>
      <c r="AG792" s="161">
        <v>0</v>
      </c>
      <c r="AH792" s="162">
        <v>0</v>
      </c>
      <c r="AI792" s="163">
        <v>1</v>
      </c>
      <c r="AJ792" s="162">
        <v>0</v>
      </c>
      <c r="AK792" s="163">
        <v>1</v>
      </c>
      <c r="AL792" s="164">
        <v>2014</v>
      </c>
      <c r="AM792" s="165">
        <f t="shared" si="561"/>
        <v>7.6078780732785072</v>
      </c>
      <c r="AN792" s="160">
        <v>0</v>
      </c>
      <c r="AO792" s="160">
        <v>0.7</v>
      </c>
      <c r="AP792" s="160">
        <v>0.23</v>
      </c>
      <c r="AQ792" s="166">
        <v>7.0000000000000007E-2</v>
      </c>
      <c r="AR792" s="160" t="s">
        <v>106</v>
      </c>
      <c r="AS792" s="166" t="s">
        <v>106</v>
      </c>
      <c r="AT792" s="167" t="s">
        <v>106</v>
      </c>
      <c r="AU792" s="168" t="s">
        <v>106</v>
      </c>
      <c r="AV792" s="188">
        <f t="shared" si="570"/>
        <v>0.59000000000000008</v>
      </c>
      <c r="AW792" s="169">
        <v>0.41</v>
      </c>
      <c r="AX792" s="188">
        <f t="shared" si="571"/>
        <v>0.79889999999999994</v>
      </c>
      <c r="AY792" s="169">
        <v>0.2011</v>
      </c>
      <c r="BA792" s="168"/>
      <c r="BB792" s="153">
        <v>0.1943</v>
      </c>
      <c r="BC792" s="168">
        <f t="shared" si="572"/>
        <v>0.80569999999999997</v>
      </c>
      <c r="BD792" s="168" t="s">
        <v>512</v>
      </c>
      <c r="BK792" s="168"/>
      <c r="BN792" s="168"/>
      <c r="BQ792" s="154">
        <v>39.5</v>
      </c>
      <c r="BR792" s="153">
        <v>1</v>
      </c>
      <c r="BS792" s="153">
        <v>0</v>
      </c>
      <c r="BT792" s="153">
        <v>0</v>
      </c>
      <c r="BU792" s="153">
        <v>0</v>
      </c>
      <c r="BV792" s="153">
        <v>0</v>
      </c>
      <c r="BW792" s="153">
        <v>0</v>
      </c>
      <c r="BX792" s="153">
        <v>0</v>
      </c>
      <c r="BY792" s="168">
        <v>0</v>
      </c>
      <c r="BZ792" s="153">
        <v>0</v>
      </c>
      <c r="CA792" s="153">
        <v>1</v>
      </c>
      <c r="CB792" s="153">
        <v>0</v>
      </c>
      <c r="CC792" s="168">
        <v>0</v>
      </c>
      <c r="CD792" s="153">
        <v>0</v>
      </c>
      <c r="CE792" s="153">
        <v>0</v>
      </c>
      <c r="CF792" s="153">
        <v>0</v>
      </c>
      <c r="CG792" s="153">
        <v>0</v>
      </c>
      <c r="CH792" s="168">
        <v>0</v>
      </c>
      <c r="CI792" s="153">
        <v>1</v>
      </c>
      <c r="CJ792" s="153">
        <v>1</v>
      </c>
      <c r="CK792" s="153">
        <v>0</v>
      </c>
      <c r="CL792" s="153">
        <v>0</v>
      </c>
      <c r="CM792" s="153">
        <v>0</v>
      </c>
      <c r="CN792" s="153">
        <v>0</v>
      </c>
      <c r="CO792" s="153">
        <v>1</v>
      </c>
      <c r="CP792" s="153">
        <v>1</v>
      </c>
      <c r="CQ792" s="153">
        <v>0</v>
      </c>
      <c r="CR792" s="153">
        <v>1</v>
      </c>
      <c r="CS792" s="168">
        <v>0</v>
      </c>
      <c r="CY792" s="171"/>
      <c r="DD792" s="171" t="s">
        <v>86</v>
      </c>
    </row>
    <row r="793" spans="1:108" x14ac:dyDescent="0.25">
      <c r="A793">
        <v>792</v>
      </c>
      <c r="B793">
        <v>49</v>
      </c>
      <c r="C793" s="25" t="s">
        <v>513</v>
      </c>
      <c r="D793" s="12">
        <v>11.7</v>
      </c>
      <c r="E793" s="14">
        <v>0.3</v>
      </c>
      <c r="F793" s="7">
        <f t="shared" si="558"/>
        <v>39</v>
      </c>
      <c r="G793" s="7">
        <f t="shared" si="542"/>
        <v>11.399999999999999</v>
      </c>
      <c r="H793" s="16">
        <f t="shared" si="543"/>
        <v>12</v>
      </c>
      <c r="I793" s="11">
        <f t="shared" si="563"/>
        <v>0.38390587509210189</v>
      </c>
      <c r="J793" s="33">
        <f t="shared" si="564"/>
        <v>9.8437403869769714E-3</v>
      </c>
      <c r="K793" s="33">
        <f t="shared" si="565"/>
        <v>101.58740079360236</v>
      </c>
      <c r="L793" s="33">
        <f t="shared" si="566"/>
        <v>0.37406213470512489</v>
      </c>
      <c r="M793" s="33">
        <f t="shared" si="567"/>
        <v>0.39374961547907888</v>
      </c>
      <c r="N793" s="8">
        <v>0</v>
      </c>
      <c r="O793" s="9">
        <v>1</v>
      </c>
      <c r="P793" s="8">
        <v>0</v>
      </c>
      <c r="Q793" s="9">
        <v>1</v>
      </c>
      <c r="R793" s="9">
        <v>0</v>
      </c>
      <c r="S793" s="9">
        <v>0</v>
      </c>
      <c r="T793" s="9">
        <v>0</v>
      </c>
      <c r="U793" s="8">
        <v>8807</v>
      </c>
      <c r="V793" s="9">
        <v>7</v>
      </c>
      <c r="W793" s="9">
        <f t="shared" si="573"/>
        <v>8799</v>
      </c>
      <c r="X793" s="9">
        <f t="shared" si="559"/>
        <v>10</v>
      </c>
      <c r="Y793" s="7">
        <v>9.6470000000000002</v>
      </c>
      <c r="Z793" s="7">
        <v>17.068999999999999</v>
      </c>
      <c r="AA793" s="9">
        <v>1</v>
      </c>
      <c r="AB793" s="9">
        <v>0</v>
      </c>
      <c r="AC793" s="9">
        <v>0</v>
      </c>
      <c r="AD793" s="9">
        <v>0</v>
      </c>
      <c r="AE793" s="9">
        <v>0</v>
      </c>
      <c r="AF793" s="9">
        <v>1</v>
      </c>
      <c r="AG793" s="8">
        <v>0</v>
      </c>
      <c r="AH793" s="9">
        <v>0</v>
      </c>
      <c r="AI793" s="30">
        <v>1</v>
      </c>
      <c r="AJ793" s="9">
        <v>0</v>
      </c>
      <c r="AK793" s="30">
        <v>1</v>
      </c>
      <c r="AL793" s="21">
        <v>2000</v>
      </c>
      <c r="AM793" s="23">
        <f t="shared" si="561"/>
        <v>7.6009024595420822</v>
      </c>
      <c r="AN793" s="33">
        <v>2.9000000000000001E-2</v>
      </c>
      <c r="AO793" s="33">
        <v>0.28000000000000003</v>
      </c>
      <c r="AP793" s="33">
        <f>1-SUM(AN793,AO793,AQ793)</f>
        <v>0.498</v>
      </c>
      <c r="AQ793" s="43">
        <v>0.193</v>
      </c>
      <c r="AR793" s="33" t="s">
        <v>106</v>
      </c>
      <c r="AS793" s="43" t="s">
        <v>106</v>
      </c>
      <c r="AT793" s="42">
        <v>1</v>
      </c>
      <c r="AU793" s="18">
        <v>0</v>
      </c>
      <c r="AV793">
        <v>0.6391</v>
      </c>
      <c r="AW793" s="40">
        <f>1-AV793</f>
        <v>0.3609</v>
      </c>
      <c r="AX793" t="s">
        <v>106</v>
      </c>
      <c r="AY793" s="40" t="s">
        <v>106</v>
      </c>
      <c r="BA793" s="18"/>
      <c r="BB793">
        <f>1-BC793</f>
        <v>0.34599999999999997</v>
      </c>
      <c r="BC793" s="18">
        <v>0.65400000000000003</v>
      </c>
      <c r="BD793" s="18" t="s">
        <v>13</v>
      </c>
      <c r="BK793" s="18"/>
      <c r="BN793" s="18"/>
      <c r="BQ793" s="96">
        <f>Y793+Z793+6</f>
        <v>32.716000000000001</v>
      </c>
      <c r="BR793">
        <v>1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s="18">
        <v>0</v>
      </c>
      <c r="BZ793">
        <v>0</v>
      </c>
      <c r="CA793">
        <v>0</v>
      </c>
      <c r="CB793">
        <v>1</v>
      </c>
      <c r="CC793" s="18">
        <v>0</v>
      </c>
      <c r="CD793">
        <v>0</v>
      </c>
      <c r="CE793">
        <v>0</v>
      </c>
      <c r="CF793">
        <v>0</v>
      </c>
      <c r="CG793">
        <v>0</v>
      </c>
      <c r="CH793" s="18">
        <v>0</v>
      </c>
      <c r="CI793">
        <v>0</v>
      </c>
      <c r="CJ793">
        <v>0</v>
      </c>
      <c r="CK793">
        <v>1</v>
      </c>
      <c r="CL793">
        <v>1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1</v>
      </c>
      <c r="CS793" s="18">
        <v>0</v>
      </c>
      <c r="DD793" s="34" t="s">
        <v>86</v>
      </c>
    </row>
    <row r="794" spans="1:108" x14ac:dyDescent="0.25">
      <c r="A794">
        <v>793</v>
      </c>
      <c r="B794">
        <v>49</v>
      </c>
      <c r="C794" s="25" t="s">
        <v>513</v>
      </c>
      <c r="D794" s="12">
        <v>10.9</v>
      </c>
      <c r="E794" s="14">
        <v>0.3</v>
      </c>
      <c r="F794" s="7">
        <f t="shared" si="558"/>
        <v>36.333333333333336</v>
      </c>
      <c r="G794" s="7">
        <f t="shared" si="542"/>
        <v>10.6</v>
      </c>
      <c r="H794" s="16">
        <f t="shared" si="543"/>
        <v>11.200000000000001</v>
      </c>
      <c r="I794" s="11">
        <f t="shared" si="563"/>
        <v>0.43610467768547451</v>
      </c>
      <c r="J794" s="33">
        <f t="shared" si="564"/>
        <v>1.2002881037214894E-2</v>
      </c>
      <c r="K794" s="33">
        <f t="shared" si="565"/>
        <v>83.313330932757154</v>
      </c>
      <c r="L794" s="33">
        <f t="shared" si="566"/>
        <v>0.42410179664825959</v>
      </c>
      <c r="M794" s="33">
        <f t="shared" si="567"/>
        <v>0.44810755872268943</v>
      </c>
      <c r="N794" s="8">
        <v>0</v>
      </c>
      <c r="O794" s="9">
        <v>1</v>
      </c>
      <c r="P794" s="8">
        <v>0</v>
      </c>
      <c r="Q794" s="9">
        <v>1</v>
      </c>
      <c r="R794" s="9">
        <v>0</v>
      </c>
      <c r="S794" s="9">
        <v>0</v>
      </c>
      <c r="T794" s="9">
        <v>0</v>
      </c>
      <c r="U794" s="8">
        <v>5629</v>
      </c>
      <c r="V794" s="9">
        <v>7</v>
      </c>
      <c r="W794" s="9">
        <f t="shared" si="573"/>
        <v>5621</v>
      </c>
      <c r="X794" s="9">
        <f t="shared" si="559"/>
        <v>10</v>
      </c>
      <c r="Y794" s="7">
        <v>9.7219999999999995</v>
      </c>
      <c r="Z794" s="7">
        <v>17.300999999999998</v>
      </c>
      <c r="AA794" s="9">
        <v>1</v>
      </c>
      <c r="AB794" s="9">
        <v>0</v>
      </c>
      <c r="AC794" s="9">
        <v>0</v>
      </c>
      <c r="AD794" s="9">
        <v>0</v>
      </c>
      <c r="AE794" s="9">
        <v>0</v>
      </c>
      <c r="AF794" s="9">
        <v>1</v>
      </c>
      <c r="AG794" s="8">
        <v>0</v>
      </c>
      <c r="AH794" s="9">
        <v>0</v>
      </c>
      <c r="AI794" s="30">
        <v>1</v>
      </c>
      <c r="AJ794" s="9">
        <v>0</v>
      </c>
      <c r="AK794" s="30">
        <v>1</v>
      </c>
      <c r="AL794" s="21">
        <v>2000</v>
      </c>
      <c r="AM794" s="23">
        <f t="shared" si="561"/>
        <v>7.6009024595420822</v>
      </c>
      <c r="AN794" s="33">
        <v>1.4999999999999999E-2</v>
      </c>
      <c r="AO794" s="33">
        <v>0.27400000000000002</v>
      </c>
      <c r="AP794" s="33">
        <f t="shared" ref="AP794:AP802" si="574">1-SUM(AN794,AO794,AQ794)</f>
        <v>0.54899999999999993</v>
      </c>
      <c r="AQ794" s="43">
        <v>0.16200000000000001</v>
      </c>
      <c r="AR794" s="33" t="s">
        <v>106</v>
      </c>
      <c r="AS794" s="43" t="s">
        <v>106</v>
      </c>
      <c r="AT794" s="42">
        <v>1</v>
      </c>
      <c r="AU794" s="18">
        <v>0</v>
      </c>
      <c r="AV794">
        <v>1</v>
      </c>
      <c r="AW794" s="40">
        <v>0</v>
      </c>
      <c r="AX794" t="s">
        <v>106</v>
      </c>
      <c r="AY794" s="40" t="s">
        <v>106</v>
      </c>
      <c r="BA794" s="18"/>
      <c r="BB794">
        <f t="shared" ref="BB794:BB803" si="575">1-BC794</f>
        <v>0.35699999999999998</v>
      </c>
      <c r="BC794" s="18">
        <v>0.64300000000000002</v>
      </c>
      <c r="BD794" s="18" t="s">
        <v>13</v>
      </c>
      <c r="BK794" s="18"/>
      <c r="BN794" s="18"/>
      <c r="BQ794" s="96">
        <f t="shared" ref="BQ794:BQ802" si="576">Y794+Z794+6</f>
        <v>33.022999999999996</v>
      </c>
      <c r="BR794">
        <v>1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 s="18">
        <v>0</v>
      </c>
      <c r="BZ794">
        <v>0</v>
      </c>
      <c r="CA794">
        <v>0</v>
      </c>
      <c r="CB794">
        <v>1</v>
      </c>
      <c r="CC794" s="18">
        <v>0</v>
      </c>
      <c r="CD794">
        <v>0</v>
      </c>
      <c r="CE794">
        <v>0</v>
      </c>
      <c r="CF794">
        <v>0</v>
      </c>
      <c r="CG794">
        <v>0</v>
      </c>
      <c r="CH794" s="18">
        <v>0</v>
      </c>
      <c r="CI794">
        <v>0</v>
      </c>
      <c r="CJ794">
        <v>0</v>
      </c>
      <c r="CK794">
        <v>1</v>
      </c>
      <c r="CL794">
        <v>1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1</v>
      </c>
      <c r="CS794" s="18">
        <v>0</v>
      </c>
      <c r="DD794" s="34" t="s">
        <v>86</v>
      </c>
    </row>
    <row r="795" spans="1:108" x14ac:dyDescent="0.25">
      <c r="A795">
        <v>794</v>
      </c>
      <c r="B795">
        <v>49</v>
      </c>
      <c r="C795" s="25" t="s">
        <v>513</v>
      </c>
      <c r="D795" s="12">
        <v>11.8</v>
      </c>
      <c r="E795" s="14">
        <v>0.4</v>
      </c>
      <c r="F795" s="7">
        <f t="shared" si="558"/>
        <v>29.5</v>
      </c>
      <c r="G795" s="7">
        <f t="shared" si="542"/>
        <v>11.4</v>
      </c>
      <c r="H795" s="16">
        <f t="shared" si="543"/>
        <v>12.200000000000001</v>
      </c>
      <c r="I795" s="11">
        <f t="shared" si="563"/>
        <v>0.46410676243477589</v>
      </c>
      <c r="J795" s="33">
        <f t="shared" si="564"/>
        <v>1.5732432624907658E-2</v>
      </c>
      <c r="K795" s="33">
        <f t="shared" si="565"/>
        <v>63.562960912783161</v>
      </c>
      <c r="L795" s="33">
        <f t="shared" si="566"/>
        <v>0.44837432980986824</v>
      </c>
      <c r="M795" s="33">
        <f t="shared" si="567"/>
        <v>0.47983919505968353</v>
      </c>
      <c r="N795" s="8">
        <v>0</v>
      </c>
      <c r="O795" s="9">
        <v>1</v>
      </c>
      <c r="P795" s="8">
        <v>0</v>
      </c>
      <c r="Q795" s="9">
        <v>1</v>
      </c>
      <c r="R795" s="9">
        <v>0</v>
      </c>
      <c r="S795" s="9">
        <v>0</v>
      </c>
      <c r="T795" s="9">
        <v>0</v>
      </c>
      <c r="U795" s="8">
        <v>3178</v>
      </c>
      <c r="V795" s="9">
        <v>7</v>
      </c>
      <c r="W795" s="9">
        <f t="shared" si="573"/>
        <v>3170</v>
      </c>
      <c r="X795" s="9">
        <f t="shared" si="559"/>
        <v>10</v>
      </c>
      <c r="Y795" s="7">
        <v>9.5139999999999993</v>
      </c>
      <c r="Z795" s="7">
        <v>16.657</v>
      </c>
      <c r="AA795" s="9">
        <v>1</v>
      </c>
      <c r="AB795" s="9">
        <v>0</v>
      </c>
      <c r="AC795" s="9">
        <v>0</v>
      </c>
      <c r="AD795" s="9">
        <v>0</v>
      </c>
      <c r="AE795" s="9">
        <v>0</v>
      </c>
      <c r="AF795" s="9">
        <v>1</v>
      </c>
      <c r="AG795" s="8">
        <v>0</v>
      </c>
      <c r="AH795" s="9">
        <v>0</v>
      </c>
      <c r="AI795" s="30">
        <v>1</v>
      </c>
      <c r="AJ795" s="9">
        <v>0</v>
      </c>
      <c r="AK795" s="30">
        <v>1</v>
      </c>
      <c r="AL795" s="21">
        <v>2000</v>
      </c>
      <c r="AM795" s="23">
        <f t="shared" si="561"/>
        <v>7.6009024595420822</v>
      </c>
      <c r="AN795" s="33">
        <v>5.1999999999999998E-2</v>
      </c>
      <c r="AO795" s="33">
        <v>0.29099999999999998</v>
      </c>
      <c r="AP795" s="33">
        <f t="shared" si="574"/>
        <v>0.40800000000000003</v>
      </c>
      <c r="AQ795" s="43">
        <v>0.249</v>
      </c>
      <c r="AR795" s="33" t="s">
        <v>106</v>
      </c>
      <c r="AS795" s="43" t="s">
        <v>106</v>
      </c>
      <c r="AT795" s="42">
        <v>1</v>
      </c>
      <c r="AU795" s="18">
        <v>0</v>
      </c>
      <c r="AV795">
        <v>0</v>
      </c>
      <c r="AW795" s="40">
        <v>1</v>
      </c>
      <c r="AX795" t="s">
        <v>106</v>
      </c>
      <c r="AY795" s="40" t="s">
        <v>106</v>
      </c>
      <c r="BA795" s="18"/>
      <c r="BB795">
        <f t="shared" si="575"/>
        <v>0.32599999999999996</v>
      </c>
      <c r="BC795" s="18">
        <v>0.67400000000000004</v>
      </c>
      <c r="BD795" s="18" t="s">
        <v>13</v>
      </c>
      <c r="BK795" s="18"/>
      <c r="BN795" s="18"/>
      <c r="BQ795" s="96">
        <f t="shared" si="576"/>
        <v>32.170999999999999</v>
      </c>
      <c r="BR795">
        <v>1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s="18">
        <v>0</v>
      </c>
      <c r="BZ795">
        <v>0</v>
      </c>
      <c r="CA795">
        <v>0</v>
      </c>
      <c r="CB795">
        <v>1</v>
      </c>
      <c r="CC795" s="18">
        <v>0</v>
      </c>
      <c r="CD795">
        <v>0</v>
      </c>
      <c r="CE795">
        <v>0</v>
      </c>
      <c r="CF795">
        <v>0</v>
      </c>
      <c r="CG795">
        <v>0</v>
      </c>
      <c r="CH795" s="18">
        <v>0</v>
      </c>
      <c r="CI795">
        <v>0</v>
      </c>
      <c r="CJ795">
        <v>0</v>
      </c>
      <c r="CK795">
        <v>1</v>
      </c>
      <c r="CL795">
        <v>1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1</v>
      </c>
      <c r="CS795" s="18">
        <v>0</v>
      </c>
      <c r="DD795" s="34" t="s">
        <v>86</v>
      </c>
    </row>
    <row r="796" spans="1:108" x14ac:dyDescent="0.25">
      <c r="A796">
        <v>795</v>
      </c>
      <c r="B796">
        <v>49</v>
      </c>
      <c r="C796" s="25" t="s">
        <v>513</v>
      </c>
      <c r="D796" s="12">
        <v>4.5</v>
      </c>
      <c r="E796" s="14">
        <v>0.5</v>
      </c>
      <c r="F796" s="7">
        <f t="shared" si="558"/>
        <v>9</v>
      </c>
      <c r="G796" s="7">
        <f t="shared" si="542"/>
        <v>4</v>
      </c>
      <c r="H796" s="16">
        <f t="shared" si="543"/>
        <v>5</v>
      </c>
      <c r="I796" s="11">
        <f t="shared" si="563"/>
        <v>0.12928579327743625</v>
      </c>
      <c r="J796" s="33">
        <f t="shared" si="564"/>
        <v>1.4365088141937361E-2</v>
      </c>
      <c r="K796" s="33">
        <f t="shared" si="565"/>
        <v>69.613217135828449</v>
      </c>
      <c r="L796" s="33">
        <f t="shared" si="566"/>
        <v>0.11492070513549889</v>
      </c>
      <c r="M796" s="33">
        <f t="shared" si="567"/>
        <v>0.1436508814193736</v>
      </c>
      <c r="N796" s="8">
        <v>0</v>
      </c>
      <c r="O796" s="9">
        <v>1</v>
      </c>
      <c r="P796" s="8">
        <v>0</v>
      </c>
      <c r="Q796" s="9">
        <v>1</v>
      </c>
      <c r="R796" s="9">
        <v>0</v>
      </c>
      <c r="S796" s="9">
        <v>0</v>
      </c>
      <c r="T796" s="9">
        <v>0</v>
      </c>
      <c r="U796" s="8">
        <v>4777</v>
      </c>
      <c r="V796" s="9">
        <v>11</v>
      </c>
      <c r="W796" s="9">
        <f t="shared" si="573"/>
        <v>4765</v>
      </c>
      <c r="X796" s="9">
        <f t="shared" si="559"/>
        <v>10</v>
      </c>
      <c r="Y796" s="7">
        <v>9.5139999999999993</v>
      </c>
      <c r="Z796" s="7">
        <v>16.657</v>
      </c>
      <c r="AA796" s="9">
        <v>1</v>
      </c>
      <c r="AB796" s="9">
        <v>0</v>
      </c>
      <c r="AC796" s="9">
        <v>0</v>
      </c>
      <c r="AD796" s="9">
        <v>0</v>
      </c>
      <c r="AE796" s="9">
        <v>0</v>
      </c>
      <c r="AF796" s="9">
        <v>1</v>
      </c>
      <c r="AG796" s="8">
        <v>0</v>
      </c>
      <c r="AH796" s="9">
        <v>0</v>
      </c>
      <c r="AI796" s="30">
        <v>1</v>
      </c>
      <c r="AJ796" s="9">
        <v>0</v>
      </c>
      <c r="AK796" s="30">
        <v>1</v>
      </c>
      <c r="AL796" s="21">
        <v>2000</v>
      </c>
      <c r="AM796" s="23">
        <f t="shared" si="561"/>
        <v>7.6009024595420822</v>
      </c>
      <c r="AN796" s="33">
        <v>5.1999999999999998E-2</v>
      </c>
      <c r="AO796" s="33">
        <v>0.29099999999999998</v>
      </c>
      <c r="AP796" s="33">
        <f t="shared" si="574"/>
        <v>0.40800000000000003</v>
      </c>
      <c r="AQ796" s="43">
        <v>0.249</v>
      </c>
      <c r="AR796" s="33" t="s">
        <v>106</v>
      </c>
      <c r="AS796" s="43" t="s">
        <v>106</v>
      </c>
      <c r="AT796" s="42">
        <v>1</v>
      </c>
      <c r="AU796" s="18">
        <v>0</v>
      </c>
      <c r="AV796">
        <v>0</v>
      </c>
      <c r="AW796" s="40">
        <v>1</v>
      </c>
      <c r="AX796" t="s">
        <v>106</v>
      </c>
      <c r="AY796" s="40" t="s">
        <v>106</v>
      </c>
      <c r="BA796" s="18"/>
      <c r="BB796">
        <f t="shared" si="575"/>
        <v>0.32599999999999996</v>
      </c>
      <c r="BC796" s="18">
        <v>0.67400000000000004</v>
      </c>
      <c r="BD796" s="18" t="s">
        <v>13</v>
      </c>
      <c r="BK796" s="18"/>
      <c r="BN796" s="18"/>
      <c r="BQ796" s="96">
        <f t="shared" si="576"/>
        <v>32.170999999999999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1</v>
      </c>
      <c r="BX796">
        <v>0</v>
      </c>
      <c r="BY796" s="18">
        <v>0</v>
      </c>
      <c r="BZ796">
        <v>0</v>
      </c>
      <c r="CA796">
        <v>0</v>
      </c>
      <c r="CB796">
        <v>1</v>
      </c>
      <c r="CC796" s="18">
        <v>0</v>
      </c>
      <c r="CD796">
        <v>0</v>
      </c>
      <c r="CE796">
        <v>0</v>
      </c>
      <c r="CF796">
        <v>0</v>
      </c>
      <c r="CG796">
        <v>0</v>
      </c>
      <c r="CH796" s="18">
        <v>0</v>
      </c>
      <c r="CI796">
        <v>0</v>
      </c>
      <c r="CJ796">
        <v>0</v>
      </c>
      <c r="CK796">
        <v>1</v>
      </c>
      <c r="CL796">
        <v>1</v>
      </c>
      <c r="CM796">
        <v>0</v>
      </c>
      <c r="CN796">
        <v>0</v>
      </c>
      <c r="CO796">
        <v>0</v>
      </c>
      <c r="CP796">
        <v>1</v>
      </c>
      <c r="CQ796">
        <v>0</v>
      </c>
      <c r="CR796">
        <v>1</v>
      </c>
      <c r="CS796" s="18">
        <v>1</v>
      </c>
      <c r="DD796" s="34" t="s">
        <v>86</v>
      </c>
    </row>
    <row r="797" spans="1:108" x14ac:dyDescent="0.25">
      <c r="A797">
        <v>796</v>
      </c>
      <c r="B797">
        <v>49</v>
      </c>
      <c r="C797" s="25" t="s">
        <v>513</v>
      </c>
      <c r="D797" s="12">
        <v>11</v>
      </c>
      <c r="E797" s="14">
        <v>0.5</v>
      </c>
      <c r="F797" s="7">
        <f t="shared" si="558"/>
        <v>22</v>
      </c>
      <c r="G797" s="7">
        <f t="shared" si="542"/>
        <v>10.5</v>
      </c>
      <c r="H797" s="16">
        <f t="shared" si="543"/>
        <v>11.5</v>
      </c>
      <c r="I797" s="11">
        <f t="shared" si="563"/>
        <v>0.30354213217309406</v>
      </c>
      <c r="J797" s="33">
        <f t="shared" si="564"/>
        <v>1.3797369644231547E-2</v>
      </c>
      <c r="K797" s="33">
        <f t="shared" si="565"/>
        <v>72.477582741148311</v>
      </c>
      <c r="L797" s="33">
        <f t="shared" si="566"/>
        <v>0.2897447625288625</v>
      </c>
      <c r="M797" s="33">
        <f t="shared" si="567"/>
        <v>0.31733950181732562</v>
      </c>
      <c r="N797" s="8">
        <v>0</v>
      </c>
      <c r="O797" s="9">
        <v>1</v>
      </c>
      <c r="P797" s="8">
        <v>0</v>
      </c>
      <c r="Q797" s="9">
        <v>1</v>
      </c>
      <c r="R797" s="9">
        <v>0</v>
      </c>
      <c r="S797" s="9">
        <v>0</v>
      </c>
      <c r="T797" s="9">
        <v>0</v>
      </c>
      <c r="U797" s="8">
        <v>4777</v>
      </c>
      <c r="V797" s="9">
        <v>7</v>
      </c>
      <c r="W797" s="9">
        <f t="shared" si="573"/>
        <v>4769</v>
      </c>
      <c r="X797" s="9">
        <f t="shared" si="559"/>
        <v>10</v>
      </c>
      <c r="Y797" s="7">
        <v>9.5139999999999993</v>
      </c>
      <c r="Z797" s="7">
        <v>16.657</v>
      </c>
      <c r="AA797" s="9">
        <v>1</v>
      </c>
      <c r="AB797" s="9">
        <v>0</v>
      </c>
      <c r="AC797" s="9">
        <v>0</v>
      </c>
      <c r="AD797" s="9">
        <v>0</v>
      </c>
      <c r="AE797" s="9">
        <v>0</v>
      </c>
      <c r="AF797" s="9">
        <v>1</v>
      </c>
      <c r="AG797" s="8">
        <v>0</v>
      </c>
      <c r="AH797" s="9">
        <v>0</v>
      </c>
      <c r="AI797" s="30">
        <v>1</v>
      </c>
      <c r="AJ797" s="9">
        <v>0</v>
      </c>
      <c r="AK797" s="30">
        <v>1</v>
      </c>
      <c r="AL797" s="21">
        <v>2000</v>
      </c>
      <c r="AM797" s="23">
        <f t="shared" si="561"/>
        <v>7.6009024595420822</v>
      </c>
      <c r="AN797" s="33">
        <v>5.1999999999999998E-2</v>
      </c>
      <c r="AO797" s="33">
        <v>0.29099999999999998</v>
      </c>
      <c r="AP797" s="33">
        <f t="shared" si="574"/>
        <v>0.40800000000000003</v>
      </c>
      <c r="AQ797" s="43">
        <v>0.249</v>
      </c>
      <c r="AR797" s="33" t="s">
        <v>106</v>
      </c>
      <c r="AS797" s="43" t="s">
        <v>106</v>
      </c>
      <c r="AT797" s="42">
        <v>1</v>
      </c>
      <c r="AU797" s="18">
        <v>0</v>
      </c>
      <c r="AV797">
        <v>0</v>
      </c>
      <c r="AW797" s="40">
        <v>1</v>
      </c>
      <c r="AX797" t="s">
        <v>106</v>
      </c>
      <c r="AY797" s="40" t="s">
        <v>106</v>
      </c>
      <c r="BA797" s="18"/>
      <c r="BB797">
        <f t="shared" si="575"/>
        <v>0.32599999999999996</v>
      </c>
      <c r="BC797" s="18">
        <v>0.67400000000000004</v>
      </c>
      <c r="BD797" s="18" t="s">
        <v>13</v>
      </c>
      <c r="BK797" s="18"/>
      <c r="BN797" s="18"/>
      <c r="BQ797" s="96">
        <f t="shared" si="576"/>
        <v>32.170999999999999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1</v>
      </c>
      <c r="BX797">
        <v>0</v>
      </c>
      <c r="BY797" s="18">
        <v>0</v>
      </c>
      <c r="BZ797">
        <v>0</v>
      </c>
      <c r="CA797">
        <v>0</v>
      </c>
      <c r="CB797">
        <v>1</v>
      </c>
      <c r="CC797" s="18">
        <v>0</v>
      </c>
      <c r="CD797">
        <v>0</v>
      </c>
      <c r="CE797">
        <v>0</v>
      </c>
      <c r="CF797">
        <v>0</v>
      </c>
      <c r="CG797">
        <v>0</v>
      </c>
      <c r="CH797" s="18">
        <v>0</v>
      </c>
      <c r="CI797">
        <v>0</v>
      </c>
      <c r="CJ797">
        <v>0</v>
      </c>
      <c r="CK797">
        <v>1</v>
      </c>
      <c r="CL797">
        <v>1</v>
      </c>
      <c r="CM797">
        <v>0</v>
      </c>
      <c r="CN797">
        <v>0</v>
      </c>
      <c r="CO797">
        <v>0</v>
      </c>
      <c r="CP797">
        <v>1</v>
      </c>
      <c r="CQ797">
        <v>0</v>
      </c>
      <c r="CR797">
        <v>1</v>
      </c>
      <c r="CS797" s="18">
        <v>1</v>
      </c>
      <c r="DD797" s="34" t="s">
        <v>86</v>
      </c>
    </row>
    <row r="798" spans="1:108" x14ac:dyDescent="0.25">
      <c r="A798">
        <v>797</v>
      </c>
      <c r="B798">
        <v>49</v>
      </c>
      <c r="C798" s="25" t="s">
        <v>513</v>
      </c>
      <c r="D798" s="12">
        <v>17.3</v>
      </c>
      <c r="E798" s="14">
        <v>0.8</v>
      </c>
      <c r="F798" s="7">
        <f t="shared" si="558"/>
        <v>21.625</v>
      </c>
      <c r="G798" s="7">
        <f t="shared" si="542"/>
        <v>16.5</v>
      </c>
      <c r="H798" s="16">
        <f t="shared" si="543"/>
        <v>18.100000000000001</v>
      </c>
      <c r="I798" s="11">
        <f t="shared" si="563"/>
        <v>0.29280132979162882</v>
      </c>
      <c r="J798" s="33">
        <f t="shared" si="564"/>
        <v>1.3539945886318095E-2</v>
      </c>
      <c r="K798" s="33">
        <f t="shared" si="565"/>
        <v>73.855538891812301</v>
      </c>
      <c r="L798" s="33">
        <f t="shared" si="566"/>
        <v>0.27926138390531074</v>
      </c>
      <c r="M798" s="33">
        <f t="shared" si="567"/>
        <v>0.30634127567794689</v>
      </c>
      <c r="N798" s="8">
        <v>0</v>
      </c>
      <c r="O798" s="9">
        <v>1</v>
      </c>
      <c r="P798" s="8">
        <v>0</v>
      </c>
      <c r="Q798" s="9">
        <v>1</v>
      </c>
      <c r="R798" s="9">
        <v>0</v>
      </c>
      <c r="S798" s="9">
        <v>0</v>
      </c>
      <c r="T798" s="9">
        <v>0</v>
      </c>
      <c r="U798" s="8">
        <v>4994</v>
      </c>
      <c r="V798" s="9">
        <v>6</v>
      </c>
      <c r="W798" s="9">
        <f t="shared" si="573"/>
        <v>4987</v>
      </c>
      <c r="X798" s="9">
        <f t="shared" si="559"/>
        <v>10</v>
      </c>
      <c r="Y798" s="7">
        <v>9.6470000000000002</v>
      </c>
      <c r="Z798" s="7">
        <v>17.068999999999999</v>
      </c>
      <c r="AA798" s="9">
        <v>1</v>
      </c>
      <c r="AB798" s="9">
        <v>0</v>
      </c>
      <c r="AC798" s="9">
        <v>0</v>
      </c>
      <c r="AD798" s="9">
        <v>0</v>
      </c>
      <c r="AE798" s="9">
        <v>0</v>
      </c>
      <c r="AF798" s="9">
        <v>1</v>
      </c>
      <c r="AG798" s="8">
        <v>0</v>
      </c>
      <c r="AH798" s="9">
        <v>0</v>
      </c>
      <c r="AI798" s="30">
        <v>1</v>
      </c>
      <c r="AJ798" s="9">
        <v>0</v>
      </c>
      <c r="AK798" s="30">
        <v>1</v>
      </c>
      <c r="AL798" s="21">
        <v>2000</v>
      </c>
      <c r="AM798" s="23">
        <f t="shared" si="561"/>
        <v>7.6009024595420822</v>
      </c>
      <c r="AN798" s="33">
        <v>2.9000000000000001E-2</v>
      </c>
      <c r="AO798" s="33">
        <v>0.28000000000000003</v>
      </c>
      <c r="AP798" s="33">
        <f t="shared" si="574"/>
        <v>0.498</v>
      </c>
      <c r="AQ798" s="43">
        <v>0.193</v>
      </c>
      <c r="AR798" s="33" t="s">
        <v>106</v>
      </c>
      <c r="AS798" s="43" t="s">
        <v>106</v>
      </c>
      <c r="AT798" s="42">
        <v>1</v>
      </c>
      <c r="AU798" s="18">
        <v>0</v>
      </c>
      <c r="AV798">
        <v>0.65210000000000001</v>
      </c>
      <c r="AW798" s="40">
        <f>1-AV798</f>
        <v>0.34789999999999999</v>
      </c>
      <c r="AX798" t="s">
        <v>106</v>
      </c>
      <c r="AY798" s="40" t="s">
        <v>106</v>
      </c>
      <c r="BA798" s="18"/>
      <c r="BB798">
        <f t="shared" si="575"/>
        <v>0.34599999999999997</v>
      </c>
      <c r="BC798" s="18">
        <v>0.65400000000000003</v>
      </c>
      <c r="BD798" s="18" t="s">
        <v>13</v>
      </c>
      <c r="BK798" s="18"/>
      <c r="BN798" s="18"/>
      <c r="BQ798" s="96">
        <f t="shared" si="576"/>
        <v>32.716000000000001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s="18">
        <v>1</v>
      </c>
      <c r="BZ798">
        <v>0</v>
      </c>
      <c r="CA798">
        <v>1</v>
      </c>
      <c r="CB798">
        <v>0</v>
      </c>
      <c r="CC798" s="18">
        <v>0</v>
      </c>
      <c r="CD798">
        <v>1</v>
      </c>
      <c r="CE798">
        <v>0</v>
      </c>
      <c r="CF798">
        <v>0</v>
      </c>
      <c r="CG798">
        <v>0</v>
      </c>
      <c r="CH798" s="18">
        <v>0</v>
      </c>
      <c r="CI798">
        <v>0</v>
      </c>
      <c r="CJ798">
        <v>0</v>
      </c>
      <c r="CK798">
        <v>1</v>
      </c>
      <c r="CL798">
        <v>1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1</v>
      </c>
      <c r="CS798" s="18">
        <v>0</v>
      </c>
      <c r="DD798" s="34" t="s">
        <v>86</v>
      </c>
    </row>
    <row r="799" spans="1:108" x14ac:dyDescent="0.25">
      <c r="A799">
        <v>798</v>
      </c>
      <c r="B799">
        <v>49</v>
      </c>
      <c r="C799" s="25" t="s">
        <v>513</v>
      </c>
      <c r="D799" s="12">
        <v>16.3</v>
      </c>
      <c r="E799" s="14">
        <v>1</v>
      </c>
      <c r="F799" s="7">
        <f t="shared" si="558"/>
        <v>16.3</v>
      </c>
      <c r="G799" s="7">
        <f t="shared" si="542"/>
        <v>15.3</v>
      </c>
      <c r="H799" s="16">
        <f t="shared" si="543"/>
        <v>17.3</v>
      </c>
      <c r="I799" s="11">
        <f t="shared" si="563"/>
        <v>0.27490479659359807</v>
      </c>
      <c r="J799" s="33">
        <f t="shared" si="564"/>
        <v>1.6865324944392517E-2</v>
      </c>
      <c r="K799" s="33">
        <f t="shared" si="565"/>
        <v>59.293254253751329</v>
      </c>
      <c r="L799" s="33">
        <f t="shared" si="566"/>
        <v>0.25803947164920554</v>
      </c>
      <c r="M799" s="33">
        <f t="shared" si="567"/>
        <v>0.29177012153799059</v>
      </c>
      <c r="N799" s="8">
        <v>0</v>
      </c>
      <c r="O799" s="9">
        <v>1</v>
      </c>
      <c r="P799" s="8">
        <v>0</v>
      </c>
      <c r="Q799" s="9">
        <v>1</v>
      </c>
      <c r="R799" s="9">
        <v>0</v>
      </c>
      <c r="S799" s="9">
        <v>0</v>
      </c>
      <c r="T799" s="9">
        <v>0</v>
      </c>
      <c r="U799" s="8">
        <v>3257</v>
      </c>
      <c r="V799" s="9">
        <v>6</v>
      </c>
      <c r="W799" s="9">
        <f t="shared" si="573"/>
        <v>3250</v>
      </c>
      <c r="X799" s="9">
        <f t="shared" si="559"/>
        <v>10</v>
      </c>
      <c r="Y799" s="7">
        <v>9.7219999999999995</v>
      </c>
      <c r="Z799" s="7">
        <v>17.300999999999998</v>
      </c>
      <c r="AA799" s="9">
        <v>1</v>
      </c>
      <c r="AB799" s="9">
        <v>0</v>
      </c>
      <c r="AC799" s="9">
        <v>0</v>
      </c>
      <c r="AD799" s="9">
        <v>0</v>
      </c>
      <c r="AE799" s="9">
        <v>0</v>
      </c>
      <c r="AF799" s="9">
        <v>1</v>
      </c>
      <c r="AG799" s="8">
        <v>0</v>
      </c>
      <c r="AH799" s="9">
        <v>0</v>
      </c>
      <c r="AI799" s="30">
        <v>1</v>
      </c>
      <c r="AJ799" s="9">
        <v>0</v>
      </c>
      <c r="AK799" s="30">
        <v>1</v>
      </c>
      <c r="AL799" s="21">
        <v>2000</v>
      </c>
      <c r="AM799" s="23">
        <f t="shared" si="561"/>
        <v>7.6009024595420822</v>
      </c>
      <c r="AN799" s="33">
        <v>1.4999999999999999E-2</v>
      </c>
      <c r="AO799" s="33">
        <v>0.27400000000000002</v>
      </c>
      <c r="AP799" s="33">
        <f t="shared" si="574"/>
        <v>0.54899999999999993</v>
      </c>
      <c r="AQ799" s="43">
        <v>0.16200000000000001</v>
      </c>
      <c r="AR799" s="33" t="s">
        <v>106</v>
      </c>
      <c r="AS799" s="43" t="s">
        <v>106</v>
      </c>
      <c r="AT799" s="42">
        <v>1</v>
      </c>
      <c r="AU799" s="18">
        <v>0</v>
      </c>
      <c r="AV799">
        <v>1</v>
      </c>
      <c r="AW799" s="40">
        <v>0</v>
      </c>
      <c r="AX799" t="s">
        <v>106</v>
      </c>
      <c r="AY799" s="40" t="s">
        <v>106</v>
      </c>
      <c r="BA799" s="18"/>
      <c r="BB799">
        <f t="shared" si="575"/>
        <v>0.35699999999999998</v>
      </c>
      <c r="BC799" s="18">
        <v>0.64300000000000002</v>
      </c>
      <c r="BD799" s="18" t="s">
        <v>13</v>
      </c>
      <c r="BK799" s="18"/>
      <c r="BN799" s="18"/>
      <c r="BQ799" s="96">
        <f t="shared" si="576"/>
        <v>33.022999999999996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s="18">
        <v>1</v>
      </c>
      <c r="BZ799">
        <v>0</v>
      </c>
      <c r="CA799">
        <v>1</v>
      </c>
      <c r="CB799">
        <v>0</v>
      </c>
      <c r="CC799" s="18">
        <v>0</v>
      </c>
      <c r="CD799">
        <v>1</v>
      </c>
      <c r="CE799">
        <v>0</v>
      </c>
      <c r="CF799">
        <v>0</v>
      </c>
      <c r="CG799">
        <v>0</v>
      </c>
      <c r="CH799" s="18">
        <v>0</v>
      </c>
      <c r="CI799">
        <v>0</v>
      </c>
      <c r="CJ799">
        <v>0</v>
      </c>
      <c r="CK799">
        <v>1</v>
      </c>
      <c r="CL799">
        <v>1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1</v>
      </c>
      <c r="CS799" s="18">
        <v>0</v>
      </c>
      <c r="DD799" s="34" t="s">
        <v>86</v>
      </c>
    </row>
    <row r="800" spans="1:108" x14ac:dyDescent="0.25">
      <c r="A800">
        <v>799</v>
      </c>
      <c r="B800">
        <v>49</v>
      </c>
      <c r="C800" s="25" t="s">
        <v>513</v>
      </c>
      <c r="D800" s="12">
        <v>18.7</v>
      </c>
      <c r="E800" s="14">
        <v>1.2</v>
      </c>
      <c r="F800" s="7">
        <f t="shared" si="558"/>
        <v>15.583333333333334</v>
      </c>
      <c r="G800" s="7">
        <f t="shared" si="542"/>
        <v>17.5</v>
      </c>
      <c r="H800" s="16">
        <f t="shared" si="543"/>
        <v>19.899999999999999</v>
      </c>
      <c r="I800" s="11">
        <f t="shared" si="563"/>
        <v>0.35084427767354598</v>
      </c>
      <c r="J800" s="33">
        <f t="shared" si="564"/>
        <v>2.2514071294559099E-2</v>
      </c>
      <c r="K800" s="33">
        <f t="shared" si="565"/>
        <v>44.416666666666664</v>
      </c>
      <c r="L800" s="33">
        <f t="shared" si="566"/>
        <v>0.32833020637898686</v>
      </c>
      <c r="M800" s="33">
        <f t="shared" si="567"/>
        <v>0.3733583489681051</v>
      </c>
      <c r="N800" s="8">
        <v>0</v>
      </c>
      <c r="O800" s="9">
        <v>1</v>
      </c>
      <c r="P800" s="8">
        <v>0</v>
      </c>
      <c r="Q800" s="9">
        <v>1</v>
      </c>
      <c r="R800" s="9">
        <v>0</v>
      </c>
      <c r="S800" s="9">
        <v>0</v>
      </c>
      <c r="T800" s="9">
        <v>0</v>
      </c>
      <c r="U800" s="8">
        <v>1737</v>
      </c>
      <c r="V800" s="9">
        <v>6</v>
      </c>
      <c r="W800" s="9">
        <f t="shared" si="573"/>
        <v>1730</v>
      </c>
      <c r="X800" s="9">
        <f t="shared" si="559"/>
        <v>10</v>
      </c>
      <c r="Y800" s="7">
        <v>9.5139999999999993</v>
      </c>
      <c r="Z800" s="7">
        <v>16.657</v>
      </c>
      <c r="AA800" s="9">
        <v>1</v>
      </c>
      <c r="AB800" s="9">
        <v>0</v>
      </c>
      <c r="AC800" s="9">
        <v>0</v>
      </c>
      <c r="AD800" s="9">
        <v>0</v>
      </c>
      <c r="AE800" s="9">
        <v>0</v>
      </c>
      <c r="AF800" s="9">
        <v>1</v>
      </c>
      <c r="AG800" s="8">
        <v>0</v>
      </c>
      <c r="AH800" s="9">
        <v>0</v>
      </c>
      <c r="AI800" s="30">
        <v>1</v>
      </c>
      <c r="AJ800" s="9">
        <v>0</v>
      </c>
      <c r="AK800" s="30">
        <v>1</v>
      </c>
      <c r="AL800" s="21">
        <v>2000</v>
      </c>
      <c r="AM800" s="23">
        <f t="shared" si="561"/>
        <v>7.6009024595420822</v>
      </c>
      <c r="AN800" s="33">
        <v>5.1999999999999998E-2</v>
      </c>
      <c r="AO800" s="33">
        <v>0.29099999999999998</v>
      </c>
      <c r="AP800" s="33">
        <f t="shared" si="574"/>
        <v>0.40800000000000003</v>
      </c>
      <c r="AQ800" s="43">
        <v>0.249</v>
      </c>
      <c r="AR800" s="33" t="s">
        <v>106</v>
      </c>
      <c r="AS800" s="43" t="s">
        <v>106</v>
      </c>
      <c r="AT800" s="42">
        <v>1</v>
      </c>
      <c r="AU800" s="18">
        <v>0</v>
      </c>
      <c r="AV800">
        <v>0</v>
      </c>
      <c r="AW800" s="40">
        <v>1</v>
      </c>
      <c r="AX800" t="s">
        <v>106</v>
      </c>
      <c r="AY800" s="40" t="s">
        <v>106</v>
      </c>
      <c r="BA800" s="18"/>
      <c r="BB800">
        <f t="shared" si="575"/>
        <v>0.32599999999999996</v>
      </c>
      <c r="BC800" s="18">
        <v>0.67400000000000004</v>
      </c>
      <c r="BD800" s="18" t="s">
        <v>13</v>
      </c>
      <c r="BK800" s="18"/>
      <c r="BN800" s="18"/>
      <c r="BQ800" s="96">
        <f t="shared" si="576"/>
        <v>32.170999999999999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s="18">
        <v>1</v>
      </c>
      <c r="BZ800">
        <v>0</v>
      </c>
      <c r="CA800">
        <v>1</v>
      </c>
      <c r="CB800">
        <v>0</v>
      </c>
      <c r="CC800" s="18">
        <v>0</v>
      </c>
      <c r="CD800">
        <v>1</v>
      </c>
      <c r="CE800">
        <v>0</v>
      </c>
      <c r="CF800">
        <v>0</v>
      </c>
      <c r="CG800">
        <v>0</v>
      </c>
      <c r="CH800" s="18">
        <v>0</v>
      </c>
      <c r="CI800">
        <v>0</v>
      </c>
      <c r="CJ800">
        <v>0</v>
      </c>
      <c r="CK800">
        <v>1</v>
      </c>
      <c r="CL800">
        <v>1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1</v>
      </c>
      <c r="CS800" s="18">
        <v>0</v>
      </c>
      <c r="DD800" s="34" t="s">
        <v>86</v>
      </c>
    </row>
    <row r="801" spans="1:108" x14ac:dyDescent="0.25">
      <c r="A801">
        <v>800</v>
      </c>
      <c r="B801">
        <v>49</v>
      </c>
      <c r="C801" s="25" t="s">
        <v>513</v>
      </c>
      <c r="D801" s="12">
        <v>10.8</v>
      </c>
      <c r="E801" s="14">
        <v>1.1000000000000001</v>
      </c>
      <c r="F801" s="7">
        <f t="shared" si="558"/>
        <v>9.8181818181818183</v>
      </c>
      <c r="G801" s="7">
        <f t="shared" si="542"/>
        <v>9.7000000000000011</v>
      </c>
      <c r="H801" s="16">
        <f t="shared" si="543"/>
        <v>11.9</v>
      </c>
      <c r="I801" s="11">
        <f t="shared" si="563"/>
        <v>0.36180549224905884</v>
      </c>
      <c r="J801" s="33">
        <f t="shared" si="564"/>
        <v>3.6850559395737476E-2</v>
      </c>
      <c r="K801" s="33">
        <f t="shared" si="565"/>
        <v>27.136630118990013</v>
      </c>
      <c r="L801" s="33">
        <f t="shared" si="566"/>
        <v>0.32495493285332133</v>
      </c>
      <c r="M801" s="33">
        <f t="shared" si="567"/>
        <v>0.39865605164479634</v>
      </c>
      <c r="N801" s="8">
        <v>0</v>
      </c>
      <c r="O801" s="9">
        <v>1</v>
      </c>
      <c r="P801" s="8">
        <v>0</v>
      </c>
      <c r="Q801" s="9">
        <v>1</v>
      </c>
      <c r="R801" s="9">
        <v>0</v>
      </c>
      <c r="S801" s="9">
        <v>0</v>
      </c>
      <c r="T801" s="9">
        <v>0</v>
      </c>
      <c r="U801" s="8">
        <v>648</v>
      </c>
      <c r="V801" s="9">
        <v>7</v>
      </c>
      <c r="W801" s="9">
        <f t="shared" si="573"/>
        <v>640</v>
      </c>
      <c r="X801" s="9">
        <f t="shared" si="559"/>
        <v>10</v>
      </c>
      <c r="Y801" s="7">
        <v>9.6470000000000002</v>
      </c>
      <c r="Z801" s="7">
        <v>17.068999999999999</v>
      </c>
      <c r="AA801" s="9">
        <v>1</v>
      </c>
      <c r="AB801" s="9">
        <v>0</v>
      </c>
      <c r="AC801" s="9">
        <v>0</v>
      </c>
      <c r="AD801" s="9">
        <v>0</v>
      </c>
      <c r="AE801" s="9">
        <v>0</v>
      </c>
      <c r="AF801" s="9">
        <v>1</v>
      </c>
      <c r="AG801" s="8">
        <v>0</v>
      </c>
      <c r="AH801" s="9">
        <v>0</v>
      </c>
      <c r="AI801" s="30">
        <v>1</v>
      </c>
      <c r="AJ801" s="9">
        <v>0</v>
      </c>
      <c r="AK801" s="30">
        <v>1</v>
      </c>
      <c r="AL801" s="21">
        <v>2000</v>
      </c>
      <c r="AM801" s="23">
        <f t="shared" si="561"/>
        <v>7.6009024595420822</v>
      </c>
      <c r="AN801" s="33">
        <v>2.9000000000000001E-2</v>
      </c>
      <c r="AO801" s="33">
        <v>0.28000000000000003</v>
      </c>
      <c r="AP801" s="33">
        <f t="shared" si="574"/>
        <v>0.498</v>
      </c>
      <c r="AQ801" s="43">
        <v>0.193</v>
      </c>
      <c r="AR801" s="33" t="s">
        <v>106</v>
      </c>
      <c r="AS801" s="43" t="s">
        <v>106</v>
      </c>
      <c r="AT801" s="42">
        <v>1</v>
      </c>
      <c r="AU801" s="18">
        <v>0</v>
      </c>
      <c r="AV801">
        <v>0.6391</v>
      </c>
      <c r="AW801" s="40">
        <f>1-AV801</f>
        <v>0.3609</v>
      </c>
      <c r="AX801" t="s">
        <v>106</v>
      </c>
      <c r="AY801" s="40" t="s">
        <v>106</v>
      </c>
      <c r="BA801" s="18"/>
      <c r="BB801">
        <f t="shared" si="575"/>
        <v>0.34599999999999997</v>
      </c>
      <c r="BC801" s="18">
        <v>0.65400000000000003</v>
      </c>
      <c r="BD801" s="18" t="s">
        <v>13</v>
      </c>
      <c r="BK801" s="18"/>
      <c r="BN801" s="18"/>
      <c r="BQ801" s="96">
        <f t="shared" si="576"/>
        <v>32.716000000000001</v>
      </c>
      <c r="BR801">
        <v>1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s="18">
        <v>0</v>
      </c>
      <c r="BZ801">
        <v>0</v>
      </c>
      <c r="CA801">
        <v>0</v>
      </c>
      <c r="CB801">
        <v>1</v>
      </c>
      <c r="CC801" s="18">
        <v>0</v>
      </c>
      <c r="CD801">
        <v>0</v>
      </c>
      <c r="CE801">
        <v>0</v>
      </c>
      <c r="CF801">
        <v>0</v>
      </c>
      <c r="CG801">
        <v>0</v>
      </c>
      <c r="CH801" s="18">
        <v>0</v>
      </c>
      <c r="CI801">
        <v>0</v>
      </c>
      <c r="CJ801">
        <v>0</v>
      </c>
      <c r="CK801">
        <v>1</v>
      </c>
      <c r="CL801">
        <v>1</v>
      </c>
      <c r="CM801">
        <v>0</v>
      </c>
      <c r="CN801">
        <v>0</v>
      </c>
      <c r="CO801">
        <v>1</v>
      </c>
      <c r="CP801">
        <v>0</v>
      </c>
      <c r="CQ801">
        <v>0</v>
      </c>
      <c r="CR801">
        <v>1</v>
      </c>
      <c r="CS801" s="18">
        <v>0</v>
      </c>
      <c r="DD801" s="34" t="s">
        <v>86</v>
      </c>
    </row>
    <row r="802" spans="1:108" s="153" customFormat="1" x14ac:dyDescent="0.25">
      <c r="A802" s="153">
        <v>801</v>
      </c>
      <c r="B802" s="153">
        <v>49</v>
      </c>
      <c r="C802" s="154" t="s">
        <v>513</v>
      </c>
      <c r="D802" s="155">
        <v>5</v>
      </c>
      <c r="E802" s="156">
        <v>2.4</v>
      </c>
      <c r="F802" s="157">
        <f t="shared" si="558"/>
        <v>2.0833333333333335</v>
      </c>
      <c r="G802" s="157">
        <f t="shared" si="542"/>
        <v>2.6</v>
      </c>
      <c r="H802" s="158">
        <f t="shared" si="543"/>
        <v>7.4</v>
      </c>
      <c r="I802" s="159">
        <f t="shared" si="563"/>
        <v>8.1946074150553536E-2</v>
      </c>
      <c r="J802" s="160">
        <f t="shared" si="564"/>
        <v>3.9334115592265698E-2</v>
      </c>
      <c r="K802" s="160">
        <f t="shared" si="565"/>
        <v>25.423223198048234</v>
      </c>
      <c r="L802" s="160">
        <f t="shared" si="566"/>
        <v>4.2611958558287838E-2</v>
      </c>
      <c r="M802" s="160">
        <f t="shared" si="567"/>
        <v>0.12128018974281923</v>
      </c>
      <c r="N802" s="161">
        <v>0</v>
      </c>
      <c r="O802" s="162">
        <v>1</v>
      </c>
      <c r="P802" s="161">
        <v>0</v>
      </c>
      <c r="Q802" s="162">
        <v>1</v>
      </c>
      <c r="R802" s="162">
        <v>0</v>
      </c>
      <c r="S802" s="162">
        <v>0</v>
      </c>
      <c r="T802" s="162">
        <v>0</v>
      </c>
      <c r="U802" s="161">
        <v>648</v>
      </c>
      <c r="V802" s="162">
        <v>5</v>
      </c>
      <c r="W802" s="162">
        <f t="shared" si="573"/>
        <v>642</v>
      </c>
      <c r="X802" s="162">
        <f t="shared" si="559"/>
        <v>10</v>
      </c>
      <c r="Y802" s="157">
        <v>9.6470000000000002</v>
      </c>
      <c r="Z802" s="157">
        <v>17.068999999999999</v>
      </c>
      <c r="AA802" s="162">
        <v>1</v>
      </c>
      <c r="AB802" s="162">
        <v>0</v>
      </c>
      <c r="AC802" s="162">
        <v>0</v>
      </c>
      <c r="AD802" s="162">
        <v>0</v>
      </c>
      <c r="AE802" s="162">
        <v>0</v>
      </c>
      <c r="AF802" s="162">
        <v>1</v>
      </c>
      <c r="AG802" s="161">
        <v>0</v>
      </c>
      <c r="AH802" s="162">
        <v>0</v>
      </c>
      <c r="AI802" s="163">
        <v>1</v>
      </c>
      <c r="AJ802" s="162">
        <v>0</v>
      </c>
      <c r="AK802" s="163">
        <v>1</v>
      </c>
      <c r="AL802" s="164">
        <v>2000</v>
      </c>
      <c r="AM802" s="165">
        <f t="shared" si="561"/>
        <v>7.6009024595420822</v>
      </c>
      <c r="AN802" s="160">
        <v>2.9000000000000001E-2</v>
      </c>
      <c r="AO802" s="160">
        <v>0.28000000000000003</v>
      </c>
      <c r="AP802" s="160">
        <f t="shared" si="574"/>
        <v>0.498</v>
      </c>
      <c r="AQ802" s="166">
        <v>0.193</v>
      </c>
      <c r="AR802" s="160" t="s">
        <v>106</v>
      </c>
      <c r="AS802" s="166" t="s">
        <v>106</v>
      </c>
      <c r="AT802" s="167">
        <v>1</v>
      </c>
      <c r="AU802" s="168">
        <v>0</v>
      </c>
      <c r="AV802" s="153">
        <v>0.6391</v>
      </c>
      <c r="AW802" s="169">
        <f>1-AV802</f>
        <v>0.3609</v>
      </c>
      <c r="AX802" s="153" t="s">
        <v>106</v>
      </c>
      <c r="AY802" s="169" t="s">
        <v>106</v>
      </c>
      <c r="BA802" s="168"/>
      <c r="BB802" s="153">
        <f t="shared" si="575"/>
        <v>0.34599999999999997</v>
      </c>
      <c r="BC802" s="168">
        <v>0.65400000000000003</v>
      </c>
      <c r="BD802" s="168" t="s">
        <v>13</v>
      </c>
      <c r="BK802" s="168"/>
      <c r="BN802" s="168"/>
      <c r="BQ802" s="170">
        <f t="shared" si="576"/>
        <v>32.716000000000001</v>
      </c>
      <c r="BR802" s="153">
        <v>0</v>
      </c>
      <c r="BS802" s="153">
        <v>0</v>
      </c>
      <c r="BT802" s="153">
        <v>0</v>
      </c>
      <c r="BU802" s="153">
        <v>1</v>
      </c>
      <c r="BV802" s="153">
        <v>0</v>
      </c>
      <c r="BW802" s="153">
        <v>0</v>
      </c>
      <c r="BX802" s="153">
        <v>0</v>
      </c>
      <c r="BY802" s="168">
        <v>0</v>
      </c>
      <c r="BZ802" s="153">
        <v>0</v>
      </c>
      <c r="CA802" s="153">
        <v>0</v>
      </c>
      <c r="CB802" s="153">
        <v>1</v>
      </c>
      <c r="CC802" s="168">
        <v>0</v>
      </c>
      <c r="CD802" s="153">
        <v>0</v>
      </c>
      <c r="CE802" s="153">
        <v>0</v>
      </c>
      <c r="CF802" s="153">
        <v>0</v>
      </c>
      <c r="CG802" s="153">
        <v>0</v>
      </c>
      <c r="CH802" s="168">
        <v>0</v>
      </c>
      <c r="CI802" s="153">
        <v>0</v>
      </c>
      <c r="CJ802" s="153">
        <v>0</v>
      </c>
      <c r="CK802" s="153">
        <v>1</v>
      </c>
      <c r="CL802" s="153">
        <v>1</v>
      </c>
      <c r="CM802" s="153">
        <v>0</v>
      </c>
      <c r="CN802" s="153">
        <v>0</v>
      </c>
      <c r="CO802" s="153">
        <v>1</v>
      </c>
      <c r="CP802" s="153">
        <v>0</v>
      </c>
      <c r="CQ802" s="153">
        <v>0</v>
      </c>
      <c r="CR802" s="153">
        <v>1</v>
      </c>
      <c r="CS802" s="168">
        <v>0</v>
      </c>
      <c r="CY802" s="171"/>
      <c r="DD802" s="171" t="s">
        <v>86</v>
      </c>
    </row>
    <row r="803" spans="1:108" x14ac:dyDescent="0.25">
      <c r="A803">
        <v>802</v>
      </c>
      <c r="B803">
        <v>50</v>
      </c>
      <c r="C803" s="25" t="s">
        <v>514</v>
      </c>
      <c r="D803" s="12">
        <v>1.5</v>
      </c>
      <c r="E803" s="14">
        <v>0.2</v>
      </c>
      <c r="F803" s="7">
        <f t="shared" si="558"/>
        <v>7.5</v>
      </c>
      <c r="G803" s="7">
        <f t="shared" si="542"/>
        <v>1.3</v>
      </c>
      <c r="H803" s="16">
        <f t="shared" si="543"/>
        <v>1.7</v>
      </c>
      <c r="I803" s="11">
        <f t="shared" si="563"/>
        <v>3.4257559150632909E-2</v>
      </c>
      <c r="J803" s="33">
        <f t="shared" si="564"/>
        <v>4.5676745534177212E-3</v>
      </c>
      <c r="K803" s="33">
        <f t="shared" si="565"/>
        <v>218.9297832639497</v>
      </c>
      <c r="L803" s="33">
        <f t="shared" si="566"/>
        <v>2.9689884597215187E-2</v>
      </c>
      <c r="M803" s="33">
        <f t="shared" si="567"/>
        <v>3.8825233704050631E-2</v>
      </c>
      <c r="N803" s="8">
        <v>0</v>
      </c>
      <c r="O803" s="9">
        <v>1</v>
      </c>
      <c r="P803" s="8">
        <v>0</v>
      </c>
      <c r="Q803" s="9">
        <v>0</v>
      </c>
      <c r="R803" s="9">
        <v>0</v>
      </c>
      <c r="S803" s="9">
        <v>1</v>
      </c>
      <c r="T803" s="9">
        <v>0</v>
      </c>
      <c r="U803" s="8">
        <v>47881</v>
      </c>
      <c r="V803" s="9">
        <v>6</v>
      </c>
      <c r="W803" s="9">
        <f t="shared" si="573"/>
        <v>47874</v>
      </c>
      <c r="X803" s="9">
        <f t="shared" si="559"/>
        <v>4</v>
      </c>
      <c r="Y803" s="7">
        <f>(6*AO803+11*AP803)</f>
        <v>9.8500000000000014</v>
      </c>
      <c r="Z803" s="7">
        <f>BQ803-Y803-6</f>
        <v>1.1499999999999986</v>
      </c>
      <c r="AA803" s="9">
        <v>1</v>
      </c>
      <c r="AB803" s="9">
        <v>0</v>
      </c>
      <c r="AC803" s="9">
        <v>0</v>
      </c>
      <c r="AD803" s="9">
        <v>1</v>
      </c>
      <c r="AE803" s="9">
        <v>0</v>
      </c>
      <c r="AF803" s="9">
        <v>0</v>
      </c>
      <c r="AG803" s="8">
        <v>0</v>
      </c>
      <c r="AH803" s="9">
        <v>0</v>
      </c>
      <c r="AI803" s="30">
        <v>1</v>
      </c>
      <c r="AJ803" s="9">
        <v>1</v>
      </c>
      <c r="AK803" s="30">
        <v>0</v>
      </c>
      <c r="AL803" s="21">
        <v>1987</v>
      </c>
      <c r="AM803" s="23">
        <f t="shared" si="561"/>
        <v>7.5943812425518171</v>
      </c>
      <c r="AN803" s="33">
        <v>0</v>
      </c>
      <c r="AO803" s="33">
        <v>0.23</v>
      </c>
      <c r="AP803" s="33">
        <v>0.77</v>
      </c>
      <c r="AQ803" s="43">
        <v>0</v>
      </c>
      <c r="AR803" s="33" t="s">
        <v>106</v>
      </c>
      <c r="AS803" s="43" t="s">
        <v>106</v>
      </c>
      <c r="AT803" s="42">
        <v>1</v>
      </c>
      <c r="AU803" s="18">
        <v>0</v>
      </c>
      <c r="AV803" s="190">
        <v>1</v>
      </c>
      <c r="AW803" s="40">
        <v>0</v>
      </c>
      <c r="AX803">
        <v>1</v>
      </c>
      <c r="AY803" s="40">
        <v>0</v>
      </c>
      <c r="BA803" s="18"/>
      <c r="BB803" s="189">
        <f>1-BC803</f>
        <v>0.86519999999999997</v>
      </c>
      <c r="BC803" s="18">
        <v>0.1348</v>
      </c>
      <c r="BD803" s="18" t="s">
        <v>515</v>
      </c>
      <c r="BK803" s="18"/>
      <c r="BN803" s="18"/>
      <c r="BQ803" s="25">
        <v>17</v>
      </c>
      <c r="BR803" s="189">
        <v>1</v>
      </c>
      <c r="BS803" s="189">
        <v>0</v>
      </c>
      <c r="BT803" s="189">
        <v>0</v>
      </c>
      <c r="BU803" s="189">
        <v>0</v>
      </c>
      <c r="BV803" s="189">
        <v>0</v>
      </c>
      <c r="BW803" s="189">
        <v>0</v>
      </c>
      <c r="BX803" s="189">
        <v>0</v>
      </c>
      <c r="BY803" s="18">
        <v>0</v>
      </c>
      <c r="BZ803" s="189">
        <v>0</v>
      </c>
      <c r="CA803" s="189">
        <v>1</v>
      </c>
      <c r="CB803" s="189">
        <v>0</v>
      </c>
      <c r="CC803" s="18">
        <v>0</v>
      </c>
      <c r="CD803" s="189">
        <v>0</v>
      </c>
      <c r="CE803" s="189">
        <v>0</v>
      </c>
      <c r="CF803" s="189">
        <v>0</v>
      </c>
      <c r="CG803" s="189">
        <v>0</v>
      </c>
      <c r="CH803" s="18">
        <v>1</v>
      </c>
      <c r="CI803" s="189">
        <v>1</v>
      </c>
      <c r="CJ803" s="189">
        <v>1</v>
      </c>
      <c r="CK803" s="189">
        <v>1</v>
      </c>
      <c r="CL803" s="189">
        <v>1</v>
      </c>
      <c r="CM803" s="189">
        <v>1</v>
      </c>
      <c r="CN803" s="189">
        <v>0</v>
      </c>
      <c r="CO803" s="189">
        <v>0</v>
      </c>
      <c r="CP803" s="189">
        <v>0</v>
      </c>
      <c r="CQ803" s="189">
        <v>0</v>
      </c>
      <c r="CR803" s="189">
        <v>0</v>
      </c>
      <c r="CS803" s="18">
        <v>1</v>
      </c>
      <c r="DD803" s="34" t="s">
        <v>86</v>
      </c>
    </row>
    <row r="804" spans="1:108" x14ac:dyDescent="0.25">
      <c r="A804">
        <v>803</v>
      </c>
      <c r="B804">
        <v>50</v>
      </c>
      <c r="C804" s="25" t="s">
        <v>514</v>
      </c>
      <c r="D804" s="12">
        <v>2.7</v>
      </c>
      <c r="E804" s="14">
        <v>0.2</v>
      </c>
      <c r="F804" s="7">
        <f t="shared" si="558"/>
        <v>13.5</v>
      </c>
      <c r="G804" s="7">
        <f t="shared" si="542"/>
        <v>2.5</v>
      </c>
      <c r="H804" s="16">
        <f t="shared" si="543"/>
        <v>2.9000000000000004</v>
      </c>
      <c r="I804" s="11">
        <f t="shared" si="563"/>
        <v>6.1583355408391327E-2</v>
      </c>
      <c r="J804" s="33">
        <f t="shared" si="564"/>
        <v>4.5617300302512095E-3</v>
      </c>
      <c r="K804" s="33">
        <f t="shared" si="565"/>
        <v>219.21507703622942</v>
      </c>
      <c r="L804" s="33">
        <f t="shared" si="566"/>
        <v>5.7021625378140116E-2</v>
      </c>
      <c r="M804" s="33">
        <f t="shared" si="567"/>
        <v>6.6145085438642531E-2</v>
      </c>
      <c r="N804" s="8">
        <v>0</v>
      </c>
      <c r="O804" s="9">
        <v>1</v>
      </c>
      <c r="P804" s="8">
        <v>0</v>
      </c>
      <c r="Q804" s="9">
        <v>0</v>
      </c>
      <c r="R804" s="9">
        <v>0</v>
      </c>
      <c r="S804" s="9">
        <v>1</v>
      </c>
      <c r="T804" s="9">
        <v>0</v>
      </c>
      <c r="U804" s="8">
        <v>47881</v>
      </c>
      <c r="V804" s="9">
        <v>7</v>
      </c>
      <c r="W804" s="9">
        <f t="shared" si="573"/>
        <v>47873</v>
      </c>
      <c r="X804" s="9">
        <f t="shared" si="559"/>
        <v>4</v>
      </c>
      <c r="Y804" s="7">
        <f t="shared" ref="Y804:Y807" si="577">(6*AO804+11*AP804)</f>
        <v>9.8500000000000014</v>
      </c>
      <c r="Z804" s="7">
        <f t="shared" ref="Z804:Z806" si="578">BQ804-Y804-6</f>
        <v>1.1499999999999986</v>
      </c>
      <c r="AA804" s="9">
        <v>1</v>
      </c>
      <c r="AB804" s="9">
        <v>0</v>
      </c>
      <c r="AC804" s="9">
        <v>0</v>
      </c>
      <c r="AD804" s="9">
        <v>1</v>
      </c>
      <c r="AE804" s="9">
        <v>0</v>
      </c>
      <c r="AF804" s="9">
        <v>0</v>
      </c>
      <c r="AG804" s="8">
        <v>0</v>
      </c>
      <c r="AH804" s="9">
        <v>0</v>
      </c>
      <c r="AI804" s="30">
        <v>1</v>
      </c>
      <c r="AJ804" s="9">
        <v>1</v>
      </c>
      <c r="AK804" s="30">
        <v>0</v>
      </c>
      <c r="AL804" s="21">
        <v>1987</v>
      </c>
      <c r="AM804" s="23">
        <f t="shared" si="561"/>
        <v>7.5943812425518171</v>
      </c>
      <c r="AN804" s="33">
        <v>0</v>
      </c>
      <c r="AO804" s="33">
        <v>0.23</v>
      </c>
      <c r="AP804" s="33">
        <v>0.77</v>
      </c>
      <c r="AQ804" s="43">
        <v>0</v>
      </c>
      <c r="AR804" s="33" t="s">
        <v>106</v>
      </c>
      <c r="AS804" s="43" t="s">
        <v>106</v>
      </c>
      <c r="AT804" s="42">
        <v>1</v>
      </c>
      <c r="AU804" s="18">
        <v>0</v>
      </c>
      <c r="AV804" s="190">
        <v>1</v>
      </c>
      <c r="AW804" s="40">
        <v>0</v>
      </c>
      <c r="AX804">
        <v>1</v>
      </c>
      <c r="AY804" s="40">
        <v>0</v>
      </c>
      <c r="BA804" s="18"/>
      <c r="BB804" s="189">
        <f t="shared" ref="BB804:BB806" si="579">1-BC804</f>
        <v>0.86519999999999997</v>
      </c>
      <c r="BC804" s="18">
        <v>0.1348</v>
      </c>
      <c r="BD804" s="18" t="s">
        <v>515</v>
      </c>
      <c r="BK804" s="18"/>
      <c r="BN804" s="18"/>
      <c r="BQ804" s="25">
        <v>17</v>
      </c>
      <c r="BR804" s="189">
        <v>1</v>
      </c>
      <c r="BS804" s="189">
        <v>0</v>
      </c>
      <c r="BT804" s="189">
        <v>0</v>
      </c>
      <c r="BU804" s="189">
        <v>0</v>
      </c>
      <c r="BV804" s="189">
        <v>0</v>
      </c>
      <c r="BW804" s="189">
        <v>0</v>
      </c>
      <c r="BX804" s="189">
        <v>0</v>
      </c>
      <c r="BY804" s="18">
        <v>0</v>
      </c>
      <c r="BZ804" s="189">
        <v>0</v>
      </c>
      <c r="CA804" s="189">
        <v>1</v>
      </c>
      <c r="CB804" s="189">
        <v>0</v>
      </c>
      <c r="CC804" s="18">
        <v>0</v>
      </c>
      <c r="CD804" s="189">
        <v>0</v>
      </c>
      <c r="CE804" s="189">
        <v>0</v>
      </c>
      <c r="CF804" s="189">
        <v>0</v>
      </c>
      <c r="CG804" s="189">
        <v>0</v>
      </c>
      <c r="CH804" s="18">
        <v>1</v>
      </c>
      <c r="CI804" s="189">
        <v>1</v>
      </c>
      <c r="CJ804" s="189">
        <v>1</v>
      </c>
      <c r="CK804" s="189">
        <v>1</v>
      </c>
      <c r="CL804" s="189">
        <v>1</v>
      </c>
      <c r="CM804" s="189">
        <v>1</v>
      </c>
      <c r="CN804" s="189">
        <v>0</v>
      </c>
      <c r="CO804" s="189">
        <v>0</v>
      </c>
      <c r="CP804" s="189">
        <v>0</v>
      </c>
      <c r="CQ804" s="189">
        <v>0</v>
      </c>
      <c r="CR804" s="189">
        <v>0</v>
      </c>
      <c r="CS804" s="18">
        <v>1</v>
      </c>
      <c r="DD804" s="34" t="s">
        <v>86</v>
      </c>
    </row>
    <row r="805" spans="1:108" x14ac:dyDescent="0.25">
      <c r="A805">
        <v>804</v>
      </c>
      <c r="B805">
        <v>50</v>
      </c>
      <c r="C805" s="25" t="s">
        <v>514</v>
      </c>
      <c r="D805" s="12">
        <v>2.6</v>
      </c>
      <c r="E805" s="14">
        <v>1.6</v>
      </c>
      <c r="F805" s="7">
        <f t="shared" si="558"/>
        <v>1.625</v>
      </c>
      <c r="G805" s="7">
        <f t="shared" si="542"/>
        <v>1</v>
      </c>
      <c r="H805" s="16">
        <f t="shared" si="543"/>
        <v>4.2</v>
      </c>
      <c r="I805" s="11">
        <f t="shared" si="563"/>
        <v>7.4267031656713844E-3</v>
      </c>
      <c r="J805" s="33">
        <f t="shared" si="564"/>
        <v>4.5702788711823898E-3</v>
      </c>
      <c r="K805" s="33">
        <f t="shared" si="565"/>
        <v>218.8050287927588</v>
      </c>
      <c r="L805" s="33">
        <f t="shared" si="566"/>
        <v>2.8564242944889946E-3</v>
      </c>
      <c r="M805" s="33">
        <f t="shared" si="567"/>
        <v>1.1996982036853773E-2</v>
      </c>
      <c r="N805" s="8">
        <v>0</v>
      </c>
      <c r="O805" s="9">
        <v>1</v>
      </c>
      <c r="P805" s="8">
        <v>0</v>
      </c>
      <c r="Q805" s="9">
        <v>0</v>
      </c>
      <c r="R805" s="9">
        <v>0</v>
      </c>
      <c r="S805" s="9">
        <v>1</v>
      </c>
      <c r="T805" s="9">
        <v>0</v>
      </c>
      <c r="U805" s="8">
        <v>47881</v>
      </c>
      <c r="V805" s="9">
        <v>7</v>
      </c>
      <c r="W805" s="9">
        <f t="shared" si="573"/>
        <v>47873</v>
      </c>
      <c r="X805" s="9">
        <f t="shared" si="559"/>
        <v>4</v>
      </c>
      <c r="Y805" s="7">
        <f t="shared" si="577"/>
        <v>9.8500000000000014</v>
      </c>
      <c r="Z805" s="7">
        <f t="shared" si="578"/>
        <v>1.1499999999999986</v>
      </c>
      <c r="AA805" s="9">
        <v>1</v>
      </c>
      <c r="AB805" s="9">
        <v>0</v>
      </c>
      <c r="AC805" s="9">
        <v>0</v>
      </c>
      <c r="AD805" s="9">
        <v>1</v>
      </c>
      <c r="AE805" s="9">
        <v>0</v>
      </c>
      <c r="AF805" s="9">
        <v>0</v>
      </c>
      <c r="AG805" s="8">
        <v>0</v>
      </c>
      <c r="AH805" s="9">
        <v>0</v>
      </c>
      <c r="AI805" s="30">
        <v>1</v>
      </c>
      <c r="AJ805" s="9">
        <v>1</v>
      </c>
      <c r="AK805" s="30">
        <v>0</v>
      </c>
      <c r="AL805" s="21">
        <v>1987</v>
      </c>
      <c r="AM805" s="23">
        <f t="shared" si="561"/>
        <v>7.5943812425518171</v>
      </c>
      <c r="AN805" s="33">
        <v>0</v>
      </c>
      <c r="AO805" s="33">
        <v>0.23</v>
      </c>
      <c r="AP805" s="33">
        <v>0.77</v>
      </c>
      <c r="AQ805" s="43">
        <v>0</v>
      </c>
      <c r="AR805" s="33" t="s">
        <v>106</v>
      </c>
      <c r="AS805" s="43" t="s">
        <v>106</v>
      </c>
      <c r="AT805" s="42">
        <v>1</v>
      </c>
      <c r="AU805" s="18">
        <v>0</v>
      </c>
      <c r="AV805" s="190">
        <v>1</v>
      </c>
      <c r="AW805" s="40">
        <v>0</v>
      </c>
      <c r="AX805">
        <v>1</v>
      </c>
      <c r="AY805" s="40">
        <v>0</v>
      </c>
      <c r="BA805" s="18"/>
      <c r="BB805" s="189">
        <f t="shared" si="579"/>
        <v>0.86519999999999997</v>
      </c>
      <c r="BC805" s="18">
        <v>0.1348</v>
      </c>
      <c r="BD805" s="18" t="s">
        <v>515</v>
      </c>
      <c r="BK805" s="18"/>
      <c r="BN805" s="18"/>
      <c r="BQ805" s="25">
        <v>17</v>
      </c>
      <c r="BR805" s="189">
        <v>0</v>
      </c>
      <c r="BS805" s="189">
        <v>0</v>
      </c>
      <c r="BT805" s="189">
        <v>0</v>
      </c>
      <c r="BU805" s="189">
        <v>0</v>
      </c>
      <c r="BV805" s="189">
        <v>0</v>
      </c>
      <c r="BW805" s="189">
        <v>0</v>
      </c>
      <c r="BX805" s="189">
        <v>0</v>
      </c>
      <c r="BY805" s="18">
        <v>1</v>
      </c>
      <c r="BZ805" s="189">
        <v>0</v>
      </c>
      <c r="CA805" s="189">
        <v>1</v>
      </c>
      <c r="CB805" s="189">
        <v>0</v>
      </c>
      <c r="CC805" s="18">
        <v>0</v>
      </c>
      <c r="CD805" s="189">
        <v>0</v>
      </c>
      <c r="CE805" s="189">
        <v>0</v>
      </c>
      <c r="CF805" s="189">
        <v>0</v>
      </c>
      <c r="CG805" s="189">
        <v>0</v>
      </c>
      <c r="CH805" s="18">
        <v>1</v>
      </c>
      <c r="CI805" s="189">
        <v>1</v>
      </c>
      <c r="CJ805" s="189">
        <v>1</v>
      </c>
      <c r="CK805" s="189">
        <v>1</v>
      </c>
      <c r="CL805" s="189">
        <v>1</v>
      </c>
      <c r="CM805" s="189">
        <v>1</v>
      </c>
      <c r="CN805" s="189">
        <v>0</v>
      </c>
      <c r="CO805" s="189">
        <v>0</v>
      </c>
      <c r="CP805" s="189">
        <v>0</v>
      </c>
      <c r="CQ805" s="189">
        <v>0</v>
      </c>
      <c r="CR805" s="189">
        <v>0</v>
      </c>
      <c r="CS805" s="18">
        <v>1</v>
      </c>
      <c r="DD805" s="34" t="s">
        <v>86</v>
      </c>
    </row>
    <row r="806" spans="1:108" s="153" customFormat="1" x14ac:dyDescent="0.25">
      <c r="A806" s="153">
        <v>805</v>
      </c>
      <c r="B806" s="153">
        <v>50</v>
      </c>
      <c r="C806" s="154" t="s">
        <v>514</v>
      </c>
      <c r="D806" s="155">
        <v>4.0999999999999996</v>
      </c>
      <c r="E806" s="156">
        <v>1.8</v>
      </c>
      <c r="F806" s="157">
        <f t="shared" si="558"/>
        <v>2.2777777777777777</v>
      </c>
      <c r="G806" s="157">
        <f t="shared" si="542"/>
        <v>2.2999999999999998</v>
      </c>
      <c r="H806" s="158">
        <f t="shared" si="543"/>
        <v>5.8999999999999995</v>
      </c>
      <c r="I806" s="159">
        <f t="shared" si="563"/>
        <v>1.0409802681932152E-2</v>
      </c>
      <c r="J806" s="160">
        <f t="shared" si="564"/>
        <v>4.5701572749946035E-3</v>
      </c>
      <c r="K806" s="160">
        <f t="shared" si="565"/>
        <v>218.81085044303663</v>
      </c>
      <c r="L806" s="160">
        <f t="shared" si="566"/>
        <v>5.8396454069375488E-3</v>
      </c>
      <c r="M806" s="160">
        <f t="shared" si="567"/>
        <v>1.4979959956926756E-2</v>
      </c>
      <c r="N806" s="161">
        <v>0</v>
      </c>
      <c r="O806" s="162">
        <v>1</v>
      </c>
      <c r="P806" s="161">
        <v>0</v>
      </c>
      <c r="Q806" s="162">
        <v>0</v>
      </c>
      <c r="R806" s="162">
        <v>0</v>
      </c>
      <c r="S806" s="162">
        <v>1</v>
      </c>
      <c r="T806" s="162">
        <v>0</v>
      </c>
      <c r="U806" s="161">
        <v>47881</v>
      </c>
      <c r="V806" s="162">
        <v>7</v>
      </c>
      <c r="W806" s="162">
        <f t="shared" si="573"/>
        <v>47873</v>
      </c>
      <c r="X806" s="162">
        <f t="shared" si="559"/>
        <v>4</v>
      </c>
      <c r="Y806" s="157">
        <f t="shared" si="577"/>
        <v>9.8500000000000014</v>
      </c>
      <c r="Z806" s="157">
        <f t="shared" si="578"/>
        <v>1.1499999999999986</v>
      </c>
      <c r="AA806" s="162">
        <v>1</v>
      </c>
      <c r="AB806" s="162">
        <v>0</v>
      </c>
      <c r="AC806" s="162">
        <v>0</v>
      </c>
      <c r="AD806" s="162">
        <v>1</v>
      </c>
      <c r="AE806" s="162">
        <v>0</v>
      </c>
      <c r="AF806" s="162">
        <v>0</v>
      </c>
      <c r="AG806" s="161">
        <v>0</v>
      </c>
      <c r="AH806" s="162">
        <v>0</v>
      </c>
      <c r="AI806" s="163">
        <v>1</v>
      </c>
      <c r="AJ806" s="162">
        <v>1</v>
      </c>
      <c r="AK806" s="163">
        <v>0</v>
      </c>
      <c r="AL806" s="164">
        <v>1987</v>
      </c>
      <c r="AM806" s="165">
        <f t="shared" si="561"/>
        <v>7.5943812425518171</v>
      </c>
      <c r="AN806" s="160">
        <v>0</v>
      </c>
      <c r="AO806" s="160">
        <v>0.23</v>
      </c>
      <c r="AP806" s="160">
        <v>0.77</v>
      </c>
      <c r="AQ806" s="166">
        <v>0</v>
      </c>
      <c r="AR806" s="160" t="s">
        <v>106</v>
      </c>
      <c r="AS806" s="166" t="s">
        <v>106</v>
      </c>
      <c r="AT806" s="167">
        <v>1</v>
      </c>
      <c r="AU806" s="168">
        <v>0</v>
      </c>
      <c r="AV806" s="191">
        <v>1</v>
      </c>
      <c r="AW806" s="169">
        <v>0</v>
      </c>
      <c r="AX806" s="153">
        <v>1</v>
      </c>
      <c r="AY806" s="169">
        <v>0</v>
      </c>
      <c r="BA806" s="168"/>
      <c r="BB806" s="192">
        <f t="shared" si="579"/>
        <v>0.86519999999999997</v>
      </c>
      <c r="BC806" s="168">
        <v>0.1348</v>
      </c>
      <c r="BD806" s="168" t="s">
        <v>515</v>
      </c>
      <c r="BK806" s="168"/>
      <c r="BN806" s="168"/>
      <c r="BQ806" s="154">
        <v>17</v>
      </c>
      <c r="BR806" s="192">
        <v>0</v>
      </c>
      <c r="BS806" s="192">
        <v>0</v>
      </c>
      <c r="BT806" s="192">
        <v>0</v>
      </c>
      <c r="BU806" s="192">
        <v>0</v>
      </c>
      <c r="BV806" s="192">
        <v>0</v>
      </c>
      <c r="BW806" s="192">
        <v>0</v>
      </c>
      <c r="BX806" s="192">
        <v>0</v>
      </c>
      <c r="BY806" s="168">
        <v>1</v>
      </c>
      <c r="BZ806" s="192">
        <v>0</v>
      </c>
      <c r="CA806" s="192">
        <v>1</v>
      </c>
      <c r="CB806" s="192">
        <v>0</v>
      </c>
      <c r="CC806" s="168">
        <v>0</v>
      </c>
      <c r="CD806" s="192">
        <v>0</v>
      </c>
      <c r="CE806" s="192">
        <v>0</v>
      </c>
      <c r="CF806" s="192">
        <v>0</v>
      </c>
      <c r="CG806" s="192">
        <v>0</v>
      </c>
      <c r="CH806" s="168">
        <v>1</v>
      </c>
      <c r="CI806" s="192">
        <v>1</v>
      </c>
      <c r="CJ806" s="192">
        <v>1</v>
      </c>
      <c r="CK806" s="192">
        <v>1</v>
      </c>
      <c r="CL806" s="192">
        <v>1</v>
      </c>
      <c r="CM806" s="192">
        <v>1</v>
      </c>
      <c r="CN806" s="192">
        <v>0</v>
      </c>
      <c r="CO806" s="192">
        <v>0</v>
      </c>
      <c r="CP806" s="192">
        <v>0</v>
      </c>
      <c r="CQ806" s="192">
        <v>0</v>
      </c>
      <c r="CR806" s="192">
        <v>0</v>
      </c>
      <c r="CS806" s="168">
        <v>1</v>
      </c>
      <c r="CY806" s="171"/>
      <c r="DD806" s="171" t="s">
        <v>86</v>
      </c>
    </row>
    <row r="807" spans="1:108" x14ac:dyDescent="0.25">
      <c r="A807">
        <v>806</v>
      </c>
      <c r="B807" s="189">
        <v>51</v>
      </c>
      <c r="C807" s="25" t="s">
        <v>516</v>
      </c>
      <c r="D807" s="12">
        <v>8.6</v>
      </c>
      <c r="E807" s="14">
        <v>0.5</v>
      </c>
      <c r="F807" s="7">
        <f t="shared" si="558"/>
        <v>17.2</v>
      </c>
      <c r="G807" s="7">
        <f t="shared" si="542"/>
        <v>8.1</v>
      </c>
      <c r="H807" s="16">
        <f t="shared" si="543"/>
        <v>9.1</v>
      </c>
      <c r="I807" s="11">
        <f t="shared" si="563"/>
        <v>9.4587141279251663E-2</v>
      </c>
      <c r="J807" s="33">
        <f t="shared" si="564"/>
        <v>5.499252399956492E-3</v>
      </c>
      <c r="K807" s="33">
        <f t="shared" si="565"/>
        <v>181.8428992289773</v>
      </c>
      <c r="L807" s="33">
        <f t="shared" si="566"/>
        <v>8.9087888879295168E-2</v>
      </c>
      <c r="M807" s="33">
        <f t="shared" si="567"/>
        <v>0.10008639367920816</v>
      </c>
      <c r="N807" s="8">
        <v>0</v>
      </c>
      <c r="O807" s="9">
        <v>1</v>
      </c>
      <c r="P807" s="8">
        <v>0</v>
      </c>
      <c r="Q807" s="9">
        <v>0</v>
      </c>
      <c r="R807" s="9">
        <v>0</v>
      </c>
      <c r="S807" s="9">
        <v>1</v>
      </c>
      <c r="T807" s="9">
        <v>0</v>
      </c>
      <c r="U807" s="8">
        <v>32775</v>
      </c>
      <c r="V807" s="9">
        <v>3</v>
      </c>
      <c r="W807" s="9">
        <f t="shared" si="573"/>
        <v>32771</v>
      </c>
      <c r="X807" s="9">
        <f t="shared" si="559"/>
        <v>6</v>
      </c>
      <c r="Y807" s="7">
        <v>12.6</v>
      </c>
      <c r="Z807" s="7">
        <f>BQ807-Y807-6</f>
        <v>25.9</v>
      </c>
      <c r="AA807" s="9">
        <v>1</v>
      </c>
      <c r="AB807" s="9">
        <v>0</v>
      </c>
      <c r="AC807" s="9">
        <v>0</v>
      </c>
      <c r="AD807" s="9">
        <v>1</v>
      </c>
      <c r="AE807" s="9">
        <v>0</v>
      </c>
      <c r="AF807" s="9">
        <v>0</v>
      </c>
      <c r="AG807" s="8">
        <v>0</v>
      </c>
      <c r="AH807" s="9">
        <v>1</v>
      </c>
      <c r="AI807" s="30">
        <v>0</v>
      </c>
      <c r="AJ807" s="9">
        <v>0</v>
      </c>
      <c r="AK807" s="30">
        <v>1</v>
      </c>
      <c r="AL807" s="21">
        <v>2008</v>
      </c>
      <c r="AM807" s="23">
        <f t="shared" si="561"/>
        <v>7.6048944808116197</v>
      </c>
      <c r="AN807" s="33">
        <v>0</v>
      </c>
      <c r="AO807" s="33">
        <v>0</v>
      </c>
      <c r="AP807" s="33">
        <v>0</v>
      </c>
      <c r="AQ807" s="43">
        <v>1</v>
      </c>
      <c r="AR807" s="33" t="s">
        <v>106</v>
      </c>
      <c r="AS807" s="43" t="s">
        <v>106</v>
      </c>
      <c r="AT807" s="42" t="s">
        <v>106</v>
      </c>
      <c r="AU807" s="18" t="s">
        <v>106</v>
      </c>
      <c r="AV807" s="190">
        <v>1</v>
      </c>
      <c r="AW807" s="40">
        <v>0</v>
      </c>
      <c r="AX807" t="s">
        <v>106</v>
      </c>
      <c r="AY807" s="40" t="s">
        <v>106</v>
      </c>
      <c r="BA807" s="18"/>
      <c r="BB807" t="s">
        <v>106</v>
      </c>
      <c r="BC807" s="18" t="s">
        <v>106</v>
      </c>
      <c r="BD807" s="18" t="s">
        <v>2</v>
      </c>
      <c r="BK807" s="18"/>
      <c r="BN807" s="18"/>
      <c r="BQ807" s="25">
        <v>44.5</v>
      </c>
      <c r="BR807" s="189">
        <v>1</v>
      </c>
      <c r="BS807" s="189">
        <v>0</v>
      </c>
      <c r="BT807" s="189">
        <v>0</v>
      </c>
      <c r="BU807" s="189">
        <v>0</v>
      </c>
      <c r="BV807" s="189">
        <v>0</v>
      </c>
      <c r="BW807" s="189">
        <v>0</v>
      </c>
      <c r="BX807" s="189">
        <v>0</v>
      </c>
      <c r="BY807" s="18">
        <v>0</v>
      </c>
      <c r="BZ807" s="189">
        <v>0</v>
      </c>
      <c r="CA807" s="189">
        <v>0</v>
      </c>
      <c r="CB807" s="189">
        <v>0</v>
      </c>
      <c r="CC807" s="18">
        <v>1</v>
      </c>
      <c r="CD807" s="189">
        <v>0</v>
      </c>
      <c r="CE807" s="189">
        <v>0</v>
      </c>
      <c r="CF807" s="189">
        <v>0</v>
      </c>
      <c r="CG807" s="189">
        <v>0</v>
      </c>
      <c r="CH807" s="18">
        <v>0</v>
      </c>
      <c r="CI807" s="189">
        <v>0</v>
      </c>
      <c r="CJ807" s="189">
        <v>0</v>
      </c>
      <c r="CK807" s="189">
        <v>1</v>
      </c>
      <c r="CL807" s="189">
        <v>1</v>
      </c>
      <c r="CM807" s="189">
        <v>0</v>
      </c>
      <c r="CN807" s="189">
        <v>0</v>
      </c>
      <c r="CO807" s="189">
        <v>0</v>
      </c>
      <c r="CP807" s="189">
        <v>0</v>
      </c>
      <c r="CQ807" s="189">
        <v>0</v>
      </c>
      <c r="CR807" s="189">
        <v>0</v>
      </c>
      <c r="CS807" s="18">
        <v>0</v>
      </c>
      <c r="DD807" s="34" t="s">
        <v>86</v>
      </c>
    </row>
    <row r="808" spans="1:108" x14ac:dyDescent="0.25">
      <c r="A808">
        <v>807</v>
      </c>
      <c r="B808" s="189">
        <v>51</v>
      </c>
      <c r="C808" s="25" t="s">
        <v>516</v>
      </c>
      <c r="D808" s="12">
        <v>9</v>
      </c>
      <c r="E808" s="14">
        <v>0.7</v>
      </c>
      <c r="F808" s="7">
        <f t="shared" si="558"/>
        <v>12.857142857142858</v>
      </c>
      <c r="G808" s="7">
        <f t="shared" si="542"/>
        <v>8.3000000000000007</v>
      </c>
      <c r="H808" s="16">
        <f t="shared" si="543"/>
        <v>9.6999999999999993</v>
      </c>
      <c r="I808" s="11">
        <f t="shared" ref="I808:I814" si="580">IFERROR(F808/SQRT(F808^2+W808), "X")</f>
        <v>7.0813475985194219E-2</v>
      </c>
      <c r="J808" s="33">
        <f t="shared" ref="J808:J814" si="581">IFERROR(SQRT((1-I808^2)/W808), "X")</f>
        <v>5.5077147988484383E-3</v>
      </c>
      <c r="K808" s="33">
        <f t="shared" ref="K808:K814" si="582">IFERROR(1/J808, "X")</f>
        <v>181.5635043791813</v>
      </c>
      <c r="L808" s="33">
        <f t="shared" ref="L808:L814" si="583">IFERROR(I808-J808, "X")</f>
        <v>6.5305761186345776E-2</v>
      </c>
      <c r="M808" s="33">
        <f t="shared" ref="M808:M814" si="584">IFERROR(I808+J808, "X")</f>
        <v>7.6321190784042661E-2</v>
      </c>
      <c r="N808" s="8">
        <v>0</v>
      </c>
      <c r="O808" s="9">
        <v>1</v>
      </c>
      <c r="P808" s="8">
        <v>0</v>
      </c>
      <c r="Q808" s="9">
        <v>0</v>
      </c>
      <c r="R808" s="9">
        <v>0</v>
      </c>
      <c r="S808" s="9">
        <v>1</v>
      </c>
      <c r="T808" s="9">
        <v>0</v>
      </c>
      <c r="U808" s="8">
        <v>32804</v>
      </c>
      <c r="V808" s="9">
        <v>3</v>
      </c>
      <c r="W808" s="9">
        <f t="shared" si="573"/>
        <v>32800</v>
      </c>
      <c r="X808" s="9">
        <f t="shared" si="559"/>
        <v>6</v>
      </c>
      <c r="Y808" s="7">
        <v>12.6</v>
      </c>
      <c r="Z808" s="7">
        <f t="shared" ref="Z808:Z812" si="585">BQ808-Y808-6</f>
        <v>25.9</v>
      </c>
      <c r="AA808" s="9">
        <v>1</v>
      </c>
      <c r="AB808" s="9">
        <v>0</v>
      </c>
      <c r="AC808" s="9">
        <v>0</v>
      </c>
      <c r="AD808" s="9">
        <v>0</v>
      </c>
      <c r="AE808" s="9">
        <v>1</v>
      </c>
      <c r="AF808" s="9">
        <v>0</v>
      </c>
      <c r="AG808" s="8">
        <v>0</v>
      </c>
      <c r="AH808" s="9">
        <v>1</v>
      </c>
      <c r="AI808" s="30">
        <v>0</v>
      </c>
      <c r="AJ808" s="9">
        <v>0</v>
      </c>
      <c r="AK808" s="30">
        <v>1</v>
      </c>
      <c r="AL808" s="21">
        <v>2008</v>
      </c>
      <c r="AM808" s="23">
        <f t="shared" si="561"/>
        <v>7.6048944808116197</v>
      </c>
      <c r="AN808" s="33">
        <v>0</v>
      </c>
      <c r="AO808" s="33">
        <v>0</v>
      </c>
      <c r="AP808" s="33">
        <v>0</v>
      </c>
      <c r="AQ808" s="43">
        <v>1</v>
      </c>
      <c r="AR808" s="33" t="s">
        <v>106</v>
      </c>
      <c r="AS808" s="43" t="s">
        <v>106</v>
      </c>
      <c r="AT808" s="42" t="s">
        <v>106</v>
      </c>
      <c r="AU808" s="18" t="s">
        <v>106</v>
      </c>
      <c r="AV808" s="190">
        <v>1</v>
      </c>
      <c r="AW808" s="40">
        <v>0</v>
      </c>
      <c r="AX808" t="s">
        <v>106</v>
      </c>
      <c r="AY808" s="40" t="s">
        <v>106</v>
      </c>
      <c r="BA808" s="18"/>
      <c r="BB808" t="s">
        <v>106</v>
      </c>
      <c r="BC808" s="18" t="s">
        <v>106</v>
      </c>
      <c r="BD808" s="18" t="s">
        <v>2</v>
      </c>
      <c r="BK808" s="18"/>
      <c r="BN808" s="18"/>
      <c r="BQ808" s="25">
        <v>44.5</v>
      </c>
      <c r="BR808" s="189">
        <v>1</v>
      </c>
      <c r="BS808" s="189">
        <v>0</v>
      </c>
      <c r="BT808" s="189">
        <v>0</v>
      </c>
      <c r="BU808" s="189">
        <v>0</v>
      </c>
      <c r="BV808" s="189">
        <v>0</v>
      </c>
      <c r="BW808" s="189">
        <v>0</v>
      </c>
      <c r="BX808" s="189">
        <v>0</v>
      </c>
      <c r="BY808" s="18">
        <v>0</v>
      </c>
      <c r="BZ808" s="189">
        <v>0</v>
      </c>
      <c r="CA808" s="189">
        <v>0</v>
      </c>
      <c r="CB808" s="189">
        <v>0</v>
      </c>
      <c r="CC808" s="18">
        <v>1</v>
      </c>
      <c r="CD808" s="189">
        <v>0</v>
      </c>
      <c r="CE808" s="189">
        <v>0</v>
      </c>
      <c r="CF808" s="189">
        <v>0</v>
      </c>
      <c r="CG808" s="189">
        <v>0</v>
      </c>
      <c r="CH808" s="18">
        <v>0</v>
      </c>
      <c r="CI808" s="189">
        <v>0</v>
      </c>
      <c r="CJ808" s="189">
        <v>0</v>
      </c>
      <c r="CK808" s="189">
        <v>1</v>
      </c>
      <c r="CL808" s="189">
        <v>1</v>
      </c>
      <c r="CM808" s="189">
        <v>0</v>
      </c>
      <c r="CN808" s="189">
        <v>0</v>
      </c>
      <c r="CO808" s="189">
        <v>0</v>
      </c>
      <c r="CP808" s="189">
        <v>0</v>
      </c>
      <c r="CQ808" s="189">
        <v>0</v>
      </c>
      <c r="CR808" s="189">
        <v>0</v>
      </c>
      <c r="CS808" s="18">
        <v>0</v>
      </c>
      <c r="DD808" s="34" t="s">
        <v>86</v>
      </c>
    </row>
    <row r="809" spans="1:108" x14ac:dyDescent="0.25">
      <c r="A809">
        <v>808</v>
      </c>
      <c r="B809" s="189">
        <v>51</v>
      </c>
      <c r="C809" s="25" t="s">
        <v>516</v>
      </c>
      <c r="D809" s="12">
        <v>10.3</v>
      </c>
      <c r="E809" s="14">
        <v>0.7</v>
      </c>
      <c r="F809" s="7">
        <f t="shared" si="558"/>
        <v>14.714285714285717</v>
      </c>
      <c r="G809" s="7">
        <f t="shared" si="542"/>
        <v>9.6000000000000014</v>
      </c>
      <c r="H809" s="16">
        <f t="shared" si="543"/>
        <v>11</v>
      </c>
      <c r="I809" s="11">
        <f t="shared" si="580"/>
        <v>8.0004977370878347E-2</v>
      </c>
      <c r="J809" s="33">
        <f t="shared" si="581"/>
        <v>5.4372314718072658E-3</v>
      </c>
      <c r="K809" s="33">
        <f t="shared" si="582"/>
        <v>183.91712863157045</v>
      </c>
      <c r="L809" s="33">
        <f t="shared" si="583"/>
        <v>7.4567745899071086E-2</v>
      </c>
      <c r="M809" s="33">
        <f t="shared" si="584"/>
        <v>8.5442208842685607E-2</v>
      </c>
      <c r="N809" s="8">
        <v>0</v>
      </c>
      <c r="O809" s="9">
        <v>1</v>
      </c>
      <c r="P809" s="8">
        <v>0</v>
      </c>
      <c r="Q809" s="9">
        <v>0</v>
      </c>
      <c r="R809" s="9">
        <v>0</v>
      </c>
      <c r="S809" s="9">
        <v>1</v>
      </c>
      <c r="T809" s="9">
        <v>0</v>
      </c>
      <c r="U809" s="8">
        <v>33613</v>
      </c>
      <c r="V809" s="9">
        <v>3</v>
      </c>
      <c r="W809" s="9">
        <f t="shared" si="573"/>
        <v>33609</v>
      </c>
      <c r="X809" s="9">
        <f t="shared" si="559"/>
        <v>6</v>
      </c>
      <c r="Y809" s="7">
        <v>12.6</v>
      </c>
      <c r="Z809" s="7">
        <f t="shared" si="585"/>
        <v>25.9</v>
      </c>
      <c r="AA809" s="9">
        <v>1</v>
      </c>
      <c r="AB809" s="9">
        <v>0</v>
      </c>
      <c r="AC809" s="9">
        <v>1</v>
      </c>
      <c r="AD809" s="9">
        <v>0</v>
      </c>
      <c r="AE809" s="9">
        <v>0</v>
      </c>
      <c r="AF809" s="9">
        <v>0</v>
      </c>
      <c r="AG809" s="8">
        <v>0</v>
      </c>
      <c r="AH809" s="9">
        <v>1</v>
      </c>
      <c r="AI809" s="30">
        <v>0</v>
      </c>
      <c r="AJ809" s="9">
        <v>0</v>
      </c>
      <c r="AK809" s="30">
        <v>1</v>
      </c>
      <c r="AL809" s="21">
        <v>2008</v>
      </c>
      <c r="AM809" s="23">
        <f t="shared" si="561"/>
        <v>7.6048944808116197</v>
      </c>
      <c r="AN809" s="33">
        <v>0</v>
      </c>
      <c r="AO809" s="33">
        <v>0</v>
      </c>
      <c r="AP809" s="33">
        <v>0</v>
      </c>
      <c r="AQ809" s="43">
        <v>1</v>
      </c>
      <c r="AR809" s="33" t="s">
        <v>106</v>
      </c>
      <c r="AS809" s="43" t="s">
        <v>106</v>
      </c>
      <c r="AT809" s="42" t="s">
        <v>106</v>
      </c>
      <c r="AU809" s="18" t="s">
        <v>106</v>
      </c>
      <c r="AV809" s="190">
        <v>1</v>
      </c>
      <c r="AW809" s="40">
        <v>0</v>
      </c>
      <c r="AX809" t="s">
        <v>106</v>
      </c>
      <c r="AY809" s="40" t="s">
        <v>106</v>
      </c>
      <c r="BA809" s="18"/>
      <c r="BB809" t="s">
        <v>106</v>
      </c>
      <c r="BC809" s="18" t="s">
        <v>106</v>
      </c>
      <c r="BD809" s="18" t="s">
        <v>2</v>
      </c>
      <c r="BK809" s="18"/>
      <c r="BN809" s="18"/>
      <c r="BQ809" s="25">
        <v>44.5</v>
      </c>
      <c r="BR809" s="189">
        <v>1</v>
      </c>
      <c r="BS809" s="189">
        <v>0</v>
      </c>
      <c r="BT809" s="189">
        <v>0</v>
      </c>
      <c r="BU809" s="189">
        <v>0</v>
      </c>
      <c r="BV809" s="189">
        <v>0</v>
      </c>
      <c r="BW809" s="189">
        <v>0</v>
      </c>
      <c r="BX809" s="189">
        <v>0</v>
      </c>
      <c r="BY809" s="18">
        <v>0</v>
      </c>
      <c r="BZ809" s="189">
        <v>0</v>
      </c>
      <c r="CA809" s="189">
        <v>0</v>
      </c>
      <c r="CB809" s="189">
        <v>0</v>
      </c>
      <c r="CC809" s="18">
        <v>1</v>
      </c>
      <c r="CD809" s="189">
        <v>0</v>
      </c>
      <c r="CE809" s="189">
        <v>0</v>
      </c>
      <c r="CF809" s="189">
        <v>0</v>
      </c>
      <c r="CG809" s="189">
        <v>0</v>
      </c>
      <c r="CH809" s="18">
        <v>0</v>
      </c>
      <c r="CI809" s="189">
        <v>0</v>
      </c>
      <c r="CJ809" s="189">
        <v>0</v>
      </c>
      <c r="CK809" s="189">
        <v>1</v>
      </c>
      <c r="CL809" s="189">
        <v>1</v>
      </c>
      <c r="CM809" s="189">
        <v>0</v>
      </c>
      <c r="CN809" s="189">
        <v>0</v>
      </c>
      <c r="CO809" s="189">
        <v>0</v>
      </c>
      <c r="CP809" s="189">
        <v>0</v>
      </c>
      <c r="CQ809" s="189">
        <v>0</v>
      </c>
      <c r="CR809" s="189">
        <v>0</v>
      </c>
      <c r="CS809" s="18">
        <v>0</v>
      </c>
      <c r="DD809" s="34" t="s">
        <v>86</v>
      </c>
    </row>
    <row r="810" spans="1:108" x14ac:dyDescent="0.25">
      <c r="A810">
        <v>809</v>
      </c>
      <c r="B810" s="189">
        <v>51</v>
      </c>
      <c r="C810" s="25" t="s">
        <v>516</v>
      </c>
      <c r="D810" s="12">
        <v>7.6</v>
      </c>
      <c r="E810" s="14">
        <v>0.3</v>
      </c>
      <c r="F810" s="7">
        <f t="shared" si="558"/>
        <v>25.333333333333332</v>
      </c>
      <c r="G810" s="7">
        <f t="shared" si="542"/>
        <v>7.3</v>
      </c>
      <c r="H810" s="16">
        <f t="shared" si="543"/>
        <v>7.8999999999999995</v>
      </c>
      <c r="I810" s="11">
        <f t="shared" si="580"/>
        <v>0.13855815394052531</v>
      </c>
      <c r="J810" s="33">
        <f t="shared" si="581"/>
        <v>5.4694008134417889E-3</v>
      </c>
      <c r="K810" s="33">
        <f t="shared" si="582"/>
        <v>182.83538437014258</v>
      </c>
      <c r="L810" s="33">
        <f t="shared" si="583"/>
        <v>0.13308875312708351</v>
      </c>
      <c r="M810" s="33">
        <f t="shared" si="584"/>
        <v>0.14402755475396711</v>
      </c>
      <c r="N810" s="8">
        <v>0</v>
      </c>
      <c r="O810" s="9">
        <v>1</v>
      </c>
      <c r="P810" s="8">
        <v>0</v>
      </c>
      <c r="Q810" s="9">
        <v>0</v>
      </c>
      <c r="R810" s="9">
        <v>0</v>
      </c>
      <c r="S810" s="9">
        <v>1</v>
      </c>
      <c r="T810" s="9">
        <v>0</v>
      </c>
      <c r="U810" s="8">
        <v>32791</v>
      </c>
      <c r="V810" s="9">
        <v>3</v>
      </c>
      <c r="W810" s="9">
        <f t="shared" si="573"/>
        <v>32787</v>
      </c>
      <c r="X810" s="9">
        <f t="shared" si="559"/>
        <v>6</v>
      </c>
      <c r="Y810" s="7">
        <v>12.8</v>
      </c>
      <c r="Z810" s="7">
        <f t="shared" si="585"/>
        <v>25.7</v>
      </c>
      <c r="AA810" s="9">
        <v>1</v>
      </c>
      <c r="AB810" s="9">
        <v>0</v>
      </c>
      <c r="AC810" s="9">
        <v>0</v>
      </c>
      <c r="AD810" s="9">
        <v>1</v>
      </c>
      <c r="AE810" s="9">
        <v>0</v>
      </c>
      <c r="AF810" s="9">
        <v>0</v>
      </c>
      <c r="AG810" s="8">
        <v>0</v>
      </c>
      <c r="AH810" s="9">
        <v>1</v>
      </c>
      <c r="AI810" s="30">
        <v>0</v>
      </c>
      <c r="AJ810" s="9">
        <v>0</v>
      </c>
      <c r="AK810" s="30">
        <v>1</v>
      </c>
      <c r="AL810" s="21">
        <v>2008</v>
      </c>
      <c r="AM810" s="23">
        <f t="shared" si="561"/>
        <v>7.6048944808116197</v>
      </c>
      <c r="AN810" s="33">
        <v>0</v>
      </c>
      <c r="AO810" s="33">
        <v>0</v>
      </c>
      <c r="AP810" s="33">
        <v>0</v>
      </c>
      <c r="AQ810" s="43">
        <v>1</v>
      </c>
      <c r="AR810" s="33" t="s">
        <v>106</v>
      </c>
      <c r="AS810" s="43" t="s">
        <v>106</v>
      </c>
      <c r="AT810" s="42" t="s">
        <v>106</v>
      </c>
      <c r="AU810" s="18" t="s">
        <v>106</v>
      </c>
      <c r="AV810">
        <v>0</v>
      </c>
      <c r="AW810" s="40">
        <v>1</v>
      </c>
      <c r="AX810" t="s">
        <v>106</v>
      </c>
      <c r="AY810" s="40" t="s">
        <v>106</v>
      </c>
      <c r="BA810" s="18"/>
      <c r="BB810" t="s">
        <v>106</v>
      </c>
      <c r="BC810" s="18" t="s">
        <v>106</v>
      </c>
      <c r="BD810" s="18" t="s">
        <v>2</v>
      </c>
      <c r="BK810" s="18"/>
      <c r="BN810" s="18"/>
      <c r="BQ810" s="25">
        <v>44.5</v>
      </c>
      <c r="BR810" s="189">
        <v>1</v>
      </c>
      <c r="BS810" s="189">
        <v>0</v>
      </c>
      <c r="BT810" s="189">
        <v>0</v>
      </c>
      <c r="BU810" s="189">
        <v>0</v>
      </c>
      <c r="BV810" s="189">
        <v>0</v>
      </c>
      <c r="BW810" s="189">
        <v>0</v>
      </c>
      <c r="BX810" s="189">
        <v>0</v>
      </c>
      <c r="BY810" s="18">
        <v>0</v>
      </c>
      <c r="BZ810" s="189">
        <v>0</v>
      </c>
      <c r="CA810" s="189">
        <v>0</v>
      </c>
      <c r="CB810" s="189">
        <v>0</v>
      </c>
      <c r="CC810" s="18">
        <v>1</v>
      </c>
      <c r="CD810" s="189">
        <v>0</v>
      </c>
      <c r="CE810" s="189">
        <v>0</v>
      </c>
      <c r="CF810" s="189">
        <v>0</v>
      </c>
      <c r="CG810" s="189">
        <v>0</v>
      </c>
      <c r="CH810" s="18">
        <v>0</v>
      </c>
      <c r="CI810" s="189">
        <v>0</v>
      </c>
      <c r="CJ810" s="189">
        <v>0</v>
      </c>
      <c r="CK810" s="189">
        <v>1</v>
      </c>
      <c r="CL810" s="189">
        <v>1</v>
      </c>
      <c r="CM810" s="189">
        <v>0</v>
      </c>
      <c r="CN810" s="189">
        <v>0</v>
      </c>
      <c r="CO810" s="189">
        <v>0</v>
      </c>
      <c r="CP810" s="189">
        <v>0</v>
      </c>
      <c r="CQ810" s="189">
        <v>0</v>
      </c>
      <c r="CR810" s="189">
        <v>0</v>
      </c>
      <c r="CS810" s="18">
        <v>0</v>
      </c>
      <c r="DD810" s="34" t="s">
        <v>86</v>
      </c>
    </row>
    <row r="811" spans="1:108" x14ac:dyDescent="0.25">
      <c r="A811">
        <v>810</v>
      </c>
      <c r="B811" s="189">
        <v>51</v>
      </c>
      <c r="C811" s="25" t="s">
        <v>516</v>
      </c>
      <c r="D811" s="12">
        <v>11.2</v>
      </c>
      <c r="E811" s="14">
        <v>0.5</v>
      </c>
      <c r="F811" s="7">
        <f t="shared" si="558"/>
        <v>22.4</v>
      </c>
      <c r="G811" s="7">
        <f t="shared" si="542"/>
        <v>10.7</v>
      </c>
      <c r="H811" s="16">
        <f t="shared" si="543"/>
        <v>11.7</v>
      </c>
      <c r="I811" s="11">
        <f t="shared" si="580"/>
        <v>0.12271852327728827</v>
      </c>
      <c r="J811" s="33">
        <f t="shared" si="581"/>
        <v>5.4785055034503698E-3</v>
      </c>
      <c r="K811" s="33">
        <f t="shared" si="582"/>
        <v>182.53153152263857</v>
      </c>
      <c r="L811" s="33">
        <f t="shared" si="583"/>
        <v>0.1172400177738379</v>
      </c>
      <c r="M811" s="33">
        <f t="shared" si="584"/>
        <v>0.12819702878073863</v>
      </c>
      <c r="N811" s="8">
        <v>0</v>
      </c>
      <c r="O811" s="9">
        <v>1</v>
      </c>
      <c r="P811" s="8">
        <v>0</v>
      </c>
      <c r="Q811" s="9">
        <v>0</v>
      </c>
      <c r="R811" s="9">
        <v>0</v>
      </c>
      <c r="S811" s="9">
        <v>1</v>
      </c>
      <c r="T811" s="9">
        <v>0</v>
      </c>
      <c r="U811" s="8">
        <v>32820</v>
      </c>
      <c r="V811" s="9">
        <v>3</v>
      </c>
      <c r="W811" s="9">
        <f t="shared" si="573"/>
        <v>32816</v>
      </c>
      <c r="X811" s="9">
        <f t="shared" si="559"/>
        <v>6</v>
      </c>
      <c r="Y811" s="7">
        <v>12.8</v>
      </c>
      <c r="Z811" s="7">
        <f t="shared" si="585"/>
        <v>25.7</v>
      </c>
      <c r="AA811" s="9">
        <v>1</v>
      </c>
      <c r="AB811" s="9">
        <v>0</v>
      </c>
      <c r="AC811" s="9">
        <v>0</v>
      </c>
      <c r="AD811" s="9">
        <v>0</v>
      </c>
      <c r="AE811" s="9">
        <v>1</v>
      </c>
      <c r="AF811" s="9">
        <v>0</v>
      </c>
      <c r="AG811" s="8">
        <v>0</v>
      </c>
      <c r="AH811" s="9">
        <v>1</v>
      </c>
      <c r="AI811" s="30">
        <v>0</v>
      </c>
      <c r="AJ811" s="9">
        <v>0</v>
      </c>
      <c r="AK811" s="30">
        <v>1</v>
      </c>
      <c r="AL811" s="21">
        <v>2008</v>
      </c>
      <c r="AM811" s="23">
        <f t="shared" si="561"/>
        <v>7.6048944808116197</v>
      </c>
      <c r="AN811" s="33">
        <v>0</v>
      </c>
      <c r="AO811" s="33">
        <v>0</v>
      </c>
      <c r="AP811" s="33">
        <v>0</v>
      </c>
      <c r="AQ811" s="43">
        <v>1</v>
      </c>
      <c r="AR811" s="33" t="s">
        <v>106</v>
      </c>
      <c r="AS811" s="43" t="s">
        <v>106</v>
      </c>
      <c r="AT811" s="42" t="s">
        <v>106</v>
      </c>
      <c r="AU811" s="18" t="s">
        <v>106</v>
      </c>
      <c r="AV811">
        <v>0</v>
      </c>
      <c r="AW811" s="40">
        <v>1</v>
      </c>
      <c r="AX811" t="s">
        <v>106</v>
      </c>
      <c r="AY811" s="40" t="s">
        <v>106</v>
      </c>
      <c r="BA811" s="18"/>
      <c r="BB811" t="s">
        <v>106</v>
      </c>
      <c r="BC811" s="18" t="s">
        <v>106</v>
      </c>
      <c r="BD811" s="18" t="s">
        <v>2</v>
      </c>
      <c r="BK811" s="18"/>
      <c r="BN811" s="18"/>
      <c r="BQ811" s="25">
        <v>44.5</v>
      </c>
      <c r="BR811" s="189">
        <v>1</v>
      </c>
      <c r="BS811" s="189">
        <v>0</v>
      </c>
      <c r="BT811" s="189">
        <v>0</v>
      </c>
      <c r="BU811" s="189">
        <v>0</v>
      </c>
      <c r="BV811" s="189">
        <v>0</v>
      </c>
      <c r="BW811" s="189">
        <v>0</v>
      </c>
      <c r="BX811" s="189">
        <v>0</v>
      </c>
      <c r="BY811" s="18">
        <v>0</v>
      </c>
      <c r="BZ811" s="189">
        <v>0</v>
      </c>
      <c r="CA811" s="189">
        <v>0</v>
      </c>
      <c r="CB811" s="189">
        <v>0</v>
      </c>
      <c r="CC811" s="18">
        <v>1</v>
      </c>
      <c r="CD811" s="189">
        <v>0</v>
      </c>
      <c r="CE811" s="189">
        <v>0</v>
      </c>
      <c r="CF811" s="189">
        <v>0</v>
      </c>
      <c r="CG811" s="189">
        <v>0</v>
      </c>
      <c r="CH811" s="18">
        <v>0</v>
      </c>
      <c r="CI811" s="189">
        <v>0</v>
      </c>
      <c r="CJ811" s="189">
        <v>0</v>
      </c>
      <c r="CK811" s="189">
        <v>1</v>
      </c>
      <c r="CL811" s="189">
        <v>1</v>
      </c>
      <c r="CM811" s="189">
        <v>0</v>
      </c>
      <c r="CN811" s="189">
        <v>0</v>
      </c>
      <c r="CO811" s="189">
        <v>0</v>
      </c>
      <c r="CP811" s="189">
        <v>0</v>
      </c>
      <c r="CQ811" s="189">
        <v>0</v>
      </c>
      <c r="CR811" s="189">
        <v>0</v>
      </c>
      <c r="CS811" s="18">
        <v>0</v>
      </c>
      <c r="DD811" s="34" t="s">
        <v>86</v>
      </c>
    </row>
    <row r="812" spans="1:108" s="153" customFormat="1" x14ac:dyDescent="0.25">
      <c r="A812" s="153">
        <v>811</v>
      </c>
      <c r="B812" s="192">
        <v>51</v>
      </c>
      <c r="C812" s="154" t="s">
        <v>516</v>
      </c>
      <c r="D812" s="155">
        <v>11.4</v>
      </c>
      <c r="E812" s="156">
        <v>0.5</v>
      </c>
      <c r="F812" s="157">
        <f t="shared" si="558"/>
        <v>22.8</v>
      </c>
      <c r="G812" s="157">
        <f t="shared" si="542"/>
        <v>10.9</v>
      </c>
      <c r="H812" s="158">
        <f t="shared" si="543"/>
        <v>11.9</v>
      </c>
      <c r="I812" s="159">
        <f t="shared" si="580"/>
        <v>0.12474327691742701</v>
      </c>
      <c r="J812" s="160">
        <f t="shared" si="581"/>
        <v>5.4711963560275002E-3</v>
      </c>
      <c r="K812" s="160">
        <f t="shared" si="582"/>
        <v>182.77538127439374</v>
      </c>
      <c r="L812" s="160">
        <f t="shared" si="583"/>
        <v>0.11927208056139951</v>
      </c>
      <c r="M812" s="160">
        <f t="shared" si="584"/>
        <v>0.13021447327345451</v>
      </c>
      <c r="N812" s="161">
        <v>0</v>
      </c>
      <c r="O812" s="162">
        <v>1</v>
      </c>
      <c r="P812" s="161">
        <v>0</v>
      </c>
      <c r="Q812" s="162">
        <v>0</v>
      </c>
      <c r="R812" s="162">
        <v>0</v>
      </c>
      <c r="S812" s="162">
        <v>1</v>
      </c>
      <c r="T812" s="162">
        <v>0</v>
      </c>
      <c r="U812" s="161">
        <v>32891</v>
      </c>
      <c r="V812" s="162">
        <v>3</v>
      </c>
      <c r="W812" s="162">
        <f t="shared" si="573"/>
        <v>32887</v>
      </c>
      <c r="X812" s="162">
        <f t="shared" si="559"/>
        <v>6</v>
      </c>
      <c r="Y812" s="157">
        <v>12.8</v>
      </c>
      <c r="Z812" s="157">
        <f t="shared" si="585"/>
        <v>25.7</v>
      </c>
      <c r="AA812" s="162">
        <v>1</v>
      </c>
      <c r="AB812" s="162">
        <v>0</v>
      </c>
      <c r="AC812" s="162">
        <v>1</v>
      </c>
      <c r="AD812" s="162">
        <v>0</v>
      </c>
      <c r="AE812" s="162">
        <v>0</v>
      </c>
      <c r="AF812" s="162">
        <v>0</v>
      </c>
      <c r="AG812" s="161">
        <v>0</v>
      </c>
      <c r="AH812" s="162">
        <v>1</v>
      </c>
      <c r="AI812" s="163">
        <v>0</v>
      </c>
      <c r="AJ812" s="162">
        <v>0</v>
      </c>
      <c r="AK812" s="163">
        <v>1</v>
      </c>
      <c r="AL812" s="164">
        <v>2008</v>
      </c>
      <c r="AM812" s="165">
        <f t="shared" si="561"/>
        <v>7.6048944808116197</v>
      </c>
      <c r="AN812" s="160">
        <v>0</v>
      </c>
      <c r="AO812" s="160">
        <v>0</v>
      </c>
      <c r="AP812" s="160">
        <v>0</v>
      </c>
      <c r="AQ812" s="166">
        <v>1</v>
      </c>
      <c r="AR812" s="160" t="s">
        <v>106</v>
      </c>
      <c r="AS812" s="166" t="s">
        <v>106</v>
      </c>
      <c r="AT812" s="167" t="s">
        <v>106</v>
      </c>
      <c r="AU812" s="168" t="s">
        <v>106</v>
      </c>
      <c r="AV812" s="153">
        <v>0</v>
      </c>
      <c r="AW812" s="169">
        <v>1</v>
      </c>
      <c r="AX812" s="153" t="s">
        <v>106</v>
      </c>
      <c r="AY812" s="169" t="s">
        <v>106</v>
      </c>
      <c r="BA812" s="168"/>
      <c r="BB812" s="153" t="s">
        <v>106</v>
      </c>
      <c r="BC812" s="168" t="s">
        <v>106</v>
      </c>
      <c r="BD812" s="168" t="s">
        <v>2</v>
      </c>
      <c r="BK812" s="168"/>
      <c r="BN812" s="168"/>
      <c r="BQ812" s="154">
        <v>44.5</v>
      </c>
      <c r="BR812" s="192">
        <v>1</v>
      </c>
      <c r="BS812" s="192">
        <v>0</v>
      </c>
      <c r="BT812" s="192">
        <v>0</v>
      </c>
      <c r="BU812" s="192">
        <v>0</v>
      </c>
      <c r="BV812" s="192">
        <v>0</v>
      </c>
      <c r="BW812" s="192">
        <v>0</v>
      </c>
      <c r="BX812" s="192">
        <v>0</v>
      </c>
      <c r="BY812" s="168">
        <v>0</v>
      </c>
      <c r="BZ812" s="192">
        <v>0</v>
      </c>
      <c r="CA812" s="192">
        <v>0</v>
      </c>
      <c r="CB812" s="192">
        <v>0</v>
      </c>
      <c r="CC812" s="168">
        <v>1</v>
      </c>
      <c r="CD812" s="192">
        <v>0</v>
      </c>
      <c r="CE812" s="192">
        <v>0</v>
      </c>
      <c r="CF812" s="192">
        <v>0</v>
      </c>
      <c r="CG812" s="192">
        <v>0</v>
      </c>
      <c r="CH812" s="168">
        <v>0</v>
      </c>
      <c r="CI812" s="192">
        <v>0</v>
      </c>
      <c r="CJ812" s="192">
        <v>0</v>
      </c>
      <c r="CK812" s="192">
        <v>1</v>
      </c>
      <c r="CL812" s="192">
        <v>1</v>
      </c>
      <c r="CM812" s="192">
        <v>0</v>
      </c>
      <c r="CN812" s="192">
        <v>0</v>
      </c>
      <c r="CO812" s="192">
        <v>0</v>
      </c>
      <c r="CP812" s="192">
        <v>0</v>
      </c>
      <c r="CQ812" s="192">
        <v>0</v>
      </c>
      <c r="CR812" s="192">
        <v>0</v>
      </c>
      <c r="CS812" s="168">
        <v>0</v>
      </c>
      <c r="CY812" s="171"/>
      <c r="DD812" s="171" t="s">
        <v>86</v>
      </c>
    </row>
    <row r="813" spans="1:108" s="193" customFormat="1" x14ac:dyDescent="0.25">
      <c r="A813" s="193">
        <v>812</v>
      </c>
      <c r="B813" s="194">
        <v>52</v>
      </c>
      <c r="C813" s="195" t="s">
        <v>518</v>
      </c>
      <c r="D813" s="196">
        <v>6.9290000000000003</v>
      </c>
      <c r="E813" s="197">
        <v>0.35099999999999998</v>
      </c>
      <c r="F813" s="198">
        <f t="shared" si="558"/>
        <v>19.740740740740744</v>
      </c>
      <c r="G813" s="198">
        <f t="shared" si="542"/>
        <v>6.5780000000000003</v>
      </c>
      <c r="H813" s="199">
        <f t="shared" si="543"/>
        <v>7.28</v>
      </c>
      <c r="I813" s="200">
        <f t="shared" si="580"/>
        <v>0.27982908448508376</v>
      </c>
      <c r="J813" s="201">
        <f t="shared" si="581"/>
        <v>1.4175206906373847E-2</v>
      </c>
      <c r="K813" s="201">
        <f t="shared" si="582"/>
        <v>70.545707488075706</v>
      </c>
      <c r="L813" s="201">
        <f t="shared" si="583"/>
        <v>0.2656538775787099</v>
      </c>
      <c r="M813" s="201">
        <f t="shared" si="584"/>
        <v>0.29400429139145762</v>
      </c>
      <c r="N813" s="202">
        <v>1</v>
      </c>
      <c r="O813" s="203">
        <v>0</v>
      </c>
      <c r="P813" s="202">
        <v>0</v>
      </c>
      <c r="Q813" s="203">
        <v>0</v>
      </c>
      <c r="R813" s="203">
        <v>1</v>
      </c>
      <c r="S813" s="203">
        <v>0</v>
      </c>
      <c r="T813" s="203">
        <v>0</v>
      </c>
      <c r="U813" s="202">
        <v>4596</v>
      </c>
      <c r="V813" s="203">
        <v>8</v>
      </c>
      <c r="W813" s="203">
        <f t="shared" si="573"/>
        <v>4587</v>
      </c>
      <c r="X813" s="203">
        <f t="shared" si="559"/>
        <v>1</v>
      </c>
      <c r="Y813" s="198">
        <v>10.683</v>
      </c>
      <c r="Z813" s="198">
        <v>7.8520000000000003</v>
      </c>
      <c r="AA813" s="203">
        <v>1</v>
      </c>
      <c r="AB813" s="203">
        <v>0</v>
      </c>
      <c r="AC813" s="203">
        <v>0</v>
      </c>
      <c r="AD813" s="203">
        <v>0</v>
      </c>
      <c r="AE813" s="203">
        <v>0</v>
      </c>
      <c r="AF813" s="203">
        <v>1</v>
      </c>
      <c r="AG813" s="202">
        <v>0</v>
      </c>
      <c r="AH813" s="203">
        <v>1</v>
      </c>
      <c r="AI813" s="204">
        <v>0</v>
      </c>
      <c r="AJ813" s="203">
        <v>1</v>
      </c>
      <c r="AK813" s="204">
        <v>0</v>
      </c>
      <c r="AL813" s="205">
        <v>2008</v>
      </c>
      <c r="AM813" s="206">
        <f t="shared" si="561"/>
        <v>7.6048944808116197</v>
      </c>
      <c r="AN813" s="201" t="s">
        <v>106</v>
      </c>
      <c r="AO813" s="201" t="s">
        <v>106</v>
      </c>
      <c r="AP813" s="201" t="s">
        <v>106</v>
      </c>
      <c r="AQ813" s="207" t="s">
        <v>106</v>
      </c>
      <c r="AR813" s="201" t="s">
        <v>106</v>
      </c>
      <c r="AS813" s="207" t="s">
        <v>106</v>
      </c>
      <c r="AT813" s="208" t="s">
        <v>106</v>
      </c>
      <c r="AU813" s="209" t="s">
        <v>106</v>
      </c>
      <c r="AV813" s="193">
        <v>0.66700000000000004</v>
      </c>
      <c r="AW813" s="210">
        <v>0.33300000000000002</v>
      </c>
      <c r="AX813" s="193" t="s">
        <v>106</v>
      </c>
      <c r="AY813" s="210" t="s">
        <v>106</v>
      </c>
      <c r="BA813" s="209"/>
      <c r="BB813" s="193">
        <v>0.32400000000000001</v>
      </c>
      <c r="BC813" s="209">
        <v>0.67600000000000005</v>
      </c>
      <c r="BD813" s="209" t="s">
        <v>13</v>
      </c>
      <c r="BK813" s="209"/>
      <c r="BN813" s="209"/>
      <c r="BQ813" s="195">
        <v>35.192</v>
      </c>
      <c r="BR813" s="194">
        <v>1</v>
      </c>
      <c r="BS813" s="194">
        <v>0</v>
      </c>
      <c r="BT813" s="194">
        <v>0</v>
      </c>
      <c r="BU813" s="194">
        <v>0</v>
      </c>
      <c r="BV813" s="194">
        <v>0</v>
      </c>
      <c r="BW813" s="194">
        <v>0</v>
      </c>
      <c r="BX813" s="194">
        <v>0</v>
      </c>
      <c r="BY813" s="209">
        <v>0</v>
      </c>
      <c r="BZ813" s="194">
        <v>0</v>
      </c>
      <c r="CA813" s="194">
        <v>0</v>
      </c>
      <c r="CB813" s="194">
        <v>0</v>
      </c>
      <c r="CC813" s="209">
        <v>1</v>
      </c>
      <c r="CD813" s="194">
        <v>0</v>
      </c>
      <c r="CE813" s="194">
        <v>0</v>
      </c>
      <c r="CF813" s="194">
        <v>0</v>
      </c>
      <c r="CG813" s="194">
        <v>0</v>
      </c>
      <c r="CH813" s="209">
        <v>0</v>
      </c>
      <c r="CI813" s="194">
        <v>0</v>
      </c>
      <c r="CJ813" s="194">
        <v>0</v>
      </c>
      <c r="CK813" s="194">
        <v>1</v>
      </c>
      <c r="CL813" s="194">
        <v>1</v>
      </c>
      <c r="CM813" s="194">
        <v>0</v>
      </c>
      <c r="CN813" s="194">
        <v>0</v>
      </c>
      <c r="CO813" s="194">
        <v>0</v>
      </c>
      <c r="CP813" s="194">
        <v>0</v>
      </c>
      <c r="CQ813" s="194">
        <v>0</v>
      </c>
      <c r="CR813" s="194">
        <v>0</v>
      </c>
      <c r="CS813" s="209">
        <v>0</v>
      </c>
      <c r="CY813" s="211"/>
      <c r="DD813" s="211" t="s">
        <v>86</v>
      </c>
    </row>
    <row r="814" spans="1:108" x14ac:dyDescent="0.25">
      <c r="A814">
        <v>813</v>
      </c>
      <c r="B814" s="189">
        <v>53</v>
      </c>
      <c r="C814" s="25" t="s">
        <v>519</v>
      </c>
      <c r="D814" s="12">
        <v>6.55</v>
      </c>
      <c r="E814" s="14">
        <v>0.03</v>
      </c>
      <c r="F814" s="7">
        <f t="shared" si="558"/>
        <v>218.33333333333334</v>
      </c>
      <c r="G814" s="7">
        <f t="shared" si="542"/>
        <v>6.52</v>
      </c>
      <c r="H814" s="16">
        <f t="shared" si="543"/>
        <v>6.58</v>
      </c>
      <c r="I814" s="11">
        <f t="shared" si="580"/>
        <v>0.38170020583238862</v>
      </c>
      <c r="J814" s="33">
        <f t="shared" si="581"/>
        <v>1.7482452175529249E-3</v>
      </c>
      <c r="K814" s="33">
        <f t="shared" si="582"/>
        <v>572.00213674814574</v>
      </c>
      <c r="L814" s="33">
        <f t="shared" si="583"/>
        <v>0.37995196061483572</v>
      </c>
      <c r="M814" s="33">
        <f t="shared" si="584"/>
        <v>0.38344845104994152</v>
      </c>
      <c r="N814" s="8">
        <v>1</v>
      </c>
      <c r="O814" s="9">
        <v>0</v>
      </c>
      <c r="P814" s="8">
        <v>0</v>
      </c>
      <c r="Q814" s="9">
        <v>0</v>
      </c>
      <c r="R814" s="9">
        <v>0</v>
      </c>
      <c r="S814" s="9">
        <v>1</v>
      </c>
      <c r="T814" s="9">
        <v>0</v>
      </c>
      <c r="U814" s="8">
        <v>279522</v>
      </c>
      <c r="V814" s="9">
        <v>4</v>
      </c>
      <c r="W814" s="9">
        <f t="shared" si="573"/>
        <v>279517</v>
      </c>
      <c r="X814" s="9">
        <f t="shared" si="559"/>
        <v>8</v>
      </c>
      <c r="Y814" s="7">
        <v>13.04</v>
      </c>
      <c r="Z814" s="7">
        <f>BQ814-Y814-6</f>
        <v>22.4</v>
      </c>
      <c r="AA814" s="9">
        <v>1</v>
      </c>
      <c r="AB814" s="9">
        <v>0</v>
      </c>
      <c r="AC814" s="9">
        <v>0</v>
      </c>
      <c r="AD814" s="9">
        <v>0</v>
      </c>
      <c r="AE814" s="9">
        <v>1</v>
      </c>
      <c r="AF814" s="9">
        <v>0</v>
      </c>
      <c r="AG814" s="8">
        <v>0</v>
      </c>
      <c r="AH814" s="9">
        <v>0</v>
      </c>
      <c r="AI814" s="30">
        <v>1</v>
      </c>
      <c r="AJ814" s="9">
        <v>1</v>
      </c>
      <c r="AK814" s="30">
        <v>0</v>
      </c>
      <c r="AL814" s="21">
        <v>1980</v>
      </c>
      <c r="AM814" s="23">
        <f t="shared" si="561"/>
        <v>7.5908521236885811</v>
      </c>
      <c r="AN814" s="33" t="s">
        <v>106</v>
      </c>
      <c r="AO814" s="33" t="s">
        <v>106</v>
      </c>
      <c r="AP814" s="33" t="s">
        <v>106</v>
      </c>
      <c r="AQ814" s="43" t="s">
        <v>106</v>
      </c>
      <c r="AR814" s="33" t="s">
        <v>106</v>
      </c>
      <c r="AS814" s="43" t="s">
        <v>106</v>
      </c>
      <c r="AT814" s="42">
        <v>1</v>
      </c>
      <c r="AU814" s="18">
        <v>0</v>
      </c>
      <c r="AV814" s="189">
        <v>1</v>
      </c>
      <c r="AW814" s="40">
        <v>0</v>
      </c>
      <c r="AX814" s="189" t="s">
        <v>106</v>
      </c>
      <c r="AY814" s="40" t="s">
        <v>106</v>
      </c>
      <c r="BA814" s="18"/>
      <c r="BB814" s="189" t="s">
        <v>106</v>
      </c>
      <c r="BC814" s="18" t="s">
        <v>106</v>
      </c>
      <c r="BD814" s="18" t="s">
        <v>245</v>
      </c>
      <c r="BK814" s="18"/>
      <c r="BN814" s="18"/>
      <c r="BQ814" s="25">
        <v>41.44</v>
      </c>
      <c r="BR814" s="189">
        <v>1</v>
      </c>
      <c r="BS814" s="189">
        <v>0</v>
      </c>
      <c r="BT814" s="189">
        <v>0</v>
      </c>
      <c r="BU814" s="189">
        <v>0</v>
      </c>
      <c r="BV814" s="189">
        <v>0</v>
      </c>
      <c r="BW814" s="189">
        <v>0</v>
      </c>
      <c r="BX814" s="189">
        <v>0</v>
      </c>
      <c r="BY814" s="18">
        <v>0</v>
      </c>
      <c r="BZ814" s="189">
        <v>0</v>
      </c>
      <c r="CA814" s="189">
        <v>0</v>
      </c>
      <c r="CB814" s="189">
        <v>1</v>
      </c>
      <c r="CC814" s="18">
        <v>0</v>
      </c>
      <c r="CD814" s="189">
        <v>0</v>
      </c>
      <c r="CE814" s="189">
        <v>0</v>
      </c>
      <c r="CF814" s="189">
        <v>0</v>
      </c>
      <c r="CG814" s="189">
        <v>0</v>
      </c>
      <c r="CH814" s="18">
        <v>0</v>
      </c>
      <c r="CI814" s="189">
        <v>0</v>
      </c>
      <c r="CJ814" s="189">
        <v>0</v>
      </c>
      <c r="CK814" s="189">
        <v>0</v>
      </c>
      <c r="CL814" s="189">
        <v>0</v>
      </c>
      <c r="CM814" s="189">
        <v>0</v>
      </c>
      <c r="CN814" s="189">
        <v>0</v>
      </c>
      <c r="CO814" s="189">
        <v>0</v>
      </c>
      <c r="CP814" s="189">
        <v>0</v>
      </c>
      <c r="CQ814" s="189">
        <v>0</v>
      </c>
      <c r="CR814" s="189">
        <v>0</v>
      </c>
      <c r="CS814" s="18">
        <v>1</v>
      </c>
      <c r="DD814" s="34" t="s">
        <v>86</v>
      </c>
    </row>
    <row r="815" spans="1:108" x14ac:dyDescent="0.25">
      <c r="A815">
        <v>814</v>
      </c>
      <c r="B815" s="189">
        <v>53</v>
      </c>
      <c r="C815" s="25" t="s">
        <v>519</v>
      </c>
      <c r="D815" s="12">
        <v>9.6</v>
      </c>
      <c r="E815" s="14">
        <v>4.4000000000000004</v>
      </c>
      <c r="F815" s="7">
        <f t="shared" si="558"/>
        <v>2.1818181818181817</v>
      </c>
      <c r="G815" s="7">
        <f t="shared" si="542"/>
        <v>5.1999999999999993</v>
      </c>
      <c r="H815" s="16">
        <f t="shared" si="543"/>
        <v>14</v>
      </c>
      <c r="I815" s="11">
        <f t="shared" ref="I815:I817" si="586">IFERROR(F815/SQRT(F815^2+W815), "X")</f>
        <v>4.1267745656530536E-3</v>
      </c>
      <c r="J815" s="33">
        <f t="shared" ref="J815:J817" si="587">IFERROR(SQRT((1-I815^2)/W815), "X")</f>
        <v>1.891438342590983E-3</v>
      </c>
      <c r="K815" s="33">
        <f t="shared" ref="K815:K817" si="588">IFERROR(1/J815, "X")</f>
        <v>528.69817507778339</v>
      </c>
      <c r="L815" s="33">
        <f t="shared" ref="L815:L817" si="589">IFERROR(I815-J815, "X")</f>
        <v>2.2353362230620706E-3</v>
      </c>
      <c r="M815" s="33">
        <f t="shared" ref="M815:M817" si="590">IFERROR(I815+J815, "X")</f>
        <v>6.0182129082440366E-3</v>
      </c>
      <c r="N815" s="8">
        <v>1</v>
      </c>
      <c r="O815" s="9">
        <v>0</v>
      </c>
      <c r="P815" s="8">
        <v>0</v>
      </c>
      <c r="Q815" s="9">
        <v>0</v>
      </c>
      <c r="R815" s="9">
        <v>0</v>
      </c>
      <c r="S815" s="9">
        <v>1</v>
      </c>
      <c r="T815" s="9">
        <v>0</v>
      </c>
      <c r="U815" s="8">
        <v>279522</v>
      </c>
      <c r="V815" s="9">
        <v>4</v>
      </c>
      <c r="W815" s="9">
        <f t="shared" ref="W815:W817" si="591">U815-V815-1</f>
        <v>279517</v>
      </c>
      <c r="X815" s="9">
        <f t="shared" si="559"/>
        <v>8</v>
      </c>
      <c r="Y815" s="7">
        <v>13.04</v>
      </c>
      <c r="Z815" s="7">
        <f t="shared" ref="Z815:Z821" si="592">BQ815-Y815-6</f>
        <v>22.4</v>
      </c>
      <c r="AA815" s="9">
        <v>1</v>
      </c>
      <c r="AB815" s="9">
        <v>0</v>
      </c>
      <c r="AC815" s="9">
        <v>0</v>
      </c>
      <c r="AD815" s="9">
        <v>0</v>
      </c>
      <c r="AE815" s="9">
        <v>1</v>
      </c>
      <c r="AF815" s="9">
        <v>0</v>
      </c>
      <c r="AG815" s="8">
        <v>0</v>
      </c>
      <c r="AH815" s="9">
        <v>0</v>
      </c>
      <c r="AI815" s="30">
        <v>1</v>
      </c>
      <c r="AJ815" s="9">
        <v>1</v>
      </c>
      <c r="AK815" s="30">
        <v>0</v>
      </c>
      <c r="AL815" s="21">
        <v>1980</v>
      </c>
      <c r="AM815" s="23">
        <f t="shared" si="561"/>
        <v>7.5908521236885811</v>
      </c>
      <c r="AN815" s="33" t="s">
        <v>106</v>
      </c>
      <c r="AO815" s="33" t="s">
        <v>106</v>
      </c>
      <c r="AP815" s="33" t="s">
        <v>106</v>
      </c>
      <c r="AQ815" s="43" t="s">
        <v>106</v>
      </c>
      <c r="AR815" s="33" t="s">
        <v>106</v>
      </c>
      <c r="AS815" s="43" t="s">
        <v>106</v>
      </c>
      <c r="AT815" s="42">
        <v>1</v>
      </c>
      <c r="AU815" s="18">
        <v>0</v>
      </c>
      <c r="AV815" s="189">
        <v>1</v>
      </c>
      <c r="AW815" s="40">
        <v>0</v>
      </c>
      <c r="AX815" s="189" t="s">
        <v>106</v>
      </c>
      <c r="AY815" s="40" t="s">
        <v>106</v>
      </c>
      <c r="BA815" s="18"/>
      <c r="BB815" s="189" t="s">
        <v>106</v>
      </c>
      <c r="BC815" s="18" t="s">
        <v>106</v>
      </c>
      <c r="BD815" s="18" t="s">
        <v>245</v>
      </c>
      <c r="BK815" s="18"/>
      <c r="BN815" s="18"/>
      <c r="BQ815" s="25">
        <v>41.44</v>
      </c>
      <c r="BR815" s="189">
        <v>0</v>
      </c>
      <c r="BS815" s="189">
        <v>0</v>
      </c>
      <c r="BT815" s="189">
        <v>0</v>
      </c>
      <c r="BU815" s="189">
        <v>0</v>
      </c>
      <c r="BV815" s="189">
        <v>1</v>
      </c>
      <c r="BW815" s="189">
        <v>0</v>
      </c>
      <c r="BX815" s="189">
        <v>0</v>
      </c>
      <c r="BY815" s="18">
        <v>0</v>
      </c>
      <c r="BZ815" s="189">
        <v>0</v>
      </c>
      <c r="CA815" s="189">
        <v>1</v>
      </c>
      <c r="CB815" s="189">
        <v>0</v>
      </c>
      <c r="CC815" s="18">
        <v>0</v>
      </c>
      <c r="CD815" s="189">
        <v>0</v>
      </c>
      <c r="CE815" s="189">
        <v>0</v>
      </c>
      <c r="CF815" s="189">
        <v>0</v>
      </c>
      <c r="CG815" s="189">
        <v>0</v>
      </c>
      <c r="CH815" s="18">
        <v>0</v>
      </c>
      <c r="CI815" s="189">
        <v>0</v>
      </c>
      <c r="CJ815" s="189">
        <v>0</v>
      </c>
      <c r="CK815" s="189">
        <v>0</v>
      </c>
      <c r="CL815" s="189">
        <v>0</v>
      </c>
      <c r="CM815" s="189">
        <v>0</v>
      </c>
      <c r="CN815" s="189">
        <v>0</v>
      </c>
      <c r="CO815" s="189">
        <v>0</v>
      </c>
      <c r="CP815" s="189">
        <v>0</v>
      </c>
      <c r="CQ815" s="189">
        <v>0</v>
      </c>
      <c r="CR815" s="189">
        <v>0</v>
      </c>
      <c r="CS815" s="18">
        <v>1</v>
      </c>
      <c r="DD815" s="34" t="s">
        <v>86</v>
      </c>
    </row>
    <row r="816" spans="1:108" x14ac:dyDescent="0.25">
      <c r="A816">
        <v>815</v>
      </c>
      <c r="B816" s="189">
        <v>53</v>
      </c>
      <c r="C816" s="25" t="s">
        <v>519</v>
      </c>
      <c r="D816" s="12">
        <v>9.8000000000000007</v>
      </c>
      <c r="E816" s="14">
        <v>2</v>
      </c>
      <c r="F816" s="7">
        <f t="shared" si="558"/>
        <v>4.9000000000000004</v>
      </c>
      <c r="G816" s="7">
        <f t="shared" si="542"/>
        <v>7.8000000000000007</v>
      </c>
      <c r="H816" s="16">
        <f t="shared" si="543"/>
        <v>11.8</v>
      </c>
      <c r="I816" s="11">
        <f t="shared" si="586"/>
        <v>9.2677287664315669E-3</v>
      </c>
      <c r="J816" s="33">
        <f t="shared" si="587"/>
        <v>1.8913732176390956E-3</v>
      </c>
      <c r="K816" s="33">
        <f t="shared" si="588"/>
        <v>528.7163795457825</v>
      </c>
      <c r="L816" s="33">
        <f t="shared" si="589"/>
        <v>7.3763555487924709E-3</v>
      </c>
      <c r="M816" s="33">
        <f t="shared" si="590"/>
        <v>1.1159101984070663E-2</v>
      </c>
      <c r="N816" s="8">
        <v>1</v>
      </c>
      <c r="O816" s="9">
        <v>0</v>
      </c>
      <c r="P816" s="8">
        <v>0</v>
      </c>
      <c r="Q816" s="9">
        <v>0</v>
      </c>
      <c r="R816" s="9">
        <v>0</v>
      </c>
      <c r="S816" s="9">
        <v>1</v>
      </c>
      <c r="T816" s="9">
        <v>0</v>
      </c>
      <c r="U816" s="8">
        <v>279522</v>
      </c>
      <c r="V816" s="9">
        <v>4</v>
      </c>
      <c r="W816" s="9">
        <f t="shared" si="591"/>
        <v>279517</v>
      </c>
      <c r="X816" s="9">
        <f t="shared" si="559"/>
        <v>8</v>
      </c>
      <c r="Y816" s="7">
        <v>13.04</v>
      </c>
      <c r="Z816" s="7">
        <f t="shared" si="592"/>
        <v>22.4</v>
      </c>
      <c r="AA816" s="9">
        <v>1</v>
      </c>
      <c r="AB816" s="9">
        <v>0</v>
      </c>
      <c r="AC816" s="9">
        <v>0</v>
      </c>
      <c r="AD816" s="9">
        <v>0</v>
      </c>
      <c r="AE816" s="9">
        <v>1</v>
      </c>
      <c r="AF816" s="9">
        <v>0</v>
      </c>
      <c r="AG816" s="8">
        <v>0</v>
      </c>
      <c r="AH816" s="9">
        <v>0</v>
      </c>
      <c r="AI816" s="30">
        <v>1</v>
      </c>
      <c r="AJ816" s="9">
        <v>1</v>
      </c>
      <c r="AK816" s="30">
        <v>0</v>
      </c>
      <c r="AL816" s="21">
        <v>1980</v>
      </c>
      <c r="AM816" s="23">
        <f t="shared" si="561"/>
        <v>7.5908521236885811</v>
      </c>
      <c r="AN816" s="33" t="s">
        <v>106</v>
      </c>
      <c r="AO816" s="33" t="s">
        <v>106</v>
      </c>
      <c r="AP816" s="33" t="s">
        <v>106</v>
      </c>
      <c r="AQ816" s="43" t="s">
        <v>106</v>
      </c>
      <c r="AR816" s="33" t="s">
        <v>106</v>
      </c>
      <c r="AS816" s="43" t="s">
        <v>106</v>
      </c>
      <c r="AT816" s="42">
        <v>1</v>
      </c>
      <c r="AU816" s="18">
        <v>0</v>
      </c>
      <c r="AV816" s="189">
        <v>1</v>
      </c>
      <c r="AW816" s="40">
        <v>0</v>
      </c>
      <c r="AX816" s="189" t="s">
        <v>106</v>
      </c>
      <c r="AY816" s="40" t="s">
        <v>106</v>
      </c>
      <c r="BA816" s="18"/>
      <c r="BB816" s="189" t="s">
        <v>106</v>
      </c>
      <c r="BC816" s="18" t="s">
        <v>106</v>
      </c>
      <c r="BD816" s="18" t="s">
        <v>245</v>
      </c>
      <c r="BK816" s="18"/>
      <c r="BN816" s="18"/>
      <c r="BQ816" s="25">
        <v>41.44</v>
      </c>
      <c r="BR816" s="189">
        <v>0</v>
      </c>
      <c r="BS816" s="189">
        <v>0</v>
      </c>
      <c r="BT816" s="189">
        <v>0</v>
      </c>
      <c r="BU816" s="189">
        <v>0</v>
      </c>
      <c r="BV816" s="189">
        <v>1</v>
      </c>
      <c r="BW816" s="189">
        <v>0</v>
      </c>
      <c r="BX816" s="189">
        <v>0</v>
      </c>
      <c r="BY816" s="18">
        <v>0</v>
      </c>
      <c r="BZ816" s="189">
        <v>0</v>
      </c>
      <c r="CA816" s="189">
        <v>1</v>
      </c>
      <c r="CB816" s="189">
        <v>0</v>
      </c>
      <c r="CC816" s="18">
        <v>0</v>
      </c>
      <c r="CD816" s="189">
        <v>0</v>
      </c>
      <c r="CE816" s="189">
        <v>0</v>
      </c>
      <c r="CF816" s="189">
        <v>0</v>
      </c>
      <c r="CG816" s="189">
        <v>0</v>
      </c>
      <c r="CH816" s="18">
        <v>0</v>
      </c>
      <c r="CI816" s="189">
        <v>0</v>
      </c>
      <c r="CJ816" s="189">
        <v>0</v>
      </c>
      <c r="CK816" s="189">
        <v>0</v>
      </c>
      <c r="CL816" s="189">
        <v>0</v>
      </c>
      <c r="CM816" s="189">
        <v>0</v>
      </c>
      <c r="CN816" s="189">
        <v>0</v>
      </c>
      <c r="CO816" s="189">
        <v>0</v>
      </c>
      <c r="CP816" s="189">
        <v>0</v>
      </c>
      <c r="CQ816" s="189">
        <v>0</v>
      </c>
      <c r="CR816" s="189">
        <v>0</v>
      </c>
      <c r="CS816" s="18">
        <v>1</v>
      </c>
      <c r="DD816" s="34" t="s">
        <v>86</v>
      </c>
    </row>
    <row r="817" spans="1:108" x14ac:dyDescent="0.25">
      <c r="A817">
        <v>816</v>
      </c>
      <c r="B817" s="189">
        <v>53</v>
      </c>
      <c r="C817" s="25" t="s">
        <v>519</v>
      </c>
      <c r="D817" s="12">
        <v>9.8000000000000007</v>
      </c>
      <c r="E817" s="14">
        <v>1.8</v>
      </c>
      <c r="F817" s="7">
        <f t="shared" si="558"/>
        <v>5.4444444444444446</v>
      </c>
      <c r="G817" s="7">
        <f t="shared" si="542"/>
        <v>8</v>
      </c>
      <c r="H817" s="16">
        <f t="shared" si="543"/>
        <v>11.600000000000001</v>
      </c>
      <c r="I817" s="11">
        <f t="shared" si="586"/>
        <v>1.0297372675932382E-2</v>
      </c>
      <c r="J817" s="33">
        <f t="shared" si="587"/>
        <v>1.8913541649671723E-3</v>
      </c>
      <c r="K817" s="33">
        <f t="shared" si="588"/>
        <v>528.72170560258701</v>
      </c>
      <c r="L817" s="33">
        <f t="shared" si="589"/>
        <v>8.4060185109652089E-3</v>
      </c>
      <c r="M817" s="33">
        <f t="shared" si="590"/>
        <v>1.2188726840899555E-2</v>
      </c>
      <c r="N817" s="8">
        <v>1</v>
      </c>
      <c r="O817" s="9">
        <v>0</v>
      </c>
      <c r="P817" s="8">
        <v>0</v>
      </c>
      <c r="Q817" s="9">
        <v>0</v>
      </c>
      <c r="R817" s="9">
        <v>0</v>
      </c>
      <c r="S817" s="9">
        <v>1</v>
      </c>
      <c r="T817" s="9">
        <v>0</v>
      </c>
      <c r="U817" s="8">
        <v>279522</v>
      </c>
      <c r="V817" s="9">
        <v>4</v>
      </c>
      <c r="W817" s="9">
        <f t="shared" si="591"/>
        <v>279517</v>
      </c>
      <c r="X817" s="9">
        <f t="shared" si="559"/>
        <v>8</v>
      </c>
      <c r="Y817" s="7">
        <v>13.04</v>
      </c>
      <c r="Z817" s="7">
        <f t="shared" si="592"/>
        <v>22.4</v>
      </c>
      <c r="AA817" s="9">
        <v>1</v>
      </c>
      <c r="AB817" s="9">
        <v>0</v>
      </c>
      <c r="AC817" s="9">
        <v>0</v>
      </c>
      <c r="AD817" s="9">
        <v>0</v>
      </c>
      <c r="AE817" s="9">
        <v>1</v>
      </c>
      <c r="AF817" s="9">
        <v>0</v>
      </c>
      <c r="AG817" s="8">
        <v>0</v>
      </c>
      <c r="AH817" s="9">
        <v>0</v>
      </c>
      <c r="AI817" s="30">
        <v>1</v>
      </c>
      <c r="AJ817" s="9">
        <v>1</v>
      </c>
      <c r="AK817" s="30">
        <v>0</v>
      </c>
      <c r="AL817" s="21">
        <v>1980</v>
      </c>
      <c r="AM817" s="23">
        <f t="shared" si="561"/>
        <v>7.5908521236885811</v>
      </c>
      <c r="AN817" s="33" t="s">
        <v>106</v>
      </c>
      <c r="AO817" s="33" t="s">
        <v>106</v>
      </c>
      <c r="AP817" s="33" t="s">
        <v>106</v>
      </c>
      <c r="AQ817" s="43" t="s">
        <v>106</v>
      </c>
      <c r="AR817" s="33" t="s">
        <v>106</v>
      </c>
      <c r="AS817" s="43" t="s">
        <v>106</v>
      </c>
      <c r="AT817" s="42">
        <v>1</v>
      </c>
      <c r="AU817" s="18">
        <v>0</v>
      </c>
      <c r="AV817" s="189">
        <v>1</v>
      </c>
      <c r="AW817" s="40">
        <v>0</v>
      </c>
      <c r="AX817" s="189" t="s">
        <v>106</v>
      </c>
      <c r="AY817" s="40" t="s">
        <v>106</v>
      </c>
      <c r="BA817" s="18"/>
      <c r="BB817" s="189" t="s">
        <v>106</v>
      </c>
      <c r="BC817" s="18" t="s">
        <v>106</v>
      </c>
      <c r="BD817" s="18" t="s">
        <v>245</v>
      </c>
      <c r="BK817" s="18"/>
      <c r="BN817" s="18"/>
      <c r="BQ817" s="25">
        <v>41.44</v>
      </c>
      <c r="BR817" s="189">
        <v>0</v>
      </c>
      <c r="BS817" s="189">
        <v>0</v>
      </c>
      <c r="BT817" s="189">
        <v>0</v>
      </c>
      <c r="BU817" s="189">
        <v>0</v>
      </c>
      <c r="BV817" s="189">
        <v>1</v>
      </c>
      <c r="BW817" s="189">
        <v>0</v>
      </c>
      <c r="BX817" s="189">
        <v>0</v>
      </c>
      <c r="BY817" s="18">
        <v>0</v>
      </c>
      <c r="BZ817" s="189">
        <v>0</v>
      </c>
      <c r="CA817" s="189">
        <v>1</v>
      </c>
      <c r="CB817" s="189">
        <v>0</v>
      </c>
      <c r="CC817" s="18">
        <v>0</v>
      </c>
      <c r="CD817" s="189">
        <v>0</v>
      </c>
      <c r="CE817" s="189">
        <v>0</v>
      </c>
      <c r="CF817" s="189">
        <v>0</v>
      </c>
      <c r="CG817" s="189">
        <v>0</v>
      </c>
      <c r="CH817" s="18">
        <v>0</v>
      </c>
      <c r="CI817" s="189">
        <v>0</v>
      </c>
      <c r="CJ817" s="189">
        <v>0</v>
      </c>
      <c r="CK817" s="189">
        <v>0</v>
      </c>
      <c r="CL817" s="189">
        <v>0</v>
      </c>
      <c r="CM817" s="189">
        <v>0</v>
      </c>
      <c r="CN817" s="189">
        <v>0</v>
      </c>
      <c r="CO817" s="189">
        <v>0</v>
      </c>
      <c r="CP817" s="189">
        <v>0</v>
      </c>
      <c r="CQ817" s="189">
        <v>0</v>
      </c>
      <c r="CR817" s="189">
        <v>0</v>
      </c>
      <c r="CS817" s="18">
        <v>1</v>
      </c>
      <c r="DD817" s="34" t="s">
        <v>86</v>
      </c>
    </row>
    <row r="818" spans="1:108" x14ac:dyDescent="0.25">
      <c r="A818">
        <v>817</v>
      </c>
      <c r="B818" s="189">
        <v>53</v>
      </c>
      <c r="C818" s="25" t="s">
        <v>519</v>
      </c>
      <c r="D818" s="12">
        <v>7.43</v>
      </c>
      <c r="E818" s="14">
        <v>0.04</v>
      </c>
      <c r="F818" s="7">
        <f t="shared" si="558"/>
        <v>185.75</v>
      </c>
      <c r="G818" s="7">
        <f t="shared" si="542"/>
        <v>7.39</v>
      </c>
      <c r="H818" s="16">
        <f t="shared" si="543"/>
        <v>7.47</v>
      </c>
      <c r="I818" s="11">
        <f t="shared" ref="I818:I821" si="593">IFERROR(F818/SQRT(F818^2+W818), "X")</f>
        <v>0.33147450030132436</v>
      </c>
      <c r="J818" s="33">
        <f t="shared" ref="J818:J821" si="594">IFERROR(SQRT((1-I818^2)/W818), "X")</f>
        <v>1.7845195170999963E-3</v>
      </c>
      <c r="K818" s="33">
        <f t="shared" ref="K818:K821" si="595">IFERROR(1/J818, "X")</f>
        <v>560.37493029221071</v>
      </c>
      <c r="L818" s="33">
        <f t="shared" ref="L818:L821" si="596">IFERROR(I818-J818, "X")</f>
        <v>0.32968998078422435</v>
      </c>
      <c r="M818" s="33">
        <f t="shared" ref="M818:M821" si="597">IFERROR(I818+J818, "X")</f>
        <v>0.33325901981842437</v>
      </c>
      <c r="N818" s="8">
        <v>1</v>
      </c>
      <c r="O818" s="9">
        <v>0</v>
      </c>
      <c r="P818" s="8">
        <v>0</v>
      </c>
      <c r="Q818" s="9">
        <v>0</v>
      </c>
      <c r="R818" s="9">
        <v>0</v>
      </c>
      <c r="S818" s="9">
        <v>1</v>
      </c>
      <c r="T818" s="9">
        <v>0</v>
      </c>
      <c r="U818" s="8">
        <v>279522</v>
      </c>
      <c r="V818" s="9">
        <v>4</v>
      </c>
      <c r="W818" s="9">
        <f t="shared" ref="W818:W820" si="598">U818-V818-1</f>
        <v>279517</v>
      </c>
      <c r="X818" s="9">
        <f t="shared" si="559"/>
        <v>8</v>
      </c>
      <c r="Y818" s="7">
        <v>13.04</v>
      </c>
      <c r="Z818" s="7">
        <f t="shared" si="592"/>
        <v>22.4</v>
      </c>
      <c r="AA818" s="9">
        <v>1</v>
      </c>
      <c r="AB818" s="9">
        <v>0</v>
      </c>
      <c r="AC818" s="9">
        <v>1</v>
      </c>
      <c r="AD818" s="9">
        <v>0</v>
      </c>
      <c r="AE818" s="9">
        <v>0</v>
      </c>
      <c r="AF818" s="9">
        <v>0</v>
      </c>
      <c r="AG818" s="8">
        <v>0</v>
      </c>
      <c r="AH818" s="9">
        <v>0</v>
      </c>
      <c r="AI818" s="30">
        <v>1</v>
      </c>
      <c r="AJ818" s="9">
        <v>1</v>
      </c>
      <c r="AK818" s="30">
        <v>0</v>
      </c>
      <c r="AL818" s="21">
        <v>1980</v>
      </c>
      <c r="AM818" s="23">
        <f t="shared" si="561"/>
        <v>7.5908521236885811</v>
      </c>
      <c r="AN818" s="33" t="s">
        <v>106</v>
      </c>
      <c r="AO818" s="33" t="s">
        <v>106</v>
      </c>
      <c r="AP818" s="33" t="s">
        <v>106</v>
      </c>
      <c r="AQ818" s="43" t="s">
        <v>106</v>
      </c>
      <c r="AR818" s="33" t="s">
        <v>106</v>
      </c>
      <c r="AS818" s="43" t="s">
        <v>106</v>
      </c>
      <c r="AT818" s="42">
        <v>1</v>
      </c>
      <c r="AU818" s="18">
        <v>0</v>
      </c>
      <c r="AV818" s="189">
        <v>1</v>
      </c>
      <c r="AW818" s="40">
        <v>0</v>
      </c>
      <c r="AX818" s="189" t="s">
        <v>106</v>
      </c>
      <c r="AY818" s="40" t="s">
        <v>106</v>
      </c>
      <c r="BA818" s="18"/>
      <c r="BB818" s="189" t="s">
        <v>106</v>
      </c>
      <c r="BC818" s="18" t="s">
        <v>106</v>
      </c>
      <c r="BD818" s="18" t="s">
        <v>245</v>
      </c>
      <c r="BK818" s="18"/>
      <c r="BN818" s="18"/>
      <c r="BQ818" s="25">
        <v>41.44</v>
      </c>
      <c r="BR818" s="189">
        <v>1</v>
      </c>
      <c r="BS818" s="189">
        <v>0</v>
      </c>
      <c r="BT818" s="189">
        <v>0</v>
      </c>
      <c r="BU818" s="189">
        <v>0</v>
      </c>
      <c r="BV818" s="189">
        <v>0</v>
      </c>
      <c r="BW818" s="189">
        <v>0</v>
      </c>
      <c r="BX818" s="189">
        <v>0</v>
      </c>
      <c r="BY818" s="18">
        <v>0</v>
      </c>
      <c r="BZ818" s="189">
        <v>0</v>
      </c>
      <c r="CA818" s="189">
        <v>0</v>
      </c>
      <c r="CB818" s="189">
        <v>1</v>
      </c>
      <c r="CC818" s="18">
        <v>0</v>
      </c>
      <c r="CD818" s="189">
        <v>0</v>
      </c>
      <c r="CE818" s="189">
        <v>0</v>
      </c>
      <c r="CF818" s="189">
        <v>0</v>
      </c>
      <c r="CG818" s="189">
        <v>0</v>
      </c>
      <c r="CH818" s="18">
        <v>0</v>
      </c>
      <c r="CI818" s="189">
        <v>0</v>
      </c>
      <c r="CJ818" s="189">
        <v>0</v>
      </c>
      <c r="CK818" s="189">
        <v>0</v>
      </c>
      <c r="CL818" s="189">
        <v>0</v>
      </c>
      <c r="CM818" s="189">
        <v>0</v>
      </c>
      <c r="CN818" s="189">
        <v>0</v>
      </c>
      <c r="CO818" s="189">
        <v>0</v>
      </c>
      <c r="CP818" s="189">
        <v>0</v>
      </c>
      <c r="CQ818" s="189">
        <v>0</v>
      </c>
      <c r="CR818" s="189">
        <v>0</v>
      </c>
      <c r="CS818" s="18">
        <v>1</v>
      </c>
      <c r="DD818" s="34" t="s">
        <v>86</v>
      </c>
    </row>
    <row r="819" spans="1:108" x14ac:dyDescent="0.25">
      <c r="A819">
        <v>818</v>
      </c>
      <c r="B819" s="189">
        <v>53</v>
      </c>
      <c r="C819" s="25" t="s">
        <v>519</v>
      </c>
      <c r="D819" s="12">
        <v>11.8</v>
      </c>
      <c r="E819" s="14">
        <v>5.6</v>
      </c>
      <c r="F819" s="7">
        <f t="shared" si="558"/>
        <v>2.1071428571428572</v>
      </c>
      <c r="G819" s="7">
        <f t="shared" si="542"/>
        <v>6.2000000000000011</v>
      </c>
      <c r="H819" s="16">
        <f t="shared" si="543"/>
        <v>17.399999999999999</v>
      </c>
      <c r="I819" s="11">
        <f t="shared" si="593"/>
        <v>3.9855330766543993E-3</v>
      </c>
      <c r="J819" s="33">
        <f t="shared" si="594"/>
        <v>1.8914394262088674E-3</v>
      </c>
      <c r="K819" s="33">
        <f t="shared" si="595"/>
        <v>528.69787218317833</v>
      </c>
      <c r="L819" s="33">
        <f t="shared" si="596"/>
        <v>2.0940936504455316E-3</v>
      </c>
      <c r="M819" s="33">
        <f t="shared" si="597"/>
        <v>5.8769725028632669E-3</v>
      </c>
      <c r="N819" s="8">
        <v>1</v>
      </c>
      <c r="O819" s="9">
        <v>0</v>
      </c>
      <c r="P819" s="8">
        <v>0</v>
      </c>
      <c r="Q819" s="9">
        <v>0</v>
      </c>
      <c r="R819" s="9">
        <v>0</v>
      </c>
      <c r="S819" s="9">
        <v>1</v>
      </c>
      <c r="T819" s="9">
        <v>0</v>
      </c>
      <c r="U819" s="8">
        <v>279522</v>
      </c>
      <c r="V819" s="9">
        <v>4</v>
      </c>
      <c r="W819" s="9">
        <f t="shared" si="598"/>
        <v>279517</v>
      </c>
      <c r="X819" s="9">
        <f t="shared" si="559"/>
        <v>8</v>
      </c>
      <c r="Y819" s="7">
        <v>13.04</v>
      </c>
      <c r="Z819" s="7">
        <f t="shared" si="592"/>
        <v>22.4</v>
      </c>
      <c r="AA819" s="9">
        <v>1</v>
      </c>
      <c r="AB819" s="9">
        <v>0</v>
      </c>
      <c r="AC819" s="9">
        <v>1</v>
      </c>
      <c r="AD819" s="9">
        <v>0</v>
      </c>
      <c r="AE819" s="9">
        <v>0</v>
      </c>
      <c r="AF819" s="9">
        <v>0</v>
      </c>
      <c r="AG819" s="8">
        <v>0</v>
      </c>
      <c r="AH819" s="9">
        <v>0</v>
      </c>
      <c r="AI819" s="30">
        <v>1</v>
      </c>
      <c r="AJ819" s="9">
        <v>1</v>
      </c>
      <c r="AK819" s="30">
        <v>0</v>
      </c>
      <c r="AL819" s="21">
        <v>1980</v>
      </c>
      <c r="AM819" s="23">
        <f t="shared" si="561"/>
        <v>7.5908521236885811</v>
      </c>
      <c r="AN819" s="33" t="s">
        <v>106</v>
      </c>
      <c r="AO819" s="33" t="s">
        <v>106</v>
      </c>
      <c r="AP819" s="33" t="s">
        <v>106</v>
      </c>
      <c r="AQ819" s="43" t="s">
        <v>106</v>
      </c>
      <c r="AR819" s="33" t="s">
        <v>106</v>
      </c>
      <c r="AS819" s="43" t="s">
        <v>106</v>
      </c>
      <c r="AT819" s="42">
        <v>1</v>
      </c>
      <c r="AU819" s="18">
        <v>0</v>
      </c>
      <c r="AV819" s="189">
        <v>1</v>
      </c>
      <c r="AW819" s="40">
        <v>0</v>
      </c>
      <c r="AX819" s="189" t="s">
        <v>106</v>
      </c>
      <c r="AY819" s="40" t="s">
        <v>106</v>
      </c>
      <c r="BA819" s="18"/>
      <c r="BB819" s="189" t="s">
        <v>106</v>
      </c>
      <c r="BC819" s="18" t="s">
        <v>106</v>
      </c>
      <c r="BD819" s="18" t="s">
        <v>245</v>
      </c>
      <c r="BK819" s="18"/>
      <c r="BN819" s="18"/>
      <c r="BQ819" s="25">
        <v>41.44</v>
      </c>
      <c r="BR819" s="189">
        <v>0</v>
      </c>
      <c r="BS819" s="189">
        <v>0</v>
      </c>
      <c r="BT819" s="189">
        <v>0</v>
      </c>
      <c r="BU819" s="189">
        <v>0</v>
      </c>
      <c r="BV819" s="189">
        <v>1</v>
      </c>
      <c r="BW819" s="189">
        <v>0</v>
      </c>
      <c r="BX819" s="189">
        <v>0</v>
      </c>
      <c r="BY819" s="18">
        <v>0</v>
      </c>
      <c r="BZ819" s="189">
        <v>0</v>
      </c>
      <c r="CA819" s="189">
        <v>1</v>
      </c>
      <c r="CB819" s="189">
        <v>0</v>
      </c>
      <c r="CC819" s="18">
        <v>0</v>
      </c>
      <c r="CD819" s="189">
        <v>0</v>
      </c>
      <c r="CE819" s="189">
        <v>0</v>
      </c>
      <c r="CF819" s="189">
        <v>0</v>
      </c>
      <c r="CG819" s="189">
        <v>0</v>
      </c>
      <c r="CH819" s="18">
        <v>0</v>
      </c>
      <c r="CI819" s="189">
        <v>0</v>
      </c>
      <c r="CJ819" s="189">
        <v>0</v>
      </c>
      <c r="CK819" s="189">
        <v>0</v>
      </c>
      <c r="CL819" s="189">
        <v>0</v>
      </c>
      <c r="CM819" s="189">
        <v>0</v>
      </c>
      <c r="CN819" s="189">
        <v>0</v>
      </c>
      <c r="CO819" s="189">
        <v>0</v>
      </c>
      <c r="CP819" s="189">
        <v>0</v>
      </c>
      <c r="CQ819" s="189">
        <v>0</v>
      </c>
      <c r="CR819" s="189">
        <v>0</v>
      </c>
      <c r="CS819" s="18">
        <v>1</v>
      </c>
      <c r="DD819" s="34" t="s">
        <v>86</v>
      </c>
    </row>
    <row r="820" spans="1:108" x14ac:dyDescent="0.25">
      <c r="A820">
        <v>819</v>
      </c>
      <c r="B820" s="189">
        <v>53</v>
      </c>
      <c r="C820" s="25" t="s">
        <v>519</v>
      </c>
      <c r="D820" s="12">
        <v>11.3</v>
      </c>
      <c r="E820" s="14">
        <v>2.2999999999999998</v>
      </c>
      <c r="F820" s="7">
        <f t="shared" si="558"/>
        <v>4.9130434782608701</v>
      </c>
      <c r="G820" s="7">
        <f t="shared" si="542"/>
        <v>9</v>
      </c>
      <c r="H820" s="16">
        <f t="shared" si="543"/>
        <v>13.600000000000001</v>
      </c>
      <c r="I820" s="11">
        <f t="shared" si="593"/>
        <v>9.2923967244782774E-3</v>
      </c>
      <c r="J820" s="33">
        <f t="shared" si="594"/>
        <v>1.8913727846283218E-3</v>
      </c>
      <c r="K820" s="33">
        <f t="shared" si="595"/>
        <v>528.71650059007925</v>
      </c>
      <c r="L820" s="33">
        <f t="shared" si="596"/>
        <v>7.4010239398499553E-3</v>
      </c>
      <c r="M820" s="33">
        <f t="shared" si="597"/>
        <v>1.1183769509106599E-2</v>
      </c>
      <c r="N820" s="8">
        <v>1</v>
      </c>
      <c r="O820" s="9">
        <v>0</v>
      </c>
      <c r="P820" s="8">
        <v>0</v>
      </c>
      <c r="Q820" s="9">
        <v>0</v>
      </c>
      <c r="R820" s="9">
        <v>0</v>
      </c>
      <c r="S820" s="9">
        <v>1</v>
      </c>
      <c r="T820" s="9">
        <v>0</v>
      </c>
      <c r="U820" s="8">
        <v>279522</v>
      </c>
      <c r="V820" s="9">
        <v>4</v>
      </c>
      <c r="W820" s="9">
        <f t="shared" si="598"/>
        <v>279517</v>
      </c>
      <c r="X820" s="9">
        <f t="shared" si="559"/>
        <v>8</v>
      </c>
      <c r="Y820" s="7">
        <v>13.04</v>
      </c>
      <c r="Z820" s="7">
        <f t="shared" si="592"/>
        <v>22.4</v>
      </c>
      <c r="AA820" s="9">
        <v>1</v>
      </c>
      <c r="AB820" s="9">
        <v>0</v>
      </c>
      <c r="AC820" s="9">
        <v>1</v>
      </c>
      <c r="AD820" s="9">
        <v>0</v>
      </c>
      <c r="AE820" s="9">
        <v>0</v>
      </c>
      <c r="AF820" s="9">
        <v>0</v>
      </c>
      <c r="AG820" s="8">
        <v>0</v>
      </c>
      <c r="AH820" s="9">
        <v>0</v>
      </c>
      <c r="AI820" s="30">
        <v>1</v>
      </c>
      <c r="AJ820" s="9">
        <v>1</v>
      </c>
      <c r="AK820" s="30">
        <v>0</v>
      </c>
      <c r="AL820" s="21">
        <v>1980</v>
      </c>
      <c r="AM820" s="23">
        <f t="shared" si="561"/>
        <v>7.5908521236885811</v>
      </c>
      <c r="AN820" s="33" t="s">
        <v>106</v>
      </c>
      <c r="AO820" s="33" t="s">
        <v>106</v>
      </c>
      <c r="AP820" s="33" t="s">
        <v>106</v>
      </c>
      <c r="AQ820" s="43" t="s">
        <v>106</v>
      </c>
      <c r="AR820" s="33" t="s">
        <v>106</v>
      </c>
      <c r="AS820" s="43" t="s">
        <v>106</v>
      </c>
      <c r="AT820" s="42">
        <v>1</v>
      </c>
      <c r="AU820" s="18">
        <v>0</v>
      </c>
      <c r="AV820" s="189">
        <v>1</v>
      </c>
      <c r="AW820" s="40">
        <v>0</v>
      </c>
      <c r="AX820" s="189" t="s">
        <v>106</v>
      </c>
      <c r="AY820" s="40" t="s">
        <v>106</v>
      </c>
      <c r="BA820" s="18"/>
      <c r="BB820" s="189" t="s">
        <v>106</v>
      </c>
      <c r="BC820" s="18" t="s">
        <v>106</v>
      </c>
      <c r="BD820" s="18" t="s">
        <v>245</v>
      </c>
      <c r="BK820" s="18"/>
      <c r="BN820" s="18"/>
      <c r="BQ820" s="25">
        <v>41.44</v>
      </c>
      <c r="BR820" s="189">
        <v>0</v>
      </c>
      <c r="BS820" s="189">
        <v>0</v>
      </c>
      <c r="BT820" s="189">
        <v>0</v>
      </c>
      <c r="BU820" s="189">
        <v>0</v>
      </c>
      <c r="BV820" s="189">
        <v>1</v>
      </c>
      <c r="BW820" s="189">
        <v>0</v>
      </c>
      <c r="BX820" s="189">
        <v>0</v>
      </c>
      <c r="BY820" s="18">
        <v>0</v>
      </c>
      <c r="BZ820" s="189">
        <v>0</v>
      </c>
      <c r="CA820" s="189">
        <v>1</v>
      </c>
      <c r="CB820" s="189">
        <v>0</v>
      </c>
      <c r="CC820" s="18">
        <v>0</v>
      </c>
      <c r="CD820" s="189">
        <v>0</v>
      </c>
      <c r="CE820" s="189">
        <v>0</v>
      </c>
      <c r="CF820" s="189">
        <v>0</v>
      </c>
      <c r="CG820" s="189">
        <v>0</v>
      </c>
      <c r="CH820" s="18">
        <v>0</v>
      </c>
      <c r="CI820" s="189">
        <v>0</v>
      </c>
      <c r="CJ820" s="189">
        <v>0</v>
      </c>
      <c r="CK820" s="189">
        <v>0</v>
      </c>
      <c r="CL820" s="189">
        <v>0</v>
      </c>
      <c r="CM820" s="189">
        <v>0</v>
      </c>
      <c r="CN820" s="189">
        <v>0</v>
      </c>
      <c r="CO820" s="189">
        <v>0</v>
      </c>
      <c r="CP820" s="189">
        <v>0</v>
      </c>
      <c r="CQ820" s="189">
        <v>0</v>
      </c>
      <c r="CR820" s="189">
        <v>0</v>
      </c>
      <c r="CS820" s="18">
        <v>1</v>
      </c>
      <c r="DD820" s="34" t="s">
        <v>86</v>
      </c>
    </row>
    <row r="821" spans="1:108" s="153" customFormat="1" x14ac:dyDescent="0.25">
      <c r="A821" s="153">
        <v>820</v>
      </c>
      <c r="B821" s="192">
        <v>53</v>
      </c>
      <c r="C821" s="154" t="s">
        <v>519</v>
      </c>
      <c r="D821" s="155">
        <v>11.2</v>
      </c>
      <c r="E821" s="156">
        <v>2.1</v>
      </c>
      <c r="F821" s="157">
        <f t="shared" si="558"/>
        <v>5.333333333333333</v>
      </c>
      <c r="G821" s="157">
        <f t="shared" si="542"/>
        <v>9.1</v>
      </c>
      <c r="H821" s="158">
        <f t="shared" si="543"/>
        <v>13.299999999999999</v>
      </c>
      <c r="I821" s="159">
        <f t="shared" si="593"/>
        <v>1.0087243819210572E-2</v>
      </c>
      <c r="J821" s="160">
        <f t="shared" si="594"/>
        <v>1.8913582161019823E-3</v>
      </c>
      <c r="K821" s="160">
        <f t="shared" si="595"/>
        <v>528.72057312388029</v>
      </c>
      <c r="L821" s="160">
        <f t="shared" si="596"/>
        <v>8.1958856031085891E-3</v>
      </c>
      <c r="M821" s="160">
        <f t="shared" si="597"/>
        <v>1.1978602035312555E-2</v>
      </c>
      <c r="N821" s="161">
        <v>1</v>
      </c>
      <c r="O821" s="162">
        <v>0</v>
      </c>
      <c r="P821" s="161">
        <v>0</v>
      </c>
      <c r="Q821" s="162">
        <v>0</v>
      </c>
      <c r="R821" s="162">
        <v>0</v>
      </c>
      <c r="S821" s="162">
        <v>1</v>
      </c>
      <c r="T821" s="162">
        <v>0</v>
      </c>
      <c r="U821" s="161">
        <v>279522</v>
      </c>
      <c r="V821" s="162">
        <v>4</v>
      </c>
      <c r="W821" s="162">
        <f t="shared" ref="W821" si="599">U821-V821-1</f>
        <v>279517</v>
      </c>
      <c r="X821" s="162">
        <f t="shared" si="559"/>
        <v>8</v>
      </c>
      <c r="Y821" s="157">
        <v>13.04</v>
      </c>
      <c r="Z821" s="157">
        <f t="shared" si="592"/>
        <v>22.4</v>
      </c>
      <c r="AA821" s="162">
        <v>1</v>
      </c>
      <c r="AB821" s="162">
        <v>0</v>
      </c>
      <c r="AC821" s="162">
        <v>1</v>
      </c>
      <c r="AD821" s="162">
        <v>0</v>
      </c>
      <c r="AE821" s="162">
        <v>0</v>
      </c>
      <c r="AF821" s="162">
        <v>0</v>
      </c>
      <c r="AG821" s="161">
        <v>0</v>
      </c>
      <c r="AH821" s="162">
        <v>0</v>
      </c>
      <c r="AI821" s="163">
        <v>1</v>
      </c>
      <c r="AJ821" s="162">
        <v>1</v>
      </c>
      <c r="AK821" s="163">
        <v>0</v>
      </c>
      <c r="AL821" s="164">
        <v>1980</v>
      </c>
      <c r="AM821" s="165">
        <f t="shared" si="561"/>
        <v>7.5908521236885811</v>
      </c>
      <c r="AN821" s="160" t="s">
        <v>106</v>
      </c>
      <c r="AO821" s="160" t="s">
        <v>106</v>
      </c>
      <c r="AP821" s="160" t="s">
        <v>106</v>
      </c>
      <c r="AQ821" s="166" t="s">
        <v>106</v>
      </c>
      <c r="AR821" s="160" t="s">
        <v>106</v>
      </c>
      <c r="AS821" s="166" t="s">
        <v>106</v>
      </c>
      <c r="AT821" s="167">
        <v>1</v>
      </c>
      <c r="AU821" s="168">
        <v>0</v>
      </c>
      <c r="AV821" s="192">
        <v>1</v>
      </c>
      <c r="AW821" s="169">
        <v>0</v>
      </c>
      <c r="AX821" s="192" t="s">
        <v>106</v>
      </c>
      <c r="AY821" s="169" t="s">
        <v>106</v>
      </c>
      <c r="BA821" s="168"/>
      <c r="BB821" s="192" t="s">
        <v>106</v>
      </c>
      <c r="BC821" s="168" t="s">
        <v>106</v>
      </c>
      <c r="BD821" s="168" t="s">
        <v>245</v>
      </c>
      <c r="BK821" s="168"/>
      <c r="BN821" s="168"/>
      <c r="BQ821" s="154">
        <v>41.44</v>
      </c>
      <c r="BR821" s="192">
        <v>0</v>
      </c>
      <c r="BS821" s="192">
        <v>0</v>
      </c>
      <c r="BT821" s="192">
        <v>0</v>
      </c>
      <c r="BU821" s="192">
        <v>0</v>
      </c>
      <c r="BV821" s="192">
        <v>1</v>
      </c>
      <c r="BW821" s="192">
        <v>0</v>
      </c>
      <c r="BX821" s="192">
        <v>0</v>
      </c>
      <c r="BY821" s="168">
        <v>0</v>
      </c>
      <c r="BZ821" s="192">
        <v>0</v>
      </c>
      <c r="CA821" s="192">
        <v>1</v>
      </c>
      <c r="CB821" s="192">
        <v>0</v>
      </c>
      <c r="CC821" s="168">
        <v>0</v>
      </c>
      <c r="CD821" s="192">
        <v>0</v>
      </c>
      <c r="CE821" s="192">
        <v>0</v>
      </c>
      <c r="CF821" s="192">
        <v>0</v>
      </c>
      <c r="CG821" s="192">
        <v>0</v>
      </c>
      <c r="CH821" s="168">
        <v>0</v>
      </c>
      <c r="CI821" s="192">
        <v>0</v>
      </c>
      <c r="CJ821" s="192">
        <v>0</v>
      </c>
      <c r="CK821" s="192">
        <v>0</v>
      </c>
      <c r="CL821" s="192">
        <v>0</v>
      </c>
      <c r="CM821" s="192">
        <v>0</v>
      </c>
      <c r="CN821" s="192">
        <v>0</v>
      </c>
      <c r="CO821" s="192">
        <v>0</v>
      </c>
      <c r="CP821" s="192">
        <v>0</v>
      </c>
      <c r="CQ821" s="192">
        <v>0</v>
      </c>
      <c r="CR821" s="192">
        <v>0</v>
      </c>
      <c r="CS821" s="168">
        <v>1</v>
      </c>
      <c r="CY821" s="171"/>
      <c r="DD821" s="171" t="s">
        <v>86</v>
      </c>
    </row>
    <row r="822" spans="1:108" x14ac:dyDescent="0.25">
      <c r="A822">
        <v>821</v>
      </c>
      <c r="B822" s="189">
        <v>54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59"/>
        <v>2</v>
      </c>
      <c r="AG822" s="8"/>
      <c r="AI822" s="30"/>
      <c r="AK822" s="30"/>
      <c r="AL822" s="21"/>
      <c r="AM822" s="23" t="e">
        <f t="shared" si="561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B823" s="189">
        <v>54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59"/>
        <v>2</v>
      </c>
      <c r="AG823" s="8"/>
      <c r="AI823" s="30"/>
      <c r="AK823" s="30"/>
      <c r="AL823" s="21"/>
      <c r="AM823" s="23" t="e">
        <f t="shared" si="561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59"/>
        <v>0</v>
      </c>
      <c r="AG824" s="8"/>
      <c r="AI824" s="30"/>
      <c r="AK824" s="30"/>
      <c r="AL824" s="21"/>
      <c r="AM824" s="23" t="e">
        <f t="shared" si="561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59"/>
        <v>0</v>
      </c>
      <c r="AG825" s="8"/>
      <c r="AI825" s="30"/>
      <c r="AK825" s="30"/>
      <c r="AL825" s="21"/>
      <c r="AM825" s="23" t="e">
        <f t="shared" si="561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59"/>
        <v>0</v>
      </c>
      <c r="AG826" s="8"/>
      <c r="AI826" s="30"/>
      <c r="AK826" s="30"/>
      <c r="AL826" s="21"/>
      <c r="AM826" s="23" t="e">
        <f t="shared" si="561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59"/>
        <v>0</v>
      </c>
      <c r="AG827" s="8"/>
      <c r="AI827" s="30"/>
      <c r="AK827" s="30"/>
      <c r="AL827" s="21"/>
      <c r="AM827" s="23" t="e">
        <f t="shared" si="561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59"/>
        <v>0</v>
      </c>
      <c r="AG828" s="8"/>
      <c r="AI828" s="30"/>
      <c r="AK828" s="30"/>
      <c r="AL828" s="21"/>
      <c r="AM828" s="23" t="e">
        <f t="shared" si="561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59"/>
        <v>0</v>
      </c>
      <c r="AG829" s="8"/>
      <c r="AI829" s="30"/>
      <c r="AK829" s="30"/>
      <c r="AL829" s="21"/>
      <c r="AM829" s="23" t="e">
        <f t="shared" si="561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59"/>
        <v>0</v>
      </c>
      <c r="AG830" s="8"/>
      <c r="AI830" s="30"/>
      <c r="AK830" s="30"/>
      <c r="AL830" s="21"/>
      <c r="AM830" s="23" t="e">
        <f t="shared" si="561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59"/>
        <v>0</v>
      </c>
      <c r="AG831" s="8"/>
      <c r="AI831" s="30"/>
      <c r="AK831" s="30"/>
      <c r="AL831" s="21"/>
      <c r="AM831" s="23" t="e">
        <f t="shared" si="561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59"/>
        <v>0</v>
      </c>
      <c r="AG832" s="8"/>
      <c r="AI832" s="30"/>
      <c r="AK832" s="30"/>
      <c r="AL832" s="21"/>
      <c r="AM832" s="23" t="e">
        <f t="shared" si="561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59"/>
        <v>0</v>
      </c>
      <c r="AG833" s="8"/>
      <c r="AI833" s="30"/>
      <c r="AK833" s="30"/>
      <c r="AL833" s="21"/>
      <c r="AM833" s="23" t="e">
        <f t="shared" si="561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59"/>
        <v>0</v>
      </c>
      <c r="AG834" s="8"/>
      <c r="AI834" s="30"/>
      <c r="AK834" s="30"/>
      <c r="AL834" s="21"/>
      <c r="AM834" s="23" t="e">
        <f t="shared" si="561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600">COUNTIF(B:B,B835)</f>
        <v>0</v>
      </c>
      <c r="AG835" s="8"/>
      <c r="AI835" s="30"/>
      <c r="AK835" s="30"/>
      <c r="AL835" s="21"/>
      <c r="AM835" s="23" t="e">
        <f t="shared" ref="AM835:AM898" si="601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600"/>
        <v>0</v>
      </c>
      <c r="AG836" s="8"/>
      <c r="AI836" s="30"/>
      <c r="AK836" s="30"/>
      <c r="AL836" s="21"/>
      <c r="AM836" s="23" t="e">
        <f t="shared" si="601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600"/>
        <v>0</v>
      </c>
      <c r="AG837" s="8"/>
      <c r="AI837" s="30"/>
      <c r="AK837" s="30"/>
      <c r="AL837" s="21"/>
      <c r="AM837" s="23" t="e">
        <f t="shared" si="601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600"/>
        <v>0</v>
      </c>
      <c r="AG838" s="8"/>
      <c r="AI838" s="30"/>
      <c r="AK838" s="30"/>
      <c r="AL838" s="21"/>
      <c r="AM838" s="23" t="e">
        <f t="shared" si="601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600"/>
        <v>0</v>
      </c>
      <c r="AG839" s="8"/>
      <c r="AI839" s="30"/>
      <c r="AK839" s="30"/>
      <c r="AL839" s="21"/>
      <c r="AM839" s="23" t="e">
        <f t="shared" si="601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600"/>
        <v>0</v>
      </c>
      <c r="AG840" s="8"/>
      <c r="AI840" s="30"/>
      <c r="AK840" s="30"/>
      <c r="AL840" s="21"/>
      <c r="AM840" s="23" t="e">
        <f t="shared" si="601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600"/>
        <v>0</v>
      </c>
      <c r="AG841" s="8"/>
      <c r="AI841" s="30"/>
      <c r="AK841" s="30"/>
      <c r="AL841" s="21"/>
      <c r="AM841" s="23" t="e">
        <f t="shared" si="601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600"/>
        <v>0</v>
      </c>
      <c r="AG842" s="8"/>
      <c r="AI842" s="30"/>
      <c r="AK842" s="30"/>
      <c r="AL842" s="21"/>
      <c r="AM842" s="23" t="e">
        <f t="shared" si="601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600"/>
        <v>0</v>
      </c>
      <c r="AG843" s="8"/>
      <c r="AI843" s="30"/>
      <c r="AK843" s="30"/>
      <c r="AL843" s="21"/>
      <c r="AM843" s="23" t="e">
        <f t="shared" si="601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600"/>
        <v>0</v>
      </c>
      <c r="AG844" s="8"/>
      <c r="AI844" s="30"/>
      <c r="AK844" s="30"/>
      <c r="AL844" s="21"/>
      <c r="AM844" s="23" t="e">
        <f t="shared" si="601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600"/>
        <v>0</v>
      </c>
      <c r="AG845" s="8"/>
      <c r="AI845" s="30"/>
      <c r="AK845" s="30"/>
      <c r="AL845" s="21"/>
      <c r="AM845" s="23" t="e">
        <f t="shared" si="601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600"/>
        <v>0</v>
      </c>
      <c r="AG846" s="8"/>
      <c r="AI846" s="30"/>
      <c r="AK846" s="30"/>
      <c r="AL846" s="21"/>
      <c r="AM846" s="23" t="e">
        <f t="shared" si="601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600"/>
        <v>0</v>
      </c>
      <c r="AG847" s="8"/>
      <c r="AI847" s="30"/>
      <c r="AK847" s="30"/>
      <c r="AL847" s="21"/>
      <c r="AM847" s="23" t="e">
        <f t="shared" si="601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600"/>
        <v>0</v>
      </c>
      <c r="AG848" s="8"/>
      <c r="AI848" s="30"/>
      <c r="AK848" s="30"/>
      <c r="AL848" s="21"/>
      <c r="AM848" s="23" t="e">
        <f t="shared" si="601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600"/>
        <v>0</v>
      </c>
      <c r="AG849" s="8"/>
      <c r="AI849" s="30"/>
      <c r="AK849" s="30"/>
      <c r="AL849" s="21"/>
      <c r="AM849" s="23" t="e">
        <f t="shared" si="601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600"/>
        <v>0</v>
      </c>
      <c r="AG850" s="8"/>
      <c r="AI850" s="30"/>
      <c r="AK850" s="30"/>
      <c r="AL850" s="21"/>
      <c r="AM850" s="23" t="e">
        <f t="shared" si="601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600"/>
        <v>0</v>
      </c>
      <c r="AG851" s="8"/>
      <c r="AI851" s="30"/>
      <c r="AK851" s="30"/>
      <c r="AL851" s="21"/>
      <c r="AM851" s="23" t="e">
        <f t="shared" si="601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600"/>
        <v>0</v>
      </c>
      <c r="AG852" s="8"/>
      <c r="AI852" s="30"/>
      <c r="AK852" s="30"/>
      <c r="AL852" s="21"/>
      <c r="AM852" s="23" t="e">
        <f t="shared" si="601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600"/>
        <v>0</v>
      </c>
      <c r="AG853" s="8"/>
      <c r="AI853" s="30"/>
      <c r="AK853" s="30"/>
      <c r="AL853" s="21"/>
      <c r="AM853" s="23" t="e">
        <f t="shared" si="601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600"/>
        <v>0</v>
      </c>
      <c r="AG854" s="8"/>
      <c r="AI854" s="30"/>
      <c r="AK854" s="30"/>
      <c r="AL854" s="21"/>
      <c r="AM854" s="23" t="e">
        <f t="shared" si="601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600"/>
        <v>0</v>
      </c>
      <c r="AG855" s="8"/>
      <c r="AI855" s="30"/>
      <c r="AK855" s="30"/>
      <c r="AL855" s="21"/>
      <c r="AM855" s="23" t="e">
        <f t="shared" si="601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600"/>
        <v>0</v>
      </c>
      <c r="AG856" s="8"/>
      <c r="AI856" s="30"/>
      <c r="AK856" s="30"/>
      <c r="AL856" s="21"/>
      <c r="AM856" s="23" t="e">
        <f t="shared" si="601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600"/>
        <v>0</v>
      </c>
      <c r="AG857" s="8"/>
      <c r="AI857" s="30"/>
      <c r="AK857" s="30"/>
      <c r="AL857" s="21"/>
      <c r="AM857" s="23" t="e">
        <f t="shared" si="601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600"/>
        <v>0</v>
      </c>
      <c r="AG858" s="8"/>
      <c r="AI858" s="30"/>
      <c r="AK858" s="30"/>
      <c r="AL858" s="21"/>
      <c r="AM858" s="23" t="e">
        <f t="shared" si="601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600"/>
        <v>0</v>
      </c>
      <c r="AG859" s="8"/>
      <c r="AI859" s="30"/>
      <c r="AK859" s="30"/>
      <c r="AL859" s="21"/>
      <c r="AM859" s="23" t="e">
        <f t="shared" si="601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600"/>
        <v>0</v>
      </c>
      <c r="AG860" s="8"/>
      <c r="AI860" s="30"/>
      <c r="AK860" s="30"/>
      <c r="AL860" s="21"/>
      <c r="AM860" s="23" t="e">
        <f t="shared" si="601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600"/>
        <v>0</v>
      </c>
      <c r="AG861" s="8"/>
      <c r="AI861" s="30"/>
      <c r="AK861" s="30"/>
      <c r="AL861" s="21"/>
      <c r="AM861" s="23" t="e">
        <f t="shared" si="601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600"/>
        <v>0</v>
      </c>
      <c r="AG862" s="8"/>
      <c r="AI862" s="30"/>
      <c r="AK862" s="30"/>
      <c r="AL862" s="21"/>
      <c r="AM862" s="23" t="e">
        <f t="shared" si="601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600"/>
        <v>0</v>
      </c>
      <c r="AG863" s="8"/>
      <c r="AI863" s="30"/>
      <c r="AK863" s="30"/>
      <c r="AL863" s="21"/>
      <c r="AM863" s="23" t="e">
        <f t="shared" si="601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600"/>
        <v>0</v>
      </c>
      <c r="AG864" s="8"/>
      <c r="AI864" s="30"/>
      <c r="AK864" s="30"/>
      <c r="AL864" s="21"/>
      <c r="AM864" s="23" t="e">
        <f t="shared" si="601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600"/>
        <v>0</v>
      </c>
      <c r="AG865" s="8"/>
      <c r="AI865" s="30"/>
      <c r="AK865" s="30"/>
      <c r="AL865" s="21"/>
      <c r="AM865" s="23" t="e">
        <f t="shared" si="601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600"/>
        <v>0</v>
      </c>
      <c r="AG866" s="8"/>
      <c r="AI866" s="30"/>
      <c r="AK866" s="30"/>
      <c r="AL866" s="21"/>
      <c r="AM866" s="23" t="e">
        <f t="shared" si="601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600"/>
        <v>0</v>
      </c>
      <c r="AG867" s="8"/>
      <c r="AI867" s="30"/>
      <c r="AK867" s="30"/>
      <c r="AL867" s="21"/>
      <c r="AM867" s="23" t="e">
        <f t="shared" si="601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600"/>
        <v>0</v>
      </c>
      <c r="AG868" s="8"/>
      <c r="AI868" s="30"/>
      <c r="AK868" s="30"/>
      <c r="AL868" s="21"/>
      <c r="AM868" s="23" t="e">
        <f t="shared" si="601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600"/>
        <v>0</v>
      </c>
      <c r="AG869" s="8"/>
      <c r="AI869" s="30"/>
      <c r="AK869" s="30"/>
      <c r="AL869" s="21"/>
      <c r="AM869" s="23" t="e">
        <f t="shared" si="601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600"/>
        <v>0</v>
      </c>
      <c r="AG870" s="8"/>
      <c r="AI870" s="30"/>
      <c r="AK870" s="30"/>
      <c r="AL870" s="21"/>
      <c r="AM870" s="23" t="e">
        <f t="shared" si="601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600"/>
        <v>0</v>
      </c>
      <c r="AG871" s="8"/>
      <c r="AI871" s="30"/>
      <c r="AK871" s="30"/>
      <c r="AL871" s="21"/>
      <c r="AM871" s="23" t="e">
        <f t="shared" si="601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600"/>
        <v>0</v>
      </c>
      <c r="AG872" s="8"/>
      <c r="AI872" s="30"/>
      <c r="AK872" s="30"/>
      <c r="AL872" s="21"/>
      <c r="AM872" s="23" t="e">
        <f t="shared" si="601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600"/>
        <v>0</v>
      </c>
      <c r="AG873" s="8"/>
      <c r="AI873" s="30"/>
      <c r="AK873" s="30"/>
      <c r="AL873" s="21"/>
      <c r="AM873" s="23" t="e">
        <f t="shared" si="601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600"/>
        <v>0</v>
      </c>
      <c r="AG874" s="8"/>
      <c r="AI874" s="30"/>
      <c r="AK874" s="30"/>
      <c r="AL874" s="21"/>
      <c r="AM874" s="23" t="e">
        <f t="shared" si="601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600"/>
        <v>0</v>
      </c>
      <c r="AG875" s="8"/>
      <c r="AI875" s="30"/>
      <c r="AK875" s="30"/>
      <c r="AL875" s="21"/>
      <c r="AM875" s="23" t="e">
        <f t="shared" si="601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600"/>
        <v>0</v>
      </c>
      <c r="AG876" s="8"/>
      <c r="AI876" s="30"/>
      <c r="AK876" s="30"/>
      <c r="AL876" s="21"/>
      <c r="AM876" s="23" t="e">
        <f t="shared" si="601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600"/>
        <v>0</v>
      </c>
      <c r="AG877" s="8"/>
      <c r="AI877" s="30"/>
      <c r="AK877" s="30"/>
      <c r="AL877" s="21"/>
      <c r="AM877" s="23" t="e">
        <f t="shared" si="601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600"/>
        <v>0</v>
      </c>
      <c r="AG878" s="8"/>
      <c r="AI878" s="30"/>
      <c r="AK878" s="30"/>
      <c r="AL878" s="21"/>
      <c r="AM878" s="23" t="e">
        <f t="shared" si="601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600"/>
        <v>0</v>
      </c>
      <c r="AG879" s="8"/>
      <c r="AI879" s="30"/>
      <c r="AK879" s="30"/>
      <c r="AL879" s="21"/>
      <c r="AM879" s="23" t="e">
        <f t="shared" si="601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600"/>
        <v>0</v>
      </c>
      <c r="AG880" s="8"/>
      <c r="AI880" s="30"/>
      <c r="AK880" s="30"/>
      <c r="AL880" s="21"/>
      <c r="AM880" s="23" t="e">
        <f t="shared" si="601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600"/>
        <v>0</v>
      </c>
      <c r="AG881" s="8"/>
      <c r="AI881" s="30"/>
      <c r="AK881" s="30"/>
      <c r="AL881" s="21"/>
      <c r="AM881" s="23" t="e">
        <f t="shared" si="601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600"/>
        <v>0</v>
      </c>
      <c r="AG882" s="8"/>
      <c r="AI882" s="30"/>
      <c r="AK882" s="30"/>
      <c r="AL882" s="21"/>
      <c r="AM882" s="23" t="e">
        <f t="shared" si="601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600"/>
        <v>0</v>
      </c>
      <c r="AG883" s="8"/>
      <c r="AI883" s="30"/>
      <c r="AK883" s="30"/>
      <c r="AL883" s="21"/>
      <c r="AM883" s="23" t="e">
        <f t="shared" si="601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600"/>
        <v>0</v>
      </c>
      <c r="AG884" s="8"/>
      <c r="AI884" s="30"/>
      <c r="AK884" s="30"/>
      <c r="AL884" s="21"/>
      <c r="AM884" s="23" t="e">
        <f t="shared" si="601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600"/>
        <v>0</v>
      </c>
      <c r="AG885" s="8"/>
      <c r="AI885" s="30"/>
      <c r="AK885" s="30"/>
      <c r="AL885" s="21"/>
      <c r="AM885" s="23" t="e">
        <f t="shared" si="601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600"/>
        <v>0</v>
      </c>
      <c r="AG886" s="8"/>
      <c r="AI886" s="30"/>
      <c r="AK886" s="30"/>
      <c r="AL886" s="21"/>
      <c r="AM886" s="23" t="e">
        <f t="shared" si="601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600"/>
        <v>0</v>
      </c>
      <c r="AG887" s="8"/>
      <c r="AI887" s="30"/>
      <c r="AK887" s="30"/>
      <c r="AL887" s="21"/>
      <c r="AM887" s="23" t="e">
        <f t="shared" si="601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600"/>
        <v>0</v>
      </c>
      <c r="AG888" s="8"/>
      <c r="AI888" s="30"/>
      <c r="AK888" s="30"/>
      <c r="AL888" s="21"/>
      <c r="AM888" s="23" t="e">
        <f t="shared" si="601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600"/>
        <v>0</v>
      </c>
      <c r="AG889" s="8"/>
      <c r="AI889" s="30"/>
      <c r="AK889" s="30"/>
      <c r="AL889" s="21"/>
      <c r="AM889" s="23" t="e">
        <f t="shared" si="601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600"/>
        <v>0</v>
      </c>
      <c r="AG890" s="8"/>
      <c r="AI890" s="30"/>
      <c r="AK890" s="30"/>
      <c r="AL890" s="21"/>
      <c r="AM890" s="23" t="e">
        <f t="shared" si="601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600"/>
        <v>0</v>
      </c>
      <c r="AG891" s="8"/>
      <c r="AI891" s="30"/>
      <c r="AK891" s="30"/>
      <c r="AL891" s="21"/>
      <c r="AM891" s="23" t="e">
        <f t="shared" si="601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600"/>
        <v>0</v>
      </c>
      <c r="AG892" s="8"/>
      <c r="AI892" s="30"/>
      <c r="AK892" s="30"/>
      <c r="AL892" s="21"/>
      <c r="AM892" s="23" t="e">
        <f t="shared" si="601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600"/>
        <v>0</v>
      </c>
      <c r="AG893" s="8"/>
      <c r="AI893" s="30"/>
      <c r="AK893" s="30"/>
      <c r="AL893" s="21"/>
      <c r="AM893" s="23" t="e">
        <f t="shared" si="601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600"/>
        <v>0</v>
      </c>
      <c r="AG894" s="8"/>
      <c r="AI894" s="30"/>
      <c r="AK894" s="30"/>
      <c r="AL894" s="21"/>
      <c r="AM894" s="23" t="e">
        <f t="shared" si="601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600"/>
        <v>0</v>
      </c>
      <c r="AG895" s="8"/>
      <c r="AI895" s="30"/>
      <c r="AK895" s="30"/>
      <c r="AL895" s="21"/>
      <c r="AM895" s="23" t="e">
        <f t="shared" si="601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600"/>
        <v>0</v>
      </c>
      <c r="AG896" s="8"/>
      <c r="AI896" s="30"/>
      <c r="AK896" s="30"/>
      <c r="AL896" s="21"/>
      <c r="AM896" s="23" t="e">
        <f t="shared" si="601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600"/>
        <v>0</v>
      </c>
      <c r="AG897" s="8"/>
      <c r="AI897" s="30"/>
      <c r="AK897" s="30"/>
      <c r="AL897" s="21"/>
      <c r="AM897" s="23" t="e">
        <f t="shared" si="601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600"/>
        <v>0</v>
      </c>
      <c r="AG898" s="8"/>
      <c r="AI898" s="30"/>
      <c r="AK898" s="30"/>
      <c r="AL898" s="21"/>
      <c r="AM898" s="23" t="e">
        <f t="shared" si="601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602">COUNTIF(B:B,B899)</f>
        <v>0</v>
      </c>
      <c r="AG899" s="8"/>
      <c r="AI899" s="30"/>
      <c r="AK899" s="30"/>
      <c r="AL899" s="21"/>
      <c r="AM899" s="23" t="e">
        <f t="shared" ref="AM899:AM962" si="603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602"/>
        <v>0</v>
      </c>
      <c r="AG900" s="8"/>
      <c r="AI900" s="30"/>
      <c r="AK900" s="30"/>
      <c r="AL900" s="21"/>
      <c r="AM900" s="23" t="e">
        <f t="shared" si="603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602"/>
        <v>0</v>
      </c>
      <c r="AG901" s="8"/>
      <c r="AI901" s="30"/>
      <c r="AK901" s="30"/>
      <c r="AL901" s="21"/>
      <c r="AM901" s="23" t="e">
        <f t="shared" si="603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602"/>
        <v>0</v>
      </c>
      <c r="AG902" s="8"/>
      <c r="AI902" s="30"/>
      <c r="AK902" s="30"/>
      <c r="AL902" s="21"/>
      <c r="AM902" s="23" t="e">
        <f t="shared" si="603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602"/>
        <v>0</v>
      </c>
      <c r="AG903" s="8"/>
      <c r="AI903" s="30"/>
      <c r="AK903" s="30"/>
      <c r="AL903" s="21"/>
      <c r="AM903" s="23" t="e">
        <f t="shared" si="603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602"/>
        <v>0</v>
      </c>
      <c r="AG904" s="8"/>
      <c r="AI904" s="30"/>
      <c r="AK904" s="30"/>
      <c r="AL904" s="21"/>
      <c r="AM904" s="23" t="e">
        <f t="shared" si="603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602"/>
        <v>0</v>
      </c>
      <c r="AG905" s="8"/>
      <c r="AI905" s="30"/>
      <c r="AK905" s="30"/>
      <c r="AL905" s="21"/>
      <c r="AM905" s="23" t="e">
        <f t="shared" si="603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602"/>
        <v>0</v>
      </c>
      <c r="AG906" s="8"/>
      <c r="AI906" s="30"/>
      <c r="AK906" s="30"/>
      <c r="AL906" s="21"/>
      <c r="AM906" s="23" t="e">
        <f t="shared" si="603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602"/>
        <v>0</v>
      </c>
      <c r="AG907" s="8"/>
      <c r="AI907" s="30"/>
      <c r="AK907" s="30"/>
      <c r="AL907" s="21"/>
      <c r="AM907" s="23" t="e">
        <f t="shared" si="603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602"/>
        <v>0</v>
      </c>
      <c r="AG908" s="8"/>
      <c r="AI908" s="30"/>
      <c r="AK908" s="30"/>
      <c r="AL908" s="21"/>
      <c r="AM908" s="23" t="e">
        <f t="shared" si="603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602"/>
        <v>0</v>
      </c>
      <c r="AG909" s="8"/>
      <c r="AI909" s="30"/>
      <c r="AK909" s="30"/>
      <c r="AL909" s="21"/>
      <c r="AM909" s="23" t="e">
        <f t="shared" si="603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602"/>
        <v>0</v>
      </c>
      <c r="AG910" s="8"/>
      <c r="AI910" s="30"/>
      <c r="AK910" s="30"/>
      <c r="AL910" s="21"/>
      <c r="AM910" s="23" t="e">
        <f t="shared" si="603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602"/>
        <v>0</v>
      </c>
      <c r="AG911" s="8"/>
      <c r="AI911" s="30"/>
      <c r="AK911" s="30"/>
      <c r="AL911" s="21"/>
      <c r="AM911" s="23" t="e">
        <f t="shared" si="603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602"/>
        <v>0</v>
      </c>
      <c r="AG912" s="8"/>
      <c r="AI912" s="30"/>
      <c r="AK912" s="30"/>
      <c r="AL912" s="21"/>
      <c r="AM912" s="23" t="e">
        <f t="shared" si="603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602"/>
        <v>0</v>
      </c>
      <c r="AG913" s="8"/>
      <c r="AI913" s="30"/>
      <c r="AK913" s="30"/>
      <c r="AL913" s="21"/>
      <c r="AM913" s="23" t="e">
        <f t="shared" si="603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602"/>
        <v>0</v>
      </c>
      <c r="AG914" s="8"/>
      <c r="AI914" s="30"/>
      <c r="AK914" s="30"/>
      <c r="AL914" s="21"/>
      <c r="AM914" s="23" t="e">
        <f t="shared" si="603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602"/>
        <v>0</v>
      </c>
      <c r="AG915" s="8"/>
      <c r="AI915" s="30"/>
      <c r="AK915" s="30"/>
      <c r="AL915" s="21"/>
      <c r="AM915" s="23" t="e">
        <f t="shared" si="603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602"/>
        <v>0</v>
      </c>
      <c r="AG916" s="8"/>
      <c r="AI916" s="30"/>
      <c r="AK916" s="30"/>
      <c r="AL916" s="21"/>
      <c r="AM916" s="23" t="e">
        <f t="shared" si="603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602"/>
        <v>0</v>
      </c>
      <c r="AG917" s="8"/>
      <c r="AI917" s="30"/>
      <c r="AK917" s="30"/>
      <c r="AL917" s="21"/>
      <c r="AM917" s="23" t="e">
        <f t="shared" si="603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602"/>
        <v>0</v>
      </c>
      <c r="AG918" s="8"/>
      <c r="AI918" s="30"/>
      <c r="AK918" s="30"/>
      <c r="AL918" s="21"/>
      <c r="AM918" s="23" t="e">
        <f t="shared" si="603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602"/>
        <v>0</v>
      </c>
      <c r="AG919" s="8"/>
      <c r="AI919" s="30"/>
      <c r="AK919" s="30"/>
      <c r="AL919" s="21"/>
      <c r="AM919" s="23" t="e">
        <f t="shared" si="603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602"/>
        <v>0</v>
      </c>
      <c r="AG920" s="8"/>
      <c r="AI920" s="30"/>
      <c r="AK920" s="30"/>
      <c r="AL920" s="21"/>
      <c r="AM920" s="23" t="e">
        <f t="shared" si="603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602"/>
        <v>0</v>
      </c>
      <c r="AG921" s="8"/>
      <c r="AI921" s="30"/>
      <c r="AK921" s="30"/>
      <c r="AL921" s="21"/>
      <c r="AM921" s="23" t="e">
        <f t="shared" si="603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602"/>
        <v>0</v>
      </c>
      <c r="AG922" s="8"/>
      <c r="AI922" s="30"/>
      <c r="AK922" s="30"/>
      <c r="AL922" s="21"/>
      <c r="AM922" s="23" t="e">
        <f t="shared" si="603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602"/>
        <v>0</v>
      </c>
      <c r="AG923" s="8"/>
      <c r="AI923" s="30"/>
      <c r="AK923" s="30"/>
      <c r="AL923" s="21"/>
      <c r="AM923" s="23" t="e">
        <f t="shared" si="603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602"/>
        <v>0</v>
      </c>
      <c r="AG924" s="8"/>
      <c r="AI924" s="30"/>
      <c r="AK924" s="30"/>
      <c r="AL924" s="21"/>
      <c r="AM924" s="23" t="e">
        <f t="shared" si="603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602"/>
        <v>0</v>
      </c>
      <c r="AG925" s="8"/>
      <c r="AI925" s="30"/>
      <c r="AK925" s="30"/>
      <c r="AL925" s="21"/>
      <c r="AM925" s="23" t="e">
        <f t="shared" si="603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602"/>
        <v>0</v>
      </c>
      <c r="AG926" s="8"/>
      <c r="AI926" s="30"/>
      <c r="AK926" s="30"/>
      <c r="AL926" s="21"/>
      <c r="AM926" s="23" t="e">
        <f t="shared" si="603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602"/>
        <v>0</v>
      </c>
      <c r="AG927" s="8"/>
      <c r="AI927" s="30"/>
      <c r="AK927" s="30"/>
      <c r="AL927" s="21"/>
      <c r="AM927" s="23" t="e">
        <f t="shared" si="603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602"/>
        <v>0</v>
      </c>
      <c r="AG928" s="8"/>
      <c r="AI928" s="30"/>
      <c r="AK928" s="30"/>
      <c r="AL928" s="21"/>
      <c r="AM928" s="23" t="e">
        <f t="shared" si="603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602"/>
        <v>0</v>
      </c>
      <c r="AG929" s="8"/>
      <c r="AI929" s="30"/>
      <c r="AK929" s="30"/>
      <c r="AL929" s="21"/>
      <c r="AM929" s="23" t="e">
        <f t="shared" si="603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602"/>
        <v>0</v>
      </c>
      <c r="AG930" s="8"/>
      <c r="AI930" s="30"/>
      <c r="AK930" s="30"/>
      <c r="AL930" s="21"/>
      <c r="AM930" s="23" t="e">
        <f t="shared" si="603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602"/>
        <v>0</v>
      </c>
      <c r="AG931" s="8"/>
      <c r="AI931" s="30"/>
      <c r="AK931" s="30"/>
      <c r="AL931" s="21"/>
      <c r="AM931" s="23" t="e">
        <f t="shared" si="603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602"/>
        <v>0</v>
      </c>
      <c r="AG932" s="8"/>
      <c r="AI932" s="30"/>
      <c r="AK932" s="30"/>
      <c r="AL932" s="21"/>
      <c r="AM932" s="23" t="e">
        <f t="shared" si="603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602"/>
        <v>0</v>
      </c>
      <c r="AG933" s="8"/>
      <c r="AI933" s="30"/>
      <c r="AK933" s="30"/>
      <c r="AL933" s="21"/>
      <c r="AM933" s="23" t="e">
        <f t="shared" si="603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602"/>
        <v>0</v>
      </c>
      <c r="AG934" s="8"/>
      <c r="AI934" s="30"/>
      <c r="AK934" s="30"/>
      <c r="AL934" s="21"/>
      <c r="AM934" s="23" t="e">
        <f t="shared" si="603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602"/>
        <v>0</v>
      </c>
      <c r="AG935" s="8"/>
      <c r="AI935" s="30"/>
      <c r="AK935" s="30"/>
      <c r="AL935" s="21"/>
      <c r="AM935" s="23" t="e">
        <f t="shared" si="603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602"/>
        <v>0</v>
      </c>
      <c r="AG936" s="8"/>
      <c r="AI936" s="30"/>
      <c r="AK936" s="30"/>
      <c r="AL936" s="21"/>
      <c r="AM936" s="23" t="e">
        <f t="shared" si="603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602"/>
        <v>0</v>
      </c>
      <c r="AG937" s="8"/>
      <c r="AI937" s="30"/>
      <c r="AK937" s="30"/>
      <c r="AL937" s="21"/>
      <c r="AM937" s="23" t="e">
        <f t="shared" si="603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602"/>
        <v>0</v>
      </c>
      <c r="AG938" s="8"/>
      <c r="AI938" s="30"/>
      <c r="AK938" s="30"/>
      <c r="AL938" s="21"/>
      <c r="AM938" s="23" t="e">
        <f t="shared" si="603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602"/>
        <v>0</v>
      </c>
      <c r="AG939" s="8"/>
      <c r="AI939" s="30"/>
      <c r="AK939" s="30"/>
      <c r="AL939" s="21"/>
      <c r="AM939" s="23" t="e">
        <f t="shared" si="603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602"/>
        <v>0</v>
      </c>
      <c r="AG940" s="8"/>
      <c r="AI940" s="30"/>
      <c r="AK940" s="30"/>
      <c r="AL940" s="21"/>
      <c r="AM940" s="23" t="e">
        <f t="shared" si="603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602"/>
        <v>0</v>
      </c>
      <c r="AG941" s="8"/>
      <c r="AI941" s="30"/>
      <c r="AK941" s="30"/>
      <c r="AL941" s="21"/>
      <c r="AM941" s="23" t="e">
        <f t="shared" si="603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602"/>
        <v>0</v>
      </c>
      <c r="AG942" s="8"/>
      <c r="AI942" s="30"/>
      <c r="AK942" s="30"/>
      <c r="AL942" s="21"/>
      <c r="AM942" s="23" t="e">
        <f t="shared" si="603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602"/>
        <v>0</v>
      </c>
      <c r="AG943" s="8"/>
      <c r="AI943" s="30"/>
      <c r="AK943" s="30"/>
      <c r="AL943" s="21"/>
      <c r="AM943" s="23" t="e">
        <f t="shared" si="603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602"/>
        <v>0</v>
      </c>
      <c r="AG944" s="8"/>
      <c r="AI944" s="30"/>
      <c r="AK944" s="30"/>
      <c r="AL944" s="21"/>
      <c r="AM944" s="23" t="e">
        <f t="shared" si="603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602"/>
        <v>0</v>
      </c>
      <c r="AG945" s="8"/>
      <c r="AI945" s="30"/>
      <c r="AK945" s="30"/>
      <c r="AL945" s="21"/>
      <c r="AM945" s="23" t="e">
        <f t="shared" si="603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602"/>
        <v>0</v>
      </c>
      <c r="AG946" s="8"/>
      <c r="AI946" s="30"/>
      <c r="AK946" s="30"/>
      <c r="AL946" s="21"/>
      <c r="AM946" s="23" t="e">
        <f t="shared" si="603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602"/>
        <v>0</v>
      </c>
      <c r="AG947" s="8"/>
      <c r="AI947" s="30"/>
      <c r="AK947" s="30"/>
      <c r="AL947" s="21"/>
      <c r="AM947" s="23" t="e">
        <f t="shared" si="603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602"/>
        <v>0</v>
      </c>
      <c r="AG948" s="8"/>
      <c r="AI948" s="30"/>
      <c r="AK948" s="30"/>
      <c r="AL948" s="21"/>
      <c r="AM948" s="23" t="e">
        <f t="shared" si="603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602"/>
        <v>0</v>
      </c>
      <c r="AG949" s="8"/>
      <c r="AI949" s="30"/>
      <c r="AK949" s="30"/>
      <c r="AL949" s="21"/>
      <c r="AM949" s="23" t="e">
        <f t="shared" si="603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602"/>
        <v>0</v>
      </c>
      <c r="AG950" s="8"/>
      <c r="AI950" s="30"/>
      <c r="AK950" s="30"/>
      <c r="AL950" s="21"/>
      <c r="AM950" s="23" t="e">
        <f t="shared" si="603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602"/>
        <v>0</v>
      </c>
      <c r="AG951" s="8"/>
      <c r="AI951" s="30"/>
      <c r="AK951" s="30"/>
      <c r="AL951" s="21"/>
      <c r="AM951" s="23" t="e">
        <f t="shared" si="603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602"/>
        <v>0</v>
      </c>
      <c r="AG952" s="8"/>
      <c r="AI952" s="30"/>
      <c r="AK952" s="30"/>
      <c r="AL952" s="21"/>
      <c r="AM952" s="23" t="e">
        <f t="shared" si="603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602"/>
        <v>0</v>
      </c>
      <c r="AG953" s="8"/>
      <c r="AI953" s="30"/>
      <c r="AK953" s="30"/>
      <c r="AL953" s="21"/>
      <c r="AM953" s="23" t="e">
        <f t="shared" si="603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602"/>
        <v>0</v>
      </c>
      <c r="AG954" s="8"/>
      <c r="AI954" s="30"/>
      <c r="AK954" s="30"/>
      <c r="AL954" s="21"/>
      <c r="AM954" s="23" t="e">
        <f t="shared" si="603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602"/>
        <v>0</v>
      </c>
      <c r="AG955" s="8"/>
      <c r="AI955" s="30"/>
      <c r="AK955" s="30"/>
      <c r="AL955" s="21"/>
      <c r="AM955" s="23" t="e">
        <f t="shared" si="603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602"/>
        <v>0</v>
      </c>
      <c r="AG956" s="8"/>
      <c r="AI956" s="30"/>
      <c r="AK956" s="30"/>
      <c r="AL956" s="21"/>
      <c r="AM956" s="23" t="e">
        <f t="shared" si="603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602"/>
        <v>0</v>
      </c>
      <c r="AG957" s="8"/>
      <c r="AI957" s="30"/>
      <c r="AK957" s="30"/>
      <c r="AL957" s="21"/>
      <c r="AM957" s="23" t="e">
        <f t="shared" si="603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602"/>
        <v>0</v>
      </c>
      <c r="AG958" s="8"/>
      <c r="AI958" s="30"/>
      <c r="AK958" s="30"/>
      <c r="AL958" s="21"/>
      <c r="AM958" s="23" t="e">
        <f t="shared" si="603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602"/>
        <v>0</v>
      </c>
      <c r="AG959" s="8"/>
      <c r="AI959" s="30"/>
      <c r="AK959" s="30"/>
      <c r="AL959" s="21"/>
      <c r="AM959" s="23" t="e">
        <f t="shared" si="603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602"/>
        <v>0</v>
      </c>
      <c r="AG960" s="8"/>
      <c r="AI960" s="30"/>
      <c r="AK960" s="30"/>
      <c r="AL960" s="21"/>
      <c r="AM960" s="23" t="e">
        <f t="shared" si="603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602"/>
        <v>0</v>
      </c>
      <c r="AG961" s="8"/>
      <c r="AI961" s="30"/>
      <c r="AK961" s="30"/>
      <c r="AL961" s="21"/>
      <c r="AM961" s="23" t="e">
        <f t="shared" si="603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602"/>
        <v>0</v>
      </c>
      <c r="AG962" s="8"/>
      <c r="AI962" s="30"/>
      <c r="AK962" s="30"/>
      <c r="AL962" s="21"/>
      <c r="AM962" s="23" t="e">
        <f t="shared" si="603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604">COUNTIF(B:B,B963)</f>
        <v>0</v>
      </c>
      <c r="AG963" s="8"/>
      <c r="AI963" s="30"/>
      <c r="AK963" s="30"/>
      <c r="AL963" s="21"/>
      <c r="AM963" s="23" t="e">
        <f t="shared" ref="AM963:AM1026" si="605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604"/>
        <v>0</v>
      </c>
      <c r="AG964" s="8"/>
      <c r="AI964" s="30"/>
      <c r="AK964" s="30"/>
      <c r="AL964" s="21"/>
      <c r="AM964" s="23" t="e">
        <f t="shared" si="605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604"/>
        <v>0</v>
      </c>
      <c r="AG965" s="8"/>
      <c r="AI965" s="30"/>
      <c r="AK965" s="30"/>
      <c r="AL965" s="21"/>
      <c r="AM965" s="23" t="e">
        <f t="shared" si="605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604"/>
        <v>0</v>
      </c>
      <c r="AG966" s="8"/>
      <c r="AI966" s="30"/>
      <c r="AK966" s="30"/>
      <c r="AL966" s="21"/>
      <c r="AM966" s="23" t="e">
        <f t="shared" si="605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604"/>
        <v>0</v>
      </c>
      <c r="AG967" s="8"/>
      <c r="AI967" s="30"/>
      <c r="AK967" s="30"/>
      <c r="AL967" s="21"/>
      <c r="AM967" s="23" t="e">
        <f t="shared" si="605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604"/>
        <v>0</v>
      </c>
      <c r="AG968" s="8"/>
      <c r="AI968" s="30"/>
      <c r="AK968" s="30"/>
      <c r="AL968" s="21"/>
      <c r="AM968" s="23" t="e">
        <f t="shared" si="605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604"/>
        <v>0</v>
      </c>
      <c r="AG969" s="8"/>
      <c r="AI969" s="30"/>
      <c r="AK969" s="30"/>
      <c r="AL969" s="21"/>
      <c r="AM969" s="23" t="e">
        <f t="shared" si="605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604"/>
        <v>0</v>
      </c>
      <c r="AG970" s="8"/>
      <c r="AI970" s="30"/>
      <c r="AK970" s="30"/>
      <c r="AL970" s="21"/>
      <c r="AM970" s="23" t="e">
        <f t="shared" si="605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604"/>
        <v>0</v>
      </c>
      <c r="AG971" s="8"/>
      <c r="AI971" s="30"/>
      <c r="AK971" s="30"/>
      <c r="AL971" s="21"/>
      <c r="AM971" s="23" t="e">
        <f t="shared" si="605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604"/>
        <v>0</v>
      </c>
      <c r="AG972" s="8"/>
      <c r="AI972" s="30"/>
      <c r="AK972" s="30"/>
      <c r="AL972" s="21"/>
      <c r="AM972" s="23" t="e">
        <f t="shared" si="605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604"/>
        <v>0</v>
      </c>
      <c r="AG973" s="8"/>
      <c r="AI973" s="30"/>
      <c r="AK973" s="30"/>
      <c r="AL973" s="21"/>
      <c r="AM973" s="23" t="e">
        <f t="shared" si="605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604"/>
        <v>0</v>
      </c>
      <c r="AG974" s="8"/>
      <c r="AI974" s="30"/>
      <c r="AK974" s="30"/>
      <c r="AL974" s="21"/>
      <c r="AM974" s="23" t="e">
        <f t="shared" si="605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604"/>
        <v>0</v>
      </c>
      <c r="AG975" s="8"/>
      <c r="AI975" s="30"/>
      <c r="AK975" s="30"/>
      <c r="AL975" s="21"/>
      <c r="AM975" s="23" t="e">
        <f t="shared" si="605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604"/>
        <v>0</v>
      </c>
      <c r="AG976" s="8"/>
      <c r="AI976" s="30"/>
      <c r="AK976" s="30"/>
      <c r="AL976" s="21"/>
      <c r="AM976" s="23" t="e">
        <f t="shared" si="605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604"/>
        <v>0</v>
      </c>
      <c r="AG977" s="8"/>
      <c r="AI977" s="30"/>
      <c r="AK977" s="30"/>
      <c r="AL977" s="21"/>
      <c r="AM977" s="23" t="e">
        <f t="shared" si="605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604"/>
        <v>0</v>
      </c>
      <c r="AG978" s="8"/>
      <c r="AI978" s="30"/>
      <c r="AK978" s="30"/>
      <c r="AL978" s="21"/>
      <c r="AM978" s="23" t="e">
        <f t="shared" si="605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604"/>
        <v>0</v>
      </c>
      <c r="AG979" s="8"/>
      <c r="AI979" s="30"/>
      <c r="AK979" s="30"/>
      <c r="AL979" s="21"/>
      <c r="AM979" s="23" t="e">
        <f t="shared" si="605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604"/>
        <v>0</v>
      </c>
      <c r="AG980" s="8"/>
      <c r="AI980" s="30"/>
      <c r="AK980" s="30"/>
      <c r="AL980" s="21"/>
      <c r="AM980" s="23" t="e">
        <f t="shared" si="605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604"/>
        <v>0</v>
      </c>
      <c r="AG981" s="8"/>
      <c r="AI981" s="30"/>
      <c r="AK981" s="30"/>
      <c r="AL981" s="21"/>
      <c r="AM981" s="23" t="e">
        <f t="shared" si="605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604"/>
        <v>0</v>
      </c>
      <c r="AG982" s="8"/>
      <c r="AI982" s="30"/>
      <c r="AK982" s="30"/>
      <c r="AL982" s="21"/>
      <c r="AM982" s="23" t="e">
        <f t="shared" si="605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604"/>
        <v>0</v>
      </c>
      <c r="AG983" s="8"/>
      <c r="AI983" s="30"/>
      <c r="AK983" s="30"/>
      <c r="AL983" s="21"/>
      <c r="AM983" s="23" t="e">
        <f t="shared" si="605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604"/>
        <v>0</v>
      </c>
      <c r="AG984" s="8"/>
      <c r="AI984" s="30"/>
      <c r="AK984" s="30"/>
      <c r="AL984" s="21"/>
      <c r="AM984" s="23" t="e">
        <f t="shared" si="605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604"/>
        <v>0</v>
      </c>
      <c r="AG985" s="8"/>
      <c r="AI985" s="30"/>
      <c r="AK985" s="30"/>
      <c r="AL985" s="21"/>
      <c r="AM985" s="23" t="e">
        <f t="shared" si="605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604"/>
        <v>0</v>
      </c>
      <c r="AG986" s="8"/>
      <c r="AI986" s="30"/>
      <c r="AK986" s="30"/>
      <c r="AL986" s="21"/>
      <c r="AM986" s="23" t="e">
        <f t="shared" si="605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604"/>
        <v>0</v>
      </c>
      <c r="AG987" s="8"/>
      <c r="AI987" s="30"/>
      <c r="AK987" s="30"/>
      <c r="AL987" s="21"/>
      <c r="AM987" s="23" t="e">
        <f t="shared" si="605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604"/>
        <v>0</v>
      </c>
      <c r="AG988" s="8"/>
      <c r="AI988" s="30"/>
      <c r="AK988" s="30"/>
      <c r="AL988" s="21"/>
      <c r="AM988" s="23" t="e">
        <f t="shared" si="605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604"/>
        <v>0</v>
      </c>
      <c r="AG989" s="8"/>
      <c r="AI989" s="30"/>
      <c r="AK989" s="30"/>
      <c r="AL989" s="21"/>
      <c r="AM989" s="23" t="e">
        <f t="shared" si="605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604"/>
        <v>0</v>
      </c>
      <c r="AG990" s="8"/>
      <c r="AI990" s="30"/>
      <c r="AK990" s="30"/>
      <c r="AL990" s="21"/>
      <c r="AM990" s="23" t="e">
        <f t="shared" si="605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604"/>
        <v>0</v>
      </c>
      <c r="AG991" s="8"/>
      <c r="AI991" s="30"/>
      <c r="AK991" s="30"/>
      <c r="AL991" s="21"/>
      <c r="AM991" s="23" t="e">
        <f t="shared" si="605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604"/>
        <v>0</v>
      </c>
      <c r="AG992" s="8"/>
      <c r="AI992" s="30"/>
      <c r="AK992" s="30"/>
      <c r="AL992" s="21"/>
      <c r="AM992" s="23" t="e">
        <f t="shared" si="605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604"/>
        <v>0</v>
      </c>
      <c r="AG993" s="8"/>
      <c r="AI993" s="30"/>
      <c r="AK993" s="30"/>
      <c r="AL993" s="21"/>
      <c r="AM993" s="23" t="e">
        <f t="shared" si="605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604"/>
        <v>0</v>
      </c>
      <c r="AG994" s="8"/>
      <c r="AI994" s="30"/>
      <c r="AK994" s="30"/>
      <c r="AL994" s="21"/>
      <c r="AM994" s="23" t="e">
        <f t="shared" si="605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604"/>
        <v>0</v>
      </c>
      <c r="AG995" s="8"/>
      <c r="AI995" s="30"/>
      <c r="AK995" s="30"/>
      <c r="AL995" s="21"/>
      <c r="AM995" s="23" t="e">
        <f t="shared" si="605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604"/>
        <v>0</v>
      </c>
      <c r="AG996" s="8"/>
      <c r="AI996" s="30"/>
      <c r="AK996" s="30"/>
      <c r="AL996" s="21"/>
      <c r="AM996" s="23" t="e">
        <f t="shared" si="605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604"/>
        <v>0</v>
      </c>
      <c r="AG997" s="8"/>
      <c r="AI997" s="30"/>
      <c r="AK997" s="30"/>
      <c r="AL997" s="21"/>
      <c r="AM997" s="23" t="e">
        <f t="shared" si="605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604"/>
        <v>0</v>
      </c>
      <c r="AG998" s="8"/>
      <c r="AI998" s="30"/>
      <c r="AK998" s="30"/>
      <c r="AL998" s="21"/>
      <c r="AM998" s="23" t="e">
        <f t="shared" si="605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604"/>
        <v>0</v>
      </c>
      <c r="AG999" s="8"/>
      <c r="AI999" s="30"/>
      <c r="AK999" s="30"/>
      <c r="AL999" s="21"/>
      <c r="AM999" s="23" t="e">
        <f t="shared" si="605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604"/>
        <v>0</v>
      </c>
      <c r="AG1000" s="8"/>
      <c r="AI1000" s="30"/>
      <c r="AK1000" s="30"/>
      <c r="AL1000" s="21"/>
      <c r="AM1000" s="23" t="e">
        <f t="shared" si="605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604"/>
        <v>0</v>
      </c>
      <c r="AG1001" s="8"/>
      <c r="AI1001" s="30"/>
      <c r="AK1001" s="30"/>
      <c r="AL1001" s="21"/>
      <c r="AM1001" s="23" t="e">
        <f t="shared" si="605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604"/>
        <v>0</v>
      </c>
      <c r="AG1002" s="8"/>
      <c r="AI1002" s="30"/>
      <c r="AK1002" s="30"/>
      <c r="AL1002" s="21"/>
      <c r="AM1002" s="23" t="e">
        <f t="shared" si="605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604"/>
        <v>0</v>
      </c>
      <c r="AG1003" s="8"/>
      <c r="AI1003" s="30"/>
      <c r="AK1003" s="30"/>
      <c r="AL1003" s="21"/>
      <c r="AM1003" s="23" t="e">
        <f t="shared" si="605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604"/>
        <v>0</v>
      </c>
      <c r="AG1004" s="8"/>
      <c r="AI1004" s="30"/>
      <c r="AK1004" s="30"/>
      <c r="AL1004" s="21"/>
      <c r="AM1004" s="23" t="e">
        <f t="shared" si="605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604"/>
        <v>0</v>
      </c>
      <c r="AG1005" s="8"/>
      <c r="AI1005" s="30"/>
      <c r="AK1005" s="30"/>
      <c r="AL1005" s="21"/>
      <c r="AM1005" s="23" t="e">
        <f t="shared" si="605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604"/>
        <v>0</v>
      </c>
      <c r="AG1006" s="8"/>
      <c r="AI1006" s="30"/>
      <c r="AK1006" s="30"/>
      <c r="AL1006" s="21"/>
      <c r="AM1006" s="23" t="e">
        <f t="shared" si="605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604"/>
        <v>0</v>
      </c>
      <c r="AG1007" s="8"/>
      <c r="AI1007" s="30"/>
      <c r="AK1007" s="30"/>
      <c r="AL1007" s="21"/>
      <c r="AM1007" s="23" t="e">
        <f t="shared" si="605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604"/>
        <v>0</v>
      </c>
      <c r="AG1008" s="8"/>
      <c r="AI1008" s="30"/>
      <c r="AK1008" s="30"/>
      <c r="AL1008" s="21"/>
      <c r="AM1008" s="23" t="e">
        <f t="shared" si="605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604"/>
        <v>0</v>
      </c>
      <c r="AG1009" s="8"/>
      <c r="AI1009" s="30"/>
      <c r="AK1009" s="30"/>
      <c r="AL1009" s="21"/>
      <c r="AM1009" s="23" t="e">
        <f t="shared" si="605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604"/>
        <v>0</v>
      </c>
      <c r="AG1010" s="8"/>
      <c r="AI1010" s="30"/>
      <c r="AK1010" s="30"/>
      <c r="AL1010" s="21"/>
      <c r="AM1010" s="23" t="e">
        <f t="shared" si="605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604"/>
        <v>0</v>
      </c>
      <c r="AG1011" s="8"/>
      <c r="AI1011" s="30"/>
      <c r="AK1011" s="30"/>
      <c r="AL1011" s="21"/>
      <c r="AM1011" s="23" t="e">
        <f t="shared" si="605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604"/>
        <v>0</v>
      </c>
      <c r="AG1012" s="8"/>
      <c r="AI1012" s="30"/>
      <c r="AK1012" s="30"/>
      <c r="AL1012" s="21"/>
      <c r="AM1012" s="23" t="e">
        <f t="shared" si="605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604"/>
        <v>0</v>
      </c>
      <c r="AG1013" s="8"/>
      <c r="AI1013" s="30"/>
      <c r="AK1013" s="30"/>
      <c r="AL1013" s="21"/>
      <c r="AM1013" s="23" t="e">
        <f t="shared" si="605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604"/>
        <v>0</v>
      </c>
      <c r="AG1014" s="8"/>
      <c r="AI1014" s="30"/>
      <c r="AK1014" s="30"/>
      <c r="AL1014" s="21"/>
      <c r="AM1014" s="23" t="e">
        <f t="shared" si="605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604"/>
        <v>0</v>
      </c>
      <c r="AG1015" s="8"/>
      <c r="AI1015" s="30"/>
      <c r="AK1015" s="30"/>
      <c r="AL1015" s="21"/>
      <c r="AM1015" s="23" t="e">
        <f t="shared" si="605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604"/>
        <v>0</v>
      </c>
      <c r="AG1016" s="8"/>
      <c r="AI1016" s="30"/>
      <c r="AK1016" s="30"/>
      <c r="AL1016" s="21"/>
      <c r="AM1016" s="23" t="e">
        <f t="shared" si="605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604"/>
        <v>0</v>
      </c>
      <c r="AG1017" s="8"/>
      <c r="AI1017" s="30"/>
      <c r="AK1017" s="30"/>
      <c r="AL1017" s="21"/>
      <c r="AM1017" s="23" t="e">
        <f t="shared" si="605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604"/>
        <v>0</v>
      </c>
      <c r="AG1018" s="8"/>
      <c r="AI1018" s="30"/>
      <c r="AK1018" s="30"/>
      <c r="AL1018" s="21"/>
      <c r="AM1018" s="23" t="e">
        <f t="shared" si="605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604"/>
        <v>0</v>
      </c>
      <c r="AG1019" s="8"/>
      <c r="AI1019" s="30"/>
      <c r="AK1019" s="30"/>
      <c r="AL1019" s="21"/>
      <c r="AM1019" s="23" t="e">
        <f t="shared" si="605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604"/>
        <v>0</v>
      </c>
      <c r="AG1020" s="8"/>
      <c r="AI1020" s="30"/>
      <c r="AK1020" s="30"/>
      <c r="AL1020" s="21"/>
      <c r="AM1020" s="23" t="e">
        <f t="shared" si="605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604"/>
        <v>0</v>
      </c>
      <c r="AG1021" s="8"/>
      <c r="AI1021" s="30"/>
      <c r="AK1021" s="30"/>
      <c r="AL1021" s="21"/>
      <c r="AM1021" s="23" t="e">
        <f t="shared" si="605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604"/>
        <v>0</v>
      </c>
      <c r="AG1022" s="8"/>
      <c r="AI1022" s="30"/>
      <c r="AK1022" s="30"/>
      <c r="AL1022" s="21"/>
      <c r="AM1022" s="23" t="e">
        <f t="shared" si="605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604"/>
        <v>0</v>
      </c>
      <c r="AG1023" s="8"/>
      <c r="AI1023" s="30"/>
      <c r="AK1023" s="30"/>
      <c r="AL1023" s="21"/>
      <c r="AM1023" s="23" t="e">
        <f t="shared" si="605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604"/>
        <v>0</v>
      </c>
      <c r="AG1024" s="8"/>
      <c r="AI1024" s="30"/>
      <c r="AK1024" s="30"/>
      <c r="AL1024" s="21"/>
      <c r="AM1024" s="23" t="e">
        <f t="shared" si="605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604"/>
        <v>0</v>
      </c>
      <c r="AG1025" s="8"/>
      <c r="AI1025" s="30"/>
      <c r="AK1025" s="30"/>
      <c r="AL1025" s="21"/>
      <c r="AM1025" s="23" t="e">
        <f t="shared" si="605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604"/>
        <v>0</v>
      </c>
      <c r="AG1026" s="8"/>
      <c r="AI1026" s="30"/>
      <c r="AK1026" s="30"/>
      <c r="AL1026" s="21"/>
      <c r="AM1026" s="23" t="e">
        <f t="shared" si="605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606">COUNTIF(B:B,B1027)</f>
        <v>0</v>
      </c>
      <c r="AG1027" s="8"/>
      <c r="AI1027" s="30"/>
      <c r="AK1027" s="30"/>
      <c r="AL1027" s="21"/>
      <c r="AM1027" s="23" t="e">
        <f t="shared" ref="AM1027:AM1090" si="607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606"/>
        <v>0</v>
      </c>
      <c r="AG1028" s="8"/>
      <c r="AI1028" s="30"/>
      <c r="AK1028" s="30"/>
      <c r="AL1028" s="21"/>
      <c r="AM1028" s="23" t="e">
        <f t="shared" si="607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606"/>
        <v>0</v>
      </c>
      <c r="AG1029" s="8"/>
      <c r="AI1029" s="30"/>
      <c r="AK1029" s="30"/>
      <c r="AL1029" s="21"/>
      <c r="AM1029" s="23" t="e">
        <f t="shared" si="607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606"/>
        <v>0</v>
      </c>
      <c r="AG1030" s="8"/>
      <c r="AI1030" s="30"/>
      <c r="AK1030" s="30"/>
      <c r="AL1030" s="21"/>
      <c r="AM1030" s="23" t="e">
        <f t="shared" si="607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606"/>
        <v>0</v>
      </c>
      <c r="AG1031" s="8"/>
      <c r="AI1031" s="30"/>
      <c r="AK1031" s="30"/>
      <c r="AL1031" s="21"/>
      <c r="AM1031" s="23" t="e">
        <f t="shared" si="607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606"/>
        <v>0</v>
      </c>
      <c r="AG1032" s="8"/>
      <c r="AI1032" s="30"/>
      <c r="AK1032" s="30"/>
      <c r="AL1032" s="21"/>
      <c r="AM1032" s="23" t="e">
        <f t="shared" si="607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606"/>
        <v>0</v>
      </c>
      <c r="AG1033" s="8"/>
      <c r="AI1033" s="30"/>
      <c r="AK1033" s="30"/>
      <c r="AL1033" s="21"/>
      <c r="AM1033" s="23" t="e">
        <f t="shared" si="607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606"/>
        <v>0</v>
      </c>
      <c r="AG1034" s="8"/>
      <c r="AI1034" s="30"/>
      <c r="AK1034" s="30"/>
      <c r="AL1034" s="21"/>
      <c r="AM1034" s="23" t="e">
        <f t="shared" si="607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607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607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607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607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607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607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607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607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607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607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607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607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607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607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607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607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607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607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607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607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607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607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607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607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607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607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607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607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607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607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607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607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607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607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607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607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607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607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607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607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607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607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607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607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607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607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607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607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607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607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607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607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607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607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607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607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608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608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608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608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608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608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608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608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608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608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608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608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608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608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608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608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608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608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608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608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608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608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608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608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608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608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608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608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608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608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608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608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608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608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608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608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608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608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608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608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608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608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608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608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608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608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608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608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608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608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608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608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608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608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608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608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608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608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608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608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608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608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608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608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609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609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609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609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609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609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609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609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609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609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609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609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609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609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609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609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609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609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609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609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609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609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609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609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609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609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609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609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609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609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609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609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609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609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609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609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609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609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609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609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609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609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609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609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609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609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609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609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609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609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609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609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609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609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609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609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609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609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609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609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609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609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609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609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610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610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610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610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610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610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610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610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610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610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610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610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610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610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610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610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610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610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610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610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610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610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610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610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610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610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610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610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610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610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610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610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610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610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610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610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610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610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610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610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610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610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610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610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610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610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610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610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610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610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739 V762:V769 U763:U768 U756:V761 A741:T769 U741:AM755 W756:AM769 A740:AW740 AN741:AW769 AX740:CX769 A770:CX1048576">
    <cfRule type="containsBlanks" dxfId="3" priority="19">
      <formula>LEN(TRIM(A1))=0</formula>
    </cfRule>
  </conditionalFormatting>
  <conditionalFormatting sqref="Y19:Y34">
    <cfRule type="containsBlanks" dxfId="37" priority="18">
      <formula>LEN(TRIM(Y19))=0</formula>
    </cfRule>
  </conditionalFormatting>
  <conditionalFormatting sqref="C84">
    <cfRule type="duplicateValues" dxfId="36" priority="16"/>
  </conditionalFormatting>
  <conditionalFormatting sqref="C88">
    <cfRule type="duplicateValues" dxfId="35" priority="14"/>
  </conditionalFormatting>
  <conditionalFormatting sqref="C100">
    <cfRule type="duplicateValues" dxfId="34" priority="13"/>
  </conditionalFormatting>
  <conditionalFormatting sqref="C115">
    <cfRule type="duplicateValues" dxfId="33" priority="12"/>
  </conditionalFormatting>
  <conditionalFormatting sqref="C121">
    <cfRule type="duplicateValues" dxfId="32" priority="11"/>
  </conditionalFormatting>
  <conditionalFormatting sqref="C136">
    <cfRule type="duplicateValues" dxfId="31" priority="7"/>
  </conditionalFormatting>
  <conditionalFormatting sqref="C137">
    <cfRule type="duplicateValues" dxfId="30" priority="6"/>
  </conditionalFormatting>
  <conditionalFormatting sqref="C267">
    <cfRule type="duplicateValues" dxfId="29" priority="5"/>
  </conditionalFormatting>
  <conditionalFormatting sqref="C347">
    <cfRule type="duplicateValues" dxfId="28" priority="4"/>
  </conditionalFormatting>
  <conditionalFormatting sqref="C383">
    <cfRule type="duplicateValues" dxfId="27" priority="3"/>
  </conditionalFormatting>
  <conditionalFormatting sqref="C434">
    <cfRule type="duplicateValues" dxfId="26" priority="2"/>
  </conditionalFormatting>
  <conditionalFormatting sqref="C503">
    <cfRule type="duplicateValues" dxfId="25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/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334</v>
      </c>
      <c r="B1" s="172" t="s">
        <v>378</v>
      </c>
      <c r="C1" s="95" t="s">
        <v>343</v>
      </c>
      <c r="D1" s="95" t="s">
        <v>363</v>
      </c>
      <c r="E1" s="179" t="s">
        <v>366</v>
      </c>
      <c r="F1" s="180" t="s">
        <v>367</v>
      </c>
      <c r="G1" s="180" t="s">
        <v>368</v>
      </c>
      <c r="H1" s="180" t="s">
        <v>371</v>
      </c>
      <c r="I1" s="94" t="s">
        <v>335</v>
      </c>
      <c r="J1" s="93" t="s">
        <v>336</v>
      </c>
    </row>
    <row r="2" spans="1:10" x14ac:dyDescent="0.25">
      <c r="A2" s="28" t="s">
        <v>0</v>
      </c>
      <c r="B2" s="183" t="s">
        <v>381</v>
      </c>
      <c r="C2" t="s">
        <v>361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379</v>
      </c>
      <c r="C3" t="s">
        <v>361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339</v>
      </c>
      <c r="B4" s="183" t="s">
        <v>380</v>
      </c>
      <c r="C4" t="s">
        <v>377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382</v>
      </c>
      <c r="C5" t="s">
        <v>362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383</v>
      </c>
      <c r="C6" t="s">
        <v>362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479</v>
      </c>
      <c r="C7" t="s">
        <v>362</v>
      </c>
      <c r="D7">
        <v>6</v>
      </c>
      <c r="E7" s="42" t="b">
        <v>1</v>
      </c>
      <c r="F7" t="b">
        <v>1</v>
      </c>
      <c r="H7" t="s">
        <v>372</v>
      </c>
      <c r="I7" t="b">
        <v>0</v>
      </c>
    </row>
    <row r="8" spans="1:10" x14ac:dyDescent="0.25">
      <c r="A8" s="28" t="s">
        <v>88</v>
      </c>
      <c r="B8" s="183" t="s">
        <v>384</v>
      </c>
      <c r="C8" t="s">
        <v>362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385</v>
      </c>
      <c r="C9" t="s">
        <v>362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386</v>
      </c>
      <c r="C10" t="s">
        <v>362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387</v>
      </c>
      <c r="C11" t="s">
        <v>362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388</v>
      </c>
      <c r="C12" t="s">
        <v>362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389</v>
      </c>
      <c r="C13" t="s">
        <v>362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390</v>
      </c>
      <c r="C14" t="s">
        <v>362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391</v>
      </c>
      <c r="C15" t="s">
        <v>344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392</v>
      </c>
      <c r="C16" t="s">
        <v>344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393</v>
      </c>
      <c r="C17" t="s">
        <v>344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394</v>
      </c>
      <c r="C18" t="s">
        <v>344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395</v>
      </c>
      <c r="C19" t="s">
        <v>344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396</v>
      </c>
      <c r="C20" t="s">
        <v>344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397</v>
      </c>
      <c r="C21" t="s">
        <v>344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398</v>
      </c>
      <c r="C22" t="s">
        <v>361</v>
      </c>
      <c r="D22">
        <v>13</v>
      </c>
      <c r="E22" s="42" t="b">
        <v>1</v>
      </c>
      <c r="F22" t="b">
        <v>1</v>
      </c>
      <c r="H22" t="s">
        <v>372</v>
      </c>
      <c r="I22" t="b">
        <v>0</v>
      </c>
    </row>
    <row r="23" spans="1:9" x14ac:dyDescent="0.25">
      <c r="A23" s="6" t="s">
        <v>99</v>
      </c>
      <c r="B23" s="175" t="s">
        <v>399</v>
      </c>
      <c r="C23" t="s">
        <v>361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400</v>
      </c>
      <c r="C24" t="s">
        <v>361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401</v>
      </c>
      <c r="C25" t="s">
        <v>361</v>
      </c>
      <c r="D25">
        <v>14</v>
      </c>
      <c r="E25" s="42" t="b">
        <v>1</v>
      </c>
      <c r="F25" t="b">
        <v>1</v>
      </c>
      <c r="H25" t="s">
        <v>372</v>
      </c>
      <c r="I25" t="b">
        <v>1</v>
      </c>
    </row>
    <row r="26" spans="1:9" x14ac:dyDescent="0.25">
      <c r="A26" s="2" t="s">
        <v>31</v>
      </c>
      <c r="B26" s="176" t="s">
        <v>402</v>
      </c>
      <c r="C26" t="s">
        <v>362</v>
      </c>
      <c r="D26">
        <v>15</v>
      </c>
      <c r="E26" s="42" t="b">
        <v>1</v>
      </c>
      <c r="F26" t="b">
        <v>1</v>
      </c>
      <c r="H26" t="s">
        <v>372</v>
      </c>
      <c r="I26" t="b">
        <v>1</v>
      </c>
    </row>
    <row r="27" spans="1:9" x14ac:dyDescent="0.25">
      <c r="A27" s="2" t="s">
        <v>46</v>
      </c>
      <c r="B27" s="176" t="s">
        <v>403</v>
      </c>
      <c r="C27" t="s">
        <v>362</v>
      </c>
      <c r="D27">
        <v>16</v>
      </c>
      <c r="E27" s="42" t="b">
        <v>1</v>
      </c>
      <c r="F27" t="b">
        <v>1</v>
      </c>
      <c r="H27" t="s">
        <v>372</v>
      </c>
      <c r="I27" t="b">
        <v>1</v>
      </c>
    </row>
    <row r="28" spans="1:9" x14ac:dyDescent="0.25">
      <c r="A28" s="2" t="s">
        <v>205</v>
      </c>
      <c r="B28" s="176" t="s">
        <v>404</v>
      </c>
      <c r="C28" t="s">
        <v>344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405</v>
      </c>
      <c r="C29" t="s">
        <v>344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406</v>
      </c>
      <c r="C30" t="s">
        <v>344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407</v>
      </c>
      <c r="C31" t="s">
        <v>344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408</v>
      </c>
      <c r="C32" t="s">
        <v>344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409</v>
      </c>
      <c r="C33" t="s">
        <v>344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410</v>
      </c>
      <c r="C34" t="s">
        <v>344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411</v>
      </c>
      <c r="C35" t="s">
        <v>344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412</v>
      </c>
      <c r="C36" t="s">
        <v>344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413</v>
      </c>
      <c r="C37" t="s">
        <v>344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414</v>
      </c>
      <c r="C38" t="s">
        <v>344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415</v>
      </c>
      <c r="C39" t="s">
        <v>362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416</v>
      </c>
      <c r="C40" t="s">
        <v>362</v>
      </c>
      <c r="D40">
        <v>21</v>
      </c>
      <c r="E40" s="42" t="b">
        <v>1</v>
      </c>
      <c r="F40" t="b">
        <v>1</v>
      </c>
      <c r="H40" t="s">
        <v>372</v>
      </c>
      <c r="I40" t="b">
        <v>1</v>
      </c>
    </row>
    <row r="41" spans="1:9" x14ac:dyDescent="0.25">
      <c r="A41" s="38" t="s">
        <v>111</v>
      </c>
      <c r="B41" s="184" t="s">
        <v>417</v>
      </c>
      <c r="C41" t="s">
        <v>364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418</v>
      </c>
      <c r="C42" t="s">
        <v>364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419</v>
      </c>
      <c r="C43" t="s">
        <v>364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420</v>
      </c>
      <c r="C44" t="s">
        <v>364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421</v>
      </c>
      <c r="C45" t="s">
        <v>364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422</v>
      </c>
      <c r="C46" t="s">
        <v>364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423</v>
      </c>
      <c r="C47" t="s">
        <v>364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424</v>
      </c>
      <c r="C48" t="s">
        <v>364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425</v>
      </c>
      <c r="C49" t="s">
        <v>364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426</v>
      </c>
      <c r="C50" t="s">
        <v>364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427</v>
      </c>
      <c r="C51" t="s">
        <v>364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428</v>
      </c>
      <c r="C52" t="s">
        <v>364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429</v>
      </c>
      <c r="C53" t="s">
        <v>364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430</v>
      </c>
      <c r="C54" t="s">
        <v>364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431</v>
      </c>
      <c r="C55" t="s">
        <v>364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432</v>
      </c>
      <c r="C56" t="s">
        <v>364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377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433</v>
      </c>
      <c r="C58" t="s">
        <v>344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434</v>
      </c>
      <c r="C59" t="s">
        <v>344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435</v>
      </c>
      <c r="C60" t="s">
        <v>344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436</v>
      </c>
      <c r="C61" t="s">
        <v>344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437</v>
      </c>
      <c r="C62" t="s">
        <v>344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438</v>
      </c>
      <c r="C63" t="s">
        <v>344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439</v>
      </c>
      <c r="C64" t="s">
        <v>344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440</v>
      </c>
      <c r="C65" t="s">
        <v>344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441</v>
      </c>
      <c r="C66" t="s">
        <v>344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442</v>
      </c>
      <c r="C67" t="s">
        <v>344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443</v>
      </c>
      <c r="C68" t="s">
        <v>362</v>
      </c>
      <c r="D68">
        <v>32</v>
      </c>
      <c r="E68" s="42" t="b">
        <v>1</v>
      </c>
      <c r="F68" t="b">
        <v>1</v>
      </c>
      <c r="H68" t="s">
        <v>372</v>
      </c>
      <c r="I68" t="b">
        <v>1</v>
      </c>
    </row>
    <row r="69" spans="1:9" x14ac:dyDescent="0.25">
      <c r="A69" s="38" t="s">
        <v>67</v>
      </c>
      <c r="B69" s="184" t="s">
        <v>444</v>
      </c>
      <c r="C69" t="s">
        <v>362</v>
      </c>
      <c r="D69">
        <v>33</v>
      </c>
      <c r="E69" s="42" t="b">
        <v>1</v>
      </c>
      <c r="F69" t="b">
        <v>1</v>
      </c>
      <c r="H69" t="s">
        <v>372</v>
      </c>
      <c r="I69" t="b">
        <v>1</v>
      </c>
    </row>
    <row r="70" spans="1:9" x14ac:dyDescent="0.25">
      <c r="A70" s="38" t="s">
        <v>68</v>
      </c>
      <c r="B70" s="184" t="s">
        <v>445</v>
      </c>
      <c r="C70" t="s">
        <v>362</v>
      </c>
      <c r="D70">
        <v>34</v>
      </c>
      <c r="E70" s="42" t="b">
        <v>1</v>
      </c>
      <c r="F70" t="b">
        <v>1</v>
      </c>
      <c r="H70" t="s">
        <v>372</v>
      </c>
      <c r="I70" t="b">
        <v>1</v>
      </c>
    </row>
    <row r="71" spans="1:9" x14ac:dyDescent="0.25">
      <c r="A71" s="4" t="s">
        <v>69</v>
      </c>
      <c r="B71" s="177" t="s">
        <v>446</v>
      </c>
      <c r="C71" t="s">
        <v>344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447</v>
      </c>
      <c r="C72" t="s">
        <v>344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448</v>
      </c>
      <c r="C73" t="s">
        <v>344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449</v>
      </c>
      <c r="C74" t="s">
        <v>344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450</v>
      </c>
      <c r="C75" t="s">
        <v>344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451</v>
      </c>
      <c r="C76" t="s">
        <v>344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452</v>
      </c>
      <c r="C77" t="s">
        <v>344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453</v>
      </c>
      <c r="C78" t="s">
        <v>344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454</v>
      </c>
      <c r="C79" t="s">
        <v>344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455</v>
      </c>
      <c r="C80" t="s">
        <v>344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456</v>
      </c>
      <c r="C81" t="s">
        <v>344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457</v>
      </c>
      <c r="C82" t="s">
        <v>344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458</v>
      </c>
      <c r="C83" t="s">
        <v>344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459</v>
      </c>
      <c r="C84" t="s">
        <v>344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460</v>
      </c>
      <c r="C85" t="s">
        <v>344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517</v>
      </c>
      <c r="B86" s="177" t="s">
        <v>461</v>
      </c>
      <c r="C86" t="s">
        <v>344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462</v>
      </c>
      <c r="C87" t="s">
        <v>344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463</v>
      </c>
      <c r="C88" t="s">
        <v>344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464</v>
      </c>
      <c r="C89" t="s">
        <v>344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465</v>
      </c>
      <c r="C90" t="s">
        <v>344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466</v>
      </c>
      <c r="C91" t="s">
        <v>344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467</v>
      </c>
      <c r="C92" t="s">
        <v>344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468</v>
      </c>
      <c r="C93" t="s">
        <v>344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469</v>
      </c>
      <c r="C94" t="s">
        <v>344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470</v>
      </c>
      <c r="C95" t="s">
        <v>344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471</v>
      </c>
      <c r="C96" t="s">
        <v>344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472</v>
      </c>
      <c r="C97" t="s">
        <v>344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473</v>
      </c>
      <c r="C98" t="s">
        <v>344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474</v>
      </c>
      <c r="C99" t="s">
        <v>362</v>
      </c>
      <c r="D99">
        <v>39</v>
      </c>
      <c r="E99" s="42" t="b">
        <v>1</v>
      </c>
      <c r="F99" t="b">
        <v>1</v>
      </c>
      <c r="H99" t="s">
        <v>372</v>
      </c>
      <c r="I99" t="b">
        <v>0</v>
      </c>
    </row>
    <row r="100" spans="1:9" x14ac:dyDescent="0.25">
      <c r="A100" s="44" t="s">
        <v>83</v>
      </c>
      <c r="B100" s="178" t="s">
        <v>475</v>
      </c>
      <c r="C100" t="s">
        <v>361</v>
      </c>
      <c r="D100">
        <v>40</v>
      </c>
      <c r="E100" s="42" t="b">
        <v>1</v>
      </c>
      <c r="F100" t="b">
        <v>1</v>
      </c>
      <c r="H100" t="s">
        <v>372</v>
      </c>
      <c r="I100" t="b">
        <v>1</v>
      </c>
    </row>
    <row r="101" spans="1:9" x14ac:dyDescent="0.25">
      <c r="A101" s="44" t="s">
        <v>84</v>
      </c>
      <c r="B101" s="178" t="s">
        <v>476</v>
      </c>
      <c r="C101" t="s">
        <v>344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365</v>
      </c>
      <c r="B102" s="178" t="s">
        <v>477</v>
      </c>
      <c r="C102" t="s">
        <v>344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478</v>
      </c>
      <c r="C103" t="s">
        <v>361</v>
      </c>
      <c r="D103">
        <v>42</v>
      </c>
      <c r="E103" s="42" t="b">
        <v>1</v>
      </c>
      <c r="F103" t="b">
        <v>1</v>
      </c>
      <c r="H103" t="s">
        <v>372</v>
      </c>
      <c r="I103" t="b">
        <v>0</v>
      </c>
    </row>
    <row r="104" spans="1:9" x14ac:dyDescent="0.25">
      <c r="A104" s="185" t="s">
        <v>482</v>
      </c>
      <c r="B104" s="187" t="s">
        <v>487</v>
      </c>
      <c r="C104" t="s">
        <v>362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483</v>
      </c>
      <c r="B105" s="187" t="s">
        <v>488</v>
      </c>
      <c r="C105" t="s">
        <v>362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484</v>
      </c>
      <c r="B106" s="187" t="s">
        <v>489</v>
      </c>
      <c r="C106" t="s">
        <v>362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485</v>
      </c>
      <c r="B107" s="187" t="s">
        <v>490</v>
      </c>
      <c r="C107" t="s">
        <v>362</v>
      </c>
      <c r="D107">
        <v>46</v>
      </c>
      <c r="E107" s="42" t="b">
        <v>1</v>
      </c>
      <c r="F107" t="b">
        <v>1</v>
      </c>
      <c r="H107" t="s">
        <v>372</v>
      </c>
      <c r="I107" t="b">
        <v>0</v>
      </c>
    </row>
    <row r="108" spans="1:9" x14ac:dyDescent="0.25">
      <c r="A108" s="186" t="s">
        <v>486</v>
      </c>
      <c r="B108" s="187" t="s">
        <v>491</v>
      </c>
      <c r="C108" t="s">
        <v>361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24" priority="9">
      <formula>LEN(TRIM(A2))=0</formula>
    </cfRule>
  </conditionalFormatting>
  <conditionalFormatting sqref="A10:B10">
    <cfRule type="containsBlanks" dxfId="23" priority="8">
      <formula>LEN(TRIM(A10))=0</formula>
    </cfRule>
  </conditionalFormatting>
  <conditionalFormatting sqref="A5:B5">
    <cfRule type="containsBlanks" dxfId="22" priority="7">
      <formula>LEN(TRIM(A5))=0</formula>
    </cfRule>
  </conditionalFormatting>
  <conditionalFormatting sqref="A15:B24">
    <cfRule type="containsBlanks" dxfId="21" priority="6">
      <formula>LEN(TRIM(A15))=0</formula>
    </cfRule>
  </conditionalFormatting>
  <conditionalFormatting sqref="A41:B70">
    <cfRule type="containsBlanks" dxfId="20" priority="4">
      <formula>LEN(TRIM(A41))=0</formula>
    </cfRule>
  </conditionalFormatting>
  <conditionalFormatting sqref="A71:B99">
    <cfRule type="containsBlanks" dxfId="19" priority="3">
      <formula>LEN(TRIM(A71))=0</formula>
    </cfRule>
  </conditionalFormatting>
  <conditionalFormatting sqref="A100:B103">
    <cfRule type="containsBlanks" dxfId="18" priority="2">
      <formula>LEN(TRIM(A100))=0</formula>
    </cfRule>
  </conditionalFormatting>
  <conditionalFormatting sqref="A104:A108">
    <cfRule type="containsBlanks" dxfId="17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376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369</v>
      </c>
    </row>
    <row r="8" spans="1:8" x14ac:dyDescent="0.25">
      <c r="A8" s="45"/>
      <c r="B8" t="s">
        <v>124</v>
      </c>
      <c r="C8" s="34" t="s">
        <v>120</v>
      </c>
      <c r="H8" t="s">
        <v>375</v>
      </c>
    </row>
    <row r="21" spans="8:8" x14ac:dyDescent="0.25">
      <c r="H21" s="76" t="s">
        <v>370</v>
      </c>
    </row>
    <row r="22" spans="8:8" x14ac:dyDescent="0.25">
      <c r="H22" t="s">
        <v>373</v>
      </c>
    </row>
    <row r="23" spans="8:8" x14ac:dyDescent="0.25">
      <c r="H23" t="s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88"/>
  <sheetViews>
    <sheetView topLeftCell="A486" workbookViewId="0">
      <selection activeCell="C492" sqref="C492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332</v>
      </c>
    </row>
    <row r="387" spans="1:17" x14ac:dyDescent="0.25">
      <c r="D387" t="s">
        <v>215</v>
      </c>
      <c r="E387" t="s">
        <v>327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328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326</v>
      </c>
      <c r="D389">
        <v>2</v>
      </c>
      <c r="E389" t="s">
        <v>328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328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326</v>
      </c>
      <c r="D391" s="92">
        <v>2</v>
      </c>
      <c r="E391" s="92" t="s">
        <v>328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328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326</v>
      </c>
      <c r="D393">
        <v>2</v>
      </c>
      <c r="E393" t="s">
        <v>328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328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326</v>
      </c>
      <c r="D395" s="92">
        <v>2</v>
      </c>
      <c r="E395" s="92" t="s">
        <v>328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329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326</v>
      </c>
      <c r="D397">
        <v>2</v>
      </c>
      <c r="E397" s="92" t="s">
        <v>329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329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326</v>
      </c>
      <c r="D399" s="92">
        <v>2</v>
      </c>
      <c r="E399" s="92" t="s">
        <v>329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330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326</v>
      </c>
      <c r="D401">
        <v>2</v>
      </c>
      <c r="E401" s="92" t="s">
        <v>330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331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326</v>
      </c>
      <c r="D403" s="92">
        <v>2</v>
      </c>
      <c r="E403" s="92" t="s">
        <v>331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346</v>
      </c>
    </row>
    <row r="407" spans="1:20" x14ac:dyDescent="0.25">
      <c r="A407" s="76"/>
      <c r="C407" s="76" t="s">
        <v>347</v>
      </c>
    </row>
    <row r="408" spans="1:20" x14ac:dyDescent="0.25">
      <c r="D408" t="s">
        <v>215</v>
      </c>
      <c r="E408" t="s">
        <v>348</v>
      </c>
    </row>
    <row r="409" spans="1:20" x14ac:dyDescent="0.25">
      <c r="C409" t="s">
        <v>349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350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351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352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353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354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355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348</v>
      </c>
      <c r="F418" t="s">
        <v>359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356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357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358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360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356</v>
      </c>
      <c r="D425">
        <v>3</v>
      </c>
      <c r="E425">
        <v>9</v>
      </c>
      <c r="F425" s="70" t="s">
        <v>360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357</v>
      </c>
      <c r="D426">
        <v>3</v>
      </c>
      <c r="E426">
        <v>12</v>
      </c>
      <c r="F426" s="70" t="s">
        <v>360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358</v>
      </c>
      <c r="D427">
        <v>3</v>
      </c>
      <c r="E427">
        <v>12</v>
      </c>
      <c r="F427" s="70" t="s">
        <v>360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360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480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481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481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481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481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481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481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481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481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481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481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481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481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481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481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481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481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481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481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481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481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481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481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481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481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492</v>
      </c>
      <c r="C460" s="70"/>
    </row>
    <row r="461" spans="1:19" x14ac:dyDescent="0.25">
      <c r="C461" s="70"/>
      <c r="D461" t="s">
        <v>215</v>
      </c>
      <c r="E461" t="s">
        <v>497</v>
      </c>
      <c r="F461" t="s">
        <v>498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494</v>
      </c>
      <c r="D462">
        <v>7</v>
      </c>
      <c r="E462">
        <v>7</v>
      </c>
      <c r="F462" t="s">
        <v>499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495</v>
      </c>
      <c r="D463">
        <v>4</v>
      </c>
      <c r="E463">
        <v>11</v>
      </c>
      <c r="F463" t="s">
        <v>499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496</v>
      </c>
      <c r="D464">
        <v>3</v>
      </c>
      <c r="E464">
        <v>14</v>
      </c>
      <c r="F464" t="s">
        <v>499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494</v>
      </c>
      <c r="D465">
        <v>7</v>
      </c>
      <c r="E465">
        <v>7</v>
      </c>
      <c r="F465" t="s">
        <v>500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495</v>
      </c>
      <c r="D466">
        <v>4</v>
      </c>
      <c r="E466">
        <v>11</v>
      </c>
      <c r="F466" t="s">
        <v>500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496</v>
      </c>
      <c r="D467">
        <v>3</v>
      </c>
      <c r="E467">
        <v>14</v>
      </c>
      <c r="F467" t="s">
        <v>500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494</v>
      </c>
      <c r="D468">
        <v>7</v>
      </c>
      <c r="E468">
        <v>7</v>
      </c>
      <c r="F468" t="s">
        <v>501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495</v>
      </c>
      <c r="D469">
        <v>4</v>
      </c>
      <c r="E469">
        <v>11</v>
      </c>
      <c r="F469" t="s">
        <v>501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496</v>
      </c>
      <c r="D470">
        <v>3</v>
      </c>
      <c r="E470">
        <v>14</v>
      </c>
      <c r="F470" t="s">
        <v>501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494</v>
      </c>
      <c r="D471">
        <v>7</v>
      </c>
      <c r="E471">
        <v>7</v>
      </c>
      <c r="F471" t="s">
        <v>499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495</v>
      </c>
      <c r="D472">
        <v>4</v>
      </c>
      <c r="E472">
        <v>11</v>
      </c>
      <c r="F472" t="s">
        <v>499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496</v>
      </c>
      <c r="D473">
        <v>3</v>
      </c>
      <c r="E473">
        <v>14</v>
      </c>
      <c r="F473" t="s">
        <v>499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494</v>
      </c>
      <c r="D474">
        <v>7</v>
      </c>
      <c r="E474">
        <v>7</v>
      </c>
      <c r="F474" t="s">
        <v>500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495</v>
      </c>
      <c r="D475">
        <v>4</v>
      </c>
      <c r="E475">
        <v>11</v>
      </c>
      <c r="F475" t="s">
        <v>500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496</v>
      </c>
      <c r="D476">
        <v>3</v>
      </c>
      <c r="E476">
        <v>14</v>
      </c>
      <c r="F476" t="s">
        <v>500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494</v>
      </c>
      <c r="D477">
        <v>7</v>
      </c>
      <c r="E477">
        <v>7</v>
      </c>
      <c r="F477" t="s">
        <v>501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495</v>
      </c>
      <c r="D478">
        <v>4</v>
      </c>
      <c r="E478">
        <v>11</v>
      </c>
      <c r="F478" t="s">
        <v>501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496</v>
      </c>
      <c r="D479">
        <v>3</v>
      </c>
      <c r="E479">
        <v>14</v>
      </c>
      <c r="F479" t="s">
        <v>501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3" x14ac:dyDescent="0.25">
      <c r="A482" s="75" t="s">
        <v>502</v>
      </c>
      <c r="C482" t="s">
        <v>504</v>
      </c>
      <c r="D482" t="s">
        <v>505</v>
      </c>
      <c r="E482" t="s">
        <v>506</v>
      </c>
      <c r="F482" t="s">
        <v>507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3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3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3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3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3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3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</sheetData>
  <conditionalFormatting sqref="A3">
    <cfRule type="containsBlanks" dxfId="16" priority="19">
      <formula>LEN(TRIM(A3))=0</formula>
    </cfRule>
  </conditionalFormatting>
  <conditionalFormatting sqref="F64">
    <cfRule type="containsBlanks" dxfId="15" priority="18">
      <formula>LEN(TRIM(F64))=0</formula>
    </cfRule>
  </conditionalFormatting>
  <conditionalFormatting sqref="F89:F92">
    <cfRule type="containsBlanks" dxfId="14" priority="15">
      <formula>LEN(TRIM(F89))=0</formula>
    </cfRule>
  </conditionalFormatting>
  <conditionalFormatting sqref="G100">
    <cfRule type="containsBlanks" dxfId="13" priority="14">
      <formula>LEN(TRIM(G100))=0</formula>
    </cfRule>
  </conditionalFormatting>
  <conditionalFormatting sqref="H120">
    <cfRule type="containsBlanks" dxfId="12" priority="13">
      <formula>LEN(TRIM(H120))=0</formula>
    </cfRule>
  </conditionalFormatting>
  <conditionalFormatting sqref="E183">
    <cfRule type="containsBlanks" dxfId="11" priority="11">
      <formula>LEN(TRIM(E183))=0</formula>
    </cfRule>
  </conditionalFormatting>
  <conditionalFormatting sqref="E200">
    <cfRule type="containsBlanks" dxfId="10" priority="10">
      <formula>LEN(TRIM(E200))=0</formula>
    </cfRule>
  </conditionalFormatting>
  <conditionalFormatting sqref="G219">
    <cfRule type="containsBlanks" dxfId="9" priority="8">
      <formula>LEN(TRIM(G219))=0</formula>
    </cfRule>
  </conditionalFormatting>
  <conditionalFormatting sqref="H257">
    <cfRule type="containsBlanks" dxfId="8" priority="7">
      <formula>LEN(TRIM(H257))=0</formula>
    </cfRule>
  </conditionalFormatting>
  <conditionalFormatting sqref="H275">
    <cfRule type="containsBlanks" dxfId="7" priority="6">
      <formula>LEN(TRIM(H275))=0</formula>
    </cfRule>
  </conditionalFormatting>
  <conditionalFormatting sqref="H306">
    <cfRule type="containsBlanks" dxfId="6" priority="5">
      <formula>LEN(TRIM(H306))=0</formula>
    </cfRule>
  </conditionalFormatting>
  <conditionalFormatting sqref="G387">
    <cfRule type="containsBlanks" dxfId="5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2023-03-23T08:07:33Z</dcterms:modified>
</cp:coreProperties>
</file>